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bl\Downloads\"/>
    </mc:Choice>
  </mc:AlternateContent>
  <xr:revisionPtr revIDLastSave="0" documentId="13_ncr:1_{B89AB8D9-44A5-4F06-9012-092686392317}" xr6:coauthVersionLast="47" xr6:coauthVersionMax="47" xr10:uidLastSave="{00000000-0000-0000-0000-000000000000}"/>
  <bookViews>
    <workbookView xWindow="34935" yWindow="465" windowWidth="19350" windowHeight="11730" tabRatio="928" firstSheet="4" activeTab="5" xr2:uid="{00000000-000D-0000-FFFF-FFFF00000000}"/>
  </bookViews>
  <sheets>
    <sheet name="新規登録申請 大量（サンプル）" sheetId="1" state="hidden" r:id="rId1"/>
    <sheet name="新規登録申請 大量（ブランク）原本" sheetId="2" state="hidden" r:id="rId2"/>
    <sheet name="①商品登録（酒）" sheetId="3" state="hidden" r:id="rId3"/>
    <sheet name="①商品登録（ワイン専用）" sheetId="4" state="hidden" r:id="rId4"/>
    <sheet name="①商品登録（酒以外）これのみ" sheetId="5" r:id="rId5"/>
    <sheet name="①酒以外RPA" sheetId="13" r:id="rId6"/>
    <sheet name="②仕入単価" sheetId="6" r:id="rId7"/>
    <sheet name="②仕入単価RPA" sheetId="14" r:id="rId8"/>
    <sheet name="③発注情報" sheetId="7" r:id="rId9"/>
    <sheet name="③発注情報RPA" sheetId="15" r:id="rId10"/>
    <sheet name="④N、R" sheetId="8" r:id="rId11"/>
    <sheet name="④N、R RPA" sheetId="16" r:id="rId12"/>
    <sheet name="⑤POS登録" sheetId="9" r:id="rId13"/>
    <sheet name="⑤POS登録RPA" sheetId="17" r:id="rId14"/>
    <sheet name="⑥部署別店頭単価" sheetId="10" r:id="rId15"/>
    <sheet name="⑦仕入先別期間単価設定" sheetId="11" state="hidden" r:id="rId16"/>
    <sheet name="⑥部署別店頭単価RPA" sheetId="18" r:id="rId17"/>
    <sheet name="MT商品ﾏｽﾀ参照シート" sheetId="12" r:id="rId18"/>
  </sheets>
  <externalReferences>
    <externalReference r:id="rId19"/>
  </externalReferences>
  <definedNames>
    <definedName name="_xlnm._FilterDatabase" localSheetId="5" hidden="1">①酒以外RPA!$A$1:$BF$114</definedName>
    <definedName name="_xlnm._FilterDatabase" localSheetId="3" hidden="1">'①商品登録（ワイン専用）'!$A$12:$DP$12</definedName>
    <definedName name="_xlnm._FilterDatabase" localSheetId="2" hidden="1">'①商品登録（酒）'!$A$12:$DP$12</definedName>
    <definedName name="_xlnm._FilterDatabase" localSheetId="4" hidden="1">'①商品登録（酒以外）これのみ'!$A$12:$CN$139</definedName>
    <definedName name="_xlnm._FilterDatabase" localSheetId="6" hidden="1">②仕入単価!$A$12:$O$12</definedName>
    <definedName name="_xlnm._FilterDatabase" localSheetId="7" hidden="1">②仕入単価RPA!$A$1:$E$1</definedName>
    <definedName name="_xlnm._FilterDatabase" localSheetId="8" hidden="1">③発注情報!$A$12:$AM$12</definedName>
    <definedName name="_xlnm._FilterDatabase" localSheetId="9" hidden="1">③発注情報RPA!$A$1:$AA$1</definedName>
    <definedName name="_xlnm._FilterDatabase" localSheetId="10" hidden="1">'④N、R'!$A$12:$T$12</definedName>
    <definedName name="_xlnm._FilterDatabase" localSheetId="11" hidden="1">'④N、R RPA'!$A$1:$M$1</definedName>
    <definedName name="_xlnm._FilterDatabase" localSheetId="12" hidden="1">⑤POS登録!$A$12:$U$12</definedName>
    <definedName name="_xlnm._FilterDatabase" localSheetId="13" hidden="1">⑤POS登録RPA!$A$1:$N$1</definedName>
    <definedName name="_xlnm._FilterDatabase" localSheetId="14" hidden="1">⑥部署別店頭単価!$A$12:$AE$12</definedName>
    <definedName name="_xlnm._FilterDatabase" localSheetId="16" hidden="1">⑥部署別店頭単価RPA!$A$1:$X$1</definedName>
    <definedName name="_xlnm._FilterDatabase" localSheetId="15" hidden="1">⑦仕入先別期間単価設定!$A$12:$AG$12</definedName>
    <definedName name="_xlnm._FilterDatabase" localSheetId="17" hidden="1">MT商品ﾏｽﾀ参照シート!$B$1:$BB$290</definedName>
    <definedName name="_xlnm._FilterDatabase" localSheetId="1" hidden="1">'新規登録申請 大量（ブランク）原本'!$A$12:$KI$12</definedName>
    <definedName name="HT容器回収">MT商品ﾏｽﾀ参照シート!$BA$2:$BA$3</definedName>
    <definedName name="_xlnm.Print_Titles" localSheetId="5">①酒以外RPA!$1:$1</definedName>
    <definedName name="_xlnm.Print_Titles" localSheetId="3">'①商品登録（ワイン専用）'!$5:$12</definedName>
    <definedName name="_xlnm.Print_Titles" localSheetId="2">'①商品登録（酒）'!$5:$12</definedName>
    <definedName name="_xlnm.Print_Titles" localSheetId="4">'①商品登録（酒以外）これのみ'!$5:$12</definedName>
    <definedName name="_xlnm.Print_Titles" localSheetId="6">②仕入単価!$4:$12</definedName>
    <definedName name="_xlnm.Print_Titles" localSheetId="7">②仕入単価RPA!$1:$1</definedName>
    <definedName name="_xlnm.Print_Titles" localSheetId="8">③発注情報!$4:$12</definedName>
    <definedName name="_xlnm.Print_Titles" localSheetId="9">③発注情報RPA!$1:$1</definedName>
    <definedName name="_xlnm.Print_Titles" localSheetId="10">'④N、R'!$4:$12</definedName>
    <definedName name="_xlnm.Print_Titles" localSheetId="11">'④N、R RPA'!$1:$1</definedName>
    <definedName name="_xlnm.Print_Titles" localSheetId="12">⑤POS登録!$4:$12</definedName>
    <definedName name="_xlnm.Print_Titles" localSheetId="13">⑤POS登録RPA!$1:$1</definedName>
    <definedName name="_xlnm.Print_Titles" localSheetId="14">⑥部署別店頭単価!$4:$12</definedName>
    <definedName name="_xlnm.Print_Titles" localSheetId="16">⑥部署別店頭単価RPA!$1:$1</definedName>
    <definedName name="_xlnm.Print_Titles" localSheetId="15">⑦仕入先別期間単価設定!$4:$12</definedName>
    <definedName name="_xlnm.Print_Titles" localSheetId="0">'新規登録申請 大量（サンプル）'!$11:$12</definedName>
    <definedName name="_xlnm.Print_Titles" localSheetId="1">'新規登録申請 大量（ブランク）原本'!$5:$12</definedName>
    <definedName name="Z_4A49014B_6EB8_41BC_821C_AA758C89CB00_.wvu.FilterData" localSheetId="5" hidden="1">①酒以外RPA!$A$1:$BF$114</definedName>
    <definedName name="Z_4A49014B_6EB8_41BC_821C_AA758C89CB00_.wvu.FilterData" localSheetId="3" hidden="1">'①商品登録（ワイン専用）'!$A$12:$DP$12</definedName>
    <definedName name="Z_4A49014B_6EB8_41BC_821C_AA758C89CB00_.wvu.FilterData" localSheetId="2" hidden="1">'①商品登録（酒）'!$A$12:$DP$12</definedName>
    <definedName name="Z_4A49014B_6EB8_41BC_821C_AA758C89CB00_.wvu.FilterData" localSheetId="4" hidden="1">'①商品登録（酒以外）これのみ'!$A$12:$CN$139</definedName>
    <definedName name="Z_4A49014B_6EB8_41BC_821C_AA758C89CB00_.wvu.FilterData" localSheetId="6" hidden="1">②仕入単価!$A$12:$O$12</definedName>
    <definedName name="Z_4A49014B_6EB8_41BC_821C_AA758C89CB00_.wvu.FilterData" localSheetId="7" hidden="1">②仕入単価RPA!$A$1:$E$1</definedName>
    <definedName name="Z_4A49014B_6EB8_41BC_821C_AA758C89CB00_.wvu.FilterData" localSheetId="8" hidden="1">③発注情報!$A$12:$AM$12</definedName>
    <definedName name="Z_4A49014B_6EB8_41BC_821C_AA758C89CB00_.wvu.FilterData" localSheetId="9" hidden="1">③発注情報RPA!$A$1:$AA$1</definedName>
    <definedName name="Z_4A49014B_6EB8_41BC_821C_AA758C89CB00_.wvu.FilterData" localSheetId="10" hidden="1">'④N、R'!$A$12:$T$12</definedName>
    <definedName name="Z_4A49014B_6EB8_41BC_821C_AA758C89CB00_.wvu.FilterData" localSheetId="11" hidden="1">'④N、R RPA'!$A$1:$M$1</definedName>
    <definedName name="Z_4A49014B_6EB8_41BC_821C_AA758C89CB00_.wvu.FilterData" localSheetId="12" hidden="1">⑤POS登録!$A$12:$U$12</definedName>
    <definedName name="Z_4A49014B_6EB8_41BC_821C_AA758C89CB00_.wvu.FilterData" localSheetId="13" hidden="1">⑤POS登録RPA!$A$1:$N$1</definedName>
    <definedName name="Z_4A49014B_6EB8_41BC_821C_AA758C89CB00_.wvu.FilterData" localSheetId="14" hidden="1">⑥部署別店頭単価!$A$12:$AE$12</definedName>
    <definedName name="Z_4A49014B_6EB8_41BC_821C_AA758C89CB00_.wvu.FilterData" localSheetId="16" hidden="1">⑥部署別店頭単価RPA!$A$1:$X$1</definedName>
    <definedName name="Z_4A49014B_6EB8_41BC_821C_AA758C89CB00_.wvu.FilterData" localSheetId="15" hidden="1">⑦仕入先別期間単価設定!$A$12:$AG$12</definedName>
    <definedName name="Z_4A49014B_6EB8_41BC_821C_AA758C89CB00_.wvu.FilterData" localSheetId="17" hidden="1">MT商品ﾏｽﾀ参照シート!$B$1:$BB$290</definedName>
    <definedName name="Z_4A49014B_6EB8_41BC_821C_AA758C89CB00_.wvu.FilterData" localSheetId="1" hidden="1">'新規登録申請 大量（ブランク）原本'!$A$12:$KI$12</definedName>
    <definedName name="Z_4A49014B_6EB8_41BC_821C_AA758C89CB00_.wvu.PrintTitles" localSheetId="5" hidden="1">①酒以外RPA!$1:$1</definedName>
    <definedName name="Z_4A49014B_6EB8_41BC_821C_AA758C89CB00_.wvu.PrintTitles" localSheetId="3" hidden="1">'①商品登録（ワイン専用）'!$5:$12</definedName>
    <definedName name="Z_4A49014B_6EB8_41BC_821C_AA758C89CB00_.wvu.PrintTitles" localSheetId="2" hidden="1">'①商品登録（酒）'!$5:$12</definedName>
    <definedName name="Z_4A49014B_6EB8_41BC_821C_AA758C89CB00_.wvu.PrintTitles" localSheetId="4" hidden="1">'①商品登録（酒以外）これのみ'!$5:$12</definedName>
    <definedName name="Z_4A49014B_6EB8_41BC_821C_AA758C89CB00_.wvu.PrintTitles" localSheetId="6" hidden="1">②仕入単価!$4:$12</definedName>
    <definedName name="Z_4A49014B_6EB8_41BC_821C_AA758C89CB00_.wvu.PrintTitles" localSheetId="7" hidden="1">②仕入単価RPA!$1:$1</definedName>
    <definedName name="Z_4A49014B_6EB8_41BC_821C_AA758C89CB00_.wvu.PrintTitles" localSheetId="8" hidden="1">③発注情報!$4:$12</definedName>
    <definedName name="Z_4A49014B_6EB8_41BC_821C_AA758C89CB00_.wvu.PrintTitles" localSheetId="9" hidden="1">③発注情報RPA!$1:$1</definedName>
    <definedName name="Z_4A49014B_6EB8_41BC_821C_AA758C89CB00_.wvu.PrintTitles" localSheetId="10" hidden="1">'④N、R'!$4:$12</definedName>
    <definedName name="Z_4A49014B_6EB8_41BC_821C_AA758C89CB00_.wvu.PrintTitles" localSheetId="11" hidden="1">'④N、R RPA'!$1:$1</definedName>
    <definedName name="Z_4A49014B_6EB8_41BC_821C_AA758C89CB00_.wvu.PrintTitles" localSheetId="12" hidden="1">⑤POS登録!$4:$12</definedName>
    <definedName name="Z_4A49014B_6EB8_41BC_821C_AA758C89CB00_.wvu.PrintTitles" localSheetId="13" hidden="1">⑤POS登録RPA!$1:$1</definedName>
    <definedName name="Z_4A49014B_6EB8_41BC_821C_AA758C89CB00_.wvu.PrintTitles" localSheetId="14" hidden="1">⑥部署別店頭単価!$4:$12</definedName>
    <definedName name="Z_4A49014B_6EB8_41BC_821C_AA758C89CB00_.wvu.PrintTitles" localSheetId="16" hidden="1">⑥部署別店頭単価RPA!$1:$1</definedName>
    <definedName name="Z_4A49014B_6EB8_41BC_821C_AA758C89CB00_.wvu.PrintTitles" localSheetId="15" hidden="1">⑦仕入先別期間単価設定!$4:$12</definedName>
    <definedName name="Z_4A49014B_6EB8_41BC_821C_AA758C89CB00_.wvu.PrintTitles" localSheetId="0" hidden="1">'新規登録申請 大量（サンプル）'!$11:$12</definedName>
    <definedName name="Z_4A49014B_6EB8_41BC_821C_AA758C89CB00_.wvu.PrintTitles" localSheetId="1" hidden="1">'新規登録申請 大量（ブランク）原本'!$5:$12</definedName>
    <definedName name="Z_F2E878FD_1CF9_44B8_9B66_EEEB89207EAB_.wvu.FilterData" localSheetId="5" hidden="1">①酒以外RPA!$A$1:$CA$114</definedName>
    <definedName name="Z_F2E878FD_1CF9_44B8_9B66_EEEB89207EAB_.wvu.FilterData" localSheetId="4" hidden="1">'①商品登録（酒以外）これのみ'!$A$12:$DI$139</definedName>
    <definedName name="デポ当日発注">MT商品ﾏｽﾀ参照シート!$P$2:$P$3</definedName>
    <definedName name="飲み口">MT商品ﾏｽﾀ参照シート!$AH$2:$AH$15</definedName>
    <definedName name="横持ピック">MT商品ﾏｽﾀ参照シート!$AZ$2:$AZ$4</definedName>
    <definedName name="温度帯">MT商品ﾏｽﾀ参照シート!$L$2:$L$4</definedName>
    <definedName name="課税区分">MT商品ﾏｽﾀ参照シート!$H$2:$H$4</definedName>
    <definedName name="季節区分">MT商品ﾏｽﾀ参照シート!$AJ$2:$AJ$8</definedName>
    <definedName name="空容器商品CD">MT商品ﾏｽﾀ参照シート!$V$2:$V$87</definedName>
    <definedName name="国産輸入">MT商品ﾏｽﾀ参照シート!$AB$2:$AB$3</definedName>
    <definedName name="在庫管理">MT商品ﾏｽﾀ参照シート!$F$2:$F$3</definedName>
    <definedName name="産地_国">MT商品ﾏｽﾀ参照シート!$AD$2:$AD$54</definedName>
    <definedName name="産地_地域">MT商品ﾏｽﾀ参照シート!$AF$2:$AF$82</definedName>
    <definedName name="産地コード">MT商品ﾏｽﾀ参照シート!$AF$2:$AF$48</definedName>
    <definedName name="酒税分類">MT商品ﾏｽﾀ参照シート!$Z$2:$Z$19</definedName>
    <definedName name="酒類_酒税分類">MT商品ﾏｽﾀ参照シート!$Z$2:$Z$19</definedName>
    <definedName name="商品区分">MT商品ﾏｽﾀ参照シート!$B$2:$B$7</definedName>
    <definedName name="商品種別">MT商品ﾏｽﾀ参照シート!$J$2:$J$9</definedName>
    <definedName name="商品分類">MT商品ﾏｽﾀ参照シート!$T$2:$T$113</definedName>
    <definedName name="小分類" localSheetId="5">MT商品ﾏｽﾀ参照シート!#REF!</definedName>
    <definedName name="小分類" localSheetId="3">MT商品ﾏｽﾀ参照シート!#REF!</definedName>
    <definedName name="小分類" localSheetId="2">MT商品ﾏｽﾀ参照シート!#REF!</definedName>
    <definedName name="小分類" localSheetId="4">MT商品ﾏｽﾀ参照シート!#REF!</definedName>
    <definedName name="小分類" localSheetId="7">MT商品ﾏｽﾀ参照シート!#REF!</definedName>
    <definedName name="小分類" localSheetId="9">MT商品ﾏｽﾀ参照シート!#REF!</definedName>
    <definedName name="小分類" localSheetId="11">MT商品ﾏｽﾀ参照シート!#REF!</definedName>
    <definedName name="小分類" localSheetId="13">MT商品ﾏｽﾀ参照シート!#REF!</definedName>
    <definedName name="小分類" localSheetId="16">MT商品ﾏｽﾀ参照シート!#REF!</definedName>
    <definedName name="小分類">MT商品ﾏｽﾀ参照シート!#REF!</definedName>
    <definedName name="消費税率コード">MT商品ﾏｽﾀ参照シート!$AY$2:$AY$5</definedName>
    <definedName name="清酒POS分類">MT商品ﾏｽﾀ参照シート!$T$2:$T$13</definedName>
    <definedName name="単位">MT商品ﾏｽﾀ参照シート!$D$2:$D$15</definedName>
    <definedName name="直送物流区分">MT商品ﾏｽﾀ参照シート!$N$2:$N$3</definedName>
    <definedName name="伝発分類">MT商品ﾏｽﾀ参照シート!$X$3:$X$18</definedName>
    <definedName name="販売先区分">MT商品ﾏｽﾀ参照シート!$AL$3:$AL$6</definedName>
    <definedName name="部署コード">MT商品ﾏｽﾀ参照シート!$AN$2:$AN$27</definedName>
    <definedName name="物流区分">MT商品ﾏｽﾀ参照シート!$N$2:$N$4</definedName>
    <definedName name="予備区分3">MT商品ﾏｽﾀ参照シート!$AV$2:$AV$3</definedName>
    <definedName name="予備区分4">MT商品ﾏｽﾀ参照シート!$AX$3:$AX$3</definedName>
  </definedNames>
  <calcPr calcId="181029"/>
  <customWorkbookViews>
    <customWorkbookView name="Administrator - 個人用ビュー" guid="{4A49014B-6EB8-41BC-821C-AA758C89CB00}" mergeInterval="0" personalView="1" maximized="1" xWindow="-8" yWindow="-8" windowWidth="1936" windowHeight="1035" tabRatio="928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3" i="5" l="1"/>
  <c r="E113" i="5"/>
  <c r="G113" i="5"/>
  <c r="I113" i="5"/>
  <c r="K113" i="5"/>
  <c r="M113" i="5"/>
  <c r="V113" i="5"/>
  <c r="X113" i="5"/>
  <c r="Z113" i="5"/>
  <c r="AG113" i="5"/>
  <c r="AJ113" i="5"/>
  <c r="AL113" i="5"/>
  <c r="AN113" i="5"/>
  <c r="AP113" i="5"/>
  <c r="AV113" i="5"/>
  <c r="AY113" i="5"/>
  <c r="BF113" i="5"/>
  <c r="BH113" i="5"/>
  <c r="BL113" i="5"/>
  <c r="BN113" i="5"/>
  <c r="BS113" i="5"/>
  <c r="BU113" i="5"/>
  <c r="BY113" i="5"/>
  <c r="CA113" i="5"/>
  <c r="C114" i="5"/>
  <c r="E114" i="5"/>
  <c r="G114" i="5"/>
  <c r="I114" i="5"/>
  <c r="K114" i="5"/>
  <c r="M114" i="5"/>
  <c r="V114" i="5"/>
  <c r="X114" i="5"/>
  <c r="Z114" i="5"/>
  <c r="AG114" i="5"/>
  <c r="AJ114" i="5"/>
  <c r="AL114" i="5"/>
  <c r="AN114" i="5"/>
  <c r="AP114" i="5"/>
  <c r="AV114" i="5"/>
  <c r="AY114" i="5"/>
  <c r="BF114" i="5"/>
  <c r="BH114" i="5"/>
  <c r="BL114" i="5"/>
  <c r="BN114" i="5"/>
  <c r="BS114" i="5"/>
  <c r="BU114" i="5"/>
  <c r="BY114" i="5"/>
  <c r="CA114" i="5"/>
  <c r="C115" i="5"/>
  <c r="E115" i="5"/>
  <c r="G115" i="5"/>
  <c r="I115" i="5"/>
  <c r="K115" i="5"/>
  <c r="M115" i="5"/>
  <c r="V115" i="5"/>
  <c r="X115" i="5"/>
  <c r="Z115" i="5"/>
  <c r="AG115" i="5"/>
  <c r="AJ115" i="5"/>
  <c r="AL115" i="5"/>
  <c r="AN115" i="5"/>
  <c r="AP115" i="5"/>
  <c r="AV115" i="5"/>
  <c r="AY115" i="5"/>
  <c r="BF115" i="5"/>
  <c r="BH115" i="5"/>
  <c r="BL115" i="5"/>
  <c r="BN115" i="5"/>
  <c r="BS115" i="5"/>
  <c r="BU115" i="5"/>
  <c r="BY115" i="5"/>
  <c r="CA115" i="5"/>
  <c r="C116" i="5"/>
  <c r="E116" i="5"/>
  <c r="G116" i="5"/>
  <c r="I116" i="5"/>
  <c r="K116" i="5"/>
  <c r="M116" i="5"/>
  <c r="V116" i="5"/>
  <c r="X116" i="5"/>
  <c r="Z116" i="5"/>
  <c r="AG116" i="5"/>
  <c r="AJ116" i="5"/>
  <c r="AL116" i="5"/>
  <c r="AN116" i="5"/>
  <c r="AP116" i="5"/>
  <c r="AV116" i="5"/>
  <c r="AY116" i="5"/>
  <c r="BF116" i="5"/>
  <c r="BH116" i="5"/>
  <c r="BL116" i="5"/>
  <c r="BN116" i="5"/>
  <c r="BS116" i="5"/>
  <c r="BU116" i="5"/>
  <c r="BY116" i="5"/>
  <c r="CA116" i="5"/>
  <c r="C117" i="5"/>
  <c r="E117" i="5"/>
  <c r="G117" i="5"/>
  <c r="I117" i="5"/>
  <c r="K117" i="5"/>
  <c r="M117" i="5"/>
  <c r="V117" i="5"/>
  <c r="X117" i="5"/>
  <c r="Z117" i="5"/>
  <c r="AG117" i="5"/>
  <c r="AJ117" i="5"/>
  <c r="AL117" i="5"/>
  <c r="AN117" i="5"/>
  <c r="AP117" i="5"/>
  <c r="AV117" i="5"/>
  <c r="AY117" i="5"/>
  <c r="BF117" i="5"/>
  <c r="BH117" i="5"/>
  <c r="BL117" i="5"/>
  <c r="BN117" i="5"/>
  <c r="BS117" i="5"/>
  <c r="BU117" i="5"/>
  <c r="BY117" i="5"/>
  <c r="CA117" i="5"/>
  <c r="C118" i="5"/>
  <c r="E118" i="5"/>
  <c r="G118" i="5"/>
  <c r="I118" i="5"/>
  <c r="K118" i="5"/>
  <c r="M118" i="5"/>
  <c r="V118" i="5"/>
  <c r="X118" i="5"/>
  <c r="Z118" i="5"/>
  <c r="AG118" i="5"/>
  <c r="AJ118" i="5"/>
  <c r="AL118" i="5"/>
  <c r="AN118" i="5"/>
  <c r="AP118" i="5"/>
  <c r="AV118" i="5"/>
  <c r="AY118" i="5"/>
  <c r="BF118" i="5"/>
  <c r="BH118" i="5"/>
  <c r="BL118" i="5"/>
  <c r="BN118" i="5"/>
  <c r="BS118" i="5"/>
  <c r="BU118" i="5"/>
  <c r="BY118" i="5"/>
  <c r="CA118" i="5"/>
  <c r="C119" i="5"/>
  <c r="E119" i="5"/>
  <c r="G119" i="5"/>
  <c r="I119" i="5"/>
  <c r="K119" i="5"/>
  <c r="M119" i="5"/>
  <c r="V119" i="5"/>
  <c r="X119" i="5"/>
  <c r="Z119" i="5"/>
  <c r="AG119" i="5"/>
  <c r="AJ119" i="5"/>
  <c r="AL119" i="5"/>
  <c r="AN119" i="5"/>
  <c r="AP119" i="5"/>
  <c r="AV119" i="5"/>
  <c r="AY119" i="5"/>
  <c r="BF119" i="5"/>
  <c r="BH119" i="5"/>
  <c r="BL119" i="5"/>
  <c r="BN119" i="5"/>
  <c r="BS119" i="5"/>
  <c r="BU119" i="5"/>
  <c r="BY119" i="5"/>
  <c r="CA119" i="5"/>
  <c r="C120" i="5"/>
  <c r="E120" i="5"/>
  <c r="G120" i="5"/>
  <c r="I120" i="5"/>
  <c r="K120" i="5"/>
  <c r="M120" i="5"/>
  <c r="V120" i="5"/>
  <c r="X120" i="5"/>
  <c r="Z120" i="5"/>
  <c r="AG120" i="5"/>
  <c r="AJ120" i="5"/>
  <c r="AL120" i="5"/>
  <c r="AN120" i="5"/>
  <c r="AP120" i="5"/>
  <c r="AV120" i="5"/>
  <c r="AY120" i="5"/>
  <c r="BF120" i="5"/>
  <c r="BH120" i="5"/>
  <c r="BL120" i="5"/>
  <c r="BN120" i="5"/>
  <c r="BS120" i="5"/>
  <c r="BU120" i="5"/>
  <c r="BY120" i="5"/>
  <c r="CA120" i="5"/>
  <c r="C121" i="5"/>
  <c r="E121" i="5"/>
  <c r="G121" i="5"/>
  <c r="I121" i="5"/>
  <c r="K121" i="5"/>
  <c r="M121" i="5"/>
  <c r="V121" i="5"/>
  <c r="X121" i="5"/>
  <c r="Z121" i="5"/>
  <c r="AG121" i="5"/>
  <c r="AJ121" i="5"/>
  <c r="AL121" i="5"/>
  <c r="AN121" i="5"/>
  <c r="AP121" i="5"/>
  <c r="AV121" i="5"/>
  <c r="AY121" i="5"/>
  <c r="BF121" i="5"/>
  <c r="BH121" i="5"/>
  <c r="BL121" i="5"/>
  <c r="BN121" i="5"/>
  <c r="BS121" i="5"/>
  <c r="BU121" i="5"/>
  <c r="BY121" i="5"/>
  <c r="CA121" i="5"/>
  <c r="C122" i="5"/>
  <c r="E122" i="5"/>
  <c r="G122" i="5"/>
  <c r="I122" i="5"/>
  <c r="K122" i="5"/>
  <c r="M122" i="5"/>
  <c r="V122" i="5"/>
  <c r="X122" i="5"/>
  <c r="Z122" i="5"/>
  <c r="AG122" i="5"/>
  <c r="AJ122" i="5"/>
  <c r="AL122" i="5"/>
  <c r="AN122" i="5"/>
  <c r="AP122" i="5"/>
  <c r="AV122" i="5"/>
  <c r="AY122" i="5"/>
  <c r="BF122" i="5"/>
  <c r="BH122" i="5"/>
  <c r="BL122" i="5"/>
  <c r="BN122" i="5"/>
  <c r="BS122" i="5"/>
  <c r="BU122" i="5"/>
  <c r="BY122" i="5"/>
  <c r="CA122" i="5"/>
  <c r="C123" i="5"/>
  <c r="E123" i="5"/>
  <c r="G123" i="5"/>
  <c r="I123" i="5"/>
  <c r="K123" i="5"/>
  <c r="M123" i="5"/>
  <c r="V123" i="5"/>
  <c r="X123" i="5"/>
  <c r="Z123" i="5"/>
  <c r="AG123" i="5"/>
  <c r="AJ123" i="5"/>
  <c r="AL123" i="5"/>
  <c r="AN123" i="5"/>
  <c r="AP123" i="5"/>
  <c r="AV123" i="5"/>
  <c r="AY123" i="5"/>
  <c r="BF123" i="5"/>
  <c r="BH123" i="5"/>
  <c r="BL123" i="5"/>
  <c r="BN123" i="5"/>
  <c r="BS123" i="5"/>
  <c r="BU123" i="5"/>
  <c r="BY123" i="5"/>
  <c r="CA123" i="5"/>
  <c r="C124" i="5"/>
  <c r="E124" i="5"/>
  <c r="G124" i="5"/>
  <c r="I124" i="5"/>
  <c r="K124" i="5"/>
  <c r="M124" i="5"/>
  <c r="V124" i="5"/>
  <c r="X124" i="5"/>
  <c r="Z124" i="5"/>
  <c r="AG124" i="5"/>
  <c r="AJ124" i="5"/>
  <c r="AL124" i="5"/>
  <c r="AN124" i="5"/>
  <c r="AP124" i="5"/>
  <c r="AV124" i="5"/>
  <c r="AY124" i="5"/>
  <c r="BF124" i="5"/>
  <c r="BH124" i="5"/>
  <c r="BL124" i="5"/>
  <c r="BN124" i="5"/>
  <c r="BS124" i="5"/>
  <c r="BU124" i="5"/>
  <c r="BY124" i="5"/>
  <c r="CA124" i="5"/>
  <c r="C125" i="5"/>
  <c r="E125" i="5"/>
  <c r="G125" i="5"/>
  <c r="I125" i="5"/>
  <c r="K125" i="5"/>
  <c r="M125" i="5"/>
  <c r="V125" i="5"/>
  <c r="X125" i="5"/>
  <c r="Z125" i="5"/>
  <c r="AG125" i="5"/>
  <c r="AJ125" i="5"/>
  <c r="AL125" i="5"/>
  <c r="AN125" i="5"/>
  <c r="AP125" i="5"/>
  <c r="AV125" i="5"/>
  <c r="AY125" i="5"/>
  <c r="BF125" i="5"/>
  <c r="BH125" i="5"/>
  <c r="BL125" i="5"/>
  <c r="BN125" i="5"/>
  <c r="BS125" i="5"/>
  <c r="BU125" i="5"/>
  <c r="BY125" i="5"/>
  <c r="CA125" i="5"/>
  <c r="C126" i="5"/>
  <c r="E126" i="5"/>
  <c r="G126" i="5"/>
  <c r="I126" i="5"/>
  <c r="V126" i="5"/>
  <c r="X126" i="5"/>
  <c r="Z126" i="5"/>
  <c r="AG126" i="5"/>
  <c r="AJ126" i="5"/>
  <c r="AL126" i="5"/>
  <c r="AN126" i="5"/>
  <c r="AP126" i="5"/>
  <c r="AV126" i="5"/>
  <c r="AY126" i="5"/>
  <c r="BF126" i="5"/>
  <c r="BH126" i="5"/>
  <c r="BL126" i="5"/>
  <c r="BN126" i="5"/>
  <c r="BS126" i="5"/>
  <c r="BU126" i="5"/>
  <c r="BY126" i="5"/>
  <c r="CA126" i="5"/>
  <c r="C127" i="5"/>
  <c r="E127" i="5"/>
  <c r="G127" i="5"/>
  <c r="I127" i="5"/>
  <c r="V127" i="5"/>
  <c r="X127" i="5"/>
  <c r="Z127" i="5"/>
  <c r="AG127" i="5"/>
  <c r="AJ127" i="5"/>
  <c r="AL127" i="5"/>
  <c r="AN127" i="5"/>
  <c r="AP127" i="5"/>
  <c r="AV127" i="5"/>
  <c r="AY127" i="5"/>
  <c r="BF127" i="5"/>
  <c r="BH127" i="5"/>
  <c r="BL127" i="5"/>
  <c r="BN127" i="5"/>
  <c r="BS127" i="5"/>
  <c r="BU127" i="5"/>
  <c r="BY127" i="5"/>
  <c r="CA127" i="5"/>
  <c r="C128" i="5"/>
  <c r="E128" i="5"/>
  <c r="G128" i="5"/>
  <c r="I128" i="5"/>
  <c r="V128" i="5"/>
  <c r="X128" i="5"/>
  <c r="Z128" i="5"/>
  <c r="AG128" i="5"/>
  <c r="AJ128" i="5"/>
  <c r="AL128" i="5"/>
  <c r="AN128" i="5"/>
  <c r="AP128" i="5"/>
  <c r="AV128" i="5"/>
  <c r="AY128" i="5"/>
  <c r="BF128" i="5"/>
  <c r="BH128" i="5"/>
  <c r="BL128" i="5"/>
  <c r="BN128" i="5"/>
  <c r="BS128" i="5"/>
  <c r="BU128" i="5"/>
  <c r="BY128" i="5"/>
  <c r="CA128" i="5"/>
  <c r="C129" i="5"/>
  <c r="E129" i="5"/>
  <c r="G129" i="5"/>
  <c r="I129" i="5"/>
  <c r="V129" i="5"/>
  <c r="X129" i="5"/>
  <c r="Z129" i="5"/>
  <c r="AG129" i="5"/>
  <c r="AJ129" i="5"/>
  <c r="AL129" i="5"/>
  <c r="AN129" i="5"/>
  <c r="AP129" i="5"/>
  <c r="AV129" i="5"/>
  <c r="AY129" i="5"/>
  <c r="BF129" i="5"/>
  <c r="BH129" i="5"/>
  <c r="BL129" i="5"/>
  <c r="BN129" i="5"/>
  <c r="BS129" i="5"/>
  <c r="BU129" i="5"/>
  <c r="BY129" i="5"/>
  <c r="CA129" i="5"/>
  <c r="C130" i="5"/>
  <c r="E130" i="5"/>
  <c r="G130" i="5"/>
  <c r="I130" i="5"/>
  <c r="V130" i="5"/>
  <c r="X130" i="5"/>
  <c r="Z130" i="5"/>
  <c r="AG130" i="5"/>
  <c r="AJ130" i="5"/>
  <c r="AL130" i="5"/>
  <c r="AN130" i="5"/>
  <c r="AP130" i="5"/>
  <c r="AV130" i="5"/>
  <c r="AY130" i="5"/>
  <c r="BF130" i="5"/>
  <c r="BH130" i="5"/>
  <c r="BL130" i="5"/>
  <c r="BN130" i="5"/>
  <c r="BS130" i="5"/>
  <c r="BU130" i="5"/>
  <c r="BY130" i="5"/>
  <c r="CA130" i="5"/>
  <c r="C131" i="5"/>
  <c r="E131" i="5"/>
  <c r="G131" i="5"/>
  <c r="I131" i="5"/>
  <c r="V131" i="5"/>
  <c r="X131" i="5"/>
  <c r="Z131" i="5"/>
  <c r="AG131" i="5"/>
  <c r="AJ131" i="5"/>
  <c r="AL131" i="5"/>
  <c r="AN131" i="5"/>
  <c r="AP131" i="5"/>
  <c r="AV131" i="5"/>
  <c r="AY131" i="5"/>
  <c r="BF131" i="5"/>
  <c r="BH131" i="5"/>
  <c r="BL131" i="5"/>
  <c r="BN131" i="5"/>
  <c r="BS131" i="5"/>
  <c r="BU131" i="5"/>
  <c r="BY131" i="5"/>
  <c r="CA131" i="5"/>
  <c r="C132" i="5"/>
  <c r="E132" i="5"/>
  <c r="G132" i="5"/>
  <c r="I132" i="5"/>
  <c r="V132" i="5"/>
  <c r="X132" i="5"/>
  <c r="Z132" i="5"/>
  <c r="AG132" i="5"/>
  <c r="AJ132" i="5"/>
  <c r="AL132" i="5"/>
  <c r="AN132" i="5"/>
  <c r="AP132" i="5"/>
  <c r="AV132" i="5"/>
  <c r="AY132" i="5"/>
  <c r="BF132" i="5"/>
  <c r="BH132" i="5"/>
  <c r="BL132" i="5"/>
  <c r="BN132" i="5"/>
  <c r="BS132" i="5"/>
  <c r="BU132" i="5"/>
  <c r="BY132" i="5"/>
  <c r="CA132" i="5"/>
  <c r="C133" i="5"/>
  <c r="E133" i="5"/>
  <c r="G133" i="5"/>
  <c r="I133" i="5"/>
  <c r="V133" i="5"/>
  <c r="X133" i="5"/>
  <c r="Z133" i="5"/>
  <c r="AG133" i="5"/>
  <c r="AJ133" i="5"/>
  <c r="AL133" i="5"/>
  <c r="AN133" i="5"/>
  <c r="AP133" i="5"/>
  <c r="AV133" i="5"/>
  <c r="AY133" i="5"/>
  <c r="BF133" i="5"/>
  <c r="BH133" i="5"/>
  <c r="BL133" i="5"/>
  <c r="BN133" i="5"/>
  <c r="BS133" i="5"/>
  <c r="BU133" i="5"/>
  <c r="BY133" i="5"/>
  <c r="CA133" i="5"/>
  <c r="C134" i="5"/>
  <c r="E134" i="5"/>
  <c r="G134" i="5"/>
  <c r="I134" i="5"/>
  <c r="V134" i="5"/>
  <c r="X134" i="5"/>
  <c r="Z134" i="5"/>
  <c r="AG134" i="5"/>
  <c r="AJ134" i="5"/>
  <c r="AL134" i="5"/>
  <c r="AN134" i="5"/>
  <c r="AP134" i="5"/>
  <c r="AV134" i="5"/>
  <c r="AY134" i="5"/>
  <c r="BF134" i="5"/>
  <c r="BH134" i="5"/>
  <c r="BL134" i="5"/>
  <c r="BN134" i="5"/>
  <c r="BS134" i="5"/>
  <c r="BU134" i="5"/>
  <c r="BY134" i="5"/>
  <c r="CA134" i="5"/>
  <c r="C135" i="5"/>
  <c r="E135" i="5"/>
  <c r="G135" i="5"/>
  <c r="I135" i="5"/>
  <c r="V135" i="5"/>
  <c r="X135" i="5"/>
  <c r="Z135" i="5"/>
  <c r="AG135" i="5"/>
  <c r="AJ135" i="5"/>
  <c r="AL135" i="5"/>
  <c r="AN135" i="5"/>
  <c r="AP135" i="5"/>
  <c r="AV135" i="5"/>
  <c r="AY135" i="5"/>
  <c r="BF135" i="5"/>
  <c r="BH135" i="5"/>
  <c r="BL135" i="5"/>
  <c r="BN135" i="5"/>
  <c r="BS135" i="5"/>
  <c r="BU135" i="5"/>
  <c r="BY135" i="5"/>
  <c r="CA135" i="5"/>
  <c r="C136" i="5"/>
  <c r="E136" i="5"/>
  <c r="G136" i="5"/>
  <c r="I136" i="5"/>
  <c r="V136" i="5"/>
  <c r="X136" i="5"/>
  <c r="Z136" i="5"/>
  <c r="AG136" i="5"/>
  <c r="AJ136" i="5"/>
  <c r="AL136" i="5"/>
  <c r="AN136" i="5"/>
  <c r="AP136" i="5"/>
  <c r="AV136" i="5"/>
  <c r="AY136" i="5"/>
  <c r="BF136" i="5"/>
  <c r="BH136" i="5"/>
  <c r="BL136" i="5"/>
  <c r="BN136" i="5"/>
  <c r="BS136" i="5"/>
  <c r="BU136" i="5"/>
  <c r="BY136" i="5"/>
  <c r="CA136" i="5"/>
  <c r="C137" i="5"/>
  <c r="E137" i="5"/>
  <c r="G137" i="5"/>
  <c r="I137" i="5"/>
  <c r="V137" i="5"/>
  <c r="X137" i="5"/>
  <c r="Z137" i="5"/>
  <c r="AG137" i="5"/>
  <c r="AJ137" i="5"/>
  <c r="AL137" i="5"/>
  <c r="AN137" i="5"/>
  <c r="AP137" i="5"/>
  <c r="AV137" i="5"/>
  <c r="AY137" i="5"/>
  <c r="BF137" i="5"/>
  <c r="BH137" i="5"/>
  <c r="BL137" i="5"/>
  <c r="BN137" i="5"/>
  <c r="BS137" i="5"/>
  <c r="BU137" i="5"/>
  <c r="BY137" i="5"/>
  <c r="CA137" i="5"/>
  <c r="C138" i="5"/>
  <c r="E138" i="5"/>
  <c r="G138" i="5"/>
  <c r="I138" i="5"/>
  <c r="V138" i="5"/>
  <c r="X138" i="5"/>
  <c r="Z138" i="5"/>
  <c r="AG138" i="5"/>
  <c r="AJ138" i="5"/>
  <c r="AL138" i="5"/>
  <c r="AN138" i="5"/>
  <c r="AP138" i="5"/>
  <c r="AV138" i="5"/>
  <c r="AY138" i="5"/>
  <c r="BF138" i="5"/>
  <c r="BH138" i="5"/>
  <c r="BL138" i="5"/>
  <c r="BN138" i="5"/>
  <c r="BS138" i="5"/>
  <c r="BU138" i="5"/>
  <c r="BY138" i="5"/>
  <c r="CA138" i="5"/>
  <c r="C139" i="5"/>
  <c r="E139" i="5"/>
  <c r="G139" i="5"/>
  <c r="I139" i="5"/>
  <c r="V139" i="5"/>
  <c r="X139" i="5"/>
  <c r="Z139" i="5"/>
  <c r="AG139" i="5"/>
  <c r="AJ139" i="5"/>
  <c r="AL139" i="5"/>
  <c r="AN139" i="5"/>
  <c r="AP139" i="5"/>
  <c r="AV139" i="5"/>
  <c r="AY139" i="5"/>
  <c r="BF139" i="5"/>
  <c r="BH139" i="5"/>
  <c r="BL139" i="5"/>
  <c r="BN139" i="5"/>
  <c r="BS139" i="5"/>
  <c r="BU139" i="5"/>
  <c r="BY139" i="5"/>
  <c r="CA139" i="5"/>
  <c r="J125" i="6"/>
  <c r="J121" i="6"/>
  <c r="J117" i="6"/>
  <c r="J113" i="6"/>
  <c r="J109" i="6"/>
  <c r="J105" i="6"/>
  <c r="J101" i="6"/>
  <c r="J97" i="6"/>
  <c r="J93" i="6"/>
  <c r="J89" i="6"/>
  <c r="J85" i="6"/>
  <c r="J81" i="6"/>
  <c r="J77" i="6"/>
  <c r="J73" i="6"/>
  <c r="J69" i="6"/>
  <c r="J65" i="6"/>
  <c r="J61" i="6"/>
  <c r="J57" i="6"/>
  <c r="J53" i="6"/>
  <c r="J49" i="6"/>
  <c r="J45" i="6"/>
  <c r="J41" i="6"/>
  <c r="J37" i="6"/>
  <c r="J33" i="6"/>
  <c r="J29" i="6"/>
  <c r="J25" i="6"/>
  <c r="J21" i="6"/>
  <c r="J17" i="6"/>
  <c r="J124" i="6"/>
  <c r="J120" i="6"/>
  <c r="J116" i="6"/>
  <c r="J112" i="6"/>
  <c r="J108" i="6"/>
  <c r="J104" i="6"/>
  <c r="J100" i="6"/>
  <c r="J96" i="6"/>
  <c r="J92" i="6"/>
  <c r="J88" i="6"/>
  <c r="J84" i="6"/>
  <c r="J80" i="6"/>
  <c r="J76" i="6"/>
  <c r="J72" i="6"/>
  <c r="J68" i="6"/>
  <c r="J64" i="6"/>
  <c r="J60" i="6"/>
  <c r="J56" i="6"/>
  <c r="J52" i="6"/>
  <c r="J48" i="6"/>
  <c r="J44" i="6"/>
  <c r="J40" i="6"/>
  <c r="J36" i="6"/>
  <c r="J32" i="6"/>
  <c r="J28" i="6"/>
  <c r="J24" i="6"/>
  <c r="J20" i="6"/>
  <c r="J16" i="6"/>
  <c r="J13" i="6"/>
  <c r="J123" i="6"/>
  <c r="J119" i="6"/>
  <c r="J115" i="6"/>
  <c r="J111" i="6"/>
  <c r="J107" i="6"/>
  <c r="J103" i="6"/>
  <c r="J99" i="6"/>
  <c r="J95" i="6"/>
  <c r="J91" i="6"/>
  <c r="J87" i="6"/>
  <c r="J83" i="6"/>
  <c r="J79" i="6"/>
  <c r="J75" i="6"/>
  <c r="J71" i="6"/>
  <c r="J67" i="6"/>
  <c r="J63" i="6"/>
  <c r="J59" i="6"/>
  <c r="J55" i="6"/>
  <c r="J51" i="6"/>
  <c r="J47" i="6"/>
  <c r="J43" i="6"/>
  <c r="J39" i="6"/>
  <c r="J35" i="6"/>
  <c r="J31" i="6"/>
  <c r="J27" i="6"/>
  <c r="J23" i="6"/>
  <c r="J19" i="6"/>
  <c r="J15" i="6"/>
  <c r="J122" i="6"/>
  <c r="J118" i="6"/>
  <c r="J114" i="6"/>
  <c r="J110" i="6"/>
  <c r="J106" i="6"/>
  <c r="J102" i="6"/>
  <c r="J98" i="6"/>
  <c r="J94" i="6"/>
  <c r="J90" i="6"/>
  <c r="J86" i="6"/>
  <c r="J82" i="6"/>
  <c r="J78" i="6"/>
  <c r="J74" i="6"/>
  <c r="J70" i="6"/>
  <c r="J66" i="6"/>
  <c r="J62" i="6"/>
  <c r="J58" i="6"/>
  <c r="J54" i="6"/>
  <c r="J50" i="6"/>
  <c r="J46" i="6"/>
  <c r="J42" i="6"/>
  <c r="J38" i="6"/>
  <c r="J34" i="6"/>
  <c r="J30" i="6"/>
  <c r="J26" i="6"/>
  <c r="J22" i="6"/>
  <c r="J18" i="6"/>
  <c r="J14" i="6"/>
  <c r="BR128" i="5"/>
  <c r="BR136" i="5"/>
  <c r="BR131" i="5"/>
  <c r="BR137" i="5"/>
  <c r="BR127" i="5"/>
  <c r="BR134" i="5"/>
  <c r="BR129" i="5"/>
  <c r="BR135" i="5"/>
  <c r="BR126" i="5"/>
  <c r="BR132" i="5"/>
  <c r="BR138" i="5"/>
  <c r="BR133" i="5"/>
  <c r="BR139" i="5"/>
  <c r="BR130" i="5"/>
  <c r="CS112" i="2" l="1"/>
  <c r="CI112" i="2"/>
  <c r="CG112" i="2"/>
  <c r="CE112" i="2"/>
  <c r="CC112" i="2"/>
  <c r="CS111" i="2"/>
  <c r="CI111" i="2"/>
  <c r="CG111" i="2"/>
  <c r="CE111" i="2"/>
  <c r="CC111" i="2"/>
  <c r="CS110" i="2"/>
  <c r="CI110" i="2"/>
  <c r="CG110" i="2"/>
  <c r="CE110" i="2"/>
  <c r="CC110" i="2"/>
  <c r="CS109" i="2"/>
  <c r="CI109" i="2"/>
  <c r="CG109" i="2"/>
  <c r="CE109" i="2"/>
  <c r="CC109" i="2"/>
  <c r="CS108" i="2"/>
  <c r="CI108" i="2"/>
  <c r="CG108" i="2"/>
  <c r="CE108" i="2"/>
  <c r="CC108" i="2"/>
  <c r="CS107" i="2"/>
  <c r="CI107" i="2"/>
  <c r="CG107" i="2"/>
  <c r="CE107" i="2"/>
  <c r="CC107" i="2"/>
  <c r="CS106" i="2"/>
  <c r="CI106" i="2"/>
  <c r="CG106" i="2"/>
  <c r="CE106" i="2"/>
  <c r="CC106" i="2"/>
  <c r="CS105" i="2"/>
  <c r="CI105" i="2"/>
  <c r="CG105" i="2"/>
  <c r="CE105" i="2"/>
  <c r="CC105" i="2"/>
  <c r="CS104" i="2"/>
  <c r="CI104" i="2"/>
  <c r="CG104" i="2"/>
  <c r="CE104" i="2"/>
  <c r="CC104" i="2"/>
  <c r="CS103" i="2"/>
  <c r="CI103" i="2"/>
  <c r="CG103" i="2"/>
  <c r="CE103" i="2"/>
  <c r="CC103" i="2"/>
  <c r="CS102" i="2"/>
  <c r="CI102" i="2"/>
  <c r="CG102" i="2"/>
  <c r="CE102" i="2"/>
  <c r="CC102" i="2"/>
  <c r="CS101" i="2"/>
  <c r="CI101" i="2"/>
  <c r="CG101" i="2"/>
  <c r="CE101" i="2"/>
  <c r="CC101" i="2"/>
  <c r="CS100" i="2"/>
  <c r="CI100" i="2"/>
  <c r="CG100" i="2"/>
  <c r="CE100" i="2"/>
  <c r="CC100" i="2"/>
  <c r="CS99" i="2"/>
  <c r="CI99" i="2"/>
  <c r="CG99" i="2"/>
  <c r="CE99" i="2"/>
  <c r="CC99" i="2"/>
  <c r="CS98" i="2"/>
  <c r="CI98" i="2"/>
  <c r="CG98" i="2"/>
  <c r="CE98" i="2"/>
  <c r="CC98" i="2"/>
  <c r="CS97" i="2"/>
  <c r="CI97" i="2"/>
  <c r="CG97" i="2"/>
  <c r="CE97" i="2"/>
  <c r="CC97" i="2"/>
  <c r="CS96" i="2"/>
  <c r="CI96" i="2"/>
  <c r="CG96" i="2"/>
  <c r="CE96" i="2"/>
  <c r="CC96" i="2"/>
  <c r="CS95" i="2"/>
  <c r="CI95" i="2"/>
  <c r="CG95" i="2"/>
  <c r="CE95" i="2"/>
  <c r="CC95" i="2"/>
  <c r="CS94" i="2"/>
  <c r="CI94" i="2"/>
  <c r="CG94" i="2"/>
  <c r="CE94" i="2"/>
  <c r="CC94" i="2"/>
  <c r="CS93" i="2"/>
  <c r="CI93" i="2"/>
  <c r="CG93" i="2"/>
  <c r="CE93" i="2"/>
  <c r="CC93" i="2"/>
  <c r="CS92" i="2"/>
  <c r="CI92" i="2"/>
  <c r="CG92" i="2"/>
  <c r="CE92" i="2"/>
  <c r="CC92" i="2"/>
  <c r="CS91" i="2"/>
  <c r="CI91" i="2"/>
  <c r="CG91" i="2"/>
  <c r="CE91" i="2"/>
  <c r="CC91" i="2"/>
  <c r="CS90" i="2"/>
  <c r="CI90" i="2"/>
  <c r="CG90" i="2"/>
  <c r="CE90" i="2"/>
  <c r="CC90" i="2"/>
  <c r="CS89" i="2"/>
  <c r="CI89" i="2"/>
  <c r="CG89" i="2"/>
  <c r="CE89" i="2"/>
  <c r="CC89" i="2"/>
  <c r="CS88" i="2"/>
  <c r="CI88" i="2"/>
  <c r="CG88" i="2"/>
  <c r="CE88" i="2"/>
  <c r="CC88" i="2"/>
  <c r="CS87" i="2"/>
  <c r="CI87" i="2"/>
  <c r="CG87" i="2"/>
  <c r="CE87" i="2"/>
  <c r="CC87" i="2"/>
  <c r="CS86" i="2"/>
  <c r="CI86" i="2"/>
  <c r="CG86" i="2"/>
  <c r="CE86" i="2"/>
  <c r="CC86" i="2"/>
  <c r="CS85" i="2"/>
  <c r="CI85" i="2"/>
  <c r="CG85" i="2"/>
  <c r="CE85" i="2"/>
  <c r="CC85" i="2"/>
  <c r="CS84" i="2"/>
  <c r="CI84" i="2"/>
  <c r="CG84" i="2"/>
  <c r="CE84" i="2"/>
  <c r="CC84" i="2"/>
  <c r="CS83" i="2"/>
  <c r="CI83" i="2"/>
  <c r="CG83" i="2"/>
  <c r="CE83" i="2"/>
  <c r="CC83" i="2"/>
  <c r="CS82" i="2"/>
  <c r="CI82" i="2"/>
  <c r="CG82" i="2"/>
  <c r="CE82" i="2"/>
  <c r="CC82" i="2"/>
  <c r="CS81" i="2"/>
  <c r="CI81" i="2"/>
  <c r="CG81" i="2"/>
  <c r="CE81" i="2"/>
  <c r="CC81" i="2"/>
  <c r="CS80" i="2"/>
  <c r="CI80" i="2"/>
  <c r="CG80" i="2"/>
  <c r="CE80" i="2"/>
  <c r="CC80" i="2"/>
  <c r="CS79" i="2"/>
  <c r="CI79" i="2"/>
  <c r="CG79" i="2"/>
  <c r="CE79" i="2"/>
  <c r="CC79" i="2"/>
  <c r="CS78" i="2"/>
  <c r="CI78" i="2"/>
  <c r="CG78" i="2"/>
  <c r="CE78" i="2"/>
  <c r="CC78" i="2"/>
  <c r="CS77" i="2"/>
  <c r="CI77" i="2"/>
  <c r="CG77" i="2"/>
  <c r="CE77" i="2"/>
  <c r="CC77" i="2"/>
  <c r="CS76" i="2"/>
  <c r="CI76" i="2"/>
  <c r="CG76" i="2"/>
  <c r="CE76" i="2"/>
  <c r="CC76" i="2"/>
  <c r="CS75" i="2"/>
  <c r="CI75" i="2"/>
  <c r="CG75" i="2"/>
  <c r="CE75" i="2"/>
  <c r="CC75" i="2"/>
  <c r="CS74" i="2"/>
  <c r="CI74" i="2"/>
  <c r="CG74" i="2"/>
  <c r="CE74" i="2"/>
  <c r="CC74" i="2"/>
  <c r="CS73" i="2"/>
  <c r="CI73" i="2"/>
  <c r="CG73" i="2"/>
  <c r="CE73" i="2"/>
  <c r="CC73" i="2"/>
  <c r="CS72" i="2"/>
  <c r="CI72" i="2"/>
  <c r="CG72" i="2"/>
  <c r="CE72" i="2"/>
  <c r="CC72" i="2"/>
  <c r="CS71" i="2"/>
  <c r="CI71" i="2"/>
  <c r="CG71" i="2"/>
  <c r="CE71" i="2"/>
  <c r="CC71" i="2"/>
  <c r="CS70" i="2"/>
  <c r="CI70" i="2"/>
  <c r="CG70" i="2"/>
  <c r="CE70" i="2"/>
  <c r="CC70" i="2"/>
  <c r="CS69" i="2"/>
  <c r="CI69" i="2"/>
  <c r="CG69" i="2"/>
  <c r="CE69" i="2"/>
  <c r="CC69" i="2"/>
  <c r="CS68" i="2"/>
  <c r="CI68" i="2"/>
  <c r="CG68" i="2"/>
  <c r="CE68" i="2"/>
  <c r="CC68" i="2"/>
  <c r="CS67" i="2"/>
  <c r="CI67" i="2"/>
  <c r="CG67" i="2"/>
  <c r="CE67" i="2"/>
  <c r="CC67" i="2"/>
  <c r="CS66" i="2"/>
  <c r="CI66" i="2"/>
  <c r="CG66" i="2"/>
  <c r="CE66" i="2"/>
  <c r="CC66" i="2"/>
  <c r="CS65" i="2"/>
  <c r="CI65" i="2"/>
  <c r="CG65" i="2"/>
  <c r="CE65" i="2"/>
  <c r="CC65" i="2"/>
  <c r="CS64" i="2"/>
  <c r="CI64" i="2"/>
  <c r="CG64" i="2"/>
  <c r="CE64" i="2"/>
  <c r="CC64" i="2"/>
  <c r="CS63" i="2"/>
  <c r="CI63" i="2"/>
  <c r="CG63" i="2"/>
  <c r="CE63" i="2"/>
  <c r="CC63" i="2"/>
  <c r="CS62" i="2"/>
  <c r="CI62" i="2"/>
  <c r="CG62" i="2"/>
  <c r="CE62" i="2"/>
  <c r="CC62" i="2"/>
  <c r="CS61" i="2"/>
  <c r="CI61" i="2"/>
  <c r="CG61" i="2"/>
  <c r="CE61" i="2"/>
  <c r="CC61" i="2"/>
  <c r="CS60" i="2"/>
  <c r="CI60" i="2"/>
  <c r="CG60" i="2"/>
  <c r="CE60" i="2"/>
  <c r="CC60" i="2"/>
  <c r="CS59" i="2"/>
  <c r="CI59" i="2"/>
  <c r="CG59" i="2"/>
  <c r="CE59" i="2"/>
  <c r="CC59" i="2"/>
  <c r="CS58" i="2"/>
  <c r="CI58" i="2"/>
  <c r="CG58" i="2"/>
  <c r="CE58" i="2"/>
  <c r="CC58" i="2"/>
  <c r="CS57" i="2"/>
  <c r="CI57" i="2"/>
  <c r="CG57" i="2"/>
  <c r="CE57" i="2"/>
  <c r="CC57" i="2"/>
  <c r="CS56" i="2"/>
  <c r="CI56" i="2"/>
  <c r="CG56" i="2"/>
  <c r="CE56" i="2"/>
  <c r="CC56" i="2"/>
  <c r="CS55" i="2"/>
  <c r="CI55" i="2"/>
  <c r="CG55" i="2"/>
  <c r="CE55" i="2"/>
  <c r="CC55" i="2"/>
  <c r="CS54" i="2"/>
  <c r="CI54" i="2"/>
  <c r="CG54" i="2"/>
  <c r="CE54" i="2"/>
  <c r="CC54" i="2"/>
  <c r="CS53" i="2"/>
  <c r="CI53" i="2"/>
  <c r="CG53" i="2"/>
  <c r="CE53" i="2"/>
  <c r="CC53" i="2"/>
  <c r="CS52" i="2"/>
  <c r="CI52" i="2"/>
  <c r="CG52" i="2"/>
  <c r="CE52" i="2"/>
  <c r="CC52" i="2"/>
  <c r="CS51" i="2"/>
  <c r="CI51" i="2"/>
  <c r="CG51" i="2"/>
  <c r="CE51" i="2"/>
  <c r="CC51" i="2"/>
  <c r="CS50" i="2"/>
  <c r="CI50" i="2"/>
  <c r="CG50" i="2"/>
  <c r="CE50" i="2"/>
  <c r="CC50" i="2"/>
  <c r="CS49" i="2"/>
  <c r="CI49" i="2"/>
  <c r="CG49" i="2"/>
  <c r="CE49" i="2"/>
  <c r="CC49" i="2"/>
  <c r="CS48" i="2"/>
  <c r="CI48" i="2"/>
  <c r="CG48" i="2"/>
  <c r="CE48" i="2"/>
  <c r="CC48" i="2"/>
  <c r="CS47" i="2"/>
  <c r="CI47" i="2"/>
  <c r="CG47" i="2"/>
  <c r="CE47" i="2"/>
  <c r="CC47" i="2"/>
  <c r="CS46" i="2"/>
  <c r="CI46" i="2"/>
  <c r="CG46" i="2"/>
  <c r="CE46" i="2"/>
  <c r="CC46" i="2"/>
  <c r="CS45" i="2"/>
  <c r="CI45" i="2"/>
  <c r="CG45" i="2"/>
  <c r="CE45" i="2"/>
  <c r="CC45" i="2"/>
  <c r="CS44" i="2"/>
  <c r="CI44" i="2"/>
  <c r="CG44" i="2"/>
  <c r="CE44" i="2"/>
  <c r="CC44" i="2"/>
  <c r="CS43" i="2"/>
  <c r="CI43" i="2"/>
  <c r="CG43" i="2"/>
  <c r="CE43" i="2"/>
  <c r="CC43" i="2"/>
  <c r="CS42" i="2"/>
  <c r="CI42" i="2"/>
  <c r="CG42" i="2"/>
  <c r="CE42" i="2"/>
  <c r="CC42" i="2"/>
  <c r="CS41" i="2"/>
  <c r="CI41" i="2"/>
  <c r="CG41" i="2"/>
  <c r="CE41" i="2"/>
  <c r="CC41" i="2"/>
  <c r="CS40" i="2"/>
  <c r="CI40" i="2"/>
  <c r="CG40" i="2"/>
  <c r="CE40" i="2"/>
  <c r="CC40" i="2"/>
  <c r="CS39" i="2"/>
  <c r="CI39" i="2"/>
  <c r="CG39" i="2"/>
  <c r="CE39" i="2"/>
  <c r="CC39" i="2"/>
  <c r="CS38" i="2"/>
  <c r="CI38" i="2"/>
  <c r="CG38" i="2"/>
  <c r="CE38" i="2"/>
  <c r="CC38" i="2"/>
  <c r="CS37" i="2"/>
  <c r="CI37" i="2"/>
  <c r="CG37" i="2"/>
  <c r="CE37" i="2"/>
  <c r="CC37" i="2"/>
  <c r="CS36" i="2"/>
  <c r="CI36" i="2"/>
  <c r="CG36" i="2"/>
  <c r="CE36" i="2"/>
  <c r="CC36" i="2"/>
  <c r="CS35" i="2"/>
  <c r="CI35" i="2"/>
  <c r="CG35" i="2"/>
  <c r="CE35" i="2"/>
  <c r="CC35" i="2"/>
  <c r="CS34" i="2"/>
  <c r="CI34" i="2"/>
  <c r="CG34" i="2"/>
  <c r="CE34" i="2"/>
  <c r="CC34" i="2"/>
  <c r="CS33" i="2"/>
  <c r="CI33" i="2"/>
  <c r="CG33" i="2"/>
  <c r="CE33" i="2"/>
  <c r="CC33" i="2"/>
  <c r="CS32" i="2"/>
  <c r="CI32" i="2"/>
  <c r="CG32" i="2"/>
  <c r="CE32" i="2"/>
  <c r="CC32" i="2"/>
  <c r="CS31" i="2"/>
  <c r="CI31" i="2"/>
  <c r="CG31" i="2"/>
  <c r="CE31" i="2"/>
  <c r="CC31" i="2"/>
  <c r="CS30" i="2"/>
  <c r="CI30" i="2"/>
  <c r="CG30" i="2"/>
  <c r="CE30" i="2"/>
  <c r="CC30" i="2"/>
  <c r="CS29" i="2"/>
  <c r="CI29" i="2"/>
  <c r="CG29" i="2"/>
  <c r="CE29" i="2"/>
  <c r="CC29" i="2"/>
  <c r="CS28" i="2"/>
  <c r="CI28" i="2"/>
  <c r="CG28" i="2"/>
  <c r="CE28" i="2"/>
  <c r="CC28" i="2"/>
  <c r="CS27" i="2"/>
  <c r="CI27" i="2"/>
  <c r="CG27" i="2"/>
  <c r="CE27" i="2"/>
  <c r="CC27" i="2"/>
  <c r="CS26" i="2"/>
  <c r="CI26" i="2"/>
  <c r="CG26" i="2"/>
  <c r="CE26" i="2"/>
  <c r="CC26" i="2"/>
  <c r="CS25" i="2"/>
  <c r="CI25" i="2"/>
  <c r="CG25" i="2"/>
  <c r="CE25" i="2"/>
  <c r="CC25" i="2"/>
  <c r="CS24" i="2"/>
  <c r="CI24" i="2"/>
  <c r="CG24" i="2"/>
  <c r="CE24" i="2"/>
  <c r="CC24" i="2"/>
  <c r="CS23" i="2"/>
  <c r="CI23" i="2"/>
  <c r="CG23" i="2"/>
  <c r="CE23" i="2"/>
  <c r="CC23" i="2"/>
  <c r="CS22" i="2"/>
  <c r="CI22" i="2"/>
  <c r="CG22" i="2"/>
  <c r="CE22" i="2"/>
  <c r="CC22" i="2"/>
  <c r="CS21" i="2"/>
  <c r="CI21" i="2"/>
  <c r="CG21" i="2"/>
  <c r="CE21" i="2"/>
  <c r="CC21" i="2"/>
  <c r="CS20" i="2"/>
  <c r="CI20" i="2"/>
  <c r="CG20" i="2"/>
  <c r="CE20" i="2"/>
  <c r="CC20" i="2"/>
  <c r="CS19" i="2"/>
  <c r="CI19" i="2"/>
  <c r="CG19" i="2"/>
  <c r="CE19" i="2"/>
  <c r="CC19" i="2"/>
  <c r="CS18" i="2"/>
  <c r="CI18" i="2"/>
  <c r="CG18" i="2"/>
  <c r="CE18" i="2"/>
  <c r="CC18" i="2"/>
  <c r="CS17" i="2"/>
  <c r="CI17" i="2"/>
  <c r="CG17" i="2"/>
  <c r="CE17" i="2"/>
  <c r="CC17" i="2"/>
  <c r="CS16" i="2"/>
  <c r="CI16" i="2"/>
  <c r="CG16" i="2"/>
  <c r="CE16" i="2"/>
  <c r="CC16" i="2"/>
  <c r="CS15" i="2"/>
  <c r="CI15" i="2"/>
  <c r="CG15" i="2"/>
  <c r="CE15" i="2"/>
  <c r="CC15" i="2"/>
  <c r="CS14" i="2"/>
  <c r="CI14" i="2"/>
  <c r="CG14" i="2"/>
  <c r="CE14" i="2"/>
  <c r="CC14" i="2"/>
  <c r="CS13" i="2"/>
  <c r="CI13" i="2"/>
  <c r="CG13" i="2"/>
  <c r="CE13" i="2"/>
  <c r="CC13" i="2"/>
  <c r="CA112" i="5"/>
  <c r="BY112" i="5"/>
  <c r="BU112" i="5"/>
  <c r="BS112" i="5"/>
  <c r="BN112" i="5"/>
  <c r="BL112" i="5"/>
  <c r="BH112" i="5"/>
  <c r="BF112" i="5"/>
  <c r="AY112" i="5"/>
  <c r="AV112" i="5"/>
  <c r="AP112" i="5"/>
  <c r="AN112" i="5"/>
  <c r="AL112" i="5"/>
  <c r="AJ112" i="5"/>
  <c r="AG112" i="5"/>
  <c r="Z112" i="5"/>
  <c r="X112" i="5"/>
  <c r="V112" i="5"/>
  <c r="M112" i="5"/>
  <c r="K112" i="5"/>
  <c r="I112" i="5"/>
  <c r="G112" i="5"/>
  <c r="E112" i="5"/>
  <c r="C112" i="5"/>
  <c r="CA111" i="5"/>
  <c r="BY111" i="5"/>
  <c r="BU111" i="5"/>
  <c r="BS111" i="5"/>
  <c r="BN111" i="5"/>
  <c r="BL111" i="5"/>
  <c r="BH111" i="5"/>
  <c r="BF111" i="5"/>
  <c r="AY111" i="5"/>
  <c r="AV111" i="5"/>
  <c r="AP111" i="5"/>
  <c r="AN111" i="5"/>
  <c r="AL111" i="5"/>
  <c r="AJ111" i="5"/>
  <c r="AG111" i="5"/>
  <c r="Z111" i="5"/>
  <c r="X111" i="5"/>
  <c r="V111" i="5"/>
  <c r="M111" i="5"/>
  <c r="K111" i="5"/>
  <c r="I111" i="5"/>
  <c r="G111" i="5"/>
  <c r="E111" i="5"/>
  <c r="C111" i="5"/>
  <c r="CA110" i="5"/>
  <c r="BY110" i="5"/>
  <c r="BU110" i="5"/>
  <c r="BS110" i="5"/>
  <c r="BN110" i="5"/>
  <c r="BL110" i="5"/>
  <c r="BH110" i="5"/>
  <c r="BF110" i="5"/>
  <c r="AY110" i="5"/>
  <c r="AV110" i="5"/>
  <c r="AP110" i="5"/>
  <c r="AN110" i="5"/>
  <c r="AL110" i="5"/>
  <c r="AJ110" i="5"/>
  <c r="AG110" i="5"/>
  <c r="Z110" i="5"/>
  <c r="X110" i="5"/>
  <c r="V110" i="5"/>
  <c r="M110" i="5"/>
  <c r="K110" i="5"/>
  <c r="I110" i="5"/>
  <c r="G110" i="5"/>
  <c r="E110" i="5"/>
  <c r="C110" i="5"/>
  <c r="CA109" i="5"/>
  <c r="BY109" i="5"/>
  <c r="BU109" i="5"/>
  <c r="BS109" i="5"/>
  <c r="BN109" i="5"/>
  <c r="BL109" i="5"/>
  <c r="BH109" i="5"/>
  <c r="BF109" i="5"/>
  <c r="AY109" i="5"/>
  <c r="AV109" i="5"/>
  <c r="AP109" i="5"/>
  <c r="AN109" i="5"/>
  <c r="AL109" i="5"/>
  <c r="AJ109" i="5"/>
  <c r="AG109" i="5"/>
  <c r="Z109" i="5"/>
  <c r="X109" i="5"/>
  <c r="V109" i="5"/>
  <c r="M109" i="5"/>
  <c r="K109" i="5"/>
  <c r="I109" i="5"/>
  <c r="G109" i="5"/>
  <c r="E109" i="5"/>
  <c r="C109" i="5"/>
  <c r="CA108" i="5"/>
  <c r="BY108" i="5"/>
  <c r="BU108" i="5"/>
  <c r="BS108" i="5"/>
  <c r="BN108" i="5"/>
  <c r="BL108" i="5"/>
  <c r="BH108" i="5"/>
  <c r="BF108" i="5"/>
  <c r="AY108" i="5"/>
  <c r="AV108" i="5"/>
  <c r="AP108" i="5"/>
  <c r="AN108" i="5"/>
  <c r="AL108" i="5"/>
  <c r="AJ108" i="5"/>
  <c r="AG108" i="5"/>
  <c r="Z108" i="5"/>
  <c r="X108" i="5"/>
  <c r="V108" i="5"/>
  <c r="M108" i="5"/>
  <c r="K108" i="5"/>
  <c r="I108" i="5"/>
  <c r="G108" i="5"/>
  <c r="E108" i="5"/>
  <c r="C108" i="5"/>
  <c r="CA107" i="5"/>
  <c r="BY107" i="5"/>
  <c r="BU107" i="5"/>
  <c r="BS107" i="5"/>
  <c r="BN107" i="5"/>
  <c r="BL107" i="5"/>
  <c r="BH107" i="5"/>
  <c r="BF107" i="5"/>
  <c r="AY107" i="5"/>
  <c r="AV107" i="5"/>
  <c r="AP107" i="5"/>
  <c r="AN107" i="5"/>
  <c r="AL107" i="5"/>
  <c r="AJ107" i="5"/>
  <c r="AG107" i="5"/>
  <c r="Z107" i="5"/>
  <c r="X107" i="5"/>
  <c r="V107" i="5"/>
  <c r="M107" i="5"/>
  <c r="K107" i="5"/>
  <c r="I107" i="5"/>
  <c r="G107" i="5"/>
  <c r="E107" i="5"/>
  <c r="C107" i="5"/>
  <c r="CA106" i="5"/>
  <c r="BY106" i="5"/>
  <c r="BU106" i="5"/>
  <c r="BS106" i="5"/>
  <c r="BN106" i="5"/>
  <c r="BL106" i="5"/>
  <c r="BH106" i="5"/>
  <c r="BF106" i="5"/>
  <c r="AY106" i="5"/>
  <c r="AV106" i="5"/>
  <c r="AP106" i="5"/>
  <c r="AN106" i="5"/>
  <c r="AL106" i="5"/>
  <c r="AJ106" i="5"/>
  <c r="AG106" i="5"/>
  <c r="Z106" i="5"/>
  <c r="X106" i="5"/>
  <c r="V106" i="5"/>
  <c r="M106" i="5"/>
  <c r="K106" i="5"/>
  <c r="I106" i="5"/>
  <c r="G106" i="5"/>
  <c r="E106" i="5"/>
  <c r="C106" i="5"/>
  <c r="CA105" i="5"/>
  <c r="BY105" i="5"/>
  <c r="BU105" i="5"/>
  <c r="BS105" i="5"/>
  <c r="BN105" i="5"/>
  <c r="BL105" i="5"/>
  <c r="BH105" i="5"/>
  <c r="BF105" i="5"/>
  <c r="AY105" i="5"/>
  <c r="AV105" i="5"/>
  <c r="AP105" i="5"/>
  <c r="AN105" i="5"/>
  <c r="AL105" i="5"/>
  <c r="AJ105" i="5"/>
  <c r="AG105" i="5"/>
  <c r="Z105" i="5"/>
  <c r="X105" i="5"/>
  <c r="V105" i="5"/>
  <c r="M105" i="5"/>
  <c r="K105" i="5"/>
  <c r="I105" i="5"/>
  <c r="G105" i="5"/>
  <c r="E105" i="5"/>
  <c r="C105" i="5"/>
  <c r="CA104" i="5"/>
  <c r="BY104" i="5"/>
  <c r="BU104" i="5"/>
  <c r="BS104" i="5"/>
  <c r="BN104" i="5"/>
  <c r="BL104" i="5"/>
  <c r="BH104" i="5"/>
  <c r="BF104" i="5"/>
  <c r="AY104" i="5"/>
  <c r="AV104" i="5"/>
  <c r="AP104" i="5"/>
  <c r="AN104" i="5"/>
  <c r="AL104" i="5"/>
  <c r="AJ104" i="5"/>
  <c r="AG104" i="5"/>
  <c r="Z104" i="5"/>
  <c r="X104" i="5"/>
  <c r="V104" i="5"/>
  <c r="M104" i="5"/>
  <c r="K104" i="5"/>
  <c r="I104" i="5"/>
  <c r="G104" i="5"/>
  <c r="E104" i="5"/>
  <c r="C104" i="5"/>
  <c r="CA103" i="5"/>
  <c r="BY103" i="5"/>
  <c r="BU103" i="5"/>
  <c r="BS103" i="5"/>
  <c r="BN103" i="5"/>
  <c r="BL103" i="5"/>
  <c r="BH103" i="5"/>
  <c r="BF103" i="5"/>
  <c r="AY103" i="5"/>
  <c r="AV103" i="5"/>
  <c r="AP103" i="5"/>
  <c r="AN103" i="5"/>
  <c r="AL103" i="5"/>
  <c r="AJ103" i="5"/>
  <c r="AG103" i="5"/>
  <c r="Z103" i="5"/>
  <c r="X103" i="5"/>
  <c r="V103" i="5"/>
  <c r="M103" i="5"/>
  <c r="K103" i="5"/>
  <c r="I103" i="5"/>
  <c r="G103" i="5"/>
  <c r="E103" i="5"/>
  <c r="C103" i="5"/>
  <c r="CA102" i="5"/>
  <c r="BY102" i="5"/>
  <c r="BU102" i="5"/>
  <c r="BS102" i="5"/>
  <c r="BN102" i="5"/>
  <c r="BL102" i="5"/>
  <c r="BH102" i="5"/>
  <c r="BF102" i="5"/>
  <c r="AY102" i="5"/>
  <c r="AV102" i="5"/>
  <c r="AP102" i="5"/>
  <c r="AN102" i="5"/>
  <c r="AL102" i="5"/>
  <c r="AJ102" i="5"/>
  <c r="AG102" i="5"/>
  <c r="Z102" i="5"/>
  <c r="X102" i="5"/>
  <c r="V102" i="5"/>
  <c r="M102" i="5"/>
  <c r="K102" i="5"/>
  <c r="I102" i="5"/>
  <c r="G102" i="5"/>
  <c r="E102" i="5"/>
  <c r="C102" i="5"/>
  <c r="CA101" i="5"/>
  <c r="BY101" i="5"/>
  <c r="BU101" i="5"/>
  <c r="BS101" i="5"/>
  <c r="BN101" i="5"/>
  <c r="BL101" i="5"/>
  <c r="BH101" i="5"/>
  <c r="BF101" i="5"/>
  <c r="AY101" i="5"/>
  <c r="AV101" i="5"/>
  <c r="AP101" i="5"/>
  <c r="AN101" i="5"/>
  <c r="AL101" i="5"/>
  <c r="AJ101" i="5"/>
  <c r="AG101" i="5"/>
  <c r="Z101" i="5"/>
  <c r="X101" i="5"/>
  <c r="V101" i="5"/>
  <c r="M101" i="5"/>
  <c r="K101" i="5"/>
  <c r="I101" i="5"/>
  <c r="G101" i="5"/>
  <c r="E101" i="5"/>
  <c r="C101" i="5"/>
  <c r="CA100" i="5"/>
  <c r="BY100" i="5"/>
  <c r="BU100" i="5"/>
  <c r="BS100" i="5"/>
  <c r="BN100" i="5"/>
  <c r="BL100" i="5"/>
  <c r="BH100" i="5"/>
  <c r="BF100" i="5"/>
  <c r="AY100" i="5"/>
  <c r="AV100" i="5"/>
  <c r="AP100" i="5"/>
  <c r="AN100" i="5"/>
  <c r="AL100" i="5"/>
  <c r="AJ100" i="5"/>
  <c r="AG100" i="5"/>
  <c r="Z100" i="5"/>
  <c r="X100" i="5"/>
  <c r="V100" i="5"/>
  <c r="M100" i="5"/>
  <c r="K100" i="5"/>
  <c r="I100" i="5"/>
  <c r="G100" i="5"/>
  <c r="E100" i="5"/>
  <c r="C100" i="5"/>
  <c r="CA99" i="5"/>
  <c r="BY99" i="5"/>
  <c r="BU99" i="5"/>
  <c r="BS99" i="5"/>
  <c r="BN99" i="5"/>
  <c r="BL99" i="5"/>
  <c r="BH99" i="5"/>
  <c r="BF99" i="5"/>
  <c r="AY99" i="5"/>
  <c r="AV99" i="5"/>
  <c r="AP99" i="5"/>
  <c r="AN99" i="5"/>
  <c r="AL99" i="5"/>
  <c r="AJ99" i="5"/>
  <c r="AG99" i="5"/>
  <c r="Z99" i="5"/>
  <c r="X99" i="5"/>
  <c r="V99" i="5"/>
  <c r="M99" i="5"/>
  <c r="K99" i="5"/>
  <c r="I99" i="5"/>
  <c r="G99" i="5"/>
  <c r="E99" i="5"/>
  <c r="C99" i="5"/>
  <c r="CA98" i="5"/>
  <c r="BY98" i="5"/>
  <c r="BU98" i="5"/>
  <c r="BS98" i="5"/>
  <c r="BN98" i="5"/>
  <c r="BL98" i="5"/>
  <c r="BH98" i="5"/>
  <c r="BF98" i="5"/>
  <c r="AY98" i="5"/>
  <c r="AV98" i="5"/>
  <c r="AP98" i="5"/>
  <c r="AN98" i="5"/>
  <c r="AL98" i="5"/>
  <c r="AJ98" i="5"/>
  <c r="AG98" i="5"/>
  <c r="Z98" i="5"/>
  <c r="X98" i="5"/>
  <c r="V98" i="5"/>
  <c r="M98" i="5"/>
  <c r="K98" i="5"/>
  <c r="I98" i="5"/>
  <c r="G98" i="5"/>
  <c r="E98" i="5"/>
  <c r="C98" i="5"/>
  <c r="CA97" i="5"/>
  <c r="BY97" i="5"/>
  <c r="BU97" i="5"/>
  <c r="BS97" i="5"/>
  <c r="BN97" i="5"/>
  <c r="BL97" i="5"/>
  <c r="BH97" i="5"/>
  <c r="BF97" i="5"/>
  <c r="AY97" i="5"/>
  <c r="AV97" i="5"/>
  <c r="AP97" i="5"/>
  <c r="AN97" i="5"/>
  <c r="AL97" i="5"/>
  <c r="AJ97" i="5"/>
  <c r="AG97" i="5"/>
  <c r="Z97" i="5"/>
  <c r="X97" i="5"/>
  <c r="V97" i="5"/>
  <c r="M97" i="5"/>
  <c r="K97" i="5"/>
  <c r="I97" i="5"/>
  <c r="G97" i="5"/>
  <c r="E97" i="5"/>
  <c r="C97" i="5"/>
  <c r="CA96" i="5"/>
  <c r="BY96" i="5"/>
  <c r="BU96" i="5"/>
  <c r="BS96" i="5"/>
  <c r="BN96" i="5"/>
  <c r="BL96" i="5"/>
  <c r="BH96" i="5"/>
  <c r="BF96" i="5"/>
  <c r="AY96" i="5"/>
  <c r="AV96" i="5"/>
  <c r="AP96" i="5"/>
  <c r="AN96" i="5"/>
  <c r="AL96" i="5"/>
  <c r="AJ96" i="5"/>
  <c r="AG96" i="5"/>
  <c r="Z96" i="5"/>
  <c r="X96" i="5"/>
  <c r="V96" i="5"/>
  <c r="M96" i="5"/>
  <c r="K96" i="5"/>
  <c r="I96" i="5"/>
  <c r="G96" i="5"/>
  <c r="E96" i="5"/>
  <c r="C96" i="5"/>
  <c r="CA95" i="5"/>
  <c r="BY95" i="5"/>
  <c r="BU95" i="5"/>
  <c r="BS95" i="5"/>
  <c r="BN95" i="5"/>
  <c r="BL95" i="5"/>
  <c r="BH95" i="5"/>
  <c r="BF95" i="5"/>
  <c r="AY95" i="5"/>
  <c r="AV95" i="5"/>
  <c r="AP95" i="5"/>
  <c r="AN95" i="5"/>
  <c r="AL95" i="5"/>
  <c r="AJ95" i="5"/>
  <c r="AG95" i="5"/>
  <c r="Z95" i="5"/>
  <c r="X95" i="5"/>
  <c r="V95" i="5"/>
  <c r="M95" i="5"/>
  <c r="K95" i="5"/>
  <c r="I95" i="5"/>
  <c r="G95" i="5"/>
  <c r="E95" i="5"/>
  <c r="C95" i="5"/>
  <c r="CA94" i="5"/>
  <c r="BY94" i="5"/>
  <c r="BU94" i="5"/>
  <c r="BS94" i="5"/>
  <c r="BN94" i="5"/>
  <c r="BL94" i="5"/>
  <c r="BH94" i="5"/>
  <c r="BF94" i="5"/>
  <c r="AY94" i="5"/>
  <c r="AV94" i="5"/>
  <c r="AP94" i="5"/>
  <c r="AN94" i="5"/>
  <c r="AL94" i="5"/>
  <c r="AJ94" i="5"/>
  <c r="AG94" i="5"/>
  <c r="Z94" i="5"/>
  <c r="X94" i="5"/>
  <c r="V94" i="5"/>
  <c r="M94" i="5"/>
  <c r="K94" i="5"/>
  <c r="I94" i="5"/>
  <c r="G94" i="5"/>
  <c r="E94" i="5"/>
  <c r="C94" i="5"/>
  <c r="CA93" i="5"/>
  <c r="BY93" i="5"/>
  <c r="BU93" i="5"/>
  <c r="BS93" i="5"/>
  <c r="BN93" i="5"/>
  <c r="BL93" i="5"/>
  <c r="BH93" i="5"/>
  <c r="BF93" i="5"/>
  <c r="AY93" i="5"/>
  <c r="AV93" i="5"/>
  <c r="AP93" i="5"/>
  <c r="AN93" i="5"/>
  <c r="AL93" i="5"/>
  <c r="AJ93" i="5"/>
  <c r="AG93" i="5"/>
  <c r="Z93" i="5"/>
  <c r="X93" i="5"/>
  <c r="V93" i="5"/>
  <c r="M93" i="5"/>
  <c r="K93" i="5"/>
  <c r="I93" i="5"/>
  <c r="G93" i="5"/>
  <c r="E93" i="5"/>
  <c r="C93" i="5"/>
  <c r="CA92" i="5"/>
  <c r="BY92" i="5"/>
  <c r="BU92" i="5"/>
  <c r="BS92" i="5"/>
  <c r="BN92" i="5"/>
  <c r="BL92" i="5"/>
  <c r="BH92" i="5"/>
  <c r="BF92" i="5"/>
  <c r="AY92" i="5"/>
  <c r="AV92" i="5"/>
  <c r="AP92" i="5"/>
  <c r="AN92" i="5"/>
  <c r="AL92" i="5"/>
  <c r="AJ92" i="5"/>
  <c r="AG92" i="5"/>
  <c r="Z92" i="5"/>
  <c r="X92" i="5"/>
  <c r="V92" i="5"/>
  <c r="M92" i="5"/>
  <c r="K92" i="5"/>
  <c r="I92" i="5"/>
  <c r="G92" i="5"/>
  <c r="E92" i="5"/>
  <c r="C92" i="5"/>
  <c r="CA91" i="5"/>
  <c r="BY91" i="5"/>
  <c r="BU91" i="5"/>
  <c r="BS91" i="5"/>
  <c r="BN91" i="5"/>
  <c r="BL91" i="5"/>
  <c r="BH91" i="5"/>
  <c r="BF91" i="5"/>
  <c r="AY91" i="5"/>
  <c r="AV91" i="5"/>
  <c r="AP91" i="5"/>
  <c r="AN91" i="5"/>
  <c r="AL91" i="5"/>
  <c r="AJ91" i="5"/>
  <c r="AG91" i="5"/>
  <c r="Z91" i="5"/>
  <c r="X91" i="5"/>
  <c r="V91" i="5"/>
  <c r="M91" i="5"/>
  <c r="K91" i="5"/>
  <c r="I91" i="5"/>
  <c r="G91" i="5"/>
  <c r="E91" i="5"/>
  <c r="C91" i="5"/>
  <c r="CA90" i="5"/>
  <c r="BY90" i="5"/>
  <c r="BU90" i="5"/>
  <c r="BS90" i="5"/>
  <c r="BN90" i="5"/>
  <c r="BL90" i="5"/>
  <c r="BH90" i="5"/>
  <c r="BF90" i="5"/>
  <c r="AY90" i="5"/>
  <c r="AV90" i="5"/>
  <c r="AP90" i="5"/>
  <c r="AN90" i="5"/>
  <c r="AL90" i="5"/>
  <c r="AJ90" i="5"/>
  <c r="AG90" i="5"/>
  <c r="Z90" i="5"/>
  <c r="X90" i="5"/>
  <c r="V90" i="5"/>
  <c r="M90" i="5"/>
  <c r="K90" i="5"/>
  <c r="I90" i="5"/>
  <c r="G90" i="5"/>
  <c r="E90" i="5"/>
  <c r="C90" i="5"/>
  <c r="CA89" i="5"/>
  <c r="BY89" i="5"/>
  <c r="BU89" i="5"/>
  <c r="BS89" i="5"/>
  <c r="BN89" i="5"/>
  <c r="BL89" i="5"/>
  <c r="BH89" i="5"/>
  <c r="BF89" i="5"/>
  <c r="AY89" i="5"/>
  <c r="AV89" i="5"/>
  <c r="AP89" i="5"/>
  <c r="AN89" i="5"/>
  <c r="AL89" i="5"/>
  <c r="AJ89" i="5"/>
  <c r="AG89" i="5"/>
  <c r="Z89" i="5"/>
  <c r="X89" i="5"/>
  <c r="V89" i="5"/>
  <c r="M89" i="5"/>
  <c r="K89" i="5"/>
  <c r="I89" i="5"/>
  <c r="G89" i="5"/>
  <c r="E89" i="5"/>
  <c r="C89" i="5"/>
  <c r="CA88" i="5"/>
  <c r="BY88" i="5"/>
  <c r="BU88" i="5"/>
  <c r="BS88" i="5"/>
  <c r="BN88" i="5"/>
  <c r="BL88" i="5"/>
  <c r="BH88" i="5"/>
  <c r="BF88" i="5"/>
  <c r="AY88" i="5"/>
  <c r="AV88" i="5"/>
  <c r="AP88" i="5"/>
  <c r="AN88" i="5"/>
  <c r="AL88" i="5"/>
  <c r="AJ88" i="5"/>
  <c r="AG88" i="5"/>
  <c r="Z88" i="5"/>
  <c r="X88" i="5"/>
  <c r="V88" i="5"/>
  <c r="M88" i="5"/>
  <c r="K88" i="5"/>
  <c r="I88" i="5"/>
  <c r="G88" i="5"/>
  <c r="E88" i="5"/>
  <c r="C88" i="5"/>
  <c r="CA87" i="5"/>
  <c r="BY87" i="5"/>
  <c r="BU87" i="5"/>
  <c r="BS87" i="5"/>
  <c r="BN87" i="5"/>
  <c r="BL87" i="5"/>
  <c r="BH87" i="5"/>
  <c r="BF87" i="5"/>
  <c r="AY87" i="5"/>
  <c r="AV87" i="5"/>
  <c r="AP87" i="5"/>
  <c r="AN87" i="5"/>
  <c r="AL87" i="5"/>
  <c r="AJ87" i="5"/>
  <c r="AG87" i="5"/>
  <c r="Z87" i="5"/>
  <c r="X87" i="5"/>
  <c r="V87" i="5"/>
  <c r="M87" i="5"/>
  <c r="K87" i="5"/>
  <c r="I87" i="5"/>
  <c r="G87" i="5"/>
  <c r="E87" i="5"/>
  <c r="C87" i="5"/>
  <c r="CA86" i="5"/>
  <c r="BY86" i="5"/>
  <c r="BU86" i="5"/>
  <c r="BS86" i="5"/>
  <c r="BN86" i="5"/>
  <c r="BL86" i="5"/>
  <c r="BH86" i="5"/>
  <c r="BF86" i="5"/>
  <c r="AY86" i="5"/>
  <c r="AV86" i="5"/>
  <c r="AP86" i="5"/>
  <c r="AN86" i="5"/>
  <c r="AL86" i="5"/>
  <c r="AJ86" i="5"/>
  <c r="AG86" i="5"/>
  <c r="Z86" i="5"/>
  <c r="X86" i="5"/>
  <c r="V86" i="5"/>
  <c r="M86" i="5"/>
  <c r="K86" i="5"/>
  <c r="I86" i="5"/>
  <c r="G86" i="5"/>
  <c r="E86" i="5"/>
  <c r="C86" i="5"/>
  <c r="CA85" i="5"/>
  <c r="BY85" i="5"/>
  <c r="BU85" i="5"/>
  <c r="BS85" i="5"/>
  <c r="BN85" i="5"/>
  <c r="BL85" i="5"/>
  <c r="BH85" i="5"/>
  <c r="BF85" i="5"/>
  <c r="AY85" i="5"/>
  <c r="AV85" i="5"/>
  <c r="AP85" i="5"/>
  <c r="AN85" i="5"/>
  <c r="AL85" i="5"/>
  <c r="AJ85" i="5"/>
  <c r="AG85" i="5"/>
  <c r="Z85" i="5"/>
  <c r="X85" i="5"/>
  <c r="V85" i="5"/>
  <c r="M85" i="5"/>
  <c r="K85" i="5"/>
  <c r="I85" i="5"/>
  <c r="G85" i="5"/>
  <c r="E85" i="5"/>
  <c r="C85" i="5"/>
  <c r="CA84" i="5"/>
  <c r="BY84" i="5"/>
  <c r="BU84" i="5"/>
  <c r="BS84" i="5"/>
  <c r="BN84" i="5"/>
  <c r="BL84" i="5"/>
  <c r="BH84" i="5"/>
  <c r="BF84" i="5"/>
  <c r="AY84" i="5"/>
  <c r="AV84" i="5"/>
  <c r="AP84" i="5"/>
  <c r="AN84" i="5"/>
  <c r="AL84" i="5"/>
  <c r="AJ84" i="5"/>
  <c r="AG84" i="5"/>
  <c r="Z84" i="5"/>
  <c r="X84" i="5"/>
  <c r="V84" i="5"/>
  <c r="M84" i="5"/>
  <c r="K84" i="5"/>
  <c r="I84" i="5"/>
  <c r="G84" i="5"/>
  <c r="E84" i="5"/>
  <c r="C84" i="5"/>
  <c r="CA83" i="5"/>
  <c r="BY83" i="5"/>
  <c r="BU83" i="5"/>
  <c r="BS83" i="5"/>
  <c r="BN83" i="5"/>
  <c r="BL83" i="5"/>
  <c r="BH83" i="5"/>
  <c r="BF83" i="5"/>
  <c r="AY83" i="5"/>
  <c r="AV83" i="5"/>
  <c r="AP83" i="5"/>
  <c r="AN83" i="5"/>
  <c r="AL83" i="5"/>
  <c r="AJ83" i="5"/>
  <c r="AG83" i="5"/>
  <c r="Z83" i="5"/>
  <c r="X83" i="5"/>
  <c r="V83" i="5"/>
  <c r="M83" i="5"/>
  <c r="K83" i="5"/>
  <c r="I83" i="5"/>
  <c r="G83" i="5"/>
  <c r="E83" i="5"/>
  <c r="C83" i="5"/>
  <c r="CA82" i="5"/>
  <c r="BY82" i="5"/>
  <c r="BU82" i="5"/>
  <c r="BS82" i="5"/>
  <c r="BN82" i="5"/>
  <c r="BL82" i="5"/>
  <c r="BH82" i="5"/>
  <c r="BF82" i="5"/>
  <c r="AY82" i="5"/>
  <c r="AV82" i="5"/>
  <c r="AP82" i="5"/>
  <c r="AN82" i="5"/>
  <c r="AL82" i="5"/>
  <c r="AJ82" i="5"/>
  <c r="AG82" i="5"/>
  <c r="Z82" i="5"/>
  <c r="X82" i="5"/>
  <c r="V82" i="5"/>
  <c r="M82" i="5"/>
  <c r="K82" i="5"/>
  <c r="I82" i="5"/>
  <c r="G82" i="5"/>
  <c r="E82" i="5"/>
  <c r="C82" i="5"/>
  <c r="CA81" i="5"/>
  <c r="BY81" i="5"/>
  <c r="BU81" i="5"/>
  <c r="BS81" i="5"/>
  <c r="BN81" i="5"/>
  <c r="BL81" i="5"/>
  <c r="BH81" i="5"/>
  <c r="BF81" i="5"/>
  <c r="AY81" i="5"/>
  <c r="AV81" i="5"/>
  <c r="AP81" i="5"/>
  <c r="AN81" i="5"/>
  <c r="AL81" i="5"/>
  <c r="AJ81" i="5"/>
  <c r="AG81" i="5"/>
  <c r="Z81" i="5"/>
  <c r="X81" i="5"/>
  <c r="V81" i="5"/>
  <c r="M81" i="5"/>
  <c r="K81" i="5"/>
  <c r="I81" i="5"/>
  <c r="G81" i="5"/>
  <c r="E81" i="5"/>
  <c r="C81" i="5"/>
  <c r="CA80" i="5"/>
  <c r="BY80" i="5"/>
  <c r="BU80" i="5"/>
  <c r="BS80" i="5"/>
  <c r="BN80" i="5"/>
  <c r="BL80" i="5"/>
  <c r="BH80" i="5"/>
  <c r="BF80" i="5"/>
  <c r="AY80" i="5"/>
  <c r="AV80" i="5"/>
  <c r="AP80" i="5"/>
  <c r="AN80" i="5"/>
  <c r="AL80" i="5"/>
  <c r="AJ80" i="5"/>
  <c r="AG80" i="5"/>
  <c r="Z80" i="5"/>
  <c r="X80" i="5"/>
  <c r="V80" i="5"/>
  <c r="M80" i="5"/>
  <c r="K80" i="5"/>
  <c r="I80" i="5"/>
  <c r="G80" i="5"/>
  <c r="E80" i="5"/>
  <c r="C80" i="5"/>
  <c r="CA79" i="5"/>
  <c r="BY79" i="5"/>
  <c r="BU79" i="5"/>
  <c r="BS79" i="5"/>
  <c r="BN79" i="5"/>
  <c r="BL79" i="5"/>
  <c r="BH79" i="5"/>
  <c r="BF79" i="5"/>
  <c r="AY79" i="5"/>
  <c r="AV79" i="5"/>
  <c r="AP79" i="5"/>
  <c r="AN79" i="5"/>
  <c r="AL79" i="5"/>
  <c r="AJ79" i="5"/>
  <c r="AG79" i="5"/>
  <c r="Z79" i="5"/>
  <c r="X79" i="5"/>
  <c r="V79" i="5"/>
  <c r="M79" i="5"/>
  <c r="K79" i="5"/>
  <c r="I79" i="5"/>
  <c r="G79" i="5"/>
  <c r="E79" i="5"/>
  <c r="C79" i="5"/>
  <c r="CA78" i="5"/>
  <c r="BY78" i="5"/>
  <c r="BU78" i="5"/>
  <c r="BS78" i="5"/>
  <c r="BN78" i="5"/>
  <c r="BL78" i="5"/>
  <c r="BH78" i="5"/>
  <c r="BF78" i="5"/>
  <c r="AY78" i="5"/>
  <c r="AV78" i="5"/>
  <c r="AP78" i="5"/>
  <c r="AN78" i="5"/>
  <c r="AL78" i="5"/>
  <c r="AJ78" i="5"/>
  <c r="AG78" i="5"/>
  <c r="Z78" i="5"/>
  <c r="X78" i="5"/>
  <c r="V78" i="5"/>
  <c r="M78" i="5"/>
  <c r="K78" i="5"/>
  <c r="I78" i="5"/>
  <c r="G78" i="5"/>
  <c r="E78" i="5"/>
  <c r="C78" i="5"/>
  <c r="CA77" i="5"/>
  <c r="BY77" i="5"/>
  <c r="BU77" i="5"/>
  <c r="BS77" i="5"/>
  <c r="BN77" i="5"/>
  <c r="BL77" i="5"/>
  <c r="BH77" i="5"/>
  <c r="BF77" i="5"/>
  <c r="AY77" i="5"/>
  <c r="AV77" i="5"/>
  <c r="AP77" i="5"/>
  <c r="AN77" i="5"/>
  <c r="AL77" i="5"/>
  <c r="AJ77" i="5"/>
  <c r="AG77" i="5"/>
  <c r="Z77" i="5"/>
  <c r="X77" i="5"/>
  <c r="V77" i="5"/>
  <c r="M77" i="5"/>
  <c r="K77" i="5"/>
  <c r="I77" i="5"/>
  <c r="G77" i="5"/>
  <c r="E77" i="5"/>
  <c r="C77" i="5"/>
  <c r="CA76" i="5"/>
  <c r="BY76" i="5"/>
  <c r="BU76" i="5"/>
  <c r="BS76" i="5"/>
  <c r="BN76" i="5"/>
  <c r="BL76" i="5"/>
  <c r="BH76" i="5"/>
  <c r="BF76" i="5"/>
  <c r="AY76" i="5"/>
  <c r="AV76" i="5"/>
  <c r="AP76" i="5"/>
  <c r="AN76" i="5"/>
  <c r="AL76" i="5"/>
  <c r="AJ76" i="5"/>
  <c r="AG76" i="5"/>
  <c r="Z76" i="5"/>
  <c r="X76" i="5"/>
  <c r="V76" i="5"/>
  <c r="M76" i="5"/>
  <c r="K76" i="5"/>
  <c r="I76" i="5"/>
  <c r="G76" i="5"/>
  <c r="E76" i="5"/>
  <c r="C76" i="5"/>
  <c r="CA75" i="5"/>
  <c r="BY75" i="5"/>
  <c r="BU75" i="5"/>
  <c r="BS75" i="5"/>
  <c r="BN75" i="5"/>
  <c r="BL75" i="5"/>
  <c r="BH75" i="5"/>
  <c r="BF75" i="5"/>
  <c r="AY75" i="5"/>
  <c r="AV75" i="5"/>
  <c r="AP75" i="5"/>
  <c r="AN75" i="5"/>
  <c r="AL75" i="5"/>
  <c r="AJ75" i="5"/>
  <c r="AG75" i="5"/>
  <c r="Z75" i="5"/>
  <c r="X75" i="5"/>
  <c r="V75" i="5"/>
  <c r="M75" i="5"/>
  <c r="K75" i="5"/>
  <c r="I75" i="5"/>
  <c r="G75" i="5"/>
  <c r="E75" i="5"/>
  <c r="C75" i="5"/>
  <c r="CA74" i="5"/>
  <c r="BY74" i="5"/>
  <c r="BU74" i="5"/>
  <c r="BS74" i="5"/>
  <c r="BN74" i="5"/>
  <c r="BL74" i="5"/>
  <c r="BH74" i="5"/>
  <c r="BF74" i="5"/>
  <c r="AY74" i="5"/>
  <c r="AV74" i="5"/>
  <c r="AP74" i="5"/>
  <c r="AN74" i="5"/>
  <c r="AL74" i="5"/>
  <c r="AJ74" i="5"/>
  <c r="AG74" i="5"/>
  <c r="Z74" i="5"/>
  <c r="X74" i="5"/>
  <c r="V74" i="5"/>
  <c r="M74" i="5"/>
  <c r="K74" i="5"/>
  <c r="I74" i="5"/>
  <c r="G74" i="5"/>
  <c r="E74" i="5"/>
  <c r="C74" i="5"/>
  <c r="CA73" i="5"/>
  <c r="BY73" i="5"/>
  <c r="BU73" i="5"/>
  <c r="BS73" i="5"/>
  <c r="BN73" i="5"/>
  <c r="BL73" i="5"/>
  <c r="BH73" i="5"/>
  <c r="BF73" i="5"/>
  <c r="AY73" i="5"/>
  <c r="AV73" i="5"/>
  <c r="AP73" i="5"/>
  <c r="AN73" i="5"/>
  <c r="AL73" i="5"/>
  <c r="AJ73" i="5"/>
  <c r="AG73" i="5"/>
  <c r="Z73" i="5"/>
  <c r="X73" i="5"/>
  <c r="V73" i="5"/>
  <c r="M73" i="5"/>
  <c r="K73" i="5"/>
  <c r="I73" i="5"/>
  <c r="G73" i="5"/>
  <c r="E73" i="5"/>
  <c r="C73" i="5"/>
  <c r="CA72" i="5"/>
  <c r="BY72" i="5"/>
  <c r="BU72" i="5"/>
  <c r="BS72" i="5"/>
  <c r="BN72" i="5"/>
  <c r="BL72" i="5"/>
  <c r="BH72" i="5"/>
  <c r="BF72" i="5"/>
  <c r="AY72" i="5"/>
  <c r="AV72" i="5"/>
  <c r="AP72" i="5"/>
  <c r="AN72" i="5"/>
  <c r="AL72" i="5"/>
  <c r="AJ72" i="5"/>
  <c r="AG72" i="5"/>
  <c r="Z72" i="5"/>
  <c r="X72" i="5"/>
  <c r="V72" i="5"/>
  <c r="M72" i="5"/>
  <c r="K72" i="5"/>
  <c r="I72" i="5"/>
  <c r="G72" i="5"/>
  <c r="E72" i="5"/>
  <c r="C72" i="5"/>
  <c r="CA71" i="5"/>
  <c r="BY71" i="5"/>
  <c r="BU71" i="5"/>
  <c r="BS71" i="5"/>
  <c r="BN71" i="5"/>
  <c r="BL71" i="5"/>
  <c r="BH71" i="5"/>
  <c r="BF71" i="5"/>
  <c r="AY71" i="5"/>
  <c r="AV71" i="5"/>
  <c r="AP71" i="5"/>
  <c r="AN71" i="5"/>
  <c r="AL71" i="5"/>
  <c r="AJ71" i="5"/>
  <c r="AG71" i="5"/>
  <c r="Z71" i="5"/>
  <c r="X71" i="5"/>
  <c r="V71" i="5"/>
  <c r="M71" i="5"/>
  <c r="K71" i="5"/>
  <c r="I71" i="5"/>
  <c r="G71" i="5"/>
  <c r="E71" i="5"/>
  <c r="C71" i="5"/>
  <c r="CA70" i="5"/>
  <c r="BY70" i="5"/>
  <c r="BU70" i="5"/>
  <c r="BS70" i="5"/>
  <c r="BN70" i="5"/>
  <c r="BL70" i="5"/>
  <c r="BH70" i="5"/>
  <c r="BF70" i="5"/>
  <c r="AY70" i="5"/>
  <c r="AV70" i="5"/>
  <c r="AP70" i="5"/>
  <c r="AN70" i="5"/>
  <c r="AL70" i="5"/>
  <c r="AJ70" i="5"/>
  <c r="AG70" i="5"/>
  <c r="Z70" i="5"/>
  <c r="X70" i="5"/>
  <c r="V70" i="5"/>
  <c r="M70" i="5"/>
  <c r="K70" i="5"/>
  <c r="I70" i="5"/>
  <c r="G70" i="5"/>
  <c r="E70" i="5"/>
  <c r="C70" i="5"/>
  <c r="CA69" i="5"/>
  <c r="BY69" i="5"/>
  <c r="BU69" i="5"/>
  <c r="BS69" i="5"/>
  <c r="BN69" i="5"/>
  <c r="BL69" i="5"/>
  <c r="BH69" i="5"/>
  <c r="BF69" i="5"/>
  <c r="AY69" i="5"/>
  <c r="AV69" i="5"/>
  <c r="AP69" i="5"/>
  <c r="AN69" i="5"/>
  <c r="AL69" i="5"/>
  <c r="AJ69" i="5"/>
  <c r="AG69" i="5"/>
  <c r="Z69" i="5"/>
  <c r="X69" i="5"/>
  <c r="V69" i="5"/>
  <c r="M69" i="5"/>
  <c r="K69" i="5"/>
  <c r="I69" i="5"/>
  <c r="G69" i="5"/>
  <c r="E69" i="5"/>
  <c r="C69" i="5"/>
  <c r="CA68" i="5"/>
  <c r="BY68" i="5"/>
  <c r="BU68" i="5"/>
  <c r="BS68" i="5"/>
  <c r="BN68" i="5"/>
  <c r="BL68" i="5"/>
  <c r="BH68" i="5"/>
  <c r="BF68" i="5"/>
  <c r="AY68" i="5"/>
  <c r="AV68" i="5"/>
  <c r="AP68" i="5"/>
  <c r="AN68" i="5"/>
  <c r="AL68" i="5"/>
  <c r="AJ68" i="5"/>
  <c r="AG68" i="5"/>
  <c r="Z68" i="5"/>
  <c r="X68" i="5"/>
  <c r="V68" i="5"/>
  <c r="M68" i="5"/>
  <c r="K68" i="5"/>
  <c r="I68" i="5"/>
  <c r="G68" i="5"/>
  <c r="E68" i="5"/>
  <c r="C68" i="5"/>
  <c r="CA67" i="5"/>
  <c r="BY67" i="5"/>
  <c r="BU67" i="5"/>
  <c r="BS67" i="5"/>
  <c r="BN67" i="5"/>
  <c r="BL67" i="5"/>
  <c r="BH67" i="5"/>
  <c r="BF67" i="5"/>
  <c r="AY67" i="5"/>
  <c r="AV67" i="5"/>
  <c r="AP67" i="5"/>
  <c r="AN67" i="5"/>
  <c r="AL67" i="5"/>
  <c r="AJ67" i="5"/>
  <c r="AG67" i="5"/>
  <c r="Z67" i="5"/>
  <c r="X67" i="5"/>
  <c r="V67" i="5"/>
  <c r="M67" i="5"/>
  <c r="K67" i="5"/>
  <c r="I67" i="5"/>
  <c r="G67" i="5"/>
  <c r="E67" i="5"/>
  <c r="C67" i="5"/>
  <c r="CA66" i="5"/>
  <c r="BY66" i="5"/>
  <c r="BU66" i="5"/>
  <c r="BS66" i="5"/>
  <c r="BN66" i="5"/>
  <c r="BL66" i="5"/>
  <c r="BH66" i="5"/>
  <c r="BF66" i="5"/>
  <c r="AY66" i="5"/>
  <c r="AV66" i="5"/>
  <c r="AP66" i="5"/>
  <c r="AN66" i="5"/>
  <c r="AL66" i="5"/>
  <c r="AJ66" i="5"/>
  <c r="AG66" i="5"/>
  <c r="Z66" i="5"/>
  <c r="X66" i="5"/>
  <c r="V66" i="5"/>
  <c r="M66" i="5"/>
  <c r="K66" i="5"/>
  <c r="I66" i="5"/>
  <c r="G66" i="5"/>
  <c r="E66" i="5"/>
  <c r="C66" i="5"/>
  <c r="CA65" i="5"/>
  <c r="BY65" i="5"/>
  <c r="BU65" i="5"/>
  <c r="BS65" i="5"/>
  <c r="BN65" i="5"/>
  <c r="BL65" i="5"/>
  <c r="BH65" i="5"/>
  <c r="BF65" i="5"/>
  <c r="AY65" i="5"/>
  <c r="AV65" i="5"/>
  <c r="AP65" i="5"/>
  <c r="AN65" i="5"/>
  <c r="AL65" i="5"/>
  <c r="AJ65" i="5"/>
  <c r="AG65" i="5"/>
  <c r="Z65" i="5"/>
  <c r="X65" i="5"/>
  <c r="V65" i="5"/>
  <c r="M65" i="5"/>
  <c r="K65" i="5"/>
  <c r="I65" i="5"/>
  <c r="G65" i="5"/>
  <c r="E65" i="5"/>
  <c r="C65" i="5"/>
  <c r="CA64" i="5"/>
  <c r="BY64" i="5"/>
  <c r="BU64" i="5"/>
  <c r="BS64" i="5"/>
  <c r="BN64" i="5"/>
  <c r="BL64" i="5"/>
  <c r="BH64" i="5"/>
  <c r="BF64" i="5"/>
  <c r="AY64" i="5"/>
  <c r="AV64" i="5"/>
  <c r="AP64" i="5"/>
  <c r="AN64" i="5"/>
  <c r="AL64" i="5"/>
  <c r="AJ64" i="5"/>
  <c r="AG64" i="5"/>
  <c r="Z64" i="5"/>
  <c r="X64" i="5"/>
  <c r="V64" i="5"/>
  <c r="M64" i="5"/>
  <c r="K64" i="5"/>
  <c r="I64" i="5"/>
  <c r="G64" i="5"/>
  <c r="E64" i="5"/>
  <c r="C64" i="5"/>
  <c r="CA63" i="5"/>
  <c r="BY63" i="5"/>
  <c r="BU63" i="5"/>
  <c r="BS63" i="5"/>
  <c r="BN63" i="5"/>
  <c r="BL63" i="5"/>
  <c r="BH63" i="5"/>
  <c r="BF63" i="5"/>
  <c r="AY63" i="5"/>
  <c r="AV63" i="5"/>
  <c r="AP63" i="5"/>
  <c r="AN63" i="5"/>
  <c r="AL63" i="5"/>
  <c r="AJ63" i="5"/>
  <c r="AG63" i="5"/>
  <c r="Z63" i="5"/>
  <c r="X63" i="5"/>
  <c r="V63" i="5"/>
  <c r="M63" i="5"/>
  <c r="K63" i="5"/>
  <c r="I63" i="5"/>
  <c r="G63" i="5"/>
  <c r="E63" i="5"/>
  <c r="C63" i="5"/>
  <c r="CA62" i="5"/>
  <c r="BY62" i="5"/>
  <c r="BU62" i="5"/>
  <c r="BS62" i="5"/>
  <c r="BN62" i="5"/>
  <c r="BL62" i="5"/>
  <c r="BH62" i="5"/>
  <c r="BF62" i="5"/>
  <c r="AY62" i="5"/>
  <c r="AV62" i="5"/>
  <c r="AP62" i="5"/>
  <c r="AN62" i="5"/>
  <c r="AL62" i="5"/>
  <c r="AJ62" i="5"/>
  <c r="AG62" i="5"/>
  <c r="Z62" i="5"/>
  <c r="X62" i="5"/>
  <c r="V62" i="5"/>
  <c r="M62" i="5"/>
  <c r="K62" i="5"/>
  <c r="I62" i="5"/>
  <c r="G62" i="5"/>
  <c r="E62" i="5"/>
  <c r="C62" i="5"/>
  <c r="CA61" i="5"/>
  <c r="BY61" i="5"/>
  <c r="BU61" i="5"/>
  <c r="BS61" i="5"/>
  <c r="BN61" i="5"/>
  <c r="BL61" i="5"/>
  <c r="BH61" i="5"/>
  <c r="BF61" i="5"/>
  <c r="AY61" i="5"/>
  <c r="AV61" i="5"/>
  <c r="AP61" i="5"/>
  <c r="AN61" i="5"/>
  <c r="AL61" i="5"/>
  <c r="AJ61" i="5"/>
  <c r="AG61" i="5"/>
  <c r="Z61" i="5"/>
  <c r="X61" i="5"/>
  <c r="V61" i="5"/>
  <c r="M61" i="5"/>
  <c r="K61" i="5"/>
  <c r="I61" i="5"/>
  <c r="G61" i="5"/>
  <c r="E61" i="5"/>
  <c r="C61" i="5"/>
  <c r="CA60" i="5"/>
  <c r="BY60" i="5"/>
  <c r="BU60" i="5"/>
  <c r="BS60" i="5"/>
  <c r="BN60" i="5"/>
  <c r="BL60" i="5"/>
  <c r="BH60" i="5"/>
  <c r="BF60" i="5"/>
  <c r="AY60" i="5"/>
  <c r="AV60" i="5"/>
  <c r="AP60" i="5"/>
  <c r="AN60" i="5"/>
  <c r="AL60" i="5"/>
  <c r="AJ60" i="5"/>
  <c r="AG60" i="5"/>
  <c r="Z60" i="5"/>
  <c r="X60" i="5"/>
  <c r="V60" i="5"/>
  <c r="M60" i="5"/>
  <c r="K60" i="5"/>
  <c r="I60" i="5"/>
  <c r="G60" i="5"/>
  <c r="E60" i="5"/>
  <c r="C60" i="5"/>
  <c r="CA59" i="5"/>
  <c r="BY59" i="5"/>
  <c r="BU59" i="5"/>
  <c r="BS59" i="5"/>
  <c r="BN59" i="5"/>
  <c r="BL59" i="5"/>
  <c r="BH59" i="5"/>
  <c r="BF59" i="5"/>
  <c r="AY59" i="5"/>
  <c r="AV59" i="5"/>
  <c r="AP59" i="5"/>
  <c r="AN59" i="5"/>
  <c r="AL59" i="5"/>
  <c r="AJ59" i="5"/>
  <c r="AG59" i="5"/>
  <c r="Z59" i="5"/>
  <c r="X59" i="5"/>
  <c r="V59" i="5"/>
  <c r="M59" i="5"/>
  <c r="K59" i="5"/>
  <c r="I59" i="5"/>
  <c r="G59" i="5"/>
  <c r="E59" i="5"/>
  <c r="C59" i="5"/>
  <c r="CA58" i="5"/>
  <c r="BY58" i="5"/>
  <c r="BU58" i="5"/>
  <c r="BS58" i="5"/>
  <c r="BN58" i="5"/>
  <c r="BL58" i="5"/>
  <c r="BH58" i="5"/>
  <c r="BF58" i="5"/>
  <c r="AY58" i="5"/>
  <c r="AV58" i="5"/>
  <c r="AP58" i="5"/>
  <c r="AN58" i="5"/>
  <c r="AL58" i="5"/>
  <c r="AJ58" i="5"/>
  <c r="AG58" i="5"/>
  <c r="Z58" i="5"/>
  <c r="X58" i="5"/>
  <c r="V58" i="5"/>
  <c r="M58" i="5"/>
  <c r="K58" i="5"/>
  <c r="I58" i="5"/>
  <c r="G58" i="5"/>
  <c r="E58" i="5"/>
  <c r="C58" i="5"/>
  <c r="CA57" i="5"/>
  <c r="BY57" i="5"/>
  <c r="BU57" i="5"/>
  <c r="BS57" i="5"/>
  <c r="BN57" i="5"/>
  <c r="BL57" i="5"/>
  <c r="BH57" i="5"/>
  <c r="BF57" i="5"/>
  <c r="AY57" i="5"/>
  <c r="AV57" i="5"/>
  <c r="AP57" i="5"/>
  <c r="AN57" i="5"/>
  <c r="AL57" i="5"/>
  <c r="AJ57" i="5"/>
  <c r="AG57" i="5"/>
  <c r="Z57" i="5"/>
  <c r="X57" i="5"/>
  <c r="V57" i="5"/>
  <c r="M57" i="5"/>
  <c r="K57" i="5"/>
  <c r="I57" i="5"/>
  <c r="G57" i="5"/>
  <c r="E57" i="5"/>
  <c r="C57" i="5"/>
  <c r="CA56" i="5"/>
  <c r="BY56" i="5"/>
  <c r="BU56" i="5"/>
  <c r="BS56" i="5"/>
  <c r="BN56" i="5"/>
  <c r="BL56" i="5"/>
  <c r="BH56" i="5"/>
  <c r="BF56" i="5"/>
  <c r="AY56" i="5"/>
  <c r="AV56" i="5"/>
  <c r="AP56" i="5"/>
  <c r="AN56" i="5"/>
  <c r="AL56" i="5"/>
  <c r="AJ56" i="5"/>
  <c r="AG56" i="5"/>
  <c r="Z56" i="5"/>
  <c r="X56" i="5"/>
  <c r="V56" i="5"/>
  <c r="M56" i="5"/>
  <c r="K56" i="5"/>
  <c r="I56" i="5"/>
  <c r="G56" i="5"/>
  <c r="E56" i="5"/>
  <c r="C56" i="5"/>
  <c r="CA55" i="5"/>
  <c r="BY55" i="5"/>
  <c r="BU55" i="5"/>
  <c r="BS55" i="5"/>
  <c r="BN55" i="5"/>
  <c r="BL55" i="5"/>
  <c r="BH55" i="5"/>
  <c r="BF55" i="5"/>
  <c r="AY55" i="5"/>
  <c r="AV55" i="5"/>
  <c r="AP55" i="5"/>
  <c r="AN55" i="5"/>
  <c r="AL55" i="5"/>
  <c r="AJ55" i="5"/>
  <c r="AG55" i="5"/>
  <c r="Z55" i="5"/>
  <c r="X55" i="5"/>
  <c r="V55" i="5"/>
  <c r="M55" i="5"/>
  <c r="K55" i="5"/>
  <c r="I55" i="5"/>
  <c r="G55" i="5"/>
  <c r="E55" i="5"/>
  <c r="C55" i="5"/>
  <c r="CA54" i="5"/>
  <c r="BY54" i="5"/>
  <c r="BU54" i="5"/>
  <c r="BS54" i="5"/>
  <c r="BN54" i="5"/>
  <c r="BL54" i="5"/>
  <c r="BH54" i="5"/>
  <c r="BF54" i="5"/>
  <c r="AY54" i="5"/>
  <c r="AV54" i="5"/>
  <c r="AP54" i="5"/>
  <c r="AN54" i="5"/>
  <c r="AL54" i="5"/>
  <c r="AJ54" i="5"/>
  <c r="AG54" i="5"/>
  <c r="Z54" i="5"/>
  <c r="X54" i="5"/>
  <c r="V54" i="5"/>
  <c r="M54" i="5"/>
  <c r="K54" i="5"/>
  <c r="I54" i="5"/>
  <c r="G54" i="5"/>
  <c r="E54" i="5"/>
  <c r="C54" i="5"/>
  <c r="CA53" i="5"/>
  <c r="BY53" i="5"/>
  <c r="BU53" i="5"/>
  <c r="BS53" i="5"/>
  <c r="BN53" i="5"/>
  <c r="BL53" i="5"/>
  <c r="BH53" i="5"/>
  <c r="BF53" i="5"/>
  <c r="AY53" i="5"/>
  <c r="AV53" i="5"/>
  <c r="AP53" i="5"/>
  <c r="AN53" i="5"/>
  <c r="AL53" i="5"/>
  <c r="AJ53" i="5"/>
  <c r="AG53" i="5"/>
  <c r="Z53" i="5"/>
  <c r="X53" i="5"/>
  <c r="V53" i="5"/>
  <c r="M53" i="5"/>
  <c r="K53" i="5"/>
  <c r="I53" i="5"/>
  <c r="G53" i="5"/>
  <c r="E53" i="5"/>
  <c r="C53" i="5"/>
  <c r="CA52" i="5"/>
  <c r="BY52" i="5"/>
  <c r="BU52" i="5"/>
  <c r="BS52" i="5"/>
  <c r="BN52" i="5"/>
  <c r="BL52" i="5"/>
  <c r="BH52" i="5"/>
  <c r="BF52" i="5"/>
  <c r="AY52" i="5"/>
  <c r="AV52" i="5"/>
  <c r="AP52" i="5"/>
  <c r="AN52" i="5"/>
  <c r="AL52" i="5"/>
  <c r="AJ52" i="5"/>
  <c r="AG52" i="5"/>
  <c r="Z52" i="5"/>
  <c r="X52" i="5"/>
  <c r="V52" i="5"/>
  <c r="M52" i="5"/>
  <c r="K52" i="5"/>
  <c r="I52" i="5"/>
  <c r="G52" i="5"/>
  <c r="E52" i="5"/>
  <c r="C52" i="5"/>
  <c r="CA51" i="5"/>
  <c r="BY51" i="5"/>
  <c r="BU51" i="5"/>
  <c r="BS51" i="5"/>
  <c r="BN51" i="5"/>
  <c r="BL51" i="5"/>
  <c r="BH51" i="5"/>
  <c r="BF51" i="5"/>
  <c r="AY51" i="5"/>
  <c r="AV51" i="5"/>
  <c r="AP51" i="5"/>
  <c r="AN51" i="5"/>
  <c r="AL51" i="5"/>
  <c r="AJ51" i="5"/>
  <c r="AG51" i="5"/>
  <c r="Z51" i="5"/>
  <c r="X51" i="5"/>
  <c r="V51" i="5"/>
  <c r="M51" i="5"/>
  <c r="K51" i="5"/>
  <c r="I51" i="5"/>
  <c r="G51" i="5"/>
  <c r="E51" i="5"/>
  <c r="C51" i="5"/>
  <c r="CA50" i="5"/>
  <c r="BY50" i="5"/>
  <c r="BU50" i="5"/>
  <c r="BS50" i="5"/>
  <c r="BN50" i="5"/>
  <c r="BL50" i="5"/>
  <c r="BH50" i="5"/>
  <c r="BF50" i="5"/>
  <c r="AY50" i="5"/>
  <c r="AV50" i="5"/>
  <c r="AP50" i="5"/>
  <c r="AN50" i="5"/>
  <c r="AL50" i="5"/>
  <c r="AJ50" i="5"/>
  <c r="AG50" i="5"/>
  <c r="Z50" i="5"/>
  <c r="X50" i="5"/>
  <c r="V50" i="5"/>
  <c r="M50" i="5"/>
  <c r="K50" i="5"/>
  <c r="I50" i="5"/>
  <c r="G50" i="5"/>
  <c r="E50" i="5"/>
  <c r="C50" i="5"/>
  <c r="CA49" i="5"/>
  <c r="BY49" i="5"/>
  <c r="BU49" i="5"/>
  <c r="BS49" i="5"/>
  <c r="BN49" i="5"/>
  <c r="BL49" i="5"/>
  <c r="BH49" i="5"/>
  <c r="BF49" i="5"/>
  <c r="AY49" i="5"/>
  <c r="AV49" i="5"/>
  <c r="AP49" i="5"/>
  <c r="AN49" i="5"/>
  <c r="AL49" i="5"/>
  <c r="AJ49" i="5"/>
  <c r="AG49" i="5"/>
  <c r="Z49" i="5"/>
  <c r="X49" i="5"/>
  <c r="V49" i="5"/>
  <c r="M49" i="5"/>
  <c r="K49" i="5"/>
  <c r="I49" i="5"/>
  <c r="G49" i="5"/>
  <c r="E49" i="5"/>
  <c r="C49" i="5"/>
  <c r="CA48" i="5"/>
  <c r="BY48" i="5"/>
  <c r="BU48" i="5"/>
  <c r="BS48" i="5"/>
  <c r="BN48" i="5"/>
  <c r="BL48" i="5"/>
  <c r="BH48" i="5"/>
  <c r="BF48" i="5"/>
  <c r="AY48" i="5"/>
  <c r="AV48" i="5"/>
  <c r="AP48" i="5"/>
  <c r="AN48" i="5"/>
  <c r="AL48" i="5"/>
  <c r="AJ48" i="5"/>
  <c r="AG48" i="5"/>
  <c r="Z48" i="5"/>
  <c r="X48" i="5"/>
  <c r="V48" i="5"/>
  <c r="M48" i="5"/>
  <c r="K48" i="5"/>
  <c r="I48" i="5"/>
  <c r="G48" i="5"/>
  <c r="E48" i="5"/>
  <c r="C48" i="5"/>
  <c r="CA47" i="5"/>
  <c r="BY47" i="5"/>
  <c r="BU47" i="5"/>
  <c r="BS47" i="5"/>
  <c r="BN47" i="5"/>
  <c r="BL47" i="5"/>
  <c r="BH47" i="5"/>
  <c r="BF47" i="5"/>
  <c r="AY47" i="5"/>
  <c r="AV47" i="5"/>
  <c r="AP47" i="5"/>
  <c r="AN47" i="5"/>
  <c r="AL47" i="5"/>
  <c r="AJ47" i="5"/>
  <c r="AG47" i="5"/>
  <c r="Z47" i="5"/>
  <c r="X47" i="5"/>
  <c r="V47" i="5"/>
  <c r="M47" i="5"/>
  <c r="K47" i="5"/>
  <c r="I47" i="5"/>
  <c r="G47" i="5"/>
  <c r="E47" i="5"/>
  <c r="C47" i="5"/>
  <c r="CA46" i="5"/>
  <c r="BY46" i="5"/>
  <c r="BU46" i="5"/>
  <c r="BS46" i="5"/>
  <c r="BN46" i="5"/>
  <c r="BL46" i="5"/>
  <c r="BH46" i="5"/>
  <c r="BF46" i="5"/>
  <c r="AY46" i="5"/>
  <c r="AV46" i="5"/>
  <c r="AP46" i="5"/>
  <c r="AN46" i="5"/>
  <c r="AL46" i="5"/>
  <c r="AJ46" i="5"/>
  <c r="AG46" i="5"/>
  <c r="Z46" i="5"/>
  <c r="X46" i="5"/>
  <c r="V46" i="5"/>
  <c r="M46" i="5"/>
  <c r="K46" i="5"/>
  <c r="I46" i="5"/>
  <c r="G46" i="5"/>
  <c r="E46" i="5"/>
  <c r="C46" i="5"/>
  <c r="CA45" i="5"/>
  <c r="BY45" i="5"/>
  <c r="BU45" i="5"/>
  <c r="BS45" i="5"/>
  <c r="BN45" i="5"/>
  <c r="BL45" i="5"/>
  <c r="BH45" i="5"/>
  <c r="BF45" i="5"/>
  <c r="AY45" i="5"/>
  <c r="AV45" i="5"/>
  <c r="AP45" i="5"/>
  <c r="AN45" i="5"/>
  <c r="AL45" i="5"/>
  <c r="AJ45" i="5"/>
  <c r="AG45" i="5"/>
  <c r="Z45" i="5"/>
  <c r="X45" i="5"/>
  <c r="V45" i="5"/>
  <c r="M45" i="5"/>
  <c r="K45" i="5"/>
  <c r="I45" i="5"/>
  <c r="G45" i="5"/>
  <c r="E45" i="5"/>
  <c r="C45" i="5"/>
  <c r="CA44" i="5"/>
  <c r="BY44" i="5"/>
  <c r="BU44" i="5"/>
  <c r="BS44" i="5"/>
  <c r="BN44" i="5"/>
  <c r="BL44" i="5"/>
  <c r="BH44" i="5"/>
  <c r="BF44" i="5"/>
  <c r="AY44" i="5"/>
  <c r="AV44" i="5"/>
  <c r="AP44" i="5"/>
  <c r="AN44" i="5"/>
  <c r="AL44" i="5"/>
  <c r="AJ44" i="5"/>
  <c r="AG44" i="5"/>
  <c r="Z44" i="5"/>
  <c r="X44" i="5"/>
  <c r="V44" i="5"/>
  <c r="M44" i="5"/>
  <c r="K44" i="5"/>
  <c r="I44" i="5"/>
  <c r="G44" i="5"/>
  <c r="E44" i="5"/>
  <c r="C44" i="5"/>
  <c r="CA43" i="5"/>
  <c r="BY43" i="5"/>
  <c r="BU43" i="5"/>
  <c r="BS43" i="5"/>
  <c r="BN43" i="5"/>
  <c r="BL43" i="5"/>
  <c r="BH43" i="5"/>
  <c r="BF43" i="5"/>
  <c r="AY43" i="5"/>
  <c r="AV43" i="5"/>
  <c r="AP43" i="5"/>
  <c r="AN43" i="5"/>
  <c r="AL43" i="5"/>
  <c r="AJ43" i="5"/>
  <c r="AG43" i="5"/>
  <c r="Z43" i="5"/>
  <c r="X43" i="5"/>
  <c r="V43" i="5"/>
  <c r="M43" i="5"/>
  <c r="K43" i="5"/>
  <c r="I43" i="5"/>
  <c r="G43" i="5"/>
  <c r="E43" i="5"/>
  <c r="C43" i="5"/>
  <c r="CA42" i="5"/>
  <c r="BY42" i="5"/>
  <c r="BU42" i="5"/>
  <c r="BS42" i="5"/>
  <c r="BN42" i="5"/>
  <c r="BL42" i="5"/>
  <c r="BH42" i="5"/>
  <c r="BF42" i="5"/>
  <c r="AY42" i="5"/>
  <c r="AV42" i="5"/>
  <c r="AP42" i="5"/>
  <c r="AN42" i="5"/>
  <c r="AL42" i="5"/>
  <c r="AJ42" i="5"/>
  <c r="AG42" i="5"/>
  <c r="Z42" i="5"/>
  <c r="X42" i="5"/>
  <c r="V42" i="5"/>
  <c r="M42" i="5"/>
  <c r="K42" i="5"/>
  <c r="I42" i="5"/>
  <c r="G42" i="5"/>
  <c r="E42" i="5"/>
  <c r="C42" i="5"/>
  <c r="CA41" i="5"/>
  <c r="BY41" i="5"/>
  <c r="BU41" i="5"/>
  <c r="BS41" i="5"/>
  <c r="BN41" i="5"/>
  <c r="BL41" i="5"/>
  <c r="BH41" i="5"/>
  <c r="BF41" i="5"/>
  <c r="AY41" i="5"/>
  <c r="AV41" i="5"/>
  <c r="AP41" i="5"/>
  <c r="AN41" i="5"/>
  <c r="AL41" i="5"/>
  <c r="AJ41" i="5"/>
  <c r="AG41" i="5"/>
  <c r="Z41" i="5"/>
  <c r="X41" i="5"/>
  <c r="V41" i="5"/>
  <c r="M41" i="5"/>
  <c r="K41" i="5"/>
  <c r="I41" i="5"/>
  <c r="G41" i="5"/>
  <c r="E41" i="5"/>
  <c r="C41" i="5"/>
  <c r="CA40" i="5"/>
  <c r="BY40" i="5"/>
  <c r="BU40" i="5"/>
  <c r="BS40" i="5"/>
  <c r="BN40" i="5"/>
  <c r="BL40" i="5"/>
  <c r="BH40" i="5"/>
  <c r="BF40" i="5"/>
  <c r="AY40" i="5"/>
  <c r="AV40" i="5"/>
  <c r="AP40" i="5"/>
  <c r="AN40" i="5"/>
  <c r="AL40" i="5"/>
  <c r="AJ40" i="5"/>
  <c r="AG40" i="5"/>
  <c r="Z40" i="5"/>
  <c r="X40" i="5"/>
  <c r="V40" i="5"/>
  <c r="M40" i="5"/>
  <c r="K40" i="5"/>
  <c r="I40" i="5"/>
  <c r="G40" i="5"/>
  <c r="E40" i="5"/>
  <c r="C40" i="5"/>
  <c r="CA39" i="5"/>
  <c r="BY39" i="5"/>
  <c r="BU39" i="5"/>
  <c r="BS39" i="5"/>
  <c r="BN39" i="5"/>
  <c r="BL39" i="5"/>
  <c r="BH39" i="5"/>
  <c r="BF39" i="5"/>
  <c r="AY39" i="5"/>
  <c r="AV39" i="5"/>
  <c r="AP39" i="5"/>
  <c r="AN39" i="5"/>
  <c r="AL39" i="5"/>
  <c r="AJ39" i="5"/>
  <c r="AG39" i="5"/>
  <c r="Z39" i="5"/>
  <c r="X39" i="5"/>
  <c r="V39" i="5"/>
  <c r="M39" i="5"/>
  <c r="K39" i="5"/>
  <c r="I39" i="5"/>
  <c r="G39" i="5"/>
  <c r="E39" i="5"/>
  <c r="C39" i="5"/>
  <c r="CA38" i="5"/>
  <c r="BY38" i="5"/>
  <c r="BU38" i="5"/>
  <c r="BS38" i="5"/>
  <c r="BN38" i="5"/>
  <c r="BL38" i="5"/>
  <c r="BH38" i="5"/>
  <c r="BF38" i="5"/>
  <c r="AY38" i="5"/>
  <c r="AV38" i="5"/>
  <c r="AP38" i="5"/>
  <c r="AN38" i="5"/>
  <c r="AL38" i="5"/>
  <c r="AJ38" i="5"/>
  <c r="AG38" i="5"/>
  <c r="Z38" i="5"/>
  <c r="X38" i="5"/>
  <c r="V38" i="5"/>
  <c r="M38" i="5"/>
  <c r="K38" i="5"/>
  <c r="I38" i="5"/>
  <c r="G38" i="5"/>
  <c r="E38" i="5"/>
  <c r="C38" i="5"/>
  <c r="CA37" i="5"/>
  <c r="BY37" i="5"/>
  <c r="BU37" i="5"/>
  <c r="BS37" i="5"/>
  <c r="BN37" i="5"/>
  <c r="BL37" i="5"/>
  <c r="BH37" i="5"/>
  <c r="BF37" i="5"/>
  <c r="AY37" i="5"/>
  <c r="AV37" i="5"/>
  <c r="AP37" i="5"/>
  <c r="AN37" i="5"/>
  <c r="AL37" i="5"/>
  <c r="AJ37" i="5"/>
  <c r="AG37" i="5"/>
  <c r="Z37" i="5"/>
  <c r="X37" i="5"/>
  <c r="V37" i="5"/>
  <c r="M37" i="5"/>
  <c r="K37" i="5"/>
  <c r="I37" i="5"/>
  <c r="G37" i="5"/>
  <c r="E37" i="5"/>
  <c r="C37" i="5"/>
  <c r="CA36" i="5"/>
  <c r="BY36" i="5"/>
  <c r="BU36" i="5"/>
  <c r="BS36" i="5"/>
  <c r="BN36" i="5"/>
  <c r="BL36" i="5"/>
  <c r="BH36" i="5"/>
  <c r="BF36" i="5"/>
  <c r="AY36" i="5"/>
  <c r="AV36" i="5"/>
  <c r="AP36" i="5"/>
  <c r="AN36" i="5"/>
  <c r="AL36" i="5"/>
  <c r="AJ36" i="5"/>
  <c r="AG36" i="5"/>
  <c r="Z36" i="5"/>
  <c r="X36" i="5"/>
  <c r="V36" i="5"/>
  <c r="M36" i="5"/>
  <c r="K36" i="5"/>
  <c r="I36" i="5"/>
  <c r="G36" i="5"/>
  <c r="E36" i="5"/>
  <c r="C36" i="5"/>
  <c r="CA35" i="5"/>
  <c r="BY35" i="5"/>
  <c r="BU35" i="5"/>
  <c r="BS35" i="5"/>
  <c r="BN35" i="5"/>
  <c r="BL35" i="5"/>
  <c r="BH35" i="5"/>
  <c r="BF35" i="5"/>
  <c r="AY35" i="5"/>
  <c r="AV35" i="5"/>
  <c r="AP35" i="5"/>
  <c r="AN35" i="5"/>
  <c r="AL35" i="5"/>
  <c r="AJ35" i="5"/>
  <c r="AG35" i="5"/>
  <c r="Z35" i="5"/>
  <c r="X35" i="5"/>
  <c r="V35" i="5"/>
  <c r="M35" i="5"/>
  <c r="K35" i="5"/>
  <c r="I35" i="5"/>
  <c r="G35" i="5"/>
  <c r="E35" i="5"/>
  <c r="C35" i="5"/>
  <c r="CA34" i="5"/>
  <c r="BY34" i="5"/>
  <c r="BU34" i="5"/>
  <c r="BS34" i="5"/>
  <c r="BN34" i="5"/>
  <c r="BL34" i="5"/>
  <c r="BH34" i="5"/>
  <c r="BF34" i="5"/>
  <c r="AY34" i="5"/>
  <c r="AV34" i="5"/>
  <c r="AP34" i="5"/>
  <c r="AN34" i="5"/>
  <c r="AL34" i="5"/>
  <c r="AJ34" i="5"/>
  <c r="AG34" i="5"/>
  <c r="Z34" i="5"/>
  <c r="X34" i="5"/>
  <c r="V34" i="5"/>
  <c r="M34" i="5"/>
  <c r="K34" i="5"/>
  <c r="I34" i="5"/>
  <c r="G34" i="5"/>
  <c r="E34" i="5"/>
  <c r="C34" i="5"/>
  <c r="CA33" i="5"/>
  <c r="BY33" i="5"/>
  <c r="BU33" i="5"/>
  <c r="BS33" i="5"/>
  <c r="BN33" i="5"/>
  <c r="BL33" i="5"/>
  <c r="BH33" i="5"/>
  <c r="BF33" i="5"/>
  <c r="AY33" i="5"/>
  <c r="AV33" i="5"/>
  <c r="AP33" i="5"/>
  <c r="AN33" i="5"/>
  <c r="AL33" i="5"/>
  <c r="AJ33" i="5"/>
  <c r="AG33" i="5"/>
  <c r="Z33" i="5"/>
  <c r="X33" i="5"/>
  <c r="V33" i="5"/>
  <c r="M33" i="5"/>
  <c r="K33" i="5"/>
  <c r="I33" i="5"/>
  <c r="G33" i="5"/>
  <c r="E33" i="5"/>
  <c r="C33" i="5"/>
  <c r="CA32" i="5"/>
  <c r="BY32" i="5"/>
  <c r="BU32" i="5"/>
  <c r="BS32" i="5"/>
  <c r="BN32" i="5"/>
  <c r="BL32" i="5"/>
  <c r="BH32" i="5"/>
  <c r="BF32" i="5"/>
  <c r="AY32" i="5"/>
  <c r="AV32" i="5"/>
  <c r="AP32" i="5"/>
  <c r="AN32" i="5"/>
  <c r="AL32" i="5"/>
  <c r="AJ32" i="5"/>
  <c r="AG32" i="5"/>
  <c r="Z32" i="5"/>
  <c r="X32" i="5"/>
  <c r="V32" i="5"/>
  <c r="M32" i="5"/>
  <c r="K32" i="5"/>
  <c r="I32" i="5"/>
  <c r="G32" i="5"/>
  <c r="E32" i="5"/>
  <c r="C32" i="5"/>
  <c r="CA31" i="5"/>
  <c r="BY31" i="5"/>
  <c r="BU31" i="5"/>
  <c r="BS31" i="5"/>
  <c r="BN31" i="5"/>
  <c r="BL31" i="5"/>
  <c r="BH31" i="5"/>
  <c r="BF31" i="5"/>
  <c r="AY31" i="5"/>
  <c r="AV31" i="5"/>
  <c r="AP31" i="5"/>
  <c r="AN31" i="5"/>
  <c r="AL31" i="5"/>
  <c r="AJ31" i="5"/>
  <c r="AG31" i="5"/>
  <c r="Z31" i="5"/>
  <c r="X31" i="5"/>
  <c r="V31" i="5"/>
  <c r="M31" i="5"/>
  <c r="K31" i="5"/>
  <c r="I31" i="5"/>
  <c r="G31" i="5"/>
  <c r="E31" i="5"/>
  <c r="C31" i="5"/>
  <c r="CA30" i="5"/>
  <c r="BY30" i="5"/>
  <c r="BU30" i="5"/>
  <c r="BS30" i="5"/>
  <c r="BN30" i="5"/>
  <c r="BL30" i="5"/>
  <c r="BH30" i="5"/>
  <c r="BF30" i="5"/>
  <c r="AY30" i="5"/>
  <c r="AV30" i="5"/>
  <c r="AP30" i="5"/>
  <c r="AN30" i="5"/>
  <c r="AL30" i="5"/>
  <c r="AJ30" i="5"/>
  <c r="AG30" i="5"/>
  <c r="Z30" i="5"/>
  <c r="X30" i="5"/>
  <c r="V30" i="5"/>
  <c r="M30" i="5"/>
  <c r="K30" i="5"/>
  <c r="I30" i="5"/>
  <c r="G30" i="5"/>
  <c r="E30" i="5"/>
  <c r="C30" i="5"/>
  <c r="CA29" i="5"/>
  <c r="BY29" i="5"/>
  <c r="BU29" i="5"/>
  <c r="BS29" i="5"/>
  <c r="BN29" i="5"/>
  <c r="BL29" i="5"/>
  <c r="BH29" i="5"/>
  <c r="BF29" i="5"/>
  <c r="AY29" i="5"/>
  <c r="AV29" i="5"/>
  <c r="AP29" i="5"/>
  <c r="AN29" i="5"/>
  <c r="AL29" i="5"/>
  <c r="AJ29" i="5"/>
  <c r="AG29" i="5"/>
  <c r="Z29" i="5"/>
  <c r="X29" i="5"/>
  <c r="V29" i="5"/>
  <c r="M29" i="5"/>
  <c r="K29" i="5"/>
  <c r="I29" i="5"/>
  <c r="G29" i="5"/>
  <c r="E29" i="5"/>
  <c r="C29" i="5"/>
  <c r="CA28" i="5"/>
  <c r="BY28" i="5"/>
  <c r="BU28" i="5"/>
  <c r="BS28" i="5"/>
  <c r="BN28" i="5"/>
  <c r="BL28" i="5"/>
  <c r="BH28" i="5"/>
  <c r="BF28" i="5"/>
  <c r="AY28" i="5"/>
  <c r="AV28" i="5"/>
  <c r="AP28" i="5"/>
  <c r="AN28" i="5"/>
  <c r="AL28" i="5"/>
  <c r="AJ28" i="5"/>
  <c r="AG28" i="5"/>
  <c r="Z28" i="5"/>
  <c r="X28" i="5"/>
  <c r="V28" i="5"/>
  <c r="M28" i="5"/>
  <c r="K28" i="5"/>
  <c r="I28" i="5"/>
  <c r="G28" i="5"/>
  <c r="E28" i="5"/>
  <c r="C28" i="5"/>
  <c r="CA27" i="5"/>
  <c r="BY27" i="5"/>
  <c r="BU27" i="5"/>
  <c r="BS27" i="5"/>
  <c r="BN27" i="5"/>
  <c r="BL27" i="5"/>
  <c r="BH27" i="5"/>
  <c r="BF27" i="5"/>
  <c r="AY27" i="5"/>
  <c r="AV27" i="5"/>
  <c r="AP27" i="5"/>
  <c r="AN27" i="5"/>
  <c r="AL27" i="5"/>
  <c r="AJ27" i="5"/>
  <c r="AG27" i="5"/>
  <c r="Z27" i="5"/>
  <c r="X27" i="5"/>
  <c r="V27" i="5"/>
  <c r="M27" i="5"/>
  <c r="K27" i="5"/>
  <c r="I27" i="5"/>
  <c r="G27" i="5"/>
  <c r="E27" i="5"/>
  <c r="C27" i="5"/>
  <c r="CA26" i="5"/>
  <c r="BY26" i="5"/>
  <c r="BU26" i="5"/>
  <c r="BS26" i="5"/>
  <c r="BN26" i="5"/>
  <c r="BL26" i="5"/>
  <c r="BH26" i="5"/>
  <c r="BF26" i="5"/>
  <c r="AY26" i="5"/>
  <c r="AV26" i="5"/>
  <c r="AP26" i="5"/>
  <c r="AN26" i="5"/>
  <c r="AL26" i="5"/>
  <c r="AJ26" i="5"/>
  <c r="AG26" i="5"/>
  <c r="Z26" i="5"/>
  <c r="X26" i="5"/>
  <c r="V26" i="5"/>
  <c r="M26" i="5"/>
  <c r="K26" i="5"/>
  <c r="I26" i="5"/>
  <c r="G26" i="5"/>
  <c r="E26" i="5"/>
  <c r="C26" i="5"/>
  <c r="CA25" i="5"/>
  <c r="BY25" i="5"/>
  <c r="BU25" i="5"/>
  <c r="BS25" i="5"/>
  <c r="BN25" i="5"/>
  <c r="BL25" i="5"/>
  <c r="BH25" i="5"/>
  <c r="BF25" i="5"/>
  <c r="AY25" i="5"/>
  <c r="AV25" i="5"/>
  <c r="AP25" i="5"/>
  <c r="AN25" i="5"/>
  <c r="AL25" i="5"/>
  <c r="AJ25" i="5"/>
  <c r="AG25" i="5"/>
  <c r="Z25" i="5"/>
  <c r="X25" i="5"/>
  <c r="V25" i="5"/>
  <c r="M25" i="5"/>
  <c r="K25" i="5"/>
  <c r="I25" i="5"/>
  <c r="G25" i="5"/>
  <c r="E25" i="5"/>
  <c r="C25" i="5"/>
  <c r="CA24" i="5"/>
  <c r="BY24" i="5"/>
  <c r="BU24" i="5"/>
  <c r="BS24" i="5"/>
  <c r="BN24" i="5"/>
  <c r="BL24" i="5"/>
  <c r="BH24" i="5"/>
  <c r="BF24" i="5"/>
  <c r="AY24" i="5"/>
  <c r="AV24" i="5"/>
  <c r="AP24" i="5"/>
  <c r="AN24" i="5"/>
  <c r="AL24" i="5"/>
  <c r="AJ24" i="5"/>
  <c r="AG24" i="5"/>
  <c r="Z24" i="5"/>
  <c r="X24" i="5"/>
  <c r="V24" i="5"/>
  <c r="M24" i="5"/>
  <c r="K24" i="5"/>
  <c r="I24" i="5"/>
  <c r="G24" i="5"/>
  <c r="E24" i="5"/>
  <c r="C24" i="5"/>
  <c r="CA23" i="5"/>
  <c r="BY23" i="5"/>
  <c r="BU23" i="5"/>
  <c r="BS23" i="5"/>
  <c r="BN23" i="5"/>
  <c r="BL23" i="5"/>
  <c r="BH23" i="5"/>
  <c r="BF23" i="5"/>
  <c r="AY23" i="5"/>
  <c r="AV23" i="5"/>
  <c r="AP23" i="5"/>
  <c r="AN23" i="5"/>
  <c r="AL23" i="5"/>
  <c r="AJ23" i="5"/>
  <c r="AG23" i="5"/>
  <c r="Z23" i="5"/>
  <c r="X23" i="5"/>
  <c r="V23" i="5"/>
  <c r="M23" i="5"/>
  <c r="K23" i="5"/>
  <c r="I23" i="5"/>
  <c r="G23" i="5"/>
  <c r="E23" i="5"/>
  <c r="C23" i="5"/>
  <c r="CA22" i="5"/>
  <c r="BY22" i="5"/>
  <c r="BU22" i="5"/>
  <c r="BS22" i="5"/>
  <c r="BN22" i="5"/>
  <c r="BL22" i="5"/>
  <c r="BH22" i="5"/>
  <c r="BF22" i="5"/>
  <c r="AY22" i="5"/>
  <c r="AV22" i="5"/>
  <c r="AP22" i="5"/>
  <c r="AN22" i="5"/>
  <c r="AL22" i="5"/>
  <c r="AJ22" i="5"/>
  <c r="AG22" i="5"/>
  <c r="Z22" i="5"/>
  <c r="X22" i="5"/>
  <c r="V22" i="5"/>
  <c r="M22" i="5"/>
  <c r="K22" i="5"/>
  <c r="I22" i="5"/>
  <c r="G22" i="5"/>
  <c r="E22" i="5"/>
  <c r="C22" i="5"/>
  <c r="CA21" i="5"/>
  <c r="BY21" i="5"/>
  <c r="BU21" i="5"/>
  <c r="BS21" i="5"/>
  <c r="BN21" i="5"/>
  <c r="BL21" i="5"/>
  <c r="BH21" i="5"/>
  <c r="BF21" i="5"/>
  <c r="AY21" i="5"/>
  <c r="AV21" i="5"/>
  <c r="AP21" i="5"/>
  <c r="AN21" i="5"/>
  <c r="AL21" i="5"/>
  <c r="AJ21" i="5"/>
  <c r="AG21" i="5"/>
  <c r="Z21" i="5"/>
  <c r="X21" i="5"/>
  <c r="V21" i="5"/>
  <c r="M21" i="5"/>
  <c r="K21" i="5"/>
  <c r="I21" i="5"/>
  <c r="G21" i="5"/>
  <c r="E21" i="5"/>
  <c r="C21" i="5"/>
  <c r="CA20" i="5"/>
  <c r="BY20" i="5"/>
  <c r="BU20" i="5"/>
  <c r="BS20" i="5"/>
  <c r="BN20" i="5"/>
  <c r="BL20" i="5"/>
  <c r="BH20" i="5"/>
  <c r="BF20" i="5"/>
  <c r="AY20" i="5"/>
  <c r="AV20" i="5"/>
  <c r="AP20" i="5"/>
  <c r="AN20" i="5"/>
  <c r="AL20" i="5"/>
  <c r="AJ20" i="5"/>
  <c r="AG20" i="5"/>
  <c r="Z20" i="5"/>
  <c r="X20" i="5"/>
  <c r="V20" i="5"/>
  <c r="M20" i="5"/>
  <c r="K20" i="5"/>
  <c r="I20" i="5"/>
  <c r="G20" i="5"/>
  <c r="E20" i="5"/>
  <c r="C20" i="5"/>
  <c r="CA19" i="5"/>
  <c r="BY19" i="5"/>
  <c r="BU19" i="5"/>
  <c r="BS19" i="5"/>
  <c r="BN19" i="5"/>
  <c r="BL19" i="5"/>
  <c r="BH19" i="5"/>
  <c r="BF19" i="5"/>
  <c r="AY19" i="5"/>
  <c r="AV19" i="5"/>
  <c r="AP19" i="5"/>
  <c r="AN19" i="5"/>
  <c r="AL19" i="5"/>
  <c r="AJ19" i="5"/>
  <c r="AG19" i="5"/>
  <c r="Z19" i="5"/>
  <c r="X19" i="5"/>
  <c r="V19" i="5"/>
  <c r="M19" i="5"/>
  <c r="K19" i="5"/>
  <c r="I19" i="5"/>
  <c r="G19" i="5"/>
  <c r="E19" i="5"/>
  <c r="C19" i="5"/>
  <c r="CA18" i="5"/>
  <c r="BY18" i="5"/>
  <c r="BU18" i="5"/>
  <c r="BS18" i="5"/>
  <c r="BN18" i="5"/>
  <c r="BL18" i="5"/>
  <c r="BH18" i="5"/>
  <c r="BF18" i="5"/>
  <c r="AY18" i="5"/>
  <c r="AV18" i="5"/>
  <c r="AP18" i="5"/>
  <c r="AN18" i="5"/>
  <c r="AL18" i="5"/>
  <c r="AJ18" i="5"/>
  <c r="AG18" i="5"/>
  <c r="Z18" i="5"/>
  <c r="X18" i="5"/>
  <c r="V18" i="5"/>
  <c r="M18" i="5"/>
  <c r="K18" i="5"/>
  <c r="I18" i="5"/>
  <c r="G18" i="5"/>
  <c r="E18" i="5"/>
  <c r="C18" i="5"/>
  <c r="CA17" i="5"/>
  <c r="BY17" i="5"/>
  <c r="BU17" i="5"/>
  <c r="BS17" i="5"/>
  <c r="BN17" i="5"/>
  <c r="BL17" i="5"/>
  <c r="BH17" i="5"/>
  <c r="BF17" i="5"/>
  <c r="AY17" i="5"/>
  <c r="AV17" i="5"/>
  <c r="AP17" i="5"/>
  <c r="AN17" i="5"/>
  <c r="AL17" i="5"/>
  <c r="AJ17" i="5"/>
  <c r="AG17" i="5"/>
  <c r="Z17" i="5"/>
  <c r="X17" i="5"/>
  <c r="V17" i="5"/>
  <c r="M17" i="5"/>
  <c r="K17" i="5"/>
  <c r="I17" i="5"/>
  <c r="G17" i="5"/>
  <c r="E17" i="5"/>
  <c r="C17" i="5"/>
  <c r="CA16" i="5"/>
  <c r="BY16" i="5"/>
  <c r="BU16" i="5"/>
  <c r="BS16" i="5"/>
  <c r="BN16" i="5"/>
  <c r="BL16" i="5"/>
  <c r="BH16" i="5"/>
  <c r="BF16" i="5"/>
  <c r="AY16" i="5"/>
  <c r="AV16" i="5"/>
  <c r="AP16" i="5"/>
  <c r="AN16" i="5"/>
  <c r="AL16" i="5"/>
  <c r="AJ16" i="5"/>
  <c r="AG16" i="5"/>
  <c r="Z16" i="5"/>
  <c r="X16" i="5"/>
  <c r="V16" i="5"/>
  <c r="M16" i="5"/>
  <c r="K16" i="5"/>
  <c r="I16" i="5"/>
  <c r="G16" i="5"/>
  <c r="E16" i="5"/>
  <c r="C16" i="5"/>
  <c r="CA15" i="5"/>
  <c r="BY15" i="5"/>
  <c r="BU15" i="5"/>
  <c r="BS15" i="5"/>
  <c r="BN15" i="5"/>
  <c r="BL15" i="5"/>
  <c r="BH15" i="5"/>
  <c r="BF15" i="5"/>
  <c r="AY15" i="5"/>
  <c r="AV15" i="5"/>
  <c r="AP15" i="5"/>
  <c r="AN15" i="5"/>
  <c r="AL15" i="5"/>
  <c r="AJ15" i="5"/>
  <c r="AG15" i="5"/>
  <c r="Z15" i="5"/>
  <c r="X15" i="5"/>
  <c r="V15" i="5"/>
  <c r="M15" i="5"/>
  <c r="K15" i="5"/>
  <c r="I15" i="5"/>
  <c r="G15" i="5"/>
  <c r="E15" i="5"/>
  <c r="C15" i="5"/>
  <c r="CA14" i="5"/>
  <c r="BY14" i="5"/>
  <c r="BU14" i="5"/>
  <c r="BS14" i="5"/>
  <c r="BN14" i="5"/>
  <c r="BL14" i="5"/>
  <c r="BH14" i="5"/>
  <c r="BF14" i="5"/>
  <c r="AY14" i="5"/>
  <c r="AV14" i="5"/>
  <c r="AP14" i="5"/>
  <c r="AN14" i="5"/>
  <c r="AL14" i="5"/>
  <c r="AJ14" i="5"/>
  <c r="AG14" i="5"/>
  <c r="Z14" i="5"/>
  <c r="X14" i="5"/>
  <c r="V14" i="5"/>
  <c r="M14" i="5"/>
  <c r="K14" i="5"/>
  <c r="I14" i="5"/>
  <c r="G14" i="5"/>
  <c r="E14" i="5"/>
  <c r="C14" i="5"/>
  <c r="CA13" i="5"/>
  <c r="BY13" i="5"/>
  <c r="BU13" i="5"/>
  <c r="BS13" i="5"/>
  <c r="BN13" i="5"/>
  <c r="BL13" i="5"/>
  <c r="BH13" i="5"/>
  <c r="BF13" i="5"/>
  <c r="AY13" i="5"/>
  <c r="AV13" i="5"/>
  <c r="AP13" i="5"/>
  <c r="AN13" i="5"/>
  <c r="AL13" i="5"/>
  <c r="AJ13" i="5"/>
  <c r="AG13" i="5"/>
  <c r="Z13" i="5"/>
  <c r="X13" i="5"/>
  <c r="V13" i="5"/>
  <c r="M13" i="5"/>
  <c r="K13" i="5"/>
  <c r="I13" i="5"/>
  <c r="G13" i="5"/>
  <c r="E13" i="5"/>
  <c r="CU13" i="2"/>
  <c r="CN13" i="5"/>
  <c r="CS112" i="4" l="1"/>
  <c r="CI112" i="4"/>
  <c r="CG112" i="4"/>
  <c r="CE112" i="4"/>
  <c r="CC112" i="4"/>
  <c r="BY112" i="4"/>
  <c r="BW112" i="4"/>
  <c r="BS112" i="4"/>
  <c r="BP112" i="4"/>
  <c r="BN112" i="4"/>
  <c r="BJ112" i="4"/>
  <c r="BH112" i="4"/>
  <c r="BF112" i="4"/>
  <c r="AY112" i="4"/>
  <c r="AV112" i="4"/>
  <c r="AP112" i="4"/>
  <c r="AN112" i="4"/>
  <c r="AL112" i="4"/>
  <c r="AJ112" i="4"/>
  <c r="AG112" i="4"/>
  <c r="Z112" i="4"/>
  <c r="X112" i="4"/>
  <c r="V112" i="4"/>
  <c r="M112" i="4"/>
  <c r="K112" i="4"/>
  <c r="I112" i="4"/>
  <c r="G112" i="4"/>
  <c r="E112" i="4"/>
  <c r="C112" i="4"/>
  <c r="CS111" i="4"/>
  <c r="CI111" i="4"/>
  <c r="CG111" i="4"/>
  <c r="CE111" i="4"/>
  <c r="CC111" i="4"/>
  <c r="BY111" i="4"/>
  <c r="BW111" i="4"/>
  <c r="BS111" i="4"/>
  <c r="BP111" i="4"/>
  <c r="BN111" i="4"/>
  <c r="BJ111" i="4"/>
  <c r="BH111" i="4"/>
  <c r="BF111" i="4"/>
  <c r="AY111" i="4"/>
  <c r="AV111" i="4"/>
  <c r="AP111" i="4"/>
  <c r="AN111" i="4"/>
  <c r="AL111" i="4"/>
  <c r="AJ111" i="4"/>
  <c r="AG111" i="4"/>
  <c r="Z111" i="4"/>
  <c r="X111" i="4"/>
  <c r="V111" i="4"/>
  <c r="M111" i="4"/>
  <c r="K111" i="4"/>
  <c r="I111" i="4"/>
  <c r="G111" i="4"/>
  <c r="E111" i="4"/>
  <c r="C111" i="4"/>
  <c r="CS110" i="4"/>
  <c r="CI110" i="4"/>
  <c r="CG110" i="4"/>
  <c r="CE110" i="4"/>
  <c r="CC110" i="4"/>
  <c r="BY110" i="4"/>
  <c r="BW110" i="4"/>
  <c r="BS110" i="4"/>
  <c r="BP110" i="4"/>
  <c r="BN110" i="4"/>
  <c r="BJ110" i="4"/>
  <c r="BH110" i="4"/>
  <c r="BF110" i="4"/>
  <c r="AY110" i="4"/>
  <c r="AV110" i="4"/>
  <c r="AP110" i="4"/>
  <c r="AN110" i="4"/>
  <c r="AL110" i="4"/>
  <c r="AJ110" i="4"/>
  <c r="AG110" i="4"/>
  <c r="Z110" i="4"/>
  <c r="X110" i="4"/>
  <c r="V110" i="4"/>
  <c r="M110" i="4"/>
  <c r="K110" i="4"/>
  <c r="I110" i="4"/>
  <c r="G110" i="4"/>
  <c r="E110" i="4"/>
  <c r="C110" i="4"/>
  <c r="CS109" i="4"/>
  <c r="CI109" i="4"/>
  <c r="CG109" i="4"/>
  <c r="CE109" i="4"/>
  <c r="CC109" i="4"/>
  <c r="BY109" i="4"/>
  <c r="BW109" i="4"/>
  <c r="BS109" i="4"/>
  <c r="BP109" i="4"/>
  <c r="BN109" i="4"/>
  <c r="BJ109" i="4"/>
  <c r="BH109" i="4"/>
  <c r="BF109" i="4"/>
  <c r="AY109" i="4"/>
  <c r="AV109" i="4"/>
  <c r="AP109" i="4"/>
  <c r="AN109" i="4"/>
  <c r="AL109" i="4"/>
  <c r="AJ109" i="4"/>
  <c r="AG109" i="4"/>
  <c r="Z109" i="4"/>
  <c r="X109" i="4"/>
  <c r="V109" i="4"/>
  <c r="M109" i="4"/>
  <c r="K109" i="4"/>
  <c r="I109" i="4"/>
  <c r="G109" i="4"/>
  <c r="E109" i="4"/>
  <c r="C109" i="4"/>
  <c r="CS108" i="4"/>
  <c r="CI108" i="4"/>
  <c r="CG108" i="4"/>
  <c r="CE108" i="4"/>
  <c r="CC108" i="4"/>
  <c r="BY108" i="4"/>
  <c r="BW108" i="4"/>
  <c r="BS108" i="4"/>
  <c r="BP108" i="4"/>
  <c r="BN108" i="4"/>
  <c r="BJ108" i="4"/>
  <c r="BH108" i="4"/>
  <c r="BF108" i="4"/>
  <c r="AY108" i="4"/>
  <c r="AV108" i="4"/>
  <c r="AP108" i="4"/>
  <c r="AN108" i="4"/>
  <c r="AL108" i="4"/>
  <c r="AJ108" i="4"/>
  <c r="AG108" i="4"/>
  <c r="Z108" i="4"/>
  <c r="X108" i="4"/>
  <c r="V108" i="4"/>
  <c r="M108" i="4"/>
  <c r="K108" i="4"/>
  <c r="I108" i="4"/>
  <c r="G108" i="4"/>
  <c r="E108" i="4"/>
  <c r="C108" i="4"/>
  <c r="CS107" i="4"/>
  <c r="CI107" i="4"/>
  <c r="CG107" i="4"/>
  <c r="CE107" i="4"/>
  <c r="CC107" i="4"/>
  <c r="BY107" i="4"/>
  <c r="BW107" i="4"/>
  <c r="BS107" i="4"/>
  <c r="BP107" i="4"/>
  <c r="BN107" i="4"/>
  <c r="BJ107" i="4"/>
  <c r="BH107" i="4"/>
  <c r="BF107" i="4"/>
  <c r="AY107" i="4"/>
  <c r="AV107" i="4"/>
  <c r="AP107" i="4"/>
  <c r="AN107" i="4"/>
  <c r="AL107" i="4"/>
  <c r="AJ107" i="4"/>
  <c r="AG107" i="4"/>
  <c r="Z107" i="4"/>
  <c r="X107" i="4"/>
  <c r="V107" i="4"/>
  <c r="M107" i="4"/>
  <c r="K107" i="4"/>
  <c r="I107" i="4"/>
  <c r="G107" i="4"/>
  <c r="E107" i="4"/>
  <c r="C107" i="4"/>
  <c r="CS106" i="4"/>
  <c r="CI106" i="4"/>
  <c r="CG106" i="4"/>
  <c r="CE106" i="4"/>
  <c r="CC106" i="4"/>
  <c r="BY106" i="4"/>
  <c r="BW106" i="4"/>
  <c r="BS106" i="4"/>
  <c r="BP106" i="4"/>
  <c r="BN106" i="4"/>
  <c r="BJ106" i="4"/>
  <c r="BH106" i="4"/>
  <c r="BF106" i="4"/>
  <c r="AY106" i="4"/>
  <c r="AV106" i="4"/>
  <c r="AP106" i="4"/>
  <c r="AN106" i="4"/>
  <c r="AL106" i="4"/>
  <c r="AJ106" i="4"/>
  <c r="AG106" i="4"/>
  <c r="Z106" i="4"/>
  <c r="X106" i="4"/>
  <c r="V106" i="4"/>
  <c r="M106" i="4"/>
  <c r="K106" i="4"/>
  <c r="I106" i="4"/>
  <c r="G106" i="4"/>
  <c r="E106" i="4"/>
  <c r="C106" i="4"/>
  <c r="CS105" i="4"/>
  <c r="CI105" i="4"/>
  <c r="CG105" i="4"/>
  <c r="CE105" i="4"/>
  <c r="CC105" i="4"/>
  <c r="BY105" i="4"/>
  <c r="BW105" i="4"/>
  <c r="BS105" i="4"/>
  <c r="BP105" i="4"/>
  <c r="BN105" i="4"/>
  <c r="BJ105" i="4"/>
  <c r="BH105" i="4"/>
  <c r="BF105" i="4"/>
  <c r="AY105" i="4"/>
  <c r="AV105" i="4"/>
  <c r="AP105" i="4"/>
  <c r="AN105" i="4"/>
  <c r="AL105" i="4"/>
  <c r="AJ105" i="4"/>
  <c r="AG105" i="4"/>
  <c r="Z105" i="4"/>
  <c r="X105" i="4"/>
  <c r="V105" i="4"/>
  <c r="M105" i="4"/>
  <c r="K105" i="4"/>
  <c r="I105" i="4"/>
  <c r="G105" i="4"/>
  <c r="E105" i="4"/>
  <c r="C105" i="4"/>
  <c r="CS104" i="4"/>
  <c r="CI104" i="4"/>
  <c r="CG104" i="4"/>
  <c r="CE104" i="4"/>
  <c r="CC104" i="4"/>
  <c r="BY104" i="4"/>
  <c r="BW104" i="4"/>
  <c r="BS104" i="4"/>
  <c r="BP104" i="4"/>
  <c r="BN104" i="4"/>
  <c r="BJ104" i="4"/>
  <c r="BH104" i="4"/>
  <c r="BF104" i="4"/>
  <c r="AY104" i="4"/>
  <c r="AV104" i="4"/>
  <c r="AP104" i="4"/>
  <c r="AN104" i="4"/>
  <c r="AL104" i="4"/>
  <c r="AJ104" i="4"/>
  <c r="AG104" i="4"/>
  <c r="Z104" i="4"/>
  <c r="X104" i="4"/>
  <c r="V104" i="4"/>
  <c r="M104" i="4"/>
  <c r="K104" i="4"/>
  <c r="I104" i="4"/>
  <c r="G104" i="4"/>
  <c r="E104" i="4"/>
  <c r="C104" i="4"/>
  <c r="CS103" i="4"/>
  <c r="CI103" i="4"/>
  <c r="CG103" i="4"/>
  <c r="CE103" i="4"/>
  <c r="CC103" i="4"/>
  <c r="BY103" i="4"/>
  <c r="BW103" i="4"/>
  <c r="BS103" i="4"/>
  <c r="BP103" i="4"/>
  <c r="BN103" i="4"/>
  <c r="BJ103" i="4"/>
  <c r="BH103" i="4"/>
  <c r="BF103" i="4"/>
  <c r="AY103" i="4"/>
  <c r="AV103" i="4"/>
  <c r="AP103" i="4"/>
  <c r="AN103" i="4"/>
  <c r="AL103" i="4"/>
  <c r="AJ103" i="4"/>
  <c r="AG103" i="4"/>
  <c r="Z103" i="4"/>
  <c r="X103" i="4"/>
  <c r="V103" i="4"/>
  <c r="M103" i="4"/>
  <c r="K103" i="4"/>
  <c r="I103" i="4"/>
  <c r="G103" i="4"/>
  <c r="E103" i="4"/>
  <c r="C103" i="4"/>
  <c r="CS102" i="4"/>
  <c r="CI102" i="4"/>
  <c r="CG102" i="4"/>
  <c r="CE102" i="4"/>
  <c r="CC102" i="4"/>
  <c r="BY102" i="4"/>
  <c r="BW102" i="4"/>
  <c r="BS102" i="4"/>
  <c r="BP102" i="4"/>
  <c r="BN102" i="4"/>
  <c r="BJ102" i="4"/>
  <c r="BH102" i="4"/>
  <c r="BF102" i="4"/>
  <c r="AY102" i="4"/>
  <c r="AV102" i="4"/>
  <c r="AP102" i="4"/>
  <c r="AN102" i="4"/>
  <c r="AL102" i="4"/>
  <c r="AJ102" i="4"/>
  <c r="AG102" i="4"/>
  <c r="Z102" i="4"/>
  <c r="X102" i="4"/>
  <c r="V102" i="4"/>
  <c r="M102" i="4"/>
  <c r="K102" i="4"/>
  <c r="I102" i="4"/>
  <c r="G102" i="4"/>
  <c r="E102" i="4"/>
  <c r="C102" i="4"/>
  <c r="CS101" i="4"/>
  <c r="CI101" i="4"/>
  <c r="CG101" i="4"/>
  <c r="CE101" i="4"/>
  <c r="CC101" i="4"/>
  <c r="BY101" i="4"/>
  <c r="BW101" i="4"/>
  <c r="BS101" i="4"/>
  <c r="BP101" i="4"/>
  <c r="BN101" i="4"/>
  <c r="BJ101" i="4"/>
  <c r="BH101" i="4"/>
  <c r="BF101" i="4"/>
  <c r="AY101" i="4"/>
  <c r="AV101" i="4"/>
  <c r="AP101" i="4"/>
  <c r="AN101" i="4"/>
  <c r="AL101" i="4"/>
  <c r="AJ101" i="4"/>
  <c r="AG101" i="4"/>
  <c r="Z101" i="4"/>
  <c r="X101" i="4"/>
  <c r="V101" i="4"/>
  <c r="M101" i="4"/>
  <c r="K101" i="4"/>
  <c r="I101" i="4"/>
  <c r="G101" i="4"/>
  <c r="E101" i="4"/>
  <c r="C101" i="4"/>
  <c r="CS100" i="4"/>
  <c r="CI100" i="4"/>
  <c r="CG100" i="4"/>
  <c r="CE100" i="4"/>
  <c r="CC100" i="4"/>
  <c r="BY100" i="4"/>
  <c r="BW100" i="4"/>
  <c r="BS100" i="4"/>
  <c r="BP100" i="4"/>
  <c r="BN100" i="4"/>
  <c r="BJ100" i="4"/>
  <c r="BH100" i="4"/>
  <c r="BF100" i="4"/>
  <c r="AY100" i="4"/>
  <c r="AV100" i="4"/>
  <c r="AP100" i="4"/>
  <c r="AN100" i="4"/>
  <c r="AL100" i="4"/>
  <c r="AJ100" i="4"/>
  <c r="AG100" i="4"/>
  <c r="Z100" i="4"/>
  <c r="X100" i="4"/>
  <c r="V100" i="4"/>
  <c r="M100" i="4"/>
  <c r="K100" i="4"/>
  <c r="I100" i="4"/>
  <c r="G100" i="4"/>
  <c r="E100" i="4"/>
  <c r="C100" i="4"/>
  <c r="CS99" i="4"/>
  <c r="CI99" i="4"/>
  <c r="CG99" i="4"/>
  <c r="CE99" i="4"/>
  <c r="CC99" i="4"/>
  <c r="BY99" i="4"/>
  <c r="BW99" i="4"/>
  <c r="BS99" i="4"/>
  <c r="BP99" i="4"/>
  <c r="BN99" i="4"/>
  <c r="BJ99" i="4"/>
  <c r="BH99" i="4"/>
  <c r="BF99" i="4"/>
  <c r="AY99" i="4"/>
  <c r="AV99" i="4"/>
  <c r="AP99" i="4"/>
  <c r="AN99" i="4"/>
  <c r="AL99" i="4"/>
  <c r="AJ99" i="4"/>
  <c r="AG99" i="4"/>
  <c r="Z99" i="4"/>
  <c r="X99" i="4"/>
  <c r="V99" i="4"/>
  <c r="M99" i="4"/>
  <c r="K99" i="4"/>
  <c r="I99" i="4"/>
  <c r="G99" i="4"/>
  <c r="E99" i="4"/>
  <c r="C99" i="4"/>
  <c r="CS98" i="4"/>
  <c r="CI98" i="4"/>
  <c r="CG98" i="4"/>
  <c r="CE98" i="4"/>
  <c r="CC98" i="4"/>
  <c r="BY98" i="4"/>
  <c r="BW98" i="4"/>
  <c r="BS98" i="4"/>
  <c r="BP98" i="4"/>
  <c r="BN98" i="4"/>
  <c r="BJ98" i="4"/>
  <c r="BH98" i="4"/>
  <c r="BF98" i="4"/>
  <c r="AY98" i="4"/>
  <c r="AV98" i="4"/>
  <c r="AP98" i="4"/>
  <c r="AN98" i="4"/>
  <c r="AL98" i="4"/>
  <c r="AJ98" i="4"/>
  <c r="AG98" i="4"/>
  <c r="Z98" i="4"/>
  <c r="X98" i="4"/>
  <c r="V98" i="4"/>
  <c r="M98" i="4"/>
  <c r="K98" i="4"/>
  <c r="I98" i="4"/>
  <c r="G98" i="4"/>
  <c r="E98" i="4"/>
  <c r="C98" i="4"/>
  <c r="CS97" i="4"/>
  <c r="CI97" i="4"/>
  <c r="CG97" i="4"/>
  <c r="CE97" i="4"/>
  <c r="CC97" i="4"/>
  <c r="BY97" i="4"/>
  <c r="BW97" i="4"/>
  <c r="BS97" i="4"/>
  <c r="BP97" i="4"/>
  <c r="BN97" i="4"/>
  <c r="BJ97" i="4"/>
  <c r="BH97" i="4"/>
  <c r="BF97" i="4"/>
  <c r="AY97" i="4"/>
  <c r="AV97" i="4"/>
  <c r="AP97" i="4"/>
  <c r="AN97" i="4"/>
  <c r="AL97" i="4"/>
  <c r="AJ97" i="4"/>
  <c r="AG97" i="4"/>
  <c r="Z97" i="4"/>
  <c r="X97" i="4"/>
  <c r="V97" i="4"/>
  <c r="M97" i="4"/>
  <c r="K97" i="4"/>
  <c r="I97" i="4"/>
  <c r="G97" i="4"/>
  <c r="E97" i="4"/>
  <c r="C97" i="4"/>
  <c r="CS96" i="4"/>
  <c r="CI96" i="4"/>
  <c r="CG96" i="4"/>
  <c r="CE96" i="4"/>
  <c r="CC96" i="4"/>
  <c r="BY96" i="4"/>
  <c r="BW96" i="4"/>
  <c r="BS96" i="4"/>
  <c r="BP96" i="4"/>
  <c r="BN96" i="4"/>
  <c r="BJ96" i="4"/>
  <c r="BH96" i="4"/>
  <c r="BF96" i="4"/>
  <c r="AY96" i="4"/>
  <c r="AV96" i="4"/>
  <c r="AP96" i="4"/>
  <c r="AN96" i="4"/>
  <c r="AL96" i="4"/>
  <c r="AJ96" i="4"/>
  <c r="AG96" i="4"/>
  <c r="Z96" i="4"/>
  <c r="X96" i="4"/>
  <c r="V96" i="4"/>
  <c r="M96" i="4"/>
  <c r="K96" i="4"/>
  <c r="I96" i="4"/>
  <c r="G96" i="4"/>
  <c r="E96" i="4"/>
  <c r="C96" i="4"/>
  <c r="CS95" i="4"/>
  <c r="CI95" i="4"/>
  <c r="CG95" i="4"/>
  <c r="CE95" i="4"/>
  <c r="CC95" i="4"/>
  <c r="BY95" i="4"/>
  <c r="BW95" i="4"/>
  <c r="BS95" i="4"/>
  <c r="BP95" i="4"/>
  <c r="BN95" i="4"/>
  <c r="BJ95" i="4"/>
  <c r="BH95" i="4"/>
  <c r="BF95" i="4"/>
  <c r="AY95" i="4"/>
  <c r="AV95" i="4"/>
  <c r="AP95" i="4"/>
  <c r="AN95" i="4"/>
  <c r="AL95" i="4"/>
  <c r="AJ95" i="4"/>
  <c r="AG95" i="4"/>
  <c r="Z95" i="4"/>
  <c r="X95" i="4"/>
  <c r="V95" i="4"/>
  <c r="M95" i="4"/>
  <c r="K95" i="4"/>
  <c r="I95" i="4"/>
  <c r="G95" i="4"/>
  <c r="E95" i="4"/>
  <c r="C95" i="4"/>
  <c r="CS94" i="4"/>
  <c r="CI94" i="4"/>
  <c r="CG94" i="4"/>
  <c r="CE94" i="4"/>
  <c r="CC94" i="4"/>
  <c r="BY94" i="4"/>
  <c r="BW94" i="4"/>
  <c r="BS94" i="4"/>
  <c r="BP94" i="4"/>
  <c r="BN94" i="4"/>
  <c r="BJ94" i="4"/>
  <c r="BH94" i="4"/>
  <c r="BF94" i="4"/>
  <c r="AY94" i="4"/>
  <c r="AV94" i="4"/>
  <c r="AP94" i="4"/>
  <c r="AN94" i="4"/>
  <c r="AL94" i="4"/>
  <c r="AJ94" i="4"/>
  <c r="AG94" i="4"/>
  <c r="Z94" i="4"/>
  <c r="X94" i="4"/>
  <c r="V94" i="4"/>
  <c r="M94" i="4"/>
  <c r="K94" i="4"/>
  <c r="I94" i="4"/>
  <c r="G94" i="4"/>
  <c r="E94" i="4"/>
  <c r="C94" i="4"/>
  <c r="CS93" i="4"/>
  <c r="CI93" i="4"/>
  <c r="CG93" i="4"/>
  <c r="CE93" i="4"/>
  <c r="CC93" i="4"/>
  <c r="BY93" i="4"/>
  <c r="BW93" i="4"/>
  <c r="BS93" i="4"/>
  <c r="BP93" i="4"/>
  <c r="BN93" i="4"/>
  <c r="BJ93" i="4"/>
  <c r="BH93" i="4"/>
  <c r="BF93" i="4"/>
  <c r="AY93" i="4"/>
  <c r="AV93" i="4"/>
  <c r="AP93" i="4"/>
  <c r="AN93" i="4"/>
  <c r="AL93" i="4"/>
  <c r="AJ93" i="4"/>
  <c r="AG93" i="4"/>
  <c r="Z93" i="4"/>
  <c r="X93" i="4"/>
  <c r="V93" i="4"/>
  <c r="M93" i="4"/>
  <c r="K93" i="4"/>
  <c r="I93" i="4"/>
  <c r="G93" i="4"/>
  <c r="E93" i="4"/>
  <c r="C93" i="4"/>
  <c r="CS92" i="4"/>
  <c r="CI92" i="4"/>
  <c r="CG92" i="4"/>
  <c r="CE92" i="4"/>
  <c r="CC92" i="4"/>
  <c r="BY92" i="4"/>
  <c r="BW92" i="4"/>
  <c r="BS92" i="4"/>
  <c r="BP92" i="4"/>
  <c r="BN92" i="4"/>
  <c r="BJ92" i="4"/>
  <c r="BH92" i="4"/>
  <c r="BF92" i="4"/>
  <c r="AY92" i="4"/>
  <c r="AV92" i="4"/>
  <c r="AP92" i="4"/>
  <c r="AN92" i="4"/>
  <c r="AL92" i="4"/>
  <c r="AJ92" i="4"/>
  <c r="AG92" i="4"/>
  <c r="Z92" i="4"/>
  <c r="X92" i="4"/>
  <c r="V92" i="4"/>
  <c r="M92" i="4"/>
  <c r="K92" i="4"/>
  <c r="I92" i="4"/>
  <c r="G92" i="4"/>
  <c r="E92" i="4"/>
  <c r="C92" i="4"/>
  <c r="CS91" i="4"/>
  <c r="CI91" i="4"/>
  <c r="CG91" i="4"/>
  <c r="CE91" i="4"/>
  <c r="CC91" i="4"/>
  <c r="BY91" i="4"/>
  <c r="BW91" i="4"/>
  <c r="BS91" i="4"/>
  <c r="BP91" i="4"/>
  <c r="BN91" i="4"/>
  <c r="BJ91" i="4"/>
  <c r="BH91" i="4"/>
  <c r="BF91" i="4"/>
  <c r="AY91" i="4"/>
  <c r="AV91" i="4"/>
  <c r="AP91" i="4"/>
  <c r="AN91" i="4"/>
  <c r="AL91" i="4"/>
  <c r="AJ91" i="4"/>
  <c r="AG91" i="4"/>
  <c r="Z91" i="4"/>
  <c r="X91" i="4"/>
  <c r="V91" i="4"/>
  <c r="M91" i="4"/>
  <c r="K91" i="4"/>
  <c r="I91" i="4"/>
  <c r="G91" i="4"/>
  <c r="E91" i="4"/>
  <c r="C91" i="4"/>
  <c r="CS90" i="4"/>
  <c r="CI90" i="4"/>
  <c r="CG90" i="4"/>
  <c r="CE90" i="4"/>
  <c r="CC90" i="4"/>
  <c r="BY90" i="4"/>
  <c r="BW90" i="4"/>
  <c r="BS90" i="4"/>
  <c r="BP90" i="4"/>
  <c r="BN90" i="4"/>
  <c r="BJ90" i="4"/>
  <c r="BH90" i="4"/>
  <c r="BF90" i="4"/>
  <c r="AY90" i="4"/>
  <c r="AV90" i="4"/>
  <c r="AP90" i="4"/>
  <c r="AN90" i="4"/>
  <c r="AL90" i="4"/>
  <c r="AJ90" i="4"/>
  <c r="AG90" i="4"/>
  <c r="Z90" i="4"/>
  <c r="X90" i="4"/>
  <c r="V90" i="4"/>
  <c r="M90" i="4"/>
  <c r="K90" i="4"/>
  <c r="I90" i="4"/>
  <c r="G90" i="4"/>
  <c r="E90" i="4"/>
  <c r="C90" i="4"/>
  <c r="CS89" i="4"/>
  <c r="CI89" i="4"/>
  <c r="CG89" i="4"/>
  <c r="CE89" i="4"/>
  <c r="CC89" i="4"/>
  <c r="BY89" i="4"/>
  <c r="BW89" i="4"/>
  <c r="BS89" i="4"/>
  <c r="BP89" i="4"/>
  <c r="BN89" i="4"/>
  <c r="BJ89" i="4"/>
  <c r="BH89" i="4"/>
  <c r="BF89" i="4"/>
  <c r="AY89" i="4"/>
  <c r="AV89" i="4"/>
  <c r="AP89" i="4"/>
  <c r="AN89" i="4"/>
  <c r="AL89" i="4"/>
  <c r="AJ89" i="4"/>
  <c r="AG89" i="4"/>
  <c r="Z89" i="4"/>
  <c r="X89" i="4"/>
  <c r="V89" i="4"/>
  <c r="M89" i="4"/>
  <c r="K89" i="4"/>
  <c r="I89" i="4"/>
  <c r="G89" i="4"/>
  <c r="E89" i="4"/>
  <c r="C89" i="4"/>
  <c r="CS88" i="4"/>
  <c r="CI88" i="4"/>
  <c r="CG88" i="4"/>
  <c r="CE88" i="4"/>
  <c r="CC88" i="4"/>
  <c r="BY88" i="4"/>
  <c r="BW88" i="4"/>
  <c r="BS88" i="4"/>
  <c r="BP88" i="4"/>
  <c r="BN88" i="4"/>
  <c r="BJ88" i="4"/>
  <c r="BH88" i="4"/>
  <c r="BF88" i="4"/>
  <c r="AY88" i="4"/>
  <c r="AV88" i="4"/>
  <c r="AP88" i="4"/>
  <c r="AN88" i="4"/>
  <c r="AL88" i="4"/>
  <c r="AJ88" i="4"/>
  <c r="AG88" i="4"/>
  <c r="Z88" i="4"/>
  <c r="X88" i="4"/>
  <c r="V88" i="4"/>
  <c r="M88" i="4"/>
  <c r="K88" i="4"/>
  <c r="I88" i="4"/>
  <c r="G88" i="4"/>
  <c r="E88" i="4"/>
  <c r="C88" i="4"/>
  <c r="CS87" i="4"/>
  <c r="CI87" i="4"/>
  <c r="CG87" i="4"/>
  <c r="CE87" i="4"/>
  <c r="CC87" i="4"/>
  <c r="BY87" i="4"/>
  <c r="BW87" i="4"/>
  <c r="BS87" i="4"/>
  <c r="BP87" i="4"/>
  <c r="BN87" i="4"/>
  <c r="BJ87" i="4"/>
  <c r="BH87" i="4"/>
  <c r="BF87" i="4"/>
  <c r="AY87" i="4"/>
  <c r="AV87" i="4"/>
  <c r="AP87" i="4"/>
  <c r="AN87" i="4"/>
  <c r="AL87" i="4"/>
  <c r="AJ87" i="4"/>
  <c r="AG87" i="4"/>
  <c r="Z87" i="4"/>
  <c r="X87" i="4"/>
  <c r="V87" i="4"/>
  <c r="M87" i="4"/>
  <c r="K87" i="4"/>
  <c r="I87" i="4"/>
  <c r="G87" i="4"/>
  <c r="E87" i="4"/>
  <c r="C87" i="4"/>
  <c r="CS86" i="4"/>
  <c r="CI86" i="4"/>
  <c r="CG86" i="4"/>
  <c r="CE86" i="4"/>
  <c r="CC86" i="4"/>
  <c r="BY86" i="4"/>
  <c r="BW86" i="4"/>
  <c r="BS86" i="4"/>
  <c r="BP86" i="4"/>
  <c r="BN86" i="4"/>
  <c r="BJ86" i="4"/>
  <c r="BH86" i="4"/>
  <c r="BF86" i="4"/>
  <c r="AY86" i="4"/>
  <c r="AV86" i="4"/>
  <c r="AP86" i="4"/>
  <c r="AN86" i="4"/>
  <c r="AL86" i="4"/>
  <c r="AJ86" i="4"/>
  <c r="AG86" i="4"/>
  <c r="Z86" i="4"/>
  <c r="X86" i="4"/>
  <c r="V86" i="4"/>
  <c r="M86" i="4"/>
  <c r="K86" i="4"/>
  <c r="I86" i="4"/>
  <c r="G86" i="4"/>
  <c r="E86" i="4"/>
  <c r="C86" i="4"/>
  <c r="CS85" i="4"/>
  <c r="CI85" i="4"/>
  <c r="CG85" i="4"/>
  <c r="CE85" i="4"/>
  <c r="CC85" i="4"/>
  <c r="BY85" i="4"/>
  <c r="BW85" i="4"/>
  <c r="BS85" i="4"/>
  <c r="BP85" i="4"/>
  <c r="BN85" i="4"/>
  <c r="BJ85" i="4"/>
  <c r="BH85" i="4"/>
  <c r="BF85" i="4"/>
  <c r="AY85" i="4"/>
  <c r="AV85" i="4"/>
  <c r="AP85" i="4"/>
  <c r="AN85" i="4"/>
  <c r="AL85" i="4"/>
  <c r="AJ85" i="4"/>
  <c r="AG85" i="4"/>
  <c r="Z85" i="4"/>
  <c r="X85" i="4"/>
  <c r="V85" i="4"/>
  <c r="M85" i="4"/>
  <c r="K85" i="4"/>
  <c r="I85" i="4"/>
  <c r="G85" i="4"/>
  <c r="E85" i="4"/>
  <c r="C85" i="4"/>
  <c r="CS84" i="4"/>
  <c r="CI84" i="4"/>
  <c r="CG84" i="4"/>
  <c r="CE84" i="4"/>
  <c r="CC84" i="4"/>
  <c r="BY84" i="4"/>
  <c r="BW84" i="4"/>
  <c r="BS84" i="4"/>
  <c r="BP84" i="4"/>
  <c r="BN84" i="4"/>
  <c r="BJ84" i="4"/>
  <c r="BH84" i="4"/>
  <c r="BF84" i="4"/>
  <c r="AY84" i="4"/>
  <c r="AV84" i="4"/>
  <c r="AP84" i="4"/>
  <c r="AN84" i="4"/>
  <c r="AL84" i="4"/>
  <c r="AJ84" i="4"/>
  <c r="AG84" i="4"/>
  <c r="Z84" i="4"/>
  <c r="X84" i="4"/>
  <c r="V84" i="4"/>
  <c r="M84" i="4"/>
  <c r="K84" i="4"/>
  <c r="I84" i="4"/>
  <c r="G84" i="4"/>
  <c r="E84" i="4"/>
  <c r="C84" i="4"/>
  <c r="CS83" i="4"/>
  <c r="CI83" i="4"/>
  <c r="CG83" i="4"/>
  <c r="CE83" i="4"/>
  <c r="CC83" i="4"/>
  <c r="BY83" i="4"/>
  <c r="BW83" i="4"/>
  <c r="BS83" i="4"/>
  <c r="BP83" i="4"/>
  <c r="BN83" i="4"/>
  <c r="BJ83" i="4"/>
  <c r="BH83" i="4"/>
  <c r="BF83" i="4"/>
  <c r="AY83" i="4"/>
  <c r="AV83" i="4"/>
  <c r="AP83" i="4"/>
  <c r="AN83" i="4"/>
  <c r="AL83" i="4"/>
  <c r="AJ83" i="4"/>
  <c r="AG83" i="4"/>
  <c r="Z83" i="4"/>
  <c r="X83" i="4"/>
  <c r="V83" i="4"/>
  <c r="M83" i="4"/>
  <c r="K83" i="4"/>
  <c r="I83" i="4"/>
  <c r="G83" i="4"/>
  <c r="E83" i="4"/>
  <c r="C83" i="4"/>
  <c r="CS82" i="4"/>
  <c r="CI82" i="4"/>
  <c r="CG82" i="4"/>
  <c r="CE82" i="4"/>
  <c r="CC82" i="4"/>
  <c r="BY82" i="4"/>
  <c r="BW82" i="4"/>
  <c r="BS82" i="4"/>
  <c r="BP82" i="4"/>
  <c r="BN82" i="4"/>
  <c r="BJ82" i="4"/>
  <c r="BH82" i="4"/>
  <c r="BF82" i="4"/>
  <c r="AY82" i="4"/>
  <c r="AV82" i="4"/>
  <c r="AP82" i="4"/>
  <c r="AN82" i="4"/>
  <c r="AL82" i="4"/>
  <c r="AJ82" i="4"/>
  <c r="AG82" i="4"/>
  <c r="Z82" i="4"/>
  <c r="X82" i="4"/>
  <c r="V82" i="4"/>
  <c r="M82" i="4"/>
  <c r="K82" i="4"/>
  <c r="I82" i="4"/>
  <c r="G82" i="4"/>
  <c r="E82" i="4"/>
  <c r="C82" i="4"/>
  <c r="CS81" i="4"/>
  <c r="CI81" i="4"/>
  <c r="CG81" i="4"/>
  <c r="CE81" i="4"/>
  <c r="CC81" i="4"/>
  <c r="BY81" i="4"/>
  <c r="BW81" i="4"/>
  <c r="BS81" i="4"/>
  <c r="BP81" i="4"/>
  <c r="BN81" i="4"/>
  <c r="BJ81" i="4"/>
  <c r="BH81" i="4"/>
  <c r="BF81" i="4"/>
  <c r="AY81" i="4"/>
  <c r="AV81" i="4"/>
  <c r="AP81" i="4"/>
  <c r="AN81" i="4"/>
  <c r="AL81" i="4"/>
  <c r="AJ81" i="4"/>
  <c r="AG81" i="4"/>
  <c r="Z81" i="4"/>
  <c r="X81" i="4"/>
  <c r="V81" i="4"/>
  <c r="M81" i="4"/>
  <c r="K81" i="4"/>
  <c r="I81" i="4"/>
  <c r="G81" i="4"/>
  <c r="E81" i="4"/>
  <c r="C81" i="4"/>
  <c r="CS80" i="4"/>
  <c r="CI80" i="4"/>
  <c r="CG80" i="4"/>
  <c r="CE80" i="4"/>
  <c r="CC80" i="4"/>
  <c r="BY80" i="4"/>
  <c r="BW80" i="4"/>
  <c r="BS80" i="4"/>
  <c r="BP80" i="4"/>
  <c r="BN80" i="4"/>
  <c r="BJ80" i="4"/>
  <c r="BH80" i="4"/>
  <c r="BF80" i="4"/>
  <c r="AY80" i="4"/>
  <c r="AV80" i="4"/>
  <c r="AP80" i="4"/>
  <c r="AN80" i="4"/>
  <c r="AL80" i="4"/>
  <c r="AJ80" i="4"/>
  <c r="AG80" i="4"/>
  <c r="Z80" i="4"/>
  <c r="X80" i="4"/>
  <c r="V80" i="4"/>
  <c r="M80" i="4"/>
  <c r="K80" i="4"/>
  <c r="I80" i="4"/>
  <c r="G80" i="4"/>
  <c r="E80" i="4"/>
  <c r="C80" i="4"/>
  <c r="CS79" i="4"/>
  <c r="CI79" i="4"/>
  <c r="CG79" i="4"/>
  <c r="CE79" i="4"/>
  <c r="CC79" i="4"/>
  <c r="BY79" i="4"/>
  <c r="BW79" i="4"/>
  <c r="BS79" i="4"/>
  <c r="BP79" i="4"/>
  <c r="BN79" i="4"/>
  <c r="BJ79" i="4"/>
  <c r="BH79" i="4"/>
  <c r="BF79" i="4"/>
  <c r="AY79" i="4"/>
  <c r="AV79" i="4"/>
  <c r="AP79" i="4"/>
  <c r="AN79" i="4"/>
  <c r="AL79" i="4"/>
  <c r="AJ79" i="4"/>
  <c r="AG79" i="4"/>
  <c r="Z79" i="4"/>
  <c r="X79" i="4"/>
  <c r="V79" i="4"/>
  <c r="M79" i="4"/>
  <c r="K79" i="4"/>
  <c r="I79" i="4"/>
  <c r="G79" i="4"/>
  <c r="E79" i="4"/>
  <c r="C79" i="4"/>
  <c r="CS78" i="4"/>
  <c r="CI78" i="4"/>
  <c r="CG78" i="4"/>
  <c r="CE78" i="4"/>
  <c r="CC78" i="4"/>
  <c r="BY78" i="4"/>
  <c r="BW78" i="4"/>
  <c r="BS78" i="4"/>
  <c r="BP78" i="4"/>
  <c r="BN78" i="4"/>
  <c r="BJ78" i="4"/>
  <c r="BH78" i="4"/>
  <c r="BF78" i="4"/>
  <c r="AY78" i="4"/>
  <c r="AV78" i="4"/>
  <c r="AP78" i="4"/>
  <c r="AN78" i="4"/>
  <c r="AL78" i="4"/>
  <c r="AJ78" i="4"/>
  <c r="AG78" i="4"/>
  <c r="Z78" i="4"/>
  <c r="X78" i="4"/>
  <c r="V78" i="4"/>
  <c r="M78" i="4"/>
  <c r="K78" i="4"/>
  <c r="I78" i="4"/>
  <c r="G78" i="4"/>
  <c r="E78" i="4"/>
  <c r="C78" i="4"/>
  <c r="CS77" i="4"/>
  <c r="CI77" i="4"/>
  <c r="CG77" i="4"/>
  <c r="CE77" i="4"/>
  <c r="CC77" i="4"/>
  <c r="BY77" i="4"/>
  <c r="BW77" i="4"/>
  <c r="BS77" i="4"/>
  <c r="BP77" i="4"/>
  <c r="BN77" i="4"/>
  <c r="BJ77" i="4"/>
  <c r="BH77" i="4"/>
  <c r="BF77" i="4"/>
  <c r="AY77" i="4"/>
  <c r="AV77" i="4"/>
  <c r="AP77" i="4"/>
  <c r="AN77" i="4"/>
  <c r="AL77" i="4"/>
  <c r="AJ77" i="4"/>
  <c r="AG77" i="4"/>
  <c r="Z77" i="4"/>
  <c r="X77" i="4"/>
  <c r="V77" i="4"/>
  <c r="M77" i="4"/>
  <c r="K77" i="4"/>
  <c r="I77" i="4"/>
  <c r="G77" i="4"/>
  <c r="E77" i="4"/>
  <c r="C77" i="4"/>
  <c r="CS76" i="4"/>
  <c r="CI76" i="4"/>
  <c r="CG76" i="4"/>
  <c r="CE76" i="4"/>
  <c r="CC76" i="4"/>
  <c r="BY76" i="4"/>
  <c r="BW76" i="4"/>
  <c r="BS76" i="4"/>
  <c r="BP76" i="4"/>
  <c r="BN76" i="4"/>
  <c r="BJ76" i="4"/>
  <c r="BH76" i="4"/>
  <c r="BF76" i="4"/>
  <c r="AY76" i="4"/>
  <c r="AV76" i="4"/>
  <c r="AP76" i="4"/>
  <c r="AN76" i="4"/>
  <c r="AL76" i="4"/>
  <c r="AJ76" i="4"/>
  <c r="AG76" i="4"/>
  <c r="Z76" i="4"/>
  <c r="X76" i="4"/>
  <c r="V76" i="4"/>
  <c r="M76" i="4"/>
  <c r="K76" i="4"/>
  <c r="I76" i="4"/>
  <c r="G76" i="4"/>
  <c r="E76" i="4"/>
  <c r="C76" i="4"/>
  <c r="CS75" i="4"/>
  <c r="CI75" i="4"/>
  <c r="CG75" i="4"/>
  <c r="CE75" i="4"/>
  <c r="CC75" i="4"/>
  <c r="BY75" i="4"/>
  <c r="BW75" i="4"/>
  <c r="BS75" i="4"/>
  <c r="BP75" i="4"/>
  <c r="BN75" i="4"/>
  <c r="BJ75" i="4"/>
  <c r="BH75" i="4"/>
  <c r="BF75" i="4"/>
  <c r="AY75" i="4"/>
  <c r="AV75" i="4"/>
  <c r="AP75" i="4"/>
  <c r="AN75" i="4"/>
  <c r="AL75" i="4"/>
  <c r="AJ75" i="4"/>
  <c r="AG75" i="4"/>
  <c r="Z75" i="4"/>
  <c r="X75" i="4"/>
  <c r="V75" i="4"/>
  <c r="M75" i="4"/>
  <c r="K75" i="4"/>
  <c r="I75" i="4"/>
  <c r="G75" i="4"/>
  <c r="E75" i="4"/>
  <c r="C75" i="4"/>
  <c r="CS74" i="4"/>
  <c r="CI74" i="4"/>
  <c r="CG74" i="4"/>
  <c r="CE74" i="4"/>
  <c r="CC74" i="4"/>
  <c r="BY74" i="4"/>
  <c r="BW74" i="4"/>
  <c r="BS74" i="4"/>
  <c r="BP74" i="4"/>
  <c r="BN74" i="4"/>
  <c r="BJ74" i="4"/>
  <c r="BH74" i="4"/>
  <c r="BF74" i="4"/>
  <c r="AY74" i="4"/>
  <c r="AV74" i="4"/>
  <c r="AP74" i="4"/>
  <c r="AN74" i="4"/>
  <c r="AL74" i="4"/>
  <c r="AJ74" i="4"/>
  <c r="AG74" i="4"/>
  <c r="Z74" i="4"/>
  <c r="X74" i="4"/>
  <c r="V74" i="4"/>
  <c r="M74" i="4"/>
  <c r="K74" i="4"/>
  <c r="I74" i="4"/>
  <c r="G74" i="4"/>
  <c r="E74" i="4"/>
  <c r="C74" i="4"/>
  <c r="CS73" i="4"/>
  <c r="CI73" i="4"/>
  <c r="CG73" i="4"/>
  <c r="CE73" i="4"/>
  <c r="CC73" i="4"/>
  <c r="BY73" i="4"/>
  <c r="BW73" i="4"/>
  <c r="BS73" i="4"/>
  <c r="BP73" i="4"/>
  <c r="BN73" i="4"/>
  <c r="BJ73" i="4"/>
  <c r="BH73" i="4"/>
  <c r="BF73" i="4"/>
  <c r="AY73" i="4"/>
  <c r="AV73" i="4"/>
  <c r="AP73" i="4"/>
  <c r="AN73" i="4"/>
  <c r="AL73" i="4"/>
  <c r="AJ73" i="4"/>
  <c r="AG73" i="4"/>
  <c r="Z73" i="4"/>
  <c r="X73" i="4"/>
  <c r="V73" i="4"/>
  <c r="M73" i="4"/>
  <c r="K73" i="4"/>
  <c r="I73" i="4"/>
  <c r="G73" i="4"/>
  <c r="E73" i="4"/>
  <c r="C73" i="4"/>
  <c r="CS72" i="4"/>
  <c r="CI72" i="4"/>
  <c r="CG72" i="4"/>
  <c r="CE72" i="4"/>
  <c r="CC72" i="4"/>
  <c r="BY72" i="4"/>
  <c r="BW72" i="4"/>
  <c r="BS72" i="4"/>
  <c r="BP72" i="4"/>
  <c r="BN72" i="4"/>
  <c r="BJ72" i="4"/>
  <c r="BH72" i="4"/>
  <c r="BF72" i="4"/>
  <c r="AY72" i="4"/>
  <c r="AV72" i="4"/>
  <c r="AP72" i="4"/>
  <c r="AN72" i="4"/>
  <c r="AL72" i="4"/>
  <c r="AJ72" i="4"/>
  <c r="AG72" i="4"/>
  <c r="Z72" i="4"/>
  <c r="X72" i="4"/>
  <c r="V72" i="4"/>
  <c r="M72" i="4"/>
  <c r="K72" i="4"/>
  <c r="I72" i="4"/>
  <c r="G72" i="4"/>
  <c r="E72" i="4"/>
  <c r="C72" i="4"/>
  <c r="CS71" i="4"/>
  <c r="CI71" i="4"/>
  <c r="CG71" i="4"/>
  <c r="CE71" i="4"/>
  <c r="CC71" i="4"/>
  <c r="BY71" i="4"/>
  <c r="BW71" i="4"/>
  <c r="BS71" i="4"/>
  <c r="BP71" i="4"/>
  <c r="BN71" i="4"/>
  <c r="BJ71" i="4"/>
  <c r="BH71" i="4"/>
  <c r="BF71" i="4"/>
  <c r="AY71" i="4"/>
  <c r="AV71" i="4"/>
  <c r="AP71" i="4"/>
  <c r="AN71" i="4"/>
  <c r="AL71" i="4"/>
  <c r="AJ71" i="4"/>
  <c r="AG71" i="4"/>
  <c r="Z71" i="4"/>
  <c r="X71" i="4"/>
  <c r="V71" i="4"/>
  <c r="M71" i="4"/>
  <c r="K71" i="4"/>
  <c r="I71" i="4"/>
  <c r="G71" i="4"/>
  <c r="E71" i="4"/>
  <c r="C71" i="4"/>
  <c r="CS70" i="4"/>
  <c r="CI70" i="4"/>
  <c r="CG70" i="4"/>
  <c r="CE70" i="4"/>
  <c r="CC70" i="4"/>
  <c r="BY70" i="4"/>
  <c r="BW70" i="4"/>
  <c r="BS70" i="4"/>
  <c r="BP70" i="4"/>
  <c r="BN70" i="4"/>
  <c r="BJ70" i="4"/>
  <c r="BH70" i="4"/>
  <c r="BF70" i="4"/>
  <c r="AY70" i="4"/>
  <c r="AV70" i="4"/>
  <c r="AP70" i="4"/>
  <c r="AN70" i="4"/>
  <c r="AL70" i="4"/>
  <c r="AJ70" i="4"/>
  <c r="AG70" i="4"/>
  <c r="Z70" i="4"/>
  <c r="X70" i="4"/>
  <c r="V70" i="4"/>
  <c r="M70" i="4"/>
  <c r="K70" i="4"/>
  <c r="I70" i="4"/>
  <c r="G70" i="4"/>
  <c r="E70" i="4"/>
  <c r="C70" i="4"/>
  <c r="CS69" i="4"/>
  <c r="CI69" i="4"/>
  <c r="CG69" i="4"/>
  <c r="CE69" i="4"/>
  <c r="CC69" i="4"/>
  <c r="BY69" i="4"/>
  <c r="BW69" i="4"/>
  <c r="BS69" i="4"/>
  <c r="BP69" i="4"/>
  <c r="BN69" i="4"/>
  <c r="BJ69" i="4"/>
  <c r="BH69" i="4"/>
  <c r="BF69" i="4"/>
  <c r="AY69" i="4"/>
  <c r="AV69" i="4"/>
  <c r="AP69" i="4"/>
  <c r="AN69" i="4"/>
  <c r="AL69" i="4"/>
  <c r="AJ69" i="4"/>
  <c r="AG69" i="4"/>
  <c r="Z69" i="4"/>
  <c r="X69" i="4"/>
  <c r="V69" i="4"/>
  <c r="M69" i="4"/>
  <c r="K69" i="4"/>
  <c r="I69" i="4"/>
  <c r="G69" i="4"/>
  <c r="E69" i="4"/>
  <c r="C69" i="4"/>
  <c r="CS68" i="4"/>
  <c r="CI68" i="4"/>
  <c r="CG68" i="4"/>
  <c r="CE68" i="4"/>
  <c r="CC68" i="4"/>
  <c r="BY68" i="4"/>
  <c r="BW68" i="4"/>
  <c r="BS68" i="4"/>
  <c r="BP68" i="4"/>
  <c r="BN68" i="4"/>
  <c r="BJ68" i="4"/>
  <c r="BH68" i="4"/>
  <c r="BF68" i="4"/>
  <c r="AY68" i="4"/>
  <c r="AV68" i="4"/>
  <c r="AP68" i="4"/>
  <c r="AN68" i="4"/>
  <c r="AL68" i="4"/>
  <c r="AJ68" i="4"/>
  <c r="AG68" i="4"/>
  <c r="Z68" i="4"/>
  <c r="X68" i="4"/>
  <c r="V68" i="4"/>
  <c r="M68" i="4"/>
  <c r="K68" i="4"/>
  <c r="I68" i="4"/>
  <c r="G68" i="4"/>
  <c r="E68" i="4"/>
  <c r="C68" i="4"/>
  <c r="CS67" i="4"/>
  <c r="CI67" i="4"/>
  <c r="CG67" i="4"/>
  <c r="CE67" i="4"/>
  <c r="CC67" i="4"/>
  <c r="BY67" i="4"/>
  <c r="BW67" i="4"/>
  <c r="BS67" i="4"/>
  <c r="BP67" i="4"/>
  <c r="BN67" i="4"/>
  <c r="BJ67" i="4"/>
  <c r="BH67" i="4"/>
  <c r="BF67" i="4"/>
  <c r="AY67" i="4"/>
  <c r="AV67" i="4"/>
  <c r="AP67" i="4"/>
  <c r="AN67" i="4"/>
  <c r="AL67" i="4"/>
  <c r="AJ67" i="4"/>
  <c r="AG67" i="4"/>
  <c r="Z67" i="4"/>
  <c r="X67" i="4"/>
  <c r="V67" i="4"/>
  <c r="M67" i="4"/>
  <c r="K67" i="4"/>
  <c r="I67" i="4"/>
  <c r="G67" i="4"/>
  <c r="E67" i="4"/>
  <c r="C67" i="4"/>
  <c r="CS66" i="4"/>
  <c r="CI66" i="4"/>
  <c r="CG66" i="4"/>
  <c r="CE66" i="4"/>
  <c r="CC66" i="4"/>
  <c r="BY66" i="4"/>
  <c r="BW66" i="4"/>
  <c r="BS66" i="4"/>
  <c r="BP66" i="4"/>
  <c r="BN66" i="4"/>
  <c r="BJ66" i="4"/>
  <c r="BH66" i="4"/>
  <c r="BF66" i="4"/>
  <c r="AY66" i="4"/>
  <c r="AV66" i="4"/>
  <c r="AP66" i="4"/>
  <c r="AN66" i="4"/>
  <c r="AL66" i="4"/>
  <c r="AJ66" i="4"/>
  <c r="AG66" i="4"/>
  <c r="Z66" i="4"/>
  <c r="X66" i="4"/>
  <c r="V66" i="4"/>
  <c r="M66" i="4"/>
  <c r="K66" i="4"/>
  <c r="I66" i="4"/>
  <c r="G66" i="4"/>
  <c r="E66" i="4"/>
  <c r="C66" i="4"/>
  <c r="CS65" i="4"/>
  <c r="CI65" i="4"/>
  <c r="CG65" i="4"/>
  <c r="CE65" i="4"/>
  <c r="CC65" i="4"/>
  <c r="BY65" i="4"/>
  <c r="BW65" i="4"/>
  <c r="BS65" i="4"/>
  <c r="BP65" i="4"/>
  <c r="BN65" i="4"/>
  <c r="BJ65" i="4"/>
  <c r="BH65" i="4"/>
  <c r="BF65" i="4"/>
  <c r="AY65" i="4"/>
  <c r="AV65" i="4"/>
  <c r="AP65" i="4"/>
  <c r="AN65" i="4"/>
  <c r="AL65" i="4"/>
  <c r="AJ65" i="4"/>
  <c r="AG65" i="4"/>
  <c r="Z65" i="4"/>
  <c r="X65" i="4"/>
  <c r="V65" i="4"/>
  <c r="M65" i="4"/>
  <c r="K65" i="4"/>
  <c r="I65" i="4"/>
  <c r="G65" i="4"/>
  <c r="E65" i="4"/>
  <c r="C65" i="4"/>
  <c r="CS64" i="4"/>
  <c r="CI64" i="4"/>
  <c r="CG64" i="4"/>
  <c r="CE64" i="4"/>
  <c r="CC64" i="4"/>
  <c r="BY64" i="4"/>
  <c r="BW64" i="4"/>
  <c r="BS64" i="4"/>
  <c r="BP64" i="4"/>
  <c r="BN64" i="4"/>
  <c r="BJ64" i="4"/>
  <c r="BH64" i="4"/>
  <c r="BF64" i="4"/>
  <c r="AY64" i="4"/>
  <c r="AV64" i="4"/>
  <c r="AP64" i="4"/>
  <c r="AN64" i="4"/>
  <c r="AL64" i="4"/>
  <c r="AJ64" i="4"/>
  <c r="AG64" i="4"/>
  <c r="Z64" i="4"/>
  <c r="X64" i="4"/>
  <c r="V64" i="4"/>
  <c r="M64" i="4"/>
  <c r="K64" i="4"/>
  <c r="I64" i="4"/>
  <c r="G64" i="4"/>
  <c r="E64" i="4"/>
  <c r="C64" i="4"/>
  <c r="CS63" i="4"/>
  <c r="CI63" i="4"/>
  <c r="CG63" i="4"/>
  <c r="CE63" i="4"/>
  <c r="CC63" i="4"/>
  <c r="BY63" i="4"/>
  <c r="BW63" i="4"/>
  <c r="BS63" i="4"/>
  <c r="BP63" i="4"/>
  <c r="BN63" i="4"/>
  <c r="BJ63" i="4"/>
  <c r="BH63" i="4"/>
  <c r="BF63" i="4"/>
  <c r="AY63" i="4"/>
  <c r="AV63" i="4"/>
  <c r="AP63" i="4"/>
  <c r="AN63" i="4"/>
  <c r="AL63" i="4"/>
  <c r="AJ63" i="4"/>
  <c r="AG63" i="4"/>
  <c r="Z63" i="4"/>
  <c r="X63" i="4"/>
  <c r="V63" i="4"/>
  <c r="M63" i="4"/>
  <c r="K63" i="4"/>
  <c r="I63" i="4"/>
  <c r="G63" i="4"/>
  <c r="E63" i="4"/>
  <c r="C63" i="4"/>
  <c r="CS62" i="4"/>
  <c r="CI62" i="4"/>
  <c r="CG62" i="4"/>
  <c r="CE62" i="4"/>
  <c r="CC62" i="4"/>
  <c r="BY62" i="4"/>
  <c r="BW62" i="4"/>
  <c r="BS62" i="4"/>
  <c r="BP62" i="4"/>
  <c r="BN62" i="4"/>
  <c r="BJ62" i="4"/>
  <c r="BH62" i="4"/>
  <c r="BF62" i="4"/>
  <c r="AY62" i="4"/>
  <c r="AV62" i="4"/>
  <c r="AP62" i="4"/>
  <c r="AN62" i="4"/>
  <c r="AL62" i="4"/>
  <c r="AJ62" i="4"/>
  <c r="AG62" i="4"/>
  <c r="Z62" i="4"/>
  <c r="X62" i="4"/>
  <c r="V62" i="4"/>
  <c r="M62" i="4"/>
  <c r="K62" i="4"/>
  <c r="I62" i="4"/>
  <c r="G62" i="4"/>
  <c r="E62" i="4"/>
  <c r="C62" i="4"/>
  <c r="CS61" i="4"/>
  <c r="CI61" i="4"/>
  <c r="CG61" i="4"/>
  <c r="CE61" i="4"/>
  <c r="CC61" i="4"/>
  <c r="BY61" i="4"/>
  <c r="BW61" i="4"/>
  <c r="BS61" i="4"/>
  <c r="BP61" i="4"/>
  <c r="BN61" i="4"/>
  <c r="BJ61" i="4"/>
  <c r="BH61" i="4"/>
  <c r="BF61" i="4"/>
  <c r="AY61" i="4"/>
  <c r="AV61" i="4"/>
  <c r="AP61" i="4"/>
  <c r="AN61" i="4"/>
  <c r="AL61" i="4"/>
  <c r="AJ61" i="4"/>
  <c r="AG61" i="4"/>
  <c r="Z61" i="4"/>
  <c r="X61" i="4"/>
  <c r="V61" i="4"/>
  <c r="M61" i="4"/>
  <c r="K61" i="4"/>
  <c r="I61" i="4"/>
  <c r="G61" i="4"/>
  <c r="E61" i="4"/>
  <c r="C61" i="4"/>
  <c r="CS60" i="4"/>
  <c r="CI60" i="4"/>
  <c r="CG60" i="4"/>
  <c r="CE60" i="4"/>
  <c r="CC60" i="4"/>
  <c r="BY60" i="4"/>
  <c r="BW60" i="4"/>
  <c r="BS60" i="4"/>
  <c r="BP60" i="4"/>
  <c r="BN60" i="4"/>
  <c r="BJ60" i="4"/>
  <c r="BH60" i="4"/>
  <c r="BF60" i="4"/>
  <c r="AY60" i="4"/>
  <c r="AV60" i="4"/>
  <c r="AP60" i="4"/>
  <c r="AN60" i="4"/>
  <c r="AL60" i="4"/>
  <c r="AJ60" i="4"/>
  <c r="AG60" i="4"/>
  <c r="Z60" i="4"/>
  <c r="X60" i="4"/>
  <c r="V60" i="4"/>
  <c r="M60" i="4"/>
  <c r="K60" i="4"/>
  <c r="I60" i="4"/>
  <c r="G60" i="4"/>
  <c r="E60" i="4"/>
  <c r="C60" i="4"/>
  <c r="CS59" i="4"/>
  <c r="CI59" i="4"/>
  <c r="CG59" i="4"/>
  <c r="CE59" i="4"/>
  <c r="CC59" i="4"/>
  <c r="BY59" i="4"/>
  <c r="BW59" i="4"/>
  <c r="BS59" i="4"/>
  <c r="BP59" i="4"/>
  <c r="BN59" i="4"/>
  <c r="BJ59" i="4"/>
  <c r="BH59" i="4"/>
  <c r="BF59" i="4"/>
  <c r="AY59" i="4"/>
  <c r="AV59" i="4"/>
  <c r="AP59" i="4"/>
  <c r="AN59" i="4"/>
  <c r="AL59" i="4"/>
  <c r="AJ59" i="4"/>
  <c r="AG59" i="4"/>
  <c r="Z59" i="4"/>
  <c r="X59" i="4"/>
  <c r="V59" i="4"/>
  <c r="M59" i="4"/>
  <c r="K59" i="4"/>
  <c r="I59" i="4"/>
  <c r="G59" i="4"/>
  <c r="E59" i="4"/>
  <c r="C59" i="4"/>
  <c r="CS58" i="4"/>
  <c r="CI58" i="4"/>
  <c r="CG58" i="4"/>
  <c r="CE58" i="4"/>
  <c r="CC58" i="4"/>
  <c r="BY58" i="4"/>
  <c r="BW58" i="4"/>
  <c r="BS58" i="4"/>
  <c r="BP58" i="4"/>
  <c r="BN58" i="4"/>
  <c r="BJ58" i="4"/>
  <c r="BH58" i="4"/>
  <c r="BF58" i="4"/>
  <c r="AY58" i="4"/>
  <c r="AV58" i="4"/>
  <c r="AP58" i="4"/>
  <c r="AN58" i="4"/>
  <c r="AL58" i="4"/>
  <c r="AJ58" i="4"/>
  <c r="AG58" i="4"/>
  <c r="Z58" i="4"/>
  <c r="X58" i="4"/>
  <c r="V58" i="4"/>
  <c r="M58" i="4"/>
  <c r="K58" i="4"/>
  <c r="I58" i="4"/>
  <c r="G58" i="4"/>
  <c r="E58" i="4"/>
  <c r="C58" i="4"/>
  <c r="CS57" i="4"/>
  <c r="CI57" i="4"/>
  <c r="CG57" i="4"/>
  <c r="CE57" i="4"/>
  <c r="CC57" i="4"/>
  <c r="BY57" i="4"/>
  <c r="BW57" i="4"/>
  <c r="BS57" i="4"/>
  <c r="BP57" i="4"/>
  <c r="BN57" i="4"/>
  <c r="BJ57" i="4"/>
  <c r="BH57" i="4"/>
  <c r="BF57" i="4"/>
  <c r="AY57" i="4"/>
  <c r="AV57" i="4"/>
  <c r="AP57" i="4"/>
  <c r="AN57" i="4"/>
  <c r="AL57" i="4"/>
  <c r="AJ57" i="4"/>
  <c r="AG57" i="4"/>
  <c r="Z57" i="4"/>
  <c r="X57" i="4"/>
  <c r="V57" i="4"/>
  <c r="M57" i="4"/>
  <c r="K57" i="4"/>
  <c r="I57" i="4"/>
  <c r="G57" i="4"/>
  <c r="E57" i="4"/>
  <c r="C57" i="4"/>
  <c r="CS56" i="4"/>
  <c r="CI56" i="4"/>
  <c r="CG56" i="4"/>
  <c r="CE56" i="4"/>
  <c r="CC56" i="4"/>
  <c r="BY56" i="4"/>
  <c r="BW56" i="4"/>
  <c r="BS56" i="4"/>
  <c r="BP56" i="4"/>
  <c r="BN56" i="4"/>
  <c r="BJ56" i="4"/>
  <c r="BH56" i="4"/>
  <c r="BF56" i="4"/>
  <c r="AY56" i="4"/>
  <c r="AV56" i="4"/>
  <c r="AP56" i="4"/>
  <c r="AN56" i="4"/>
  <c r="AL56" i="4"/>
  <c r="AJ56" i="4"/>
  <c r="AG56" i="4"/>
  <c r="Z56" i="4"/>
  <c r="X56" i="4"/>
  <c r="V56" i="4"/>
  <c r="M56" i="4"/>
  <c r="K56" i="4"/>
  <c r="I56" i="4"/>
  <c r="G56" i="4"/>
  <c r="E56" i="4"/>
  <c r="C56" i="4"/>
  <c r="CS55" i="4"/>
  <c r="CI55" i="4"/>
  <c r="CG55" i="4"/>
  <c r="CE55" i="4"/>
  <c r="CC55" i="4"/>
  <c r="BY55" i="4"/>
  <c r="BW55" i="4"/>
  <c r="BS55" i="4"/>
  <c r="BP55" i="4"/>
  <c r="BN55" i="4"/>
  <c r="BJ55" i="4"/>
  <c r="BH55" i="4"/>
  <c r="BF55" i="4"/>
  <c r="AY55" i="4"/>
  <c r="AV55" i="4"/>
  <c r="AP55" i="4"/>
  <c r="AN55" i="4"/>
  <c r="AL55" i="4"/>
  <c r="AJ55" i="4"/>
  <c r="AG55" i="4"/>
  <c r="Z55" i="4"/>
  <c r="X55" i="4"/>
  <c r="V55" i="4"/>
  <c r="M55" i="4"/>
  <c r="K55" i="4"/>
  <c r="I55" i="4"/>
  <c r="G55" i="4"/>
  <c r="E55" i="4"/>
  <c r="C55" i="4"/>
  <c r="CS54" i="4"/>
  <c r="CI54" i="4"/>
  <c r="CG54" i="4"/>
  <c r="CE54" i="4"/>
  <c r="CC54" i="4"/>
  <c r="BY54" i="4"/>
  <c r="BW54" i="4"/>
  <c r="BS54" i="4"/>
  <c r="BP54" i="4"/>
  <c r="BN54" i="4"/>
  <c r="BJ54" i="4"/>
  <c r="BH54" i="4"/>
  <c r="BF54" i="4"/>
  <c r="AY54" i="4"/>
  <c r="AV54" i="4"/>
  <c r="AP54" i="4"/>
  <c r="AN54" i="4"/>
  <c r="AL54" i="4"/>
  <c r="AJ54" i="4"/>
  <c r="AG54" i="4"/>
  <c r="Z54" i="4"/>
  <c r="X54" i="4"/>
  <c r="V54" i="4"/>
  <c r="M54" i="4"/>
  <c r="K54" i="4"/>
  <c r="I54" i="4"/>
  <c r="G54" i="4"/>
  <c r="E54" i="4"/>
  <c r="C54" i="4"/>
  <c r="CS53" i="4"/>
  <c r="CI53" i="4"/>
  <c r="CG53" i="4"/>
  <c r="CE53" i="4"/>
  <c r="CC53" i="4"/>
  <c r="BY53" i="4"/>
  <c r="BW53" i="4"/>
  <c r="BS53" i="4"/>
  <c r="BP53" i="4"/>
  <c r="BN53" i="4"/>
  <c r="BJ53" i="4"/>
  <c r="BH53" i="4"/>
  <c r="BF53" i="4"/>
  <c r="AY53" i="4"/>
  <c r="AV53" i="4"/>
  <c r="AP53" i="4"/>
  <c r="AN53" i="4"/>
  <c r="AL53" i="4"/>
  <c r="AJ53" i="4"/>
  <c r="AG53" i="4"/>
  <c r="Z53" i="4"/>
  <c r="X53" i="4"/>
  <c r="V53" i="4"/>
  <c r="M53" i="4"/>
  <c r="K53" i="4"/>
  <c r="I53" i="4"/>
  <c r="G53" i="4"/>
  <c r="E53" i="4"/>
  <c r="C53" i="4"/>
  <c r="CS52" i="4"/>
  <c r="CI52" i="4"/>
  <c r="CG52" i="4"/>
  <c r="CE52" i="4"/>
  <c r="CC52" i="4"/>
  <c r="BY52" i="4"/>
  <c r="BW52" i="4"/>
  <c r="BS52" i="4"/>
  <c r="BP52" i="4"/>
  <c r="BN52" i="4"/>
  <c r="BJ52" i="4"/>
  <c r="BH52" i="4"/>
  <c r="BF52" i="4"/>
  <c r="AY52" i="4"/>
  <c r="AV52" i="4"/>
  <c r="AP52" i="4"/>
  <c r="AN52" i="4"/>
  <c r="AL52" i="4"/>
  <c r="AJ52" i="4"/>
  <c r="AG52" i="4"/>
  <c r="Z52" i="4"/>
  <c r="X52" i="4"/>
  <c r="V52" i="4"/>
  <c r="M52" i="4"/>
  <c r="K52" i="4"/>
  <c r="I52" i="4"/>
  <c r="G52" i="4"/>
  <c r="E52" i="4"/>
  <c r="C52" i="4"/>
  <c r="CS51" i="4"/>
  <c r="CI51" i="4"/>
  <c r="CG51" i="4"/>
  <c r="CE51" i="4"/>
  <c r="CC51" i="4"/>
  <c r="BY51" i="4"/>
  <c r="BW51" i="4"/>
  <c r="BS51" i="4"/>
  <c r="BP51" i="4"/>
  <c r="BN51" i="4"/>
  <c r="BJ51" i="4"/>
  <c r="BH51" i="4"/>
  <c r="BF51" i="4"/>
  <c r="AY51" i="4"/>
  <c r="AV51" i="4"/>
  <c r="AP51" i="4"/>
  <c r="AN51" i="4"/>
  <c r="AL51" i="4"/>
  <c r="AJ51" i="4"/>
  <c r="AG51" i="4"/>
  <c r="Z51" i="4"/>
  <c r="X51" i="4"/>
  <c r="V51" i="4"/>
  <c r="M51" i="4"/>
  <c r="K51" i="4"/>
  <c r="I51" i="4"/>
  <c r="G51" i="4"/>
  <c r="E51" i="4"/>
  <c r="C51" i="4"/>
  <c r="CS50" i="4"/>
  <c r="CI50" i="4"/>
  <c r="CG50" i="4"/>
  <c r="CE50" i="4"/>
  <c r="CC50" i="4"/>
  <c r="BY50" i="4"/>
  <c r="BW50" i="4"/>
  <c r="BS50" i="4"/>
  <c r="BP50" i="4"/>
  <c r="BN50" i="4"/>
  <c r="BJ50" i="4"/>
  <c r="BH50" i="4"/>
  <c r="BF50" i="4"/>
  <c r="AY50" i="4"/>
  <c r="AV50" i="4"/>
  <c r="AP50" i="4"/>
  <c r="AN50" i="4"/>
  <c r="AL50" i="4"/>
  <c r="AJ50" i="4"/>
  <c r="AG50" i="4"/>
  <c r="Z50" i="4"/>
  <c r="X50" i="4"/>
  <c r="V50" i="4"/>
  <c r="M50" i="4"/>
  <c r="K50" i="4"/>
  <c r="I50" i="4"/>
  <c r="G50" i="4"/>
  <c r="E50" i="4"/>
  <c r="C50" i="4"/>
  <c r="CS49" i="4"/>
  <c r="CI49" i="4"/>
  <c r="CG49" i="4"/>
  <c r="CE49" i="4"/>
  <c r="CC49" i="4"/>
  <c r="BY49" i="4"/>
  <c r="BW49" i="4"/>
  <c r="BS49" i="4"/>
  <c r="BP49" i="4"/>
  <c r="BN49" i="4"/>
  <c r="BJ49" i="4"/>
  <c r="BH49" i="4"/>
  <c r="BF49" i="4"/>
  <c r="AY49" i="4"/>
  <c r="AV49" i="4"/>
  <c r="AP49" i="4"/>
  <c r="AN49" i="4"/>
  <c r="AL49" i="4"/>
  <c r="AJ49" i="4"/>
  <c r="AG49" i="4"/>
  <c r="Z49" i="4"/>
  <c r="X49" i="4"/>
  <c r="V49" i="4"/>
  <c r="M49" i="4"/>
  <c r="K49" i="4"/>
  <c r="I49" i="4"/>
  <c r="G49" i="4"/>
  <c r="E49" i="4"/>
  <c r="C49" i="4"/>
  <c r="CS48" i="4"/>
  <c r="CI48" i="4"/>
  <c r="CG48" i="4"/>
  <c r="CE48" i="4"/>
  <c r="CC48" i="4"/>
  <c r="BY48" i="4"/>
  <c r="BW48" i="4"/>
  <c r="BS48" i="4"/>
  <c r="BP48" i="4"/>
  <c r="BN48" i="4"/>
  <c r="BJ48" i="4"/>
  <c r="BH48" i="4"/>
  <c r="BF48" i="4"/>
  <c r="AY48" i="4"/>
  <c r="AV48" i="4"/>
  <c r="AP48" i="4"/>
  <c r="AN48" i="4"/>
  <c r="AL48" i="4"/>
  <c r="AJ48" i="4"/>
  <c r="AG48" i="4"/>
  <c r="Z48" i="4"/>
  <c r="X48" i="4"/>
  <c r="V48" i="4"/>
  <c r="M48" i="4"/>
  <c r="K48" i="4"/>
  <c r="I48" i="4"/>
  <c r="G48" i="4"/>
  <c r="E48" i="4"/>
  <c r="C48" i="4"/>
  <c r="CS47" i="4"/>
  <c r="CI47" i="4"/>
  <c r="CG47" i="4"/>
  <c r="CE47" i="4"/>
  <c r="CC47" i="4"/>
  <c r="BY47" i="4"/>
  <c r="BW47" i="4"/>
  <c r="BS47" i="4"/>
  <c r="BP47" i="4"/>
  <c r="BN47" i="4"/>
  <c r="BJ47" i="4"/>
  <c r="BH47" i="4"/>
  <c r="BF47" i="4"/>
  <c r="AY47" i="4"/>
  <c r="AV47" i="4"/>
  <c r="AP47" i="4"/>
  <c r="AN47" i="4"/>
  <c r="AL47" i="4"/>
  <c r="AJ47" i="4"/>
  <c r="AG47" i="4"/>
  <c r="Z47" i="4"/>
  <c r="X47" i="4"/>
  <c r="V47" i="4"/>
  <c r="M47" i="4"/>
  <c r="K47" i="4"/>
  <c r="I47" i="4"/>
  <c r="G47" i="4"/>
  <c r="E47" i="4"/>
  <c r="C47" i="4"/>
  <c r="CS46" i="4"/>
  <c r="CI46" i="4"/>
  <c r="CG46" i="4"/>
  <c r="CE46" i="4"/>
  <c r="CC46" i="4"/>
  <c r="BY46" i="4"/>
  <c r="BW46" i="4"/>
  <c r="BS46" i="4"/>
  <c r="BP46" i="4"/>
  <c r="BN46" i="4"/>
  <c r="BJ46" i="4"/>
  <c r="BH46" i="4"/>
  <c r="BF46" i="4"/>
  <c r="AY46" i="4"/>
  <c r="AV46" i="4"/>
  <c r="AP46" i="4"/>
  <c r="AN46" i="4"/>
  <c r="AL46" i="4"/>
  <c r="AJ46" i="4"/>
  <c r="AG46" i="4"/>
  <c r="Z46" i="4"/>
  <c r="X46" i="4"/>
  <c r="V46" i="4"/>
  <c r="M46" i="4"/>
  <c r="K46" i="4"/>
  <c r="I46" i="4"/>
  <c r="G46" i="4"/>
  <c r="E46" i="4"/>
  <c r="C46" i="4"/>
  <c r="CS45" i="4"/>
  <c r="CI45" i="4"/>
  <c r="CG45" i="4"/>
  <c r="CE45" i="4"/>
  <c r="CC45" i="4"/>
  <c r="BY45" i="4"/>
  <c r="BW45" i="4"/>
  <c r="BS45" i="4"/>
  <c r="BP45" i="4"/>
  <c r="BN45" i="4"/>
  <c r="BJ45" i="4"/>
  <c r="BH45" i="4"/>
  <c r="BF45" i="4"/>
  <c r="AY45" i="4"/>
  <c r="AV45" i="4"/>
  <c r="AP45" i="4"/>
  <c r="AN45" i="4"/>
  <c r="AL45" i="4"/>
  <c r="AJ45" i="4"/>
  <c r="AG45" i="4"/>
  <c r="Z45" i="4"/>
  <c r="X45" i="4"/>
  <c r="V45" i="4"/>
  <c r="M45" i="4"/>
  <c r="K45" i="4"/>
  <c r="I45" i="4"/>
  <c r="G45" i="4"/>
  <c r="E45" i="4"/>
  <c r="C45" i="4"/>
  <c r="CS44" i="4"/>
  <c r="CI44" i="4"/>
  <c r="CG44" i="4"/>
  <c r="CE44" i="4"/>
  <c r="CC44" i="4"/>
  <c r="BY44" i="4"/>
  <c r="BW44" i="4"/>
  <c r="BS44" i="4"/>
  <c r="BP44" i="4"/>
  <c r="BN44" i="4"/>
  <c r="BJ44" i="4"/>
  <c r="BH44" i="4"/>
  <c r="BF44" i="4"/>
  <c r="AY44" i="4"/>
  <c r="AV44" i="4"/>
  <c r="AP44" i="4"/>
  <c r="AN44" i="4"/>
  <c r="AL44" i="4"/>
  <c r="AJ44" i="4"/>
  <c r="AG44" i="4"/>
  <c r="Z44" i="4"/>
  <c r="X44" i="4"/>
  <c r="V44" i="4"/>
  <c r="M44" i="4"/>
  <c r="K44" i="4"/>
  <c r="I44" i="4"/>
  <c r="G44" i="4"/>
  <c r="E44" i="4"/>
  <c r="C44" i="4"/>
  <c r="CS43" i="4"/>
  <c r="CI43" i="4"/>
  <c r="CG43" i="4"/>
  <c r="CE43" i="4"/>
  <c r="CC43" i="4"/>
  <c r="BY43" i="4"/>
  <c r="BW43" i="4"/>
  <c r="BS43" i="4"/>
  <c r="BP43" i="4"/>
  <c r="BN43" i="4"/>
  <c r="BJ43" i="4"/>
  <c r="BH43" i="4"/>
  <c r="BF43" i="4"/>
  <c r="AY43" i="4"/>
  <c r="AV43" i="4"/>
  <c r="AP43" i="4"/>
  <c r="AN43" i="4"/>
  <c r="AL43" i="4"/>
  <c r="AJ43" i="4"/>
  <c r="AG43" i="4"/>
  <c r="Z43" i="4"/>
  <c r="X43" i="4"/>
  <c r="V43" i="4"/>
  <c r="M43" i="4"/>
  <c r="K43" i="4"/>
  <c r="I43" i="4"/>
  <c r="G43" i="4"/>
  <c r="E43" i="4"/>
  <c r="C43" i="4"/>
  <c r="CS42" i="4"/>
  <c r="CI42" i="4"/>
  <c r="CG42" i="4"/>
  <c r="CE42" i="4"/>
  <c r="CC42" i="4"/>
  <c r="BY42" i="4"/>
  <c r="BW42" i="4"/>
  <c r="BS42" i="4"/>
  <c r="BP42" i="4"/>
  <c r="BN42" i="4"/>
  <c r="BJ42" i="4"/>
  <c r="BH42" i="4"/>
  <c r="BF42" i="4"/>
  <c r="AY42" i="4"/>
  <c r="AV42" i="4"/>
  <c r="AP42" i="4"/>
  <c r="AN42" i="4"/>
  <c r="AL42" i="4"/>
  <c r="AJ42" i="4"/>
  <c r="AG42" i="4"/>
  <c r="Z42" i="4"/>
  <c r="X42" i="4"/>
  <c r="V42" i="4"/>
  <c r="M42" i="4"/>
  <c r="K42" i="4"/>
  <c r="I42" i="4"/>
  <c r="G42" i="4"/>
  <c r="E42" i="4"/>
  <c r="C42" i="4"/>
  <c r="CS41" i="4"/>
  <c r="CI41" i="4"/>
  <c r="CG41" i="4"/>
  <c r="CE41" i="4"/>
  <c r="CC41" i="4"/>
  <c r="BY41" i="4"/>
  <c r="BW41" i="4"/>
  <c r="BS41" i="4"/>
  <c r="BP41" i="4"/>
  <c r="BN41" i="4"/>
  <c r="BJ41" i="4"/>
  <c r="BH41" i="4"/>
  <c r="BF41" i="4"/>
  <c r="AY41" i="4"/>
  <c r="AV41" i="4"/>
  <c r="AP41" i="4"/>
  <c r="AN41" i="4"/>
  <c r="AL41" i="4"/>
  <c r="AJ41" i="4"/>
  <c r="AG41" i="4"/>
  <c r="Z41" i="4"/>
  <c r="X41" i="4"/>
  <c r="V41" i="4"/>
  <c r="M41" i="4"/>
  <c r="K41" i="4"/>
  <c r="I41" i="4"/>
  <c r="G41" i="4"/>
  <c r="E41" i="4"/>
  <c r="C41" i="4"/>
  <c r="CS40" i="4"/>
  <c r="CI40" i="4"/>
  <c r="CG40" i="4"/>
  <c r="CE40" i="4"/>
  <c r="CC40" i="4"/>
  <c r="BY40" i="4"/>
  <c r="BW40" i="4"/>
  <c r="BS40" i="4"/>
  <c r="BP40" i="4"/>
  <c r="BN40" i="4"/>
  <c r="BJ40" i="4"/>
  <c r="BH40" i="4"/>
  <c r="BF40" i="4"/>
  <c r="AY40" i="4"/>
  <c r="AV40" i="4"/>
  <c r="AP40" i="4"/>
  <c r="AN40" i="4"/>
  <c r="AL40" i="4"/>
  <c r="AJ40" i="4"/>
  <c r="AG40" i="4"/>
  <c r="Z40" i="4"/>
  <c r="X40" i="4"/>
  <c r="V40" i="4"/>
  <c r="M40" i="4"/>
  <c r="K40" i="4"/>
  <c r="I40" i="4"/>
  <c r="G40" i="4"/>
  <c r="E40" i="4"/>
  <c r="C40" i="4"/>
  <c r="CS39" i="4"/>
  <c r="CI39" i="4"/>
  <c r="CG39" i="4"/>
  <c r="CE39" i="4"/>
  <c r="CC39" i="4"/>
  <c r="BY39" i="4"/>
  <c r="BW39" i="4"/>
  <c r="BS39" i="4"/>
  <c r="BP39" i="4"/>
  <c r="BN39" i="4"/>
  <c r="BJ39" i="4"/>
  <c r="BH39" i="4"/>
  <c r="BF39" i="4"/>
  <c r="AY39" i="4"/>
  <c r="AV39" i="4"/>
  <c r="AP39" i="4"/>
  <c r="AN39" i="4"/>
  <c r="AL39" i="4"/>
  <c r="AJ39" i="4"/>
  <c r="AG39" i="4"/>
  <c r="Z39" i="4"/>
  <c r="X39" i="4"/>
  <c r="V39" i="4"/>
  <c r="M39" i="4"/>
  <c r="K39" i="4"/>
  <c r="I39" i="4"/>
  <c r="G39" i="4"/>
  <c r="E39" i="4"/>
  <c r="C39" i="4"/>
  <c r="CS38" i="4"/>
  <c r="CI38" i="4"/>
  <c r="CG38" i="4"/>
  <c r="CE38" i="4"/>
  <c r="CC38" i="4"/>
  <c r="BY38" i="4"/>
  <c r="BW38" i="4"/>
  <c r="BS38" i="4"/>
  <c r="BP38" i="4"/>
  <c r="BN38" i="4"/>
  <c r="BJ38" i="4"/>
  <c r="BH38" i="4"/>
  <c r="BF38" i="4"/>
  <c r="AY38" i="4"/>
  <c r="AV38" i="4"/>
  <c r="AP38" i="4"/>
  <c r="AN38" i="4"/>
  <c r="AL38" i="4"/>
  <c r="AJ38" i="4"/>
  <c r="AG38" i="4"/>
  <c r="Z38" i="4"/>
  <c r="X38" i="4"/>
  <c r="V38" i="4"/>
  <c r="M38" i="4"/>
  <c r="K38" i="4"/>
  <c r="I38" i="4"/>
  <c r="G38" i="4"/>
  <c r="E38" i="4"/>
  <c r="C38" i="4"/>
  <c r="CS37" i="4"/>
  <c r="CI37" i="4"/>
  <c r="CG37" i="4"/>
  <c r="CE37" i="4"/>
  <c r="CC37" i="4"/>
  <c r="BY37" i="4"/>
  <c r="BW37" i="4"/>
  <c r="BS37" i="4"/>
  <c r="BP37" i="4"/>
  <c r="BN37" i="4"/>
  <c r="BJ37" i="4"/>
  <c r="BH37" i="4"/>
  <c r="BF37" i="4"/>
  <c r="AY37" i="4"/>
  <c r="AV37" i="4"/>
  <c r="AP37" i="4"/>
  <c r="AN37" i="4"/>
  <c r="AL37" i="4"/>
  <c r="AJ37" i="4"/>
  <c r="AG37" i="4"/>
  <c r="Z37" i="4"/>
  <c r="X37" i="4"/>
  <c r="V37" i="4"/>
  <c r="M37" i="4"/>
  <c r="K37" i="4"/>
  <c r="I37" i="4"/>
  <c r="G37" i="4"/>
  <c r="E37" i="4"/>
  <c r="C37" i="4"/>
  <c r="CS36" i="4"/>
  <c r="CI36" i="4"/>
  <c r="CG36" i="4"/>
  <c r="CE36" i="4"/>
  <c r="CC36" i="4"/>
  <c r="BY36" i="4"/>
  <c r="BW36" i="4"/>
  <c r="BS36" i="4"/>
  <c r="BP36" i="4"/>
  <c r="BN36" i="4"/>
  <c r="BJ36" i="4"/>
  <c r="BH36" i="4"/>
  <c r="BF36" i="4"/>
  <c r="AY36" i="4"/>
  <c r="AV36" i="4"/>
  <c r="AP36" i="4"/>
  <c r="AN36" i="4"/>
  <c r="AL36" i="4"/>
  <c r="AJ36" i="4"/>
  <c r="AG36" i="4"/>
  <c r="Z36" i="4"/>
  <c r="X36" i="4"/>
  <c r="V36" i="4"/>
  <c r="M36" i="4"/>
  <c r="K36" i="4"/>
  <c r="I36" i="4"/>
  <c r="G36" i="4"/>
  <c r="E36" i="4"/>
  <c r="C36" i="4"/>
  <c r="CS35" i="4"/>
  <c r="CI35" i="4"/>
  <c r="CG35" i="4"/>
  <c r="CE35" i="4"/>
  <c r="CC35" i="4"/>
  <c r="BY35" i="4"/>
  <c r="BW35" i="4"/>
  <c r="BS35" i="4"/>
  <c r="BP35" i="4"/>
  <c r="BN35" i="4"/>
  <c r="BJ35" i="4"/>
  <c r="BH35" i="4"/>
  <c r="BF35" i="4"/>
  <c r="AY35" i="4"/>
  <c r="AV35" i="4"/>
  <c r="AP35" i="4"/>
  <c r="AN35" i="4"/>
  <c r="AL35" i="4"/>
  <c r="AJ35" i="4"/>
  <c r="AG35" i="4"/>
  <c r="Z35" i="4"/>
  <c r="X35" i="4"/>
  <c r="V35" i="4"/>
  <c r="M35" i="4"/>
  <c r="K35" i="4"/>
  <c r="I35" i="4"/>
  <c r="G35" i="4"/>
  <c r="E35" i="4"/>
  <c r="C35" i="4"/>
  <c r="CS34" i="4"/>
  <c r="CI34" i="4"/>
  <c r="CG34" i="4"/>
  <c r="CE34" i="4"/>
  <c r="CC34" i="4"/>
  <c r="BY34" i="4"/>
  <c r="BW34" i="4"/>
  <c r="BS34" i="4"/>
  <c r="BP34" i="4"/>
  <c r="BN34" i="4"/>
  <c r="BJ34" i="4"/>
  <c r="BH34" i="4"/>
  <c r="BF34" i="4"/>
  <c r="AY34" i="4"/>
  <c r="AV34" i="4"/>
  <c r="AP34" i="4"/>
  <c r="AN34" i="4"/>
  <c r="AL34" i="4"/>
  <c r="AJ34" i="4"/>
  <c r="AG34" i="4"/>
  <c r="Z34" i="4"/>
  <c r="X34" i="4"/>
  <c r="V34" i="4"/>
  <c r="M34" i="4"/>
  <c r="K34" i="4"/>
  <c r="I34" i="4"/>
  <c r="G34" i="4"/>
  <c r="E34" i="4"/>
  <c r="C34" i="4"/>
  <c r="CS33" i="4"/>
  <c r="CI33" i="4"/>
  <c r="CG33" i="4"/>
  <c r="CE33" i="4"/>
  <c r="CC33" i="4"/>
  <c r="BY33" i="4"/>
  <c r="BW33" i="4"/>
  <c r="BS33" i="4"/>
  <c r="BP33" i="4"/>
  <c r="BN33" i="4"/>
  <c r="BJ33" i="4"/>
  <c r="BH33" i="4"/>
  <c r="BF33" i="4"/>
  <c r="AY33" i="4"/>
  <c r="AV33" i="4"/>
  <c r="AP33" i="4"/>
  <c r="AN33" i="4"/>
  <c r="AL33" i="4"/>
  <c r="AJ33" i="4"/>
  <c r="AG33" i="4"/>
  <c r="Z33" i="4"/>
  <c r="X33" i="4"/>
  <c r="V33" i="4"/>
  <c r="M33" i="4"/>
  <c r="K33" i="4"/>
  <c r="I33" i="4"/>
  <c r="G33" i="4"/>
  <c r="E33" i="4"/>
  <c r="C33" i="4"/>
  <c r="CS32" i="4"/>
  <c r="CI32" i="4"/>
  <c r="CG32" i="4"/>
  <c r="CE32" i="4"/>
  <c r="CC32" i="4"/>
  <c r="BY32" i="4"/>
  <c r="BW32" i="4"/>
  <c r="BS32" i="4"/>
  <c r="BP32" i="4"/>
  <c r="BN32" i="4"/>
  <c r="BJ32" i="4"/>
  <c r="BH32" i="4"/>
  <c r="BF32" i="4"/>
  <c r="AY32" i="4"/>
  <c r="AV32" i="4"/>
  <c r="AP32" i="4"/>
  <c r="AN32" i="4"/>
  <c r="AL32" i="4"/>
  <c r="AJ32" i="4"/>
  <c r="AG32" i="4"/>
  <c r="Z32" i="4"/>
  <c r="X32" i="4"/>
  <c r="V32" i="4"/>
  <c r="M32" i="4"/>
  <c r="K32" i="4"/>
  <c r="I32" i="4"/>
  <c r="G32" i="4"/>
  <c r="E32" i="4"/>
  <c r="C32" i="4"/>
  <c r="CS31" i="4"/>
  <c r="CI31" i="4"/>
  <c r="CG31" i="4"/>
  <c r="CE31" i="4"/>
  <c r="CC31" i="4"/>
  <c r="BY31" i="4"/>
  <c r="BW31" i="4"/>
  <c r="BS31" i="4"/>
  <c r="BP31" i="4"/>
  <c r="BN31" i="4"/>
  <c r="BJ31" i="4"/>
  <c r="BH31" i="4"/>
  <c r="BF31" i="4"/>
  <c r="AY31" i="4"/>
  <c r="AV31" i="4"/>
  <c r="AP31" i="4"/>
  <c r="AN31" i="4"/>
  <c r="AL31" i="4"/>
  <c r="AJ31" i="4"/>
  <c r="AG31" i="4"/>
  <c r="Z31" i="4"/>
  <c r="X31" i="4"/>
  <c r="V31" i="4"/>
  <c r="M31" i="4"/>
  <c r="K31" i="4"/>
  <c r="I31" i="4"/>
  <c r="G31" i="4"/>
  <c r="E31" i="4"/>
  <c r="C31" i="4"/>
  <c r="CS30" i="4"/>
  <c r="CI30" i="4"/>
  <c r="CG30" i="4"/>
  <c r="CE30" i="4"/>
  <c r="CC30" i="4"/>
  <c r="BY30" i="4"/>
  <c r="BW30" i="4"/>
  <c r="BS30" i="4"/>
  <c r="BP30" i="4"/>
  <c r="BN30" i="4"/>
  <c r="BJ30" i="4"/>
  <c r="BH30" i="4"/>
  <c r="BF30" i="4"/>
  <c r="AY30" i="4"/>
  <c r="AV30" i="4"/>
  <c r="AP30" i="4"/>
  <c r="AN30" i="4"/>
  <c r="AL30" i="4"/>
  <c r="AJ30" i="4"/>
  <c r="AG30" i="4"/>
  <c r="Z30" i="4"/>
  <c r="X30" i="4"/>
  <c r="V30" i="4"/>
  <c r="M30" i="4"/>
  <c r="K30" i="4"/>
  <c r="I30" i="4"/>
  <c r="G30" i="4"/>
  <c r="E30" i="4"/>
  <c r="C30" i="4"/>
  <c r="CS29" i="4"/>
  <c r="CI29" i="4"/>
  <c r="CG29" i="4"/>
  <c r="CE29" i="4"/>
  <c r="CC29" i="4"/>
  <c r="BY29" i="4"/>
  <c r="BW29" i="4"/>
  <c r="BS29" i="4"/>
  <c r="BP29" i="4"/>
  <c r="BN29" i="4"/>
  <c r="BJ29" i="4"/>
  <c r="BH29" i="4"/>
  <c r="BF29" i="4"/>
  <c r="AY29" i="4"/>
  <c r="AV29" i="4"/>
  <c r="AP29" i="4"/>
  <c r="AN29" i="4"/>
  <c r="AL29" i="4"/>
  <c r="AJ29" i="4"/>
  <c r="AG29" i="4"/>
  <c r="Z29" i="4"/>
  <c r="X29" i="4"/>
  <c r="V29" i="4"/>
  <c r="M29" i="4"/>
  <c r="K29" i="4"/>
  <c r="I29" i="4"/>
  <c r="G29" i="4"/>
  <c r="E29" i="4"/>
  <c r="C29" i="4"/>
  <c r="CS28" i="4"/>
  <c r="CI28" i="4"/>
  <c r="CG28" i="4"/>
  <c r="CE28" i="4"/>
  <c r="CC28" i="4"/>
  <c r="BY28" i="4"/>
  <c r="BW28" i="4"/>
  <c r="BS28" i="4"/>
  <c r="BP28" i="4"/>
  <c r="BN28" i="4"/>
  <c r="BJ28" i="4"/>
  <c r="BH28" i="4"/>
  <c r="BF28" i="4"/>
  <c r="AY28" i="4"/>
  <c r="AV28" i="4"/>
  <c r="AP28" i="4"/>
  <c r="AN28" i="4"/>
  <c r="AL28" i="4"/>
  <c r="AJ28" i="4"/>
  <c r="AG28" i="4"/>
  <c r="Z28" i="4"/>
  <c r="X28" i="4"/>
  <c r="V28" i="4"/>
  <c r="M28" i="4"/>
  <c r="K28" i="4"/>
  <c r="I28" i="4"/>
  <c r="G28" i="4"/>
  <c r="E28" i="4"/>
  <c r="C28" i="4"/>
  <c r="CS27" i="4"/>
  <c r="CI27" i="4"/>
  <c r="CG27" i="4"/>
  <c r="CE27" i="4"/>
  <c r="CC27" i="4"/>
  <c r="BY27" i="4"/>
  <c r="BW27" i="4"/>
  <c r="BS27" i="4"/>
  <c r="BP27" i="4"/>
  <c r="BN27" i="4"/>
  <c r="BJ27" i="4"/>
  <c r="BH27" i="4"/>
  <c r="BF27" i="4"/>
  <c r="AY27" i="4"/>
  <c r="AV27" i="4"/>
  <c r="AP27" i="4"/>
  <c r="AN27" i="4"/>
  <c r="AL27" i="4"/>
  <c r="AJ27" i="4"/>
  <c r="AG27" i="4"/>
  <c r="Z27" i="4"/>
  <c r="X27" i="4"/>
  <c r="V27" i="4"/>
  <c r="M27" i="4"/>
  <c r="K27" i="4"/>
  <c r="I27" i="4"/>
  <c r="G27" i="4"/>
  <c r="E27" i="4"/>
  <c r="C27" i="4"/>
  <c r="CS26" i="4"/>
  <c r="CI26" i="4"/>
  <c r="CG26" i="4"/>
  <c r="CE26" i="4"/>
  <c r="CC26" i="4"/>
  <c r="BY26" i="4"/>
  <c r="BW26" i="4"/>
  <c r="BS26" i="4"/>
  <c r="BP26" i="4"/>
  <c r="BN26" i="4"/>
  <c r="BJ26" i="4"/>
  <c r="BH26" i="4"/>
  <c r="BF26" i="4"/>
  <c r="AY26" i="4"/>
  <c r="AV26" i="4"/>
  <c r="AP26" i="4"/>
  <c r="AN26" i="4"/>
  <c r="AL26" i="4"/>
  <c r="AJ26" i="4"/>
  <c r="AG26" i="4"/>
  <c r="Z26" i="4"/>
  <c r="X26" i="4"/>
  <c r="V26" i="4"/>
  <c r="M26" i="4"/>
  <c r="K26" i="4"/>
  <c r="I26" i="4"/>
  <c r="G26" i="4"/>
  <c r="E26" i="4"/>
  <c r="C26" i="4"/>
  <c r="CS25" i="4"/>
  <c r="CI25" i="4"/>
  <c r="CG25" i="4"/>
  <c r="CE25" i="4"/>
  <c r="CC25" i="4"/>
  <c r="BY25" i="4"/>
  <c r="BW25" i="4"/>
  <c r="BS25" i="4"/>
  <c r="BP25" i="4"/>
  <c r="BN25" i="4"/>
  <c r="BJ25" i="4"/>
  <c r="BH25" i="4"/>
  <c r="BF25" i="4"/>
  <c r="AY25" i="4"/>
  <c r="AV25" i="4"/>
  <c r="AP25" i="4"/>
  <c r="AN25" i="4"/>
  <c r="AL25" i="4"/>
  <c r="AJ25" i="4"/>
  <c r="AG25" i="4"/>
  <c r="Z25" i="4"/>
  <c r="X25" i="4"/>
  <c r="V25" i="4"/>
  <c r="M25" i="4"/>
  <c r="K25" i="4"/>
  <c r="I25" i="4"/>
  <c r="G25" i="4"/>
  <c r="E25" i="4"/>
  <c r="C25" i="4"/>
  <c r="CS24" i="4"/>
  <c r="CI24" i="4"/>
  <c r="CG24" i="4"/>
  <c r="CE24" i="4"/>
  <c r="CC24" i="4"/>
  <c r="BY24" i="4"/>
  <c r="BW24" i="4"/>
  <c r="BS24" i="4"/>
  <c r="BP24" i="4"/>
  <c r="BN24" i="4"/>
  <c r="BJ24" i="4"/>
  <c r="BH24" i="4"/>
  <c r="BF24" i="4"/>
  <c r="AY24" i="4"/>
  <c r="AV24" i="4"/>
  <c r="AP24" i="4"/>
  <c r="AN24" i="4"/>
  <c r="AL24" i="4"/>
  <c r="AJ24" i="4"/>
  <c r="AG24" i="4"/>
  <c r="Z24" i="4"/>
  <c r="X24" i="4"/>
  <c r="V24" i="4"/>
  <c r="M24" i="4"/>
  <c r="K24" i="4"/>
  <c r="I24" i="4"/>
  <c r="G24" i="4"/>
  <c r="E24" i="4"/>
  <c r="C24" i="4"/>
  <c r="CS23" i="4"/>
  <c r="CI23" i="4"/>
  <c r="CG23" i="4"/>
  <c r="CE23" i="4"/>
  <c r="CC23" i="4"/>
  <c r="BY23" i="4"/>
  <c r="BW23" i="4"/>
  <c r="BS23" i="4"/>
  <c r="BP23" i="4"/>
  <c r="BN23" i="4"/>
  <c r="BJ23" i="4"/>
  <c r="BH23" i="4"/>
  <c r="BF23" i="4"/>
  <c r="AY23" i="4"/>
  <c r="AV23" i="4"/>
  <c r="AP23" i="4"/>
  <c r="AN23" i="4"/>
  <c r="AL23" i="4"/>
  <c r="AJ23" i="4"/>
  <c r="AG23" i="4"/>
  <c r="Z23" i="4"/>
  <c r="X23" i="4"/>
  <c r="V23" i="4"/>
  <c r="M23" i="4"/>
  <c r="K23" i="4"/>
  <c r="I23" i="4"/>
  <c r="G23" i="4"/>
  <c r="E23" i="4"/>
  <c r="C23" i="4"/>
  <c r="CS22" i="4"/>
  <c r="CI22" i="4"/>
  <c r="CG22" i="4"/>
  <c r="CE22" i="4"/>
  <c r="CC22" i="4"/>
  <c r="BY22" i="4"/>
  <c r="BW22" i="4"/>
  <c r="BS22" i="4"/>
  <c r="BP22" i="4"/>
  <c r="BN22" i="4"/>
  <c r="BJ22" i="4"/>
  <c r="BH22" i="4"/>
  <c r="BF22" i="4"/>
  <c r="AY22" i="4"/>
  <c r="AV22" i="4"/>
  <c r="AP22" i="4"/>
  <c r="AN22" i="4"/>
  <c r="AL22" i="4"/>
  <c r="AJ22" i="4"/>
  <c r="AG22" i="4"/>
  <c r="Z22" i="4"/>
  <c r="X22" i="4"/>
  <c r="V22" i="4"/>
  <c r="M22" i="4"/>
  <c r="K22" i="4"/>
  <c r="I22" i="4"/>
  <c r="G22" i="4"/>
  <c r="E22" i="4"/>
  <c r="C22" i="4"/>
  <c r="CS21" i="4"/>
  <c r="CI21" i="4"/>
  <c r="CG21" i="4"/>
  <c r="CE21" i="4"/>
  <c r="CC21" i="4"/>
  <c r="BY21" i="4"/>
  <c r="BW21" i="4"/>
  <c r="BS21" i="4"/>
  <c r="BP21" i="4"/>
  <c r="BN21" i="4"/>
  <c r="BJ21" i="4"/>
  <c r="BH21" i="4"/>
  <c r="BF21" i="4"/>
  <c r="AY21" i="4"/>
  <c r="AV21" i="4"/>
  <c r="AP21" i="4"/>
  <c r="AN21" i="4"/>
  <c r="AL21" i="4"/>
  <c r="AJ21" i="4"/>
  <c r="AG21" i="4"/>
  <c r="Z21" i="4"/>
  <c r="X21" i="4"/>
  <c r="V21" i="4"/>
  <c r="M21" i="4"/>
  <c r="K21" i="4"/>
  <c r="I21" i="4"/>
  <c r="G21" i="4"/>
  <c r="E21" i="4"/>
  <c r="C21" i="4"/>
  <c r="CS20" i="4"/>
  <c r="CI20" i="4"/>
  <c r="CG20" i="4"/>
  <c r="CE20" i="4"/>
  <c r="CC20" i="4"/>
  <c r="BY20" i="4"/>
  <c r="BW20" i="4"/>
  <c r="BS20" i="4"/>
  <c r="BP20" i="4"/>
  <c r="BN20" i="4"/>
  <c r="BJ20" i="4"/>
  <c r="BH20" i="4"/>
  <c r="BF20" i="4"/>
  <c r="AY20" i="4"/>
  <c r="AV20" i="4"/>
  <c r="AP20" i="4"/>
  <c r="AN20" i="4"/>
  <c r="AL20" i="4"/>
  <c r="AJ20" i="4"/>
  <c r="AG20" i="4"/>
  <c r="Z20" i="4"/>
  <c r="X20" i="4"/>
  <c r="V20" i="4"/>
  <c r="M20" i="4"/>
  <c r="K20" i="4"/>
  <c r="I20" i="4"/>
  <c r="G20" i="4"/>
  <c r="E20" i="4"/>
  <c r="C20" i="4"/>
  <c r="CS19" i="4"/>
  <c r="CI19" i="4"/>
  <c r="CG19" i="4"/>
  <c r="CE19" i="4"/>
  <c r="CC19" i="4"/>
  <c r="BY19" i="4"/>
  <c r="BW19" i="4"/>
  <c r="BS19" i="4"/>
  <c r="BP19" i="4"/>
  <c r="BN19" i="4"/>
  <c r="BJ19" i="4"/>
  <c r="BH19" i="4"/>
  <c r="BF19" i="4"/>
  <c r="AY19" i="4"/>
  <c r="AV19" i="4"/>
  <c r="AP19" i="4"/>
  <c r="AN19" i="4"/>
  <c r="AL19" i="4"/>
  <c r="AJ19" i="4"/>
  <c r="AG19" i="4"/>
  <c r="Z19" i="4"/>
  <c r="X19" i="4"/>
  <c r="V19" i="4"/>
  <c r="M19" i="4"/>
  <c r="K19" i="4"/>
  <c r="I19" i="4"/>
  <c r="G19" i="4"/>
  <c r="E19" i="4"/>
  <c r="C19" i="4"/>
  <c r="CS18" i="4"/>
  <c r="CI18" i="4"/>
  <c r="CG18" i="4"/>
  <c r="CE18" i="4"/>
  <c r="CC18" i="4"/>
  <c r="BY18" i="4"/>
  <c r="BW18" i="4"/>
  <c r="BS18" i="4"/>
  <c r="BP18" i="4"/>
  <c r="BN18" i="4"/>
  <c r="BJ18" i="4"/>
  <c r="BH18" i="4"/>
  <c r="BF18" i="4"/>
  <c r="AY18" i="4"/>
  <c r="AV18" i="4"/>
  <c r="AP18" i="4"/>
  <c r="AN18" i="4"/>
  <c r="AL18" i="4"/>
  <c r="AJ18" i="4"/>
  <c r="AG18" i="4"/>
  <c r="Z18" i="4"/>
  <c r="X18" i="4"/>
  <c r="V18" i="4"/>
  <c r="M18" i="4"/>
  <c r="K18" i="4"/>
  <c r="I18" i="4"/>
  <c r="G18" i="4"/>
  <c r="E18" i="4"/>
  <c r="C18" i="4"/>
  <c r="CS17" i="4"/>
  <c r="CI17" i="4"/>
  <c r="CG17" i="4"/>
  <c r="CE17" i="4"/>
  <c r="CC17" i="4"/>
  <c r="BY17" i="4"/>
  <c r="BW17" i="4"/>
  <c r="BS17" i="4"/>
  <c r="BP17" i="4"/>
  <c r="BN17" i="4"/>
  <c r="BJ17" i="4"/>
  <c r="BH17" i="4"/>
  <c r="BF17" i="4"/>
  <c r="AY17" i="4"/>
  <c r="AV17" i="4"/>
  <c r="AP17" i="4"/>
  <c r="AN17" i="4"/>
  <c r="AL17" i="4"/>
  <c r="AJ17" i="4"/>
  <c r="AG17" i="4"/>
  <c r="Z17" i="4"/>
  <c r="X17" i="4"/>
  <c r="V17" i="4"/>
  <c r="M17" i="4"/>
  <c r="K17" i="4"/>
  <c r="I17" i="4"/>
  <c r="G17" i="4"/>
  <c r="E17" i="4"/>
  <c r="C17" i="4"/>
  <c r="CS16" i="4"/>
  <c r="CI16" i="4"/>
  <c r="CG16" i="4"/>
  <c r="CE16" i="4"/>
  <c r="CC16" i="4"/>
  <c r="BY16" i="4"/>
  <c r="BW16" i="4"/>
  <c r="BS16" i="4"/>
  <c r="BP16" i="4"/>
  <c r="BN16" i="4"/>
  <c r="BJ16" i="4"/>
  <c r="BH16" i="4"/>
  <c r="BF16" i="4"/>
  <c r="AY16" i="4"/>
  <c r="AV16" i="4"/>
  <c r="AP16" i="4"/>
  <c r="AN16" i="4"/>
  <c r="AL16" i="4"/>
  <c r="AJ16" i="4"/>
  <c r="AG16" i="4"/>
  <c r="Z16" i="4"/>
  <c r="X16" i="4"/>
  <c r="V16" i="4"/>
  <c r="M16" i="4"/>
  <c r="K16" i="4"/>
  <c r="I16" i="4"/>
  <c r="G16" i="4"/>
  <c r="E16" i="4"/>
  <c r="C16" i="4"/>
  <c r="CS15" i="4"/>
  <c r="CI15" i="4"/>
  <c r="CG15" i="4"/>
  <c r="CE15" i="4"/>
  <c r="CC15" i="4"/>
  <c r="BY15" i="4"/>
  <c r="BW15" i="4"/>
  <c r="BS15" i="4"/>
  <c r="BP15" i="4"/>
  <c r="BN15" i="4"/>
  <c r="BJ15" i="4"/>
  <c r="BH15" i="4"/>
  <c r="BF15" i="4"/>
  <c r="AY15" i="4"/>
  <c r="AV15" i="4"/>
  <c r="AP15" i="4"/>
  <c r="AN15" i="4"/>
  <c r="AL15" i="4"/>
  <c r="AJ15" i="4"/>
  <c r="AG15" i="4"/>
  <c r="Z15" i="4"/>
  <c r="X15" i="4"/>
  <c r="V15" i="4"/>
  <c r="M15" i="4"/>
  <c r="K15" i="4"/>
  <c r="I15" i="4"/>
  <c r="G15" i="4"/>
  <c r="E15" i="4"/>
  <c r="C15" i="4"/>
  <c r="CS14" i="4"/>
  <c r="CI14" i="4"/>
  <c r="CG14" i="4"/>
  <c r="CE14" i="4"/>
  <c r="CC14" i="4"/>
  <c r="BY14" i="4"/>
  <c r="BW14" i="4"/>
  <c r="BS14" i="4"/>
  <c r="BP14" i="4"/>
  <c r="BN14" i="4"/>
  <c r="BJ14" i="4"/>
  <c r="BH14" i="4"/>
  <c r="BF14" i="4"/>
  <c r="AY14" i="4"/>
  <c r="AV14" i="4"/>
  <c r="AP14" i="4"/>
  <c r="AN14" i="4"/>
  <c r="AL14" i="4"/>
  <c r="AJ14" i="4"/>
  <c r="AG14" i="4"/>
  <c r="Z14" i="4"/>
  <c r="X14" i="4"/>
  <c r="V14" i="4"/>
  <c r="M14" i="4"/>
  <c r="K14" i="4"/>
  <c r="I14" i="4"/>
  <c r="G14" i="4"/>
  <c r="E14" i="4"/>
  <c r="C14" i="4"/>
  <c r="CS13" i="4"/>
  <c r="CI13" i="4"/>
  <c r="CG13" i="4"/>
  <c r="CE13" i="4"/>
  <c r="CC13" i="4"/>
  <c r="BY13" i="4"/>
  <c r="BW13" i="4"/>
  <c r="BS13" i="4"/>
  <c r="BP13" i="4"/>
  <c r="BN13" i="4"/>
  <c r="BJ13" i="4"/>
  <c r="BH13" i="4"/>
  <c r="BF13" i="4"/>
  <c r="AY13" i="4"/>
  <c r="AV13" i="4"/>
  <c r="AP13" i="4"/>
  <c r="AN13" i="4"/>
  <c r="AL13" i="4"/>
  <c r="AJ13" i="4"/>
  <c r="AG13" i="4"/>
  <c r="Z13" i="4"/>
  <c r="X13" i="4"/>
  <c r="V13" i="4"/>
  <c r="M13" i="4"/>
  <c r="K13" i="4"/>
  <c r="I13" i="4"/>
  <c r="G13" i="4"/>
  <c r="E13" i="4"/>
  <c r="C13" i="4"/>
  <c r="CU13" i="4"/>
  <c r="BV14" i="4"/>
  <c r="BV59" i="4"/>
  <c r="BV81" i="4"/>
  <c r="BV87" i="4"/>
  <c r="BV19" i="4"/>
  <c r="BV72" i="4"/>
  <c r="BV15" i="4"/>
  <c r="BV79" i="4"/>
  <c r="BV43" i="4"/>
  <c r="BV25" i="4"/>
  <c r="BV66" i="4"/>
  <c r="BV48" i="4"/>
  <c r="BV42" i="4"/>
  <c r="BV112" i="4"/>
  <c r="BV62" i="4"/>
  <c r="BV70" i="4"/>
  <c r="BV100" i="4"/>
  <c r="BV78" i="4"/>
  <c r="BV88" i="4"/>
  <c r="BV93" i="4"/>
  <c r="BV69" i="4"/>
  <c r="BV38" i="4"/>
  <c r="AR13" i="4"/>
  <c r="BV68" i="4"/>
  <c r="BV60" i="4"/>
  <c r="BV34" i="4"/>
  <c r="BV27" i="4"/>
  <c r="BV13" i="4"/>
  <c r="BV16" i="4"/>
  <c r="BV30" i="4"/>
  <c r="BV54" i="4"/>
  <c r="BV37" i="4"/>
  <c r="BV110" i="4"/>
  <c r="BV89" i="4"/>
  <c r="BV44" i="4"/>
  <c r="BV108" i="4"/>
  <c r="BV49" i="4"/>
  <c r="BV96" i="4"/>
  <c r="BV56" i="4"/>
  <c r="BV36" i="4"/>
  <c r="BV18" i="4"/>
  <c r="BV77" i="4"/>
  <c r="BV41" i="4"/>
  <c r="BV21" i="4"/>
  <c r="BV46" i="4"/>
  <c r="BV103" i="4"/>
  <c r="BV86" i="4"/>
  <c r="BV45" i="4"/>
  <c r="BV40" i="4"/>
  <c r="BV64" i="4"/>
  <c r="BV52" i="4"/>
  <c r="BV47" i="4"/>
  <c r="BV26" i="4"/>
  <c r="BV51" i="4"/>
  <c r="BV111" i="4"/>
  <c r="BV97" i="4"/>
  <c r="BV67" i="4"/>
  <c r="BV22" i="4"/>
  <c r="BV83" i="4"/>
  <c r="BV91" i="4"/>
  <c r="BV39" i="4"/>
  <c r="BV98" i="4"/>
  <c r="BV74" i="4"/>
  <c r="BV107" i="4"/>
  <c r="BV20" i="4"/>
  <c r="BV29" i="4"/>
  <c r="BV58" i="4"/>
  <c r="BV32" i="4"/>
  <c r="BV82" i="4"/>
  <c r="BV24" i="4"/>
  <c r="BV99" i="4"/>
  <c r="BV105" i="4"/>
  <c r="BV55" i="4"/>
  <c r="BV50" i="4"/>
  <c r="BV94" i="4"/>
  <c r="BV76" i="4"/>
  <c r="BV106" i="4"/>
  <c r="BV85" i="4"/>
  <c r="BV73" i="4"/>
  <c r="BV80" i="4"/>
  <c r="BV104" i="4"/>
  <c r="BV92" i="4"/>
  <c r="BV35" i="4"/>
  <c r="BV57" i="4"/>
  <c r="BV17" i="4"/>
  <c r="BV28" i="4"/>
  <c r="BV102" i="4"/>
  <c r="BV53" i="4"/>
  <c r="BV33" i="4"/>
  <c r="BV23" i="4"/>
  <c r="BV84" i="4"/>
  <c r="BV101" i="4"/>
  <c r="BV71" i="4"/>
  <c r="BV95" i="4"/>
  <c r="BV65" i="4"/>
  <c r="BV90" i="4"/>
  <c r="BV31" i="4"/>
  <c r="BV61" i="4"/>
  <c r="BV63" i="4"/>
  <c r="BV75" i="4"/>
  <c r="BV109" i="4"/>
  <c r="CS14" i="3" l="1"/>
  <c r="CS15" i="3"/>
  <c r="CS16" i="3"/>
  <c r="CS17" i="3"/>
  <c r="CS18" i="3"/>
  <c r="CS19" i="3"/>
  <c r="CS20" i="3"/>
  <c r="CS21" i="3"/>
  <c r="CS22" i="3"/>
  <c r="CS23" i="3"/>
  <c r="CS24" i="3"/>
  <c r="CS25" i="3"/>
  <c r="CS26" i="3"/>
  <c r="CS27" i="3"/>
  <c r="CS28" i="3"/>
  <c r="CS29" i="3"/>
  <c r="CS30" i="3"/>
  <c r="CS31" i="3"/>
  <c r="CS32" i="3"/>
  <c r="CS33" i="3"/>
  <c r="CS34" i="3"/>
  <c r="CS35" i="3"/>
  <c r="CS36" i="3"/>
  <c r="CS37" i="3"/>
  <c r="CS38" i="3"/>
  <c r="CS39" i="3"/>
  <c r="CS40" i="3"/>
  <c r="CS41" i="3"/>
  <c r="CS42" i="3"/>
  <c r="CS43" i="3"/>
  <c r="CS44" i="3"/>
  <c r="CS45" i="3"/>
  <c r="CS46" i="3"/>
  <c r="CS47" i="3"/>
  <c r="CS48" i="3"/>
  <c r="CS49" i="3"/>
  <c r="CS50" i="3"/>
  <c r="CS51" i="3"/>
  <c r="CS52" i="3"/>
  <c r="CS53" i="3"/>
  <c r="CS54" i="3"/>
  <c r="CS55" i="3"/>
  <c r="CS56" i="3"/>
  <c r="CS57" i="3"/>
  <c r="CS58" i="3"/>
  <c r="CS59" i="3"/>
  <c r="CS60" i="3"/>
  <c r="CS61" i="3"/>
  <c r="CS62" i="3"/>
  <c r="CS63" i="3"/>
  <c r="CS64" i="3"/>
  <c r="CS65" i="3"/>
  <c r="CS66" i="3"/>
  <c r="CS67" i="3"/>
  <c r="CS68" i="3"/>
  <c r="CS69" i="3"/>
  <c r="CS70" i="3"/>
  <c r="CS71" i="3"/>
  <c r="CS72" i="3"/>
  <c r="CS73" i="3"/>
  <c r="CS74" i="3"/>
  <c r="CS75" i="3"/>
  <c r="CS76" i="3"/>
  <c r="CS77" i="3"/>
  <c r="CS78" i="3"/>
  <c r="CS79" i="3"/>
  <c r="CS80" i="3"/>
  <c r="CS81" i="3"/>
  <c r="CS82" i="3"/>
  <c r="CS83" i="3"/>
  <c r="CS84" i="3"/>
  <c r="CS85" i="3"/>
  <c r="CS86" i="3"/>
  <c r="CS87" i="3"/>
  <c r="CS88" i="3"/>
  <c r="CS89" i="3"/>
  <c r="CS90" i="3"/>
  <c r="CS91" i="3"/>
  <c r="CS92" i="3"/>
  <c r="CS93" i="3"/>
  <c r="CS94" i="3"/>
  <c r="CS95" i="3"/>
  <c r="CS96" i="3"/>
  <c r="CS97" i="3"/>
  <c r="CS98" i="3"/>
  <c r="CS99" i="3"/>
  <c r="CS100" i="3"/>
  <c r="CS101" i="3"/>
  <c r="CS102" i="3"/>
  <c r="CS103" i="3"/>
  <c r="CS104" i="3"/>
  <c r="CS105" i="3"/>
  <c r="CS106" i="3"/>
  <c r="CS107" i="3"/>
  <c r="CS108" i="3"/>
  <c r="CS109" i="3"/>
  <c r="CS110" i="3"/>
  <c r="CS111" i="3"/>
  <c r="CS112" i="3"/>
  <c r="CE112" i="3" l="1"/>
  <c r="CE111" i="3"/>
  <c r="CE110" i="3"/>
  <c r="CE109" i="3"/>
  <c r="CE108" i="3"/>
  <c r="CE107" i="3"/>
  <c r="CE106" i="3"/>
  <c r="CE105" i="3"/>
  <c r="CE104" i="3"/>
  <c r="CE103" i="3"/>
  <c r="CE102" i="3"/>
  <c r="CE101" i="3"/>
  <c r="CE100" i="3"/>
  <c r="CE99" i="3"/>
  <c r="CE98" i="3"/>
  <c r="CE97" i="3"/>
  <c r="CE96" i="3"/>
  <c r="CE95" i="3"/>
  <c r="CE94" i="3"/>
  <c r="CE93" i="3"/>
  <c r="CE92" i="3"/>
  <c r="CE91" i="3"/>
  <c r="CE90" i="3"/>
  <c r="CE89" i="3"/>
  <c r="CE88" i="3"/>
  <c r="CE87" i="3"/>
  <c r="CE86" i="3"/>
  <c r="CE85" i="3"/>
  <c r="CE84" i="3"/>
  <c r="CE83" i="3"/>
  <c r="CE82" i="3"/>
  <c r="CE81" i="3"/>
  <c r="CE80" i="3"/>
  <c r="CE79" i="3"/>
  <c r="CE78" i="3"/>
  <c r="CE77" i="3"/>
  <c r="CE76" i="3"/>
  <c r="CE75" i="3"/>
  <c r="CE74" i="3"/>
  <c r="CE73" i="3"/>
  <c r="CE72" i="3"/>
  <c r="CE71" i="3"/>
  <c r="CE70" i="3"/>
  <c r="CE69" i="3"/>
  <c r="CE68" i="3"/>
  <c r="CE67" i="3"/>
  <c r="CE66" i="3"/>
  <c r="CE65" i="3"/>
  <c r="CE64" i="3"/>
  <c r="CE63" i="3"/>
  <c r="CE62" i="3"/>
  <c r="CE61" i="3"/>
  <c r="CE60" i="3"/>
  <c r="CE59" i="3"/>
  <c r="CE58" i="3"/>
  <c r="CE57" i="3"/>
  <c r="CE56" i="3"/>
  <c r="CE55" i="3"/>
  <c r="CE54" i="3"/>
  <c r="CE53" i="3"/>
  <c r="CE52" i="3"/>
  <c r="CE51" i="3"/>
  <c r="CE50" i="3"/>
  <c r="CE49" i="3"/>
  <c r="CE48" i="3"/>
  <c r="CE47" i="3"/>
  <c r="CE46" i="3"/>
  <c r="CE45" i="3"/>
  <c r="CE44" i="3"/>
  <c r="CE43" i="3"/>
  <c r="CE42" i="3"/>
  <c r="CE41" i="3"/>
  <c r="CE40" i="3"/>
  <c r="CE39" i="3"/>
  <c r="CE38" i="3"/>
  <c r="CE37" i="3"/>
  <c r="CE36" i="3"/>
  <c r="CE35" i="3"/>
  <c r="CE34" i="3"/>
  <c r="CE33" i="3"/>
  <c r="CE32" i="3"/>
  <c r="CE31" i="3"/>
  <c r="CE30" i="3"/>
  <c r="CE29" i="3"/>
  <c r="CE28" i="3"/>
  <c r="CE27" i="3"/>
  <c r="CE26" i="3"/>
  <c r="CE25" i="3"/>
  <c r="CE24" i="3"/>
  <c r="CE23" i="3"/>
  <c r="CE22" i="3"/>
  <c r="CE21" i="3"/>
  <c r="CE20" i="3"/>
  <c r="CE19" i="3"/>
  <c r="CE18" i="3"/>
  <c r="CE17" i="3"/>
  <c r="CE16" i="3"/>
  <c r="CE15" i="3"/>
  <c r="CE14" i="3"/>
  <c r="CC112" i="3"/>
  <c r="CC111" i="3"/>
  <c r="CC110" i="3"/>
  <c r="CC109" i="3"/>
  <c r="CC108" i="3"/>
  <c r="CC107" i="3"/>
  <c r="CC106" i="3"/>
  <c r="CC105" i="3"/>
  <c r="CC104" i="3"/>
  <c r="CC103" i="3"/>
  <c r="CC102" i="3"/>
  <c r="CC101" i="3"/>
  <c r="CC100" i="3"/>
  <c r="CC99" i="3"/>
  <c r="CC98" i="3"/>
  <c r="CC97" i="3"/>
  <c r="CC96" i="3"/>
  <c r="CC95" i="3"/>
  <c r="CC94" i="3"/>
  <c r="CC93" i="3"/>
  <c r="CC92" i="3"/>
  <c r="CC91" i="3"/>
  <c r="CC90" i="3"/>
  <c r="CC89" i="3"/>
  <c r="CC88" i="3"/>
  <c r="CC87" i="3"/>
  <c r="CC86" i="3"/>
  <c r="CC85" i="3"/>
  <c r="CC84" i="3"/>
  <c r="CC83" i="3"/>
  <c r="CC82" i="3"/>
  <c r="CC81" i="3"/>
  <c r="CC80" i="3"/>
  <c r="CC79" i="3"/>
  <c r="CC78" i="3"/>
  <c r="CC77" i="3"/>
  <c r="CC76" i="3"/>
  <c r="CC75" i="3"/>
  <c r="CC74" i="3"/>
  <c r="CC73" i="3"/>
  <c r="CC72" i="3"/>
  <c r="CC71" i="3"/>
  <c r="CC70" i="3"/>
  <c r="CC69" i="3"/>
  <c r="CC68" i="3"/>
  <c r="CC67" i="3"/>
  <c r="CC66" i="3"/>
  <c r="CC65" i="3"/>
  <c r="CC64" i="3"/>
  <c r="CC63" i="3"/>
  <c r="CC62" i="3"/>
  <c r="CC61" i="3"/>
  <c r="CC60" i="3"/>
  <c r="CC59" i="3"/>
  <c r="CC58" i="3"/>
  <c r="CC57" i="3"/>
  <c r="CC56" i="3"/>
  <c r="CC55" i="3"/>
  <c r="CC54" i="3"/>
  <c r="CC53" i="3"/>
  <c r="CC52" i="3"/>
  <c r="CC51" i="3"/>
  <c r="CC50" i="3"/>
  <c r="CC49" i="3"/>
  <c r="CC48" i="3"/>
  <c r="CC47" i="3"/>
  <c r="CC46" i="3"/>
  <c r="CC45" i="3"/>
  <c r="CC44" i="3"/>
  <c r="CC43" i="3"/>
  <c r="CC42" i="3"/>
  <c r="CC41" i="3"/>
  <c r="CC40" i="3"/>
  <c r="CC39" i="3"/>
  <c r="CC38" i="3"/>
  <c r="CC37" i="3"/>
  <c r="CC36" i="3"/>
  <c r="CC35" i="3"/>
  <c r="CC34" i="3"/>
  <c r="CC33" i="3"/>
  <c r="CC32" i="3"/>
  <c r="CC31" i="3"/>
  <c r="CC30" i="3"/>
  <c r="CC29" i="3"/>
  <c r="CC28" i="3"/>
  <c r="CC27" i="3"/>
  <c r="CC26" i="3"/>
  <c r="CC25" i="3"/>
  <c r="CC24" i="3"/>
  <c r="CC23" i="3"/>
  <c r="CC22" i="3"/>
  <c r="CC21" i="3"/>
  <c r="CC20" i="3"/>
  <c r="CC19" i="3"/>
  <c r="CC18" i="3"/>
  <c r="CC17" i="3"/>
  <c r="CC16" i="3"/>
  <c r="CC15" i="3"/>
  <c r="CC14" i="3"/>
  <c r="CE13" i="3"/>
  <c r="CC13" i="3"/>
  <c r="ED13" i="1" l="1"/>
  <c r="CS13" i="3"/>
  <c r="V37" i="3" l="1"/>
  <c r="EG13" i="1"/>
  <c r="M14" i="3" l="1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CI112" i="3" l="1"/>
  <c r="CI111" i="3"/>
  <c r="CI110" i="3"/>
  <c r="CI109" i="3"/>
  <c r="CI108" i="3"/>
  <c r="CI107" i="3"/>
  <c r="CI106" i="3"/>
  <c r="CI105" i="3"/>
  <c r="CI104" i="3"/>
  <c r="CI103" i="3"/>
  <c r="CI102" i="3"/>
  <c r="CI101" i="3"/>
  <c r="CI100" i="3"/>
  <c r="CI99" i="3"/>
  <c r="CI98" i="3"/>
  <c r="CI97" i="3"/>
  <c r="CI96" i="3"/>
  <c r="CI95" i="3"/>
  <c r="CI94" i="3"/>
  <c r="CI93" i="3"/>
  <c r="CI92" i="3"/>
  <c r="CI91" i="3"/>
  <c r="CI90" i="3"/>
  <c r="CI89" i="3"/>
  <c r="CI88" i="3"/>
  <c r="CI87" i="3"/>
  <c r="CI86" i="3"/>
  <c r="CI85" i="3"/>
  <c r="CI84" i="3"/>
  <c r="CI83" i="3"/>
  <c r="CI82" i="3"/>
  <c r="CI81" i="3"/>
  <c r="CI80" i="3"/>
  <c r="CI79" i="3"/>
  <c r="CI78" i="3"/>
  <c r="CI77" i="3"/>
  <c r="CI76" i="3"/>
  <c r="CI75" i="3"/>
  <c r="CI74" i="3"/>
  <c r="CI73" i="3"/>
  <c r="CI72" i="3"/>
  <c r="CI71" i="3"/>
  <c r="CI70" i="3"/>
  <c r="CI69" i="3"/>
  <c r="CI68" i="3"/>
  <c r="CI67" i="3"/>
  <c r="CI66" i="3"/>
  <c r="CI65" i="3"/>
  <c r="CI64" i="3"/>
  <c r="CI63" i="3"/>
  <c r="CI62" i="3"/>
  <c r="CI61" i="3"/>
  <c r="CI60" i="3"/>
  <c r="CI59" i="3"/>
  <c r="CI58" i="3"/>
  <c r="CI57" i="3"/>
  <c r="CI56" i="3"/>
  <c r="CI55" i="3"/>
  <c r="CI54" i="3"/>
  <c r="CI53" i="3"/>
  <c r="CI52" i="3"/>
  <c r="CI51" i="3"/>
  <c r="CI50" i="3"/>
  <c r="CI49" i="3"/>
  <c r="CI48" i="3"/>
  <c r="CI47" i="3"/>
  <c r="CI46" i="3"/>
  <c r="CI45" i="3"/>
  <c r="CI44" i="3"/>
  <c r="CI43" i="3"/>
  <c r="CI42" i="3"/>
  <c r="CI41" i="3"/>
  <c r="CI40" i="3"/>
  <c r="CI39" i="3"/>
  <c r="CI38" i="3"/>
  <c r="CI37" i="3"/>
  <c r="CI36" i="3"/>
  <c r="CI35" i="3"/>
  <c r="CI34" i="3"/>
  <c r="CI33" i="3"/>
  <c r="CI32" i="3"/>
  <c r="CI31" i="3"/>
  <c r="CI30" i="3"/>
  <c r="CI29" i="3"/>
  <c r="CI28" i="3"/>
  <c r="CI27" i="3"/>
  <c r="CI26" i="3"/>
  <c r="CI25" i="3"/>
  <c r="CI24" i="3"/>
  <c r="CI23" i="3"/>
  <c r="CI22" i="3"/>
  <c r="CI21" i="3"/>
  <c r="CI20" i="3"/>
  <c r="CI19" i="3"/>
  <c r="CI18" i="3"/>
  <c r="CI17" i="3"/>
  <c r="CI16" i="3"/>
  <c r="CI15" i="3"/>
  <c r="CI14" i="3"/>
  <c r="CI13" i="3"/>
  <c r="CG112" i="3"/>
  <c r="CG111" i="3"/>
  <c r="CG110" i="3"/>
  <c r="CG109" i="3"/>
  <c r="CG108" i="3"/>
  <c r="CG107" i="3"/>
  <c r="CG106" i="3"/>
  <c r="CG105" i="3"/>
  <c r="CG104" i="3"/>
  <c r="CG103" i="3"/>
  <c r="CG102" i="3"/>
  <c r="CG101" i="3"/>
  <c r="CG100" i="3"/>
  <c r="CG99" i="3"/>
  <c r="CG98" i="3"/>
  <c r="CG97" i="3"/>
  <c r="CG96" i="3"/>
  <c r="CG95" i="3"/>
  <c r="CG94" i="3"/>
  <c r="CG93" i="3"/>
  <c r="CG92" i="3"/>
  <c r="CG91" i="3"/>
  <c r="CG90" i="3"/>
  <c r="CG89" i="3"/>
  <c r="CG88" i="3"/>
  <c r="CG87" i="3"/>
  <c r="CG86" i="3"/>
  <c r="CG85" i="3"/>
  <c r="CG84" i="3"/>
  <c r="CG83" i="3"/>
  <c r="CG82" i="3"/>
  <c r="CG81" i="3"/>
  <c r="CG80" i="3"/>
  <c r="CG79" i="3"/>
  <c r="CG78" i="3"/>
  <c r="CG77" i="3"/>
  <c r="CG76" i="3"/>
  <c r="CG75" i="3"/>
  <c r="CG74" i="3"/>
  <c r="CG73" i="3"/>
  <c r="CG72" i="3"/>
  <c r="CG71" i="3"/>
  <c r="CG70" i="3"/>
  <c r="CG69" i="3"/>
  <c r="CG68" i="3"/>
  <c r="CG67" i="3"/>
  <c r="CG66" i="3"/>
  <c r="CG65" i="3"/>
  <c r="CG64" i="3"/>
  <c r="CG63" i="3"/>
  <c r="CG62" i="3"/>
  <c r="CG61" i="3"/>
  <c r="CG60" i="3"/>
  <c r="CG59" i="3"/>
  <c r="CG58" i="3"/>
  <c r="CG57" i="3"/>
  <c r="CG56" i="3"/>
  <c r="CG55" i="3"/>
  <c r="CG54" i="3"/>
  <c r="CG53" i="3"/>
  <c r="CG52" i="3"/>
  <c r="CG51" i="3"/>
  <c r="CG50" i="3"/>
  <c r="CG49" i="3"/>
  <c r="CG48" i="3"/>
  <c r="CG47" i="3"/>
  <c r="CG46" i="3"/>
  <c r="CG45" i="3"/>
  <c r="CG44" i="3"/>
  <c r="CG43" i="3"/>
  <c r="CG42" i="3"/>
  <c r="CG41" i="3"/>
  <c r="CG40" i="3"/>
  <c r="CG39" i="3"/>
  <c r="CG38" i="3"/>
  <c r="CG37" i="3"/>
  <c r="CG36" i="3"/>
  <c r="CG35" i="3"/>
  <c r="CG34" i="3"/>
  <c r="CG33" i="3"/>
  <c r="CG32" i="3"/>
  <c r="CG31" i="3"/>
  <c r="CG30" i="3"/>
  <c r="CG29" i="3"/>
  <c r="CG28" i="3"/>
  <c r="CG27" i="3"/>
  <c r="CG26" i="3"/>
  <c r="CG25" i="3"/>
  <c r="CG24" i="3"/>
  <c r="CG23" i="3"/>
  <c r="CG22" i="3"/>
  <c r="CG21" i="3"/>
  <c r="CG20" i="3"/>
  <c r="CG19" i="3"/>
  <c r="CG18" i="3"/>
  <c r="CG17" i="3"/>
  <c r="CG16" i="3"/>
  <c r="CG15" i="3"/>
  <c r="CG14" i="3"/>
  <c r="CG13" i="3"/>
  <c r="L4" i="6"/>
  <c r="L2" i="6"/>
  <c r="L3" i="6"/>
  <c r="DA13" i="2" l="1"/>
  <c r="BY112" i="3" l="1"/>
  <c r="BW112" i="3"/>
  <c r="BS112" i="3" l="1"/>
  <c r="BP112" i="3"/>
  <c r="BN112" i="3"/>
  <c r="BJ112" i="3"/>
  <c r="BH112" i="3"/>
  <c r="BF112" i="3"/>
  <c r="AY112" i="3"/>
  <c r="AV112" i="3"/>
  <c r="AP112" i="3"/>
  <c r="AN112" i="3"/>
  <c r="AL112" i="3"/>
  <c r="AJ112" i="3"/>
  <c r="AG112" i="3"/>
  <c r="Z112" i="3"/>
  <c r="X112" i="3"/>
  <c r="V112" i="3"/>
  <c r="I112" i="3"/>
  <c r="G112" i="3"/>
  <c r="E112" i="3"/>
  <c r="C112" i="3"/>
  <c r="BY111" i="3"/>
  <c r="BW111" i="3"/>
  <c r="BS111" i="3"/>
  <c r="BP111" i="3"/>
  <c r="BN111" i="3"/>
  <c r="BJ111" i="3"/>
  <c r="BH111" i="3"/>
  <c r="BF111" i="3"/>
  <c r="AY111" i="3"/>
  <c r="AV111" i="3"/>
  <c r="AP111" i="3"/>
  <c r="AN111" i="3"/>
  <c r="AL111" i="3"/>
  <c r="AJ111" i="3"/>
  <c r="AG111" i="3"/>
  <c r="Z111" i="3"/>
  <c r="X111" i="3"/>
  <c r="V111" i="3"/>
  <c r="I111" i="3"/>
  <c r="G111" i="3"/>
  <c r="E111" i="3"/>
  <c r="C111" i="3"/>
  <c r="BY110" i="3"/>
  <c r="BW110" i="3"/>
  <c r="BS110" i="3"/>
  <c r="BP110" i="3"/>
  <c r="BN110" i="3"/>
  <c r="BJ110" i="3"/>
  <c r="BH110" i="3"/>
  <c r="BF110" i="3"/>
  <c r="AY110" i="3"/>
  <c r="AV110" i="3"/>
  <c r="AP110" i="3"/>
  <c r="AN110" i="3"/>
  <c r="AL110" i="3"/>
  <c r="AJ110" i="3"/>
  <c r="AG110" i="3"/>
  <c r="Z110" i="3"/>
  <c r="X110" i="3"/>
  <c r="V110" i="3"/>
  <c r="I110" i="3"/>
  <c r="G110" i="3"/>
  <c r="E110" i="3"/>
  <c r="C110" i="3"/>
  <c r="BY109" i="3"/>
  <c r="BW109" i="3"/>
  <c r="BS109" i="3"/>
  <c r="BP109" i="3"/>
  <c r="BN109" i="3"/>
  <c r="BJ109" i="3"/>
  <c r="BH109" i="3"/>
  <c r="BF109" i="3"/>
  <c r="AY109" i="3"/>
  <c r="AV109" i="3"/>
  <c r="AP109" i="3"/>
  <c r="AN109" i="3"/>
  <c r="AL109" i="3"/>
  <c r="AJ109" i="3"/>
  <c r="AG109" i="3"/>
  <c r="Z109" i="3"/>
  <c r="X109" i="3"/>
  <c r="V109" i="3"/>
  <c r="I109" i="3"/>
  <c r="G109" i="3"/>
  <c r="E109" i="3"/>
  <c r="C109" i="3"/>
  <c r="BY108" i="3"/>
  <c r="BW108" i="3"/>
  <c r="BS108" i="3"/>
  <c r="BP108" i="3"/>
  <c r="BN108" i="3"/>
  <c r="BJ108" i="3"/>
  <c r="BH108" i="3"/>
  <c r="BF108" i="3"/>
  <c r="AY108" i="3"/>
  <c r="AV108" i="3"/>
  <c r="AP108" i="3"/>
  <c r="AN108" i="3"/>
  <c r="AL108" i="3"/>
  <c r="AJ108" i="3"/>
  <c r="AG108" i="3"/>
  <c r="Z108" i="3"/>
  <c r="X108" i="3"/>
  <c r="V108" i="3"/>
  <c r="I108" i="3"/>
  <c r="G108" i="3"/>
  <c r="E108" i="3"/>
  <c r="C108" i="3"/>
  <c r="BY107" i="3"/>
  <c r="BW107" i="3"/>
  <c r="BS107" i="3"/>
  <c r="BP107" i="3"/>
  <c r="BN107" i="3"/>
  <c r="BJ107" i="3"/>
  <c r="BH107" i="3"/>
  <c r="BF107" i="3"/>
  <c r="AY107" i="3"/>
  <c r="AV107" i="3"/>
  <c r="AP107" i="3"/>
  <c r="AN107" i="3"/>
  <c r="AL107" i="3"/>
  <c r="AJ107" i="3"/>
  <c r="AG107" i="3"/>
  <c r="Z107" i="3"/>
  <c r="X107" i="3"/>
  <c r="V107" i="3"/>
  <c r="I107" i="3"/>
  <c r="G107" i="3"/>
  <c r="E107" i="3"/>
  <c r="C107" i="3"/>
  <c r="BY106" i="3"/>
  <c r="BW106" i="3"/>
  <c r="BS106" i="3"/>
  <c r="BP106" i="3"/>
  <c r="BN106" i="3"/>
  <c r="BJ106" i="3"/>
  <c r="BH106" i="3"/>
  <c r="BF106" i="3"/>
  <c r="AY106" i="3"/>
  <c r="AV106" i="3"/>
  <c r="AP106" i="3"/>
  <c r="AN106" i="3"/>
  <c r="AL106" i="3"/>
  <c r="AJ106" i="3"/>
  <c r="AG106" i="3"/>
  <c r="Z106" i="3"/>
  <c r="X106" i="3"/>
  <c r="V106" i="3"/>
  <c r="I106" i="3"/>
  <c r="G106" i="3"/>
  <c r="E106" i="3"/>
  <c r="C106" i="3"/>
  <c r="BY105" i="3"/>
  <c r="BW105" i="3"/>
  <c r="BS105" i="3"/>
  <c r="BP105" i="3"/>
  <c r="BN105" i="3"/>
  <c r="BJ105" i="3"/>
  <c r="BH105" i="3"/>
  <c r="BF105" i="3"/>
  <c r="AY105" i="3"/>
  <c r="AV105" i="3"/>
  <c r="AP105" i="3"/>
  <c r="AN105" i="3"/>
  <c r="AL105" i="3"/>
  <c r="AJ105" i="3"/>
  <c r="AG105" i="3"/>
  <c r="Z105" i="3"/>
  <c r="X105" i="3"/>
  <c r="V105" i="3"/>
  <c r="I105" i="3"/>
  <c r="G105" i="3"/>
  <c r="E105" i="3"/>
  <c r="C105" i="3"/>
  <c r="BY104" i="3"/>
  <c r="BW104" i="3"/>
  <c r="BS104" i="3"/>
  <c r="BP104" i="3"/>
  <c r="BN104" i="3"/>
  <c r="BJ104" i="3"/>
  <c r="BH104" i="3"/>
  <c r="BF104" i="3"/>
  <c r="AY104" i="3"/>
  <c r="AV104" i="3"/>
  <c r="AP104" i="3"/>
  <c r="AN104" i="3"/>
  <c r="AL104" i="3"/>
  <c r="AJ104" i="3"/>
  <c r="AG104" i="3"/>
  <c r="Z104" i="3"/>
  <c r="X104" i="3"/>
  <c r="V104" i="3"/>
  <c r="I104" i="3"/>
  <c r="G104" i="3"/>
  <c r="E104" i="3"/>
  <c r="C104" i="3"/>
  <c r="BY103" i="3"/>
  <c r="BW103" i="3"/>
  <c r="BS103" i="3"/>
  <c r="BP103" i="3"/>
  <c r="BN103" i="3"/>
  <c r="BJ103" i="3"/>
  <c r="BH103" i="3"/>
  <c r="BF103" i="3"/>
  <c r="AY103" i="3"/>
  <c r="AV103" i="3"/>
  <c r="AP103" i="3"/>
  <c r="AN103" i="3"/>
  <c r="AL103" i="3"/>
  <c r="AJ103" i="3"/>
  <c r="AG103" i="3"/>
  <c r="Z103" i="3"/>
  <c r="X103" i="3"/>
  <c r="V103" i="3"/>
  <c r="I103" i="3"/>
  <c r="G103" i="3"/>
  <c r="E103" i="3"/>
  <c r="C103" i="3"/>
  <c r="BY102" i="3"/>
  <c r="BW102" i="3"/>
  <c r="BS102" i="3"/>
  <c r="BP102" i="3"/>
  <c r="BN102" i="3"/>
  <c r="BJ102" i="3"/>
  <c r="BH102" i="3"/>
  <c r="BF102" i="3"/>
  <c r="AY102" i="3"/>
  <c r="AV102" i="3"/>
  <c r="AP102" i="3"/>
  <c r="AN102" i="3"/>
  <c r="AL102" i="3"/>
  <c r="AJ102" i="3"/>
  <c r="AG102" i="3"/>
  <c r="Z102" i="3"/>
  <c r="X102" i="3"/>
  <c r="V102" i="3"/>
  <c r="I102" i="3"/>
  <c r="G102" i="3"/>
  <c r="E102" i="3"/>
  <c r="C102" i="3"/>
  <c r="BY101" i="3"/>
  <c r="BW101" i="3"/>
  <c r="BS101" i="3"/>
  <c r="BP101" i="3"/>
  <c r="BN101" i="3"/>
  <c r="BJ101" i="3"/>
  <c r="BH101" i="3"/>
  <c r="BF101" i="3"/>
  <c r="AY101" i="3"/>
  <c r="AV101" i="3"/>
  <c r="AP101" i="3"/>
  <c r="AN101" i="3"/>
  <c r="AL101" i="3"/>
  <c r="AJ101" i="3"/>
  <c r="AG101" i="3"/>
  <c r="Z101" i="3"/>
  <c r="X101" i="3"/>
  <c r="V101" i="3"/>
  <c r="I101" i="3"/>
  <c r="G101" i="3"/>
  <c r="E101" i="3"/>
  <c r="C101" i="3"/>
  <c r="BY100" i="3"/>
  <c r="BW100" i="3"/>
  <c r="BS100" i="3"/>
  <c r="BP100" i="3"/>
  <c r="BN100" i="3"/>
  <c r="BJ100" i="3"/>
  <c r="BH100" i="3"/>
  <c r="BF100" i="3"/>
  <c r="AY100" i="3"/>
  <c r="AV100" i="3"/>
  <c r="AP100" i="3"/>
  <c r="AN100" i="3"/>
  <c r="AL100" i="3"/>
  <c r="AJ100" i="3"/>
  <c r="AG100" i="3"/>
  <c r="Z100" i="3"/>
  <c r="X100" i="3"/>
  <c r="V100" i="3"/>
  <c r="I100" i="3"/>
  <c r="G100" i="3"/>
  <c r="E100" i="3"/>
  <c r="C100" i="3"/>
  <c r="BY99" i="3"/>
  <c r="BW99" i="3"/>
  <c r="BS99" i="3"/>
  <c r="BP99" i="3"/>
  <c r="BN99" i="3"/>
  <c r="BJ99" i="3"/>
  <c r="BH99" i="3"/>
  <c r="BF99" i="3"/>
  <c r="AY99" i="3"/>
  <c r="AV99" i="3"/>
  <c r="AP99" i="3"/>
  <c r="AN99" i="3"/>
  <c r="AL99" i="3"/>
  <c r="AJ99" i="3"/>
  <c r="AG99" i="3"/>
  <c r="Z99" i="3"/>
  <c r="X99" i="3"/>
  <c r="V99" i="3"/>
  <c r="I99" i="3"/>
  <c r="G99" i="3"/>
  <c r="E99" i="3"/>
  <c r="C99" i="3"/>
  <c r="BY98" i="3"/>
  <c r="BW98" i="3"/>
  <c r="BS98" i="3"/>
  <c r="BP98" i="3"/>
  <c r="BN98" i="3"/>
  <c r="BJ98" i="3"/>
  <c r="BH98" i="3"/>
  <c r="BF98" i="3"/>
  <c r="AY98" i="3"/>
  <c r="AV98" i="3"/>
  <c r="AP98" i="3"/>
  <c r="AN98" i="3"/>
  <c r="AL98" i="3"/>
  <c r="AJ98" i="3"/>
  <c r="AG98" i="3"/>
  <c r="Z98" i="3"/>
  <c r="X98" i="3"/>
  <c r="V98" i="3"/>
  <c r="I98" i="3"/>
  <c r="G98" i="3"/>
  <c r="E98" i="3"/>
  <c r="C98" i="3"/>
  <c r="BY97" i="3"/>
  <c r="BW97" i="3"/>
  <c r="BS97" i="3"/>
  <c r="BP97" i="3"/>
  <c r="BN97" i="3"/>
  <c r="BJ97" i="3"/>
  <c r="BH97" i="3"/>
  <c r="BF97" i="3"/>
  <c r="AY97" i="3"/>
  <c r="AV97" i="3"/>
  <c r="AP97" i="3"/>
  <c r="AN97" i="3"/>
  <c r="AL97" i="3"/>
  <c r="AJ97" i="3"/>
  <c r="AG97" i="3"/>
  <c r="Z97" i="3"/>
  <c r="X97" i="3"/>
  <c r="V97" i="3"/>
  <c r="I97" i="3"/>
  <c r="G97" i="3"/>
  <c r="E97" i="3"/>
  <c r="C97" i="3"/>
  <c r="BY96" i="3"/>
  <c r="BW96" i="3"/>
  <c r="BS96" i="3"/>
  <c r="BP96" i="3"/>
  <c r="BN96" i="3"/>
  <c r="BJ96" i="3"/>
  <c r="BH96" i="3"/>
  <c r="BF96" i="3"/>
  <c r="AY96" i="3"/>
  <c r="AV96" i="3"/>
  <c r="AP96" i="3"/>
  <c r="AN96" i="3"/>
  <c r="AL96" i="3"/>
  <c r="AJ96" i="3"/>
  <c r="AG96" i="3"/>
  <c r="Z96" i="3"/>
  <c r="X96" i="3"/>
  <c r="V96" i="3"/>
  <c r="I96" i="3"/>
  <c r="G96" i="3"/>
  <c r="E96" i="3"/>
  <c r="C96" i="3"/>
  <c r="BY95" i="3"/>
  <c r="BW95" i="3"/>
  <c r="BS95" i="3"/>
  <c r="BP95" i="3"/>
  <c r="BN95" i="3"/>
  <c r="BJ95" i="3"/>
  <c r="BH95" i="3"/>
  <c r="BF95" i="3"/>
  <c r="AY95" i="3"/>
  <c r="AV95" i="3"/>
  <c r="AP95" i="3"/>
  <c r="AN95" i="3"/>
  <c r="AL95" i="3"/>
  <c r="AJ95" i="3"/>
  <c r="AG95" i="3"/>
  <c r="Z95" i="3"/>
  <c r="X95" i="3"/>
  <c r="V95" i="3"/>
  <c r="I95" i="3"/>
  <c r="G95" i="3"/>
  <c r="E95" i="3"/>
  <c r="C95" i="3"/>
  <c r="BY94" i="3"/>
  <c r="BW94" i="3"/>
  <c r="BS94" i="3"/>
  <c r="BP94" i="3"/>
  <c r="BN94" i="3"/>
  <c r="BJ94" i="3"/>
  <c r="BH94" i="3"/>
  <c r="BF94" i="3"/>
  <c r="AY94" i="3"/>
  <c r="AV94" i="3"/>
  <c r="AP94" i="3"/>
  <c r="AN94" i="3"/>
  <c r="AL94" i="3"/>
  <c r="AJ94" i="3"/>
  <c r="AG94" i="3"/>
  <c r="Z94" i="3"/>
  <c r="X94" i="3"/>
  <c r="V94" i="3"/>
  <c r="I94" i="3"/>
  <c r="G94" i="3"/>
  <c r="E94" i="3"/>
  <c r="C94" i="3"/>
  <c r="BY93" i="3"/>
  <c r="BW93" i="3"/>
  <c r="BS93" i="3"/>
  <c r="BP93" i="3"/>
  <c r="BN93" i="3"/>
  <c r="BJ93" i="3"/>
  <c r="BH93" i="3"/>
  <c r="BF93" i="3"/>
  <c r="AY93" i="3"/>
  <c r="AV93" i="3"/>
  <c r="AP93" i="3"/>
  <c r="AN93" i="3"/>
  <c r="AL93" i="3"/>
  <c r="AJ93" i="3"/>
  <c r="AG93" i="3"/>
  <c r="Z93" i="3"/>
  <c r="X93" i="3"/>
  <c r="V93" i="3"/>
  <c r="I93" i="3"/>
  <c r="G93" i="3"/>
  <c r="E93" i="3"/>
  <c r="C93" i="3"/>
  <c r="BY92" i="3"/>
  <c r="BW92" i="3"/>
  <c r="BS92" i="3"/>
  <c r="BP92" i="3"/>
  <c r="BN92" i="3"/>
  <c r="BJ92" i="3"/>
  <c r="BH92" i="3"/>
  <c r="BF92" i="3"/>
  <c r="AY92" i="3"/>
  <c r="AV92" i="3"/>
  <c r="AP92" i="3"/>
  <c r="AN92" i="3"/>
  <c r="AL92" i="3"/>
  <c r="AJ92" i="3"/>
  <c r="AG92" i="3"/>
  <c r="Z92" i="3"/>
  <c r="X92" i="3"/>
  <c r="V92" i="3"/>
  <c r="I92" i="3"/>
  <c r="G92" i="3"/>
  <c r="E92" i="3"/>
  <c r="C92" i="3"/>
  <c r="BY91" i="3"/>
  <c r="BW91" i="3"/>
  <c r="BS91" i="3"/>
  <c r="BP91" i="3"/>
  <c r="BN91" i="3"/>
  <c r="BJ91" i="3"/>
  <c r="BH91" i="3"/>
  <c r="BF91" i="3"/>
  <c r="AY91" i="3"/>
  <c r="AV91" i="3"/>
  <c r="AP91" i="3"/>
  <c r="AN91" i="3"/>
  <c r="AL91" i="3"/>
  <c r="AJ91" i="3"/>
  <c r="AG91" i="3"/>
  <c r="Z91" i="3"/>
  <c r="X91" i="3"/>
  <c r="V91" i="3"/>
  <c r="I91" i="3"/>
  <c r="G91" i="3"/>
  <c r="E91" i="3"/>
  <c r="C91" i="3"/>
  <c r="BY90" i="3"/>
  <c r="BW90" i="3"/>
  <c r="BS90" i="3"/>
  <c r="BP90" i="3"/>
  <c r="BN90" i="3"/>
  <c r="BJ90" i="3"/>
  <c r="BH90" i="3"/>
  <c r="BF90" i="3"/>
  <c r="AY90" i="3"/>
  <c r="AV90" i="3"/>
  <c r="AP90" i="3"/>
  <c r="AN90" i="3"/>
  <c r="AL90" i="3"/>
  <c r="AJ90" i="3"/>
  <c r="AG90" i="3"/>
  <c r="Z90" i="3"/>
  <c r="X90" i="3"/>
  <c r="V90" i="3"/>
  <c r="I90" i="3"/>
  <c r="G90" i="3"/>
  <c r="E90" i="3"/>
  <c r="C90" i="3"/>
  <c r="BY89" i="3"/>
  <c r="BW89" i="3"/>
  <c r="BS89" i="3"/>
  <c r="BP89" i="3"/>
  <c r="BN89" i="3"/>
  <c r="BJ89" i="3"/>
  <c r="BH89" i="3"/>
  <c r="BF89" i="3"/>
  <c r="AY89" i="3"/>
  <c r="AV89" i="3"/>
  <c r="AP89" i="3"/>
  <c r="AN89" i="3"/>
  <c r="AL89" i="3"/>
  <c r="AJ89" i="3"/>
  <c r="AG89" i="3"/>
  <c r="Z89" i="3"/>
  <c r="X89" i="3"/>
  <c r="V89" i="3"/>
  <c r="I89" i="3"/>
  <c r="G89" i="3"/>
  <c r="E89" i="3"/>
  <c r="C89" i="3"/>
  <c r="BY88" i="3"/>
  <c r="BW88" i="3"/>
  <c r="BS88" i="3"/>
  <c r="BP88" i="3"/>
  <c r="BN88" i="3"/>
  <c r="BJ88" i="3"/>
  <c r="BH88" i="3"/>
  <c r="BF88" i="3"/>
  <c r="AY88" i="3"/>
  <c r="AV88" i="3"/>
  <c r="AP88" i="3"/>
  <c r="AN88" i="3"/>
  <c r="AL88" i="3"/>
  <c r="AJ88" i="3"/>
  <c r="AG88" i="3"/>
  <c r="Z88" i="3"/>
  <c r="X88" i="3"/>
  <c r="V88" i="3"/>
  <c r="I88" i="3"/>
  <c r="G88" i="3"/>
  <c r="E88" i="3"/>
  <c r="C88" i="3"/>
  <c r="BY87" i="3"/>
  <c r="BW87" i="3"/>
  <c r="BS87" i="3"/>
  <c r="BP87" i="3"/>
  <c r="BN87" i="3"/>
  <c r="BJ87" i="3"/>
  <c r="BH87" i="3"/>
  <c r="BF87" i="3"/>
  <c r="AY87" i="3"/>
  <c r="AV87" i="3"/>
  <c r="AP87" i="3"/>
  <c r="AN87" i="3"/>
  <c r="AL87" i="3"/>
  <c r="AJ87" i="3"/>
  <c r="AG87" i="3"/>
  <c r="Z87" i="3"/>
  <c r="X87" i="3"/>
  <c r="V87" i="3"/>
  <c r="I87" i="3"/>
  <c r="G87" i="3"/>
  <c r="E87" i="3"/>
  <c r="C87" i="3"/>
  <c r="BY86" i="3"/>
  <c r="BW86" i="3"/>
  <c r="BS86" i="3"/>
  <c r="BP86" i="3"/>
  <c r="BN86" i="3"/>
  <c r="BJ86" i="3"/>
  <c r="BH86" i="3"/>
  <c r="BF86" i="3"/>
  <c r="AY86" i="3"/>
  <c r="AV86" i="3"/>
  <c r="AP86" i="3"/>
  <c r="AN86" i="3"/>
  <c r="AL86" i="3"/>
  <c r="AJ86" i="3"/>
  <c r="AG86" i="3"/>
  <c r="Z86" i="3"/>
  <c r="X86" i="3"/>
  <c r="V86" i="3"/>
  <c r="I86" i="3"/>
  <c r="G86" i="3"/>
  <c r="E86" i="3"/>
  <c r="C86" i="3"/>
  <c r="BY85" i="3"/>
  <c r="BW85" i="3"/>
  <c r="BS85" i="3"/>
  <c r="BP85" i="3"/>
  <c r="BN85" i="3"/>
  <c r="BJ85" i="3"/>
  <c r="BH85" i="3"/>
  <c r="BF85" i="3"/>
  <c r="AY85" i="3"/>
  <c r="AV85" i="3"/>
  <c r="AP85" i="3"/>
  <c r="AN85" i="3"/>
  <c r="AL85" i="3"/>
  <c r="AJ85" i="3"/>
  <c r="AG85" i="3"/>
  <c r="Z85" i="3"/>
  <c r="X85" i="3"/>
  <c r="V85" i="3"/>
  <c r="I85" i="3"/>
  <c r="G85" i="3"/>
  <c r="E85" i="3"/>
  <c r="C85" i="3"/>
  <c r="BY84" i="3"/>
  <c r="BW84" i="3"/>
  <c r="BS84" i="3"/>
  <c r="BP84" i="3"/>
  <c r="BN84" i="3"/>
  <c r="BJ84" i="3"/>
  <c r="BH84" i="3"/>
  <c r="BF84" i="3"/>
  <c r="AY84" i="3"/>
  <c r="AV84" i="3"/>
  <c r="AP84" i="3"/>
  <c r="AN84" i="3"/>
  <c r="AL84" i="3"/>
  <c r="AJ84" i="3"/>
  <c r="AG84" i="3"/>
  <c r="Z84" i="3"/>
  <c r="X84" i="3"/>
  <c r="V84" i="3"/>
  <c r="I84" i="3"/>
  <c r="G84" i="3"/>
  <c r="E84" i="3"/>
  <c r="C84" i="3"/>
  <c r="BY83" i="3"/>
  <c r="BW83" i="3"/>
  <c r="BS83" i="3"/>
  <c r="BP83" i="3"/>
  <c r="BN83" i="3"/>
  <c r="BJ83" i="3"/>
  <c r="BH83" i="3"/>
  <c r="BF83" i="3"/>
  <c r="AY83" i="3"/>
  <c r="AV83" i="3"/>
  <c r="AP83" i="3"/>
  <c r="AN83" i="3"/>
  <c r="AL83" i="3"/>
  <c r="AJ83" i="3"/>
  <c r="AG83" i="3"/>
  <c r="Z83" i="3"/>
  <c r="X83" i="3"/>
  <c r="V83" i="3"/>
  <c r="I83" i="3"/>
  <c r="G83" i="3"/>
  <c r="E83" i="3"/>
  <c r="C83" i="3"/>
  <c r="BY82" i="3"/>
  <c r="BW82" i="3"/>
  <c r="BS82" i="3"/>
  <c r="BP82" i="3"/>
  <c r="BN82" i="3"/>
  <c r="BJ82" i="3"/>
  <c r="BH82" i="3"/>
  <c r="BF82" i="3"/>
  <c r="AY82" i="3"/>
  <c r="AV82" i="3"/>
  <c r="AP82" i="3"/>
  <c r="AN82" i="3"/>
  <c r="AL82" i="3"/>
  <c r="AJ82" i="3"/>
  <c r="AG82" i="3"/>
  <c r="Z82" i="3"/>
  <c r="X82" i="3"/>
  <c r="V82" i="3"/>
  <c r="I82" i="3"/>
  <c r="G82" i="3"/>
  <c r="E82" i="3"/>
  <c r="C82" i="3"/>
  <c r="BY81" i="3"/>
  <c r="BW81" i="3"/>
  <c r="BS81" i="3"/>
  <c r="BP81" i="3"/>
  <c r="BN81" i="3"/>
  <c r="BJ81" i="3"/>
  <c r="BH81" i="3"/>
  <c r="BF81" i="3"/>
  <c r="AY81" i="3"/>
  <c r="AV81" i="3"/>
  <c r="AP81" i="3"/>
  <c r="AN81" i="3"/>
  <c r="AL81" i="3"/>
  <c r="AJ81" i="3"/>
  <c r="AG81" i="3"/>
  <c r="Z81" i="3"/>
  <c r="X81" i="3"/>
  <c r="V81" i="3"/>
  <c r="I81" i="3"/>
  <c r="G81" i="3"/>
  <c r="E81" i="3"/>
  <c r="C81" i="3"/>
  <c r="BY80" i="3"/>
  <c r="BW80" i="3"/>
  <c r="BS80" i="3"/>
  <c r="BP80" i="3"/>
  <c r="BN80" i="3"/>
  <c r="BJ80" i="3"/>
  <c r="BH80" i="3"/>
  <c r="BF80" i="3"/>
  <c r="AY80" i="3"/>
  <c r="AV80" i="3"/>
  <c r="AP80" i="3"/>
  <c r="AN80" i="3"/>
  <c r="AL80" i="3"/>
  <c r="AJ80" i="3"/>
  <c r="AG80" i="3"/>
  <c r="Z80" i="3"/>
  <c r="X80" i="3"/>
  <c r="V80" i="3"/>
  <c r="I80" i="3"/>
  <c r="G80" i="3"/>
  <c r="E80" i="3"/>
  <c r="C80" i="3"/>
  <c r="BY79" i="3"/>
  <c r="BW79" i="3"/>
  <c r="BS79" i="3"/>
  <c r="BP79" i="3"/>
  <c r="BN79" i="3"/>
  <c r="BJ79" i="3"/>
  <c r="BH79" i="3"/>
  <c r="BF79" i="3"/>
  <c r="AY79" i="3"/>
  <c r="AV79" i="3"/>
  <c r="AP79" i="3"/>
  <c r="AN79" i="3"/>
  <c r="AL79" i="3"/>
  <c r="AJ79" i="3"/>
  <c r="AG79" i="3"/>
  <c r="Z79" i="3"/>
  <c r="X79" i="3"/>
  <c r="V79" i="3"/>
  <c r="I79" i="3"/>
  <c r="G79" i="3"/>
  <c r="E79" i="3"/>
  <c r="C79" i="3"/>
  <c r="BY78" i="3"/>
  <c r="BW78" i="3"/>
  <c r="BS78" i="3"/>
  <c r="BP78" i="3"/>
  <c r="BN78" i="3"/>
  <c r="BJ78" i="3"/>
  <c r="BH78" i="3"/>
  <c r="BF78" i="3"/>
  <c r="AY78" i="3"/>
  <c r="AV78" i="3"/>
  <c r="AP78" i="3"/>
  <c r="AN78" i="3"/>
  <c r="AL78" i="3"/>
  <c r="AJ78" i="3"/>
  <c r="AG78" i="3"/>
  <c r="Z78" i="3"/>
  <c r="X78" i="3"/>
  <c r="V78" i="3"/>
  <c r="I78" i="3"/>
  <c r="G78" i="3"/>
  <c r="E78" i="3"/>
  <c r="C78" i="3"/>
  <c r="BY77" i="3"/>
  <c r="BW77" i="3"/>
  <c r="BS77" i="3"/>
  <c r="BP77" i="3"/>
  <c r="BN77" i="3"/>
  <c r="BJ77" i="3"/>
  <c r="BH77" i="3"/>
  <c r="BF77" i="3"/>
  <c r="AY77" i="3"/>
  <c r="AV77" i="3"/>
  <c r="AP77" i="3"/>
  <c r="AN77" i="3"/>
  <c r="AL77" i="3"/>
  <c r="AJ77" i="3"/>
  <c r="AG77" i="3"/>
  <c r="Z77" i="3"/>
  <c r="X77" i="3"/>
  <c r="V77" i="3"/>
  <c r="I77" i="3"/>
  <c r="G77" i="3"/>
  <c r="E77" i="3"/>
  <c r="C77" i="3"/>
  <c r="BY76" i="3"/>
  <c r="BW76" i="3"/>
  <c r="BS76" i="3"/>
  <c r="BP76" i="3"/>
  <c r="BN76" i="3"/>
  <c r="BJ76" i="3"/>
  <c r="BH76" i="3"/>
  <c r="BF76" i="3"/>
  <c r="AY76" i="3"/>
  <c r="AV76" i="3"/>
  <c r="AP76" i="3"/>
  <c r="AN76" i="3"/>
  <c r="AL76" i="3"/>
  <c r="AJ76" i="3"/>
  <c r="AG76" i="3"/>
  <c r="Z76" i="3"/>
  <c r="X76" i="3"/>
  <c r="V76" i="3"/>
  <c r="I76" i="3"/>
  <c r="G76" i="3"/>
  <c r="E76" i="3"/>
  <c r="C76" i="3"/>
  <c r="BY75" i="3"/>
  <c r="BW75" i="3"/>
  <c r="BS75" i="3"/>
  <c r="BP75" i="3"/>
  <c r="BN75" i="3"/>
  <c r="BJ75" i="3"/>
  <c r="BH75" i="3"/>
  <c r="BF75" i="3"/>
  <c r="AY75" i="3"/>
  <c r="AV75" i="3"/>
  <c r="AP75" i="3"/>
  <c r="AN75" i="3"/>
  <c r="AL75" i="3"/>
  <c r="AJ75" i="3"/>
  <c r="AG75" i="3"/>
  <c r="Z75" i="3"/>
  <c r="X75" i="3"/>
  <c r="V75" i="3"/>
  <c r="I75" i="3"/>
  <c r="G75" i="3"/>
  <c r="E75" i="3"/>
  <c r="C75" i="3"/>
  <c r="BY74" i="3"/>
  <c r="BW74" i="3"/>
  <c r="BS74" i="3"/>
  <c r="BP74" i="3"/>
  <c r="BN74" i="3"/>
  <c r="BJ74" i="3"/>
  <c r="BH74" i="3"/>
  <c r="BF74" i="3"/>
  <c r="AY74" i="3"/>
  <c r="AV74" i="3"/>
  <c r="AP74" i="3"/>
  <c r="AN74" i="3"/>
  <c r="AL74" i="3"/>
  <c r="AJ74" i="3"/>
  <c r="AG74" i="3"/>
  <c r="Z74" i="3"/>
  <c r="X74" i="3"/>
  <c r="V74" i="3"/>
  <c r="I74" i="3"/>
  <c r="G74" i="3"/>
  <c r="E74" i="3"/>
  <c r="C74" i="3"/>
  <c r="BY73" i="3"/>
  <c r="BW73" i="3"/>
  <c r="BS73" i="3"/>
  <c r="BP73" i="3"/>
  <c r="BN73" i="3"/>
  <c r="BJ73" i="3"/>
  <c r="BH73" i="3"/>
  <c r="BF73" i="3"/>
  <c r="AY73" i="3"/>
  <c r="AV73" i="3"/>
  <c r="AP73" i="3"/>
  <c r="AN73" i="3"/>
  <c r="AL73" i="3"/>
  <c r="AJ73" i="3"/>
  <c r="AG73" i="3"/>
  <c r="Z73" i="3"/>
  <c r="X73" i="3"/>
  <c r="V73" i="3"/>
  <c r="I73" i="3"/>
  <c r="G73" i="3"/>
  <c r="E73" i="3"/>
  <c r="C73" i="3"/>
  <c r="BY72" i="3"/>
  <c r="BW72" i="3"/>
  <c r="BS72" i="3"/>
  <c r="BP72" i="3"/>
  <c r="BN72" i="3"/>
  <c r="BJ72" i="3"/>
  <c r="BH72" i="3"/>
  <c r="BF72" i="3"/>
  <c r="AY72" i="3"/>
  <c r="AV72" i="3"/>
  <c r="AP72" i="3"/>
  <c r="AN72" i="3"/>
  <c r="AL72" i="3"/>
  <c r="AJ72" i="3"/>
  <c r="AG72" i="3"/>
  <c r="Z72" i="3"/>
  <c r="X72" i="3"/>
  <c r="V72" i="3"/>
  <c r="I72" i="3"/>
  <c r="G72" i="3"/>
  <c r="E72" i="3"/>
  <c r="C72" i="3"/>
  <c r="BY71" i="3"/>
  <c r="BW71" i="3"/>
  <c r="BS71" i="3"/>
  <c r="BP71" i="3"/>
  <c r="BN71" i="3"/>
  <c r="BJ71" i="3"/>
  <c r="BH71" i="3"/>
  <c r="BF71" i="3"/>
  <c r="AY71" i="3"/>
  <c r="AV71" i="3"/>
  <c r="AP71" i="3"/>
  <c r="AN71" i="3"/>
  <c r="AL71" i="3"/>
  <c r="AJ71" i="3"/>
  <c r="AG71" i="3"/>
  <c r="Z71" i="3"/>
  <c r="X71" i="3"/>
  <c r="V71" i="3"/>
  <c r="I71" i="3"/>
  <c r="G71" i="3"/>
  <c r="E71" i="3"/>
  <c r="C71" i="3"/>
  <c r="BY70" i="3"/>
  <c r="BW70" i="3"/>
  <c r="BS70" i="3"/>
  <c r="BP70" i="3"/>
  <c r="BN70" i="3"/>
  <c r="BJ70" i="3"/>
  <c r="BH70" i="3"/>
  <c r="BF70" i="3"/>
  <c r="AY70" i="3"/>
  <c r="AV70" i="3"/>
  <c r="AP70" i="3"/>
  <c r="AN70" i="3"/>
  <c r="AL70" i="3"/>
  <c r="AJ70" i="3"/>
  <c r="AG70" i="3"/>
  <c r="Z70" i="3"/>
  <c r="X70" i="3"/>
  <c r="V70" i="3"/>
  <c r="I70" i="3"/>
  <c r="G70" i="3"/>
  <c r="E70" i="3"/>
  <c r="C70" i="3"/>
  <c r="BY69" i="3"/>
  <c r="BW69" i="3"/>
  <c r="BS69" i="3"/>
  <c r="BP69" i="3"/>
  <c r="BN69" i="3"/>
  <c r="BJ69" i="3"/>
  <c r="BH69" i="3"/>
  <c r="BF69" i="3"/>
  <c r="AY69" i="3"/>
  <c r="AV69" i="3"/>
  <c r="AP69" i="3"/>
  <c r="AN69" i="3"/>
  <c r="AL69" i="3"/>
  <c r="AJ69" i="3"/>
  <c r="AG69" i="3"/>
  <c r="Z69" i="3"/>
  <c r="X69" i="3"/>
  <c r="V69" i="3"/>
  <c r="I69" i="3"/>
  <c r="G69" i="3"/>
  <c r="E69" i="3"/>
  <c r="C69" i="3"/>
  <c r="BY68" i="3"/>
  <c r="BW68" i="3"/>
  <c r="BS68" i="3"/>
  <c r="BP68" i="3"/>
  <c r="BN68" i="3"/>
  <c r="BJ68" i="3"/>
  <c r="BH68" i="3"/>
  <c r="BF68" i="3"/>
  <c r="AY68" i="3"/>
  <c r="AV68" i="3"/>
  <c r="AP68" i="3"/>
  <c r="AN68" i="3"/>
  <c r="AL68" i="3"/>
  <c r="AJ68" i="3"/>
  <c r="AG68" i="3"/>
  <c r="Z68" i="3"/>
  <c r="X68" i="3"/>
  <c r="V68" i="3"/>
  <c r="I68" i="3"/>
  <c r="G68" i="3"/>
  <c r="E68" i="3"/>
  <c r="C68" i="3"/>
  <c r="BY67" i="3"/>
  <c r="BW67" i="3"/>
  <c r="BS67" i="3"/>
  <c r="BP67" i="3"/>
  <c r="BN67" i="3"/>
  <c r="BJ67" i="3"/>
  <c r="BH67" i="3"/>
  <c r="BF67" i="3"/>
  <c r="AY67" i="3"/>
  <c r="AV67" i="3"/>
  <c r="AP67" i="3"/>
  <c r="AN67" i="3"/>
  <c r="AL67" i="3"/>
  <c r="AJ67" i="3"/>
  <c r="AG67" i="3"/>
  <c r="Z67" i="3"/>
  <c r="X67" i="3"/>
  <c r="V67" i="3"/>
  <c r="I67" i="3"/>
  <c r="G67" i="3"/>
  <c r="E67" i="3"/>
  <c r="C67" i="3"/>
  <c r="BY66" i="3"/>
  <c r="BW66" i="3"/>
  <c r="BS66" i="3"/>
  <c r="BP66" i="3"/>
  <c r="BN66" i="3"/>
  <c r="BJ66" i="3"/>
  <c r="BH66" i="3"/>
  <c r="BF66" i="3"/>
  <c r="AY66" i="3"/>
  <c r="AV66" i="3"/>
  <c r="AP66" i="3"/>
  <c r="AN66" i="3"/>
  <c r="AL66" i="3"/>
  <c r="AJ66" i="3"/>
  <c r="AG66" i="3"/>
  <c r="Z66" i="3"/>
  <c r="X66" i="3"/>
  <c r="V66" i="3"/>
  <c r="I66" i="3"/>
  <c r="G66" i="3"/>
  <c r="E66" i="3"/>
  <c r="C66" i="3"/>
  <c r="BY65" i="3"/>
  <c r="BW65" i="3"/>
  <c r="BS65" i="3"/>
  <c r="BP65" i="3"/>
  <c r="BN65" i="3"/>
  <c r="BJ65" i="3"/>
  <c r="BH65" i="3"/>
  <c r="BF65" i="3"/>
  <c r="AY65" i="3"/>
  <c r="AV65" i="3"/>
  <c r="AP65" i="3"/>
  <c r="AN65" i="3"/>
  <c r="AL65" i="3"/>
  <c r="AJ65" i="3"/>
  <c r="AG65" i="3"/>
  <c r="Z65" i="3"/>
  <c r="X65" i="3"/>
  <c r="V65" i="3"/>
  <c r="I65" i="3"/>
  <c r="G65" i="3"/>
  <c r="E65" i="3"/>
  <c r="C65" i="3"/>
  <c r="BY64" i="3"/>
  <c r="BW64" i="3"/>
  <c r="BS64" i="3"/>
  <c r="BP64" i="3"/>
  <c r="BN64" i="3"/>
  <c r="BJ64" i="3"/>
  <c r="BH64" i="3"/>
  <c r="BF64" i="3"/>
  <c r="AY64" i="3"/>
  <c r="AV64" i="3"/>
  <c r="AP64" i="3"/>
  <c r="AN64" i="3"/>
  <c r="AL64" i="3"/>
  <c r="AJ64" i="3"/>
  <c r="AG64" i="3"/>
  <c r="Z64" i="3"/>
  <c r="X64" i="3"/>
  <c r="V64" i="3"/>
  <c r="I64" i="3"/>
  <c r="G64" i="3"/>
  <c r="E64" i="3"/>
  <c r="C64" i="3"/>
  <c r="BY63" i="3"/>
  <c r="BW63" i="3"/>
  <c r="BS63" i="3"/>
  <c r="BP63" i="3"/>
  <c r="BN63" i="3"/>
  <c r="BJ63" i="3"/>
  <c r="BH63" i="3"/>
  <c r="BF63" i="3"/>
  <c r="AY63" i="3"/>
  <c r="AV63" i="3"/>
  <c r="AP63" i="3"/>
  <c r="AN63" i="3"/>
  <c r="AL63" i="3"/>
  <c r="AJ63" i="3"/>
  <c r="AG63" i="3"/>
  <c r="Z63" i="3"/>
  <c r="X63" i="3"/>
  <c r="V63" i="3"/>
  <c r="I63" i="3"/>
  <c r="G63" i="3"/>
  <c r="E63" i="3"/>
  <c r="C63" i="3"/>
  <c r="BY62" i="3"/>
  <c r="BW62" i="3"/>
  <c r="BS62" i="3"/>
  <c r="BP62" i="3"/>
  <c r="BN62" i="3"/>
  <c r="BJ62" i="3"/>
  <c r="BH62" i="3"/>
  <c r="BF62" i="3"/>
  <c r="AY62" i="3"/>
  <c r="AV62" i="3"/>
  <c r="AP62" i="3"/>
  <c r="AN62" i="3"/>
  <c r="AL62" i="3"/>
  <c r="AJ62" i="3"/>
  <c r="AG62" i="3"/>
  <c r="Z62" i="3"/>
  <c r="X62" i="3"/>
  <c r="V62" i="3"/>
  <c r="I62" i="3"/>
  <c r="G62" i="3"/>
  <c r="E62" i="3"/>
  <c r="C62" i="3"/>
  <c r="BY61" i="3"/>
  <c r="BW61" i="3"/>
  <c r="BS61" i="3"/>
  <c r="BP61" i="3"/>
  <c r="BN61" i="3"/>
  <c r="BJ61" i="3"/>
  <c r="BH61" i="3"/>
  <c r="BF61" i="3"/>
  <c r="AY61" i="3"/>
  <c r="AV61" i="3"/>
  <c r="AP61" i="3"/>
  <c r="AN61" i="3"/>
  <c r="AL61" i="3"/>
  <c r="AJ61" i="3"/>
  <c r="AG61" i="3"/>
  <c r="Z61" i="3"/>
  <c r="X61" i="3"/>
  <c r="V61" i="3"/>
  <c r="I61" i="3"/>
  <c r="G61" i="3"/>
  <c r="E61" i="3"/>
  <c r="C61" i="3"/>
  <c r="BY60" i="3"/>
  <c r="BW60" i="3"/>
  <c r="BS60" i="3"/>
  <c r="BP60" i="3"/>
  <c r="BN60" i="3"/>
  <c r="BJ60" i="3"/>
  <c r="BH60" i="3"/>
  <c r="BF60" i="3"/>
  <c r="AY60" i="3"/>
  <c r="AV60" i="3"/>
  <c r="AP60" i="3"/>
  <c r="AN60" i="3"/>
  <c r="AL60" i="3"/>
  <c r="AJ60" i="3"/>
  <c r="AG60" i="3"/>
  <c r="Z60" i="3"/>
  <c r="X60" i="3"/>
  <c r="V60" i="3"/>
  <c r="I60" i="3"/>
  <c r="G60" i="3"/>
  <c r="E60" i="3"/>
  <c r="C60" i="3"/>
  <c r="BY59" i="3"/>
  <c r="BW59" i="3"/>
  <c r="BS59" i="3"/>
  <c r="BP59" i="3"/>
  <c r="BN59" i="3"/>
  <c r="BJ59" i="3"/>
  <c r="BH59" i="3"/>
  <c r="BF59" i="3"/>
  <c r="AY59" i="3"/>
  <c r="AV59" i="3"/>
  <c r="AP59" i="3"/>
  <c r="AN59" i="3"/>
  <c r="AL59" i="3"/>
  <c r="AJ59" i="3"/>
  <c r="AG59" i="3"/>
  <c r="Z59" i="3"/>
  <c r="X59" i="3"/>
  <c r="V59" i="3"/>
  <c r="I59" i="3"/>
  <c r="G59" i="3"/>
  <c r="E59" i="3"/>
  <c r="C59" i="3"/>
  <c r="BY58" i="3"/>
  <c r="BW58" i="3"/>
  <c r="BS58" i="3"/>
  <c r="BP58" i="3"/>
  <c r="BN58" i="3"/>
  <c r="BJ58" i="3"/>
  <c r="BH58" i="3"/>
  <c r="BF58" i="3"/>
  <c r="AY58" i="3"/>
  <c r="AV58" i="3"/>
  <c r="AP58" i="3"/>
  <c r="AN58" i="3"/>
  <c r="AL58" i="3"/>
  <c r="AJ58" i="3"/>
  <c r="AG58" i="3"/>
  <c r="Z58" i="3"/>
  <c r="X58" i="3"/>
  <c r="V58" i="3"/>
  <c r="I58" i="3"/>
  <c r="G58" i="3"/>
  <c r="E58" i="3"/>
  <c r="C58" i="3"/>
  <c r="BY57" i="3"/>
  <c r="BW57" i="3"/>
  <c r="BS57" i="3"/>
  <c r="BP57" i="3"/>
  <c r="BN57" i="3"/>
  <c r="BJ57" i="3"/>
  <c r="BH57" i="3"/>
  <c r="BF57" i="3"/>
  <c r="AY57" i="3"/>
  <c r="AV57" i="3"/>
  <c r="AP57" i="3"/>
  <c r="AN57" i="3"/>
  <c r="AL57" i="3"/>
  <c r="AJ57" i="3"/>
  <c r="AG57" i="3"/>
  <c r="Z57" i="3"/>
  <c r="X57" i="3"/>
  <c r="V57" i="3"/>
  <c r="I57" i="3"/>
  <c r="G57" i="3"/>
  <c r="E57" i="3"/>
  <c r="C57" i="3"/>
  <c r="BY56" i="3"/>
  <c r="BW56" i="3"/>
  <c r="BS56" i="3"/>
  <c r="BP56" i="3"/>
  <c r="BN56" i="3"/>
  <c r="BJ56" i="3"/>
  <c r="BH56" i="3"/>
  <c r="BF56" i="3"/>
  <c r="AY56" i="3"/>
  <c r="AV56" i="3"/>
  <c r="AP56" i="3"/>
  <c r="AN56" i="3"/>
  <c r="AL56" i="3"/>
  <c r="AJ56" i="3"/>
  <c r="AG56" i="3"/>
  <c r="Z56" i="3"/>
  <c r="X56" i="3"/>
  <c r="V56" i="3"/>
  <c r="I56" i="3"/>
  <c r="G56" i="3"/>
  <c r="E56" i="3"/>
  <c r="C56" i="3"/>
  <c r="BY55" i="3"/>
  <c r="BW55" i="3"/>
  <c r="BS55" i="3"/>
  <c r="BP55" i="3"/>
  <c r="BN55" i="3"/>
  <c r="BJ55" i="3"/>
  <c r="BH55" i="3"/>
  <c r="BF55" i="3"/>
  <c r="AY55" i="3"/>
  <c r="AV55" i="3"/>
  <c r="AP55" i="3"/>
  <c r="AN55" i="3"/>
  <c r="AL55" i="3"/>
  <c r="AJ55" i="3"/>
  <c r="AG55" i="3"/>
  <c r="Z55" i="3"/>
  <c r="X55" i="3"/>
  <c r="V55" i="3"/>
  <c r="I55" i="3"/>
  <c r="G55" i="3"/>
  <c r="E55" i="3"/>
  <c r="C55" i="3"/>
  <c r="BY54" i="3"/>
  <c r="BW54" i="3"/>
  <c r="BS54" i="3"/>
  <c r="BP54" i="3"/>
  <c r="BN54" i="3"/>
  <c r="BJ54" i="3"/>
  <c r="BH54" i="3"/>
  <c r="BF54" i="3"/>
  <c r="AY54" i="3"/>
  <c r="AV54" i="3"/>
  <c r="AP54" i="3"/>
  <c r="AN54" i="3"/>
  <c r="AL54" i="3"/>
  <c r="AJ54" i="3"/>
  <c r="AG54" i="3"/>
  <c r="Z54" i="3"/>
  <c r="X54" i="3"/>
  <c r="V54" i="3"/>
  <c r="I54" i="3"/>
  <c r="G54" i="3"/>
  <c r="E54" i="3"/>
  <c r="C54" i="3"/>
  <c r="BY53" i="3"/>
  <c r="BW53" i="3"/>
  <c r="BS53" i="3"/>
  <c r="BP53" i="3"/>
  <c r="BN53" i="3"/>
  <c r="BJ53" i="3"/>
  <c r="BH53" i="3"/>
  <c r="BF53" i="3"/>
  <c r="AY53" i="3"/>
  <c r="AV53" i="3"/>
  <c r="AP53" i="3"/>
  <c r="AN53" i="3"/>
  <c r="AL53" i="3"/>
  <c r="AJ53" i="3"/>
  <c r="AG53" i="3"/>
  <c r="Z53" i="3"/>
  <c r="X53" i="3"/>
  <c r="V53" i="3"/>
  <c r="I53" i="3"/>
  <c r="G53" i="3"/>
  <c r="E53" i="3"/>
  <c r="C53" i="3"/>
  <c r="BY52" i="3"/>
  <c r="BW52" i="3"/>
  <c r="BS52" i="3"/>
  <c r="BP52" i="3"/>
  <c r="BN52" i="3"/>
  <c r="BJ52" i="3"/>
  <c r="BH52" i="3"/>
  <c r="BF52" i="3"/>
  <c r="AY52" i="3"/>
  <c r="AV52" i="3"/>
  <c r="AP52" i="3"/>
  <c r="AN52" i="3"/>
  <c r="AL52" i="3"/>
  <c r="AJ52" i="3"/>
  <c r="AG52" i="3"/>
  <c r="Z52" i="3"/>
  <c r="X52" i="3"/>
  <c r="V52" i="3"/>
  <c r="I52" i="3"/>
  <c r="G52" i="3"/>
  <c r="E52" i="3"/>
  <c r="C52" i="3"/>
  <c r="BY51" i="3"/>
  <c r="BW51" i="3"/>
  <c r="BS51" i="3"/>
  <c r="BP51" i="3"/>
  <c r="BN51" i="3"/>
  <c r="BJ51" i="3"/>
  <c r="BH51" i="3"/>
  <c r="BF51" i="3"/>
  <c r="AY51" i="3"/>
  <c r="AV51" i="3"/>
  <c r="AP51" i="3"/>
  <c r="AN51" i="3"/>
  <c r="AL51" i="3"/>
  <c r="AJ51" i="3"/>
  <c r="AG51" i="3"/>
  <c r="Z51" i="3"/>
  <c r="X51" i="3"/>
  <c r="V51" i="3"/>
  <c r="I51" i="3"/>
  <c r="G51" i="3"/>
  <c r="E51" i="3"/>
  <c r="C51" i="3"/>
  <c r="BY50" i="3"/>
  <c r="BW50" i="3"/>
  <c r="BS50" i="3"/>
  <c r="BP50" i="3"/>
  <c r="BN50" i="3"/>
  <c r="BJ50" i="3"/>
  <c r="BH50" i="3"/>
  <c r="BF50" i="3"/>
  <c r="AY50" i="3"/>
  <c r="AV50" i="3"/>
  <c r="AP50" i="3"/>
  <c r="AN50" i="3"/>
  <c r="AL50" i="3"/>
  <c r="AJ50" i="3"/>
  <c r="AG50" i="3"/>
  <c r="Z50" i="3"/>
  <c r="X50" i="3"/>
  <c r="V50" i="3"/>
  <c r="I50" i="3"/>
  <c r="G50" i="3"/>
  <c r="E50" i="3"/>
  <c r="C50" i="3"/>
  <c r="BY49" i="3"/>
  <c r="BW49" i="3"/>
  <c r="BS49" i="3"/>
  <c r="BP49" i="3"/>
  <c r="BN49" i="3"/>
  <c r="BJ49" i="3"/>
  <c r="BH49" i="3"/>
  <c r="BF49" i="3"/>
  <c r="AY49" i="3"/>
  <c r="AV49" i="3"/>
  <c r="AP49" i="3"/>
  <c r="AN49" i="3"/>
  <c r="AL49" i="3"/>
  <c r="AJ49" i="3"/>
  <c r="AG49" i="3"/>
  <c r="Z49" i="3"/>
  <c r="X49" i="3"/>
  <c r="V49" i="3"/>
  <c r="I49" i="3"/>
  <c r="G49" i="3"/>
  <c r="E49" i="3"/>
  <c r="C49" i="3"/>
  <c r="BY48" i="3"/>
  <c r="BW48" i="3"/>
  <c r="BS48" i="3"/>
  <c r="BP48" i="3"/>
  <c r="BN48" i="3"/>
  <c r="BJ48" i="3"/>
  <c r="BH48" i="3"/>
  <c r="BF48" i="3"/>
  <c r="AY48" i="3"/>
  <c r="AV48" i="3"/>
  <c r="AP48" i="3"/>
  <c r="AN48" i="3"/>
  <c r="AL48" i="3"/>
  <c r="AJ48" i="3"/>
  <c r="AG48" i="3"/>
  <c r="Z48" i="3"/>
  <c r="X48" i="3"/>
  <c r="V48" i="3"/>
  <c r="I48" i="3"/>
  <c r="G48" i="3"/>
  <c r="E48" i="3"/>
  <c r="C48" i="3"/>
  <c r="BY47" i="3"/>
  <c r="BW47" i="3"/>
  <c r="BS47" i="3"/>
  <c r="BP47" i="3"/>
  <c r="BN47" i="3"/>
  <c r="BJ47" i="3"/>
  <c r="BH47" i="3"/>
  <c r="BF47" i="3"/>
  <c r="AY47" i="3"/>
  <c r="AV47" i="3"/>
  <c r="AP47" i="3"/>
  <c r="AN47" i="3"/>
  <c r="AL47" i="3"/>
  <c r="AJ47" i="3"/>
  <c r="AG47" i="3"/>
  <c r="Z47" i="3"/>
  <c r="X47" i="3"/>
  <c r="V47" i="3"/>
  <c r="I47" i="3"/>
  <c r="G47" i="3"/>
  <c r="E47" i="3"/>
  <c r="C47" i="3"/>
  <c r="BY46" i="3"/>
  <c r="BW46" i="3"/>
  <c r="BS46" i="3"/>
  <c r="BP46" i="3"/>
  <c r="BN46" i="3"/>
  <c r="BJ46" i="3"/>
  <c r="BH46" i="3"/>
  <c r="BF46" i="3"/>
  <c r="AY46" i="3"/>
  <c r="AV46" i="3"/>
  <c r="AP46" i="3"/>
  <c r="AN46" i="3"/>
  <c r="AL46" i="3"/>
  <c r="AJ46" i="3"/>
  <c r="AG46" i="3"/>
  <c r="Z46" i="3"/>
  <c r="X46" i="3"/>
  <c r="V46" i="3"/>
  <c r="I46" i="3"/>
  <c r="G46" i="3"/>
  <c r="E46" i="3"/>
  <c r="C46" i="3"/>
  <c r="BY45" i="3"/>
  <c r="BW45" i="3"/>
  <c r="BS45" i="3"/>
  <c r="BP45" i="3"/>
  <c r="BN45" i="3"/>
  <c r="BJ45" i="3"/>
  <c r="BH45" i="3"/>
  <c r="BF45" i="3"/>
  <c r="AY45" i="3"/>
  <c r="AV45" i="3"/>
  <c r="AP45" i="3"/>
  <c r="AN45" i="3"/>
  <c r="AL45" i="3"/>
  <c r="AJ45" i="3"/>
  <c r="AG45" i="3"/>
  <c r="Z45" i="3"/>
  <c r="X45" i="3"/>
  <c r="V45" i="3"/>
  <c r="I45" i="3"/>
  <c r="G45" i="3"/>
  <c r="E45" i="3"/>
  <c r="C45" i="3"/>
  <c r="BY44" i="3"/>
  <c r="BW44" i="3"/>
  <c r="BS44" i="3"/>
  <c r="BP44" i="3"/>
  <c r="BN44" i="3"/>
  <c r="BJ44" i="3"/>
  <c r="BH44" i="3"/>
  <c r="BF44" i="3"/>
  <c r="AY44" i="3"/>
  <c r="AV44" i="3"/>
  <c r="AP44" i="3"/>
  <c r="AN44" i="3"/>
  <c r="AL44" i="3"/>
  <c r="AJ44" i="3"/>
  <c r="AG44" i="3"/>
  <c r="Z44" i="3"/>
  <c r="X44" i="3"/>
  <c r="V44" i="3"/>
  <c r="I44" i="3"/>
  <c r="G44" i="3"/>
  <c r="E44" i="3"/>
  <c r="C44" i="3"/>
  <c r="BY43" i="3"/>
  <c r="BW43" i="3"/>
  <c r="BS43" i="3"/>
  <c r="BP43" i="3"/>
  <c r="BN43" i="3"/>
  <c r="BJ43" i="3"/>
  <c r="BH43" i="3"/>
  <c r="BF43" i="3"/>
  <c r="AY43" i="3"/>
  <c r="AV43" i="3"/>
  <c r="AP43" i="3"/>
  <c r="AN43" i="3"/>
  <c r="AL43" i="3"/>
  <c r="AJ43" i="3"/>
  <c r="AG43" i="3"/>
  <c r="Z43" i="3"/>
  <c r="X43" i="3"/>
  <c r="V43" i="3"/>
  <c r="I43" i="3"/>
  <c r="G43" i="3"/>
  <c r="E43" i="3"/>
  <c r="C43" i="3"/>
  <c r="BY42" i="3"/>
  <c r="BW42" i="3"/>
  <c r="BS42" i="3"/>
  <c r="BP42" i="3"/>
  <c r="BN42" i="3"/>
  <c r="BJ42" i="3"/>
  <c r="BH42" i="3"/>
  <c r="BF42" i="3"/>
  <c r="AY42" i="3"/>
  <c r="AV42" i="3"/>
  <c r="AP42" i="3"/>
  <c r="AN42" i="3"/>
  <c r="AL42" i="3"/>
  <c r="AJ42" i="3"/>
  <c r="AG42" i="3"/>
  <c r="Z42" i="3"/>
  <c r="X42" i="3"/>
  <c r="V42" i="3"/>
  <c r="I42" i="3"/>
  <c r="G42" i="3"/>
  <c r="E42" i="3"/>
  <c r="C42" i="3"/>
  <c r="BY41" i="3"/>
  <c r="BW41" i="3"/>
  <c r="BS41" i="3"/>
  <c r="BP41" i="3"/>
  <c r="BN41" i="3"/>
  <c r="BJ41" i="3"/>
  <c r="BH41" i="3"/>
  <c r="BF41" i="3"/>
  <c r="AY41" i="3"/>
  <c r="AV41" i="3"/>
  <c r="AP41" i="3"/>
  <c r="AN41" i="3"/>
  <c r="AL41" i="3"/>
  <c r="AJ41" i="3"/>
  <c r="AG41" i="3"/>
  <c r="Z41" i="3"/>
  <c r="X41" i="3"/>
  <c r="V41" i="3"/>
  <c r="I41" i="3"/>
  <c r="G41" i="3"/>
  <c r="E41" i="3"/>
  <c r="C41" i="3"/>
  <c r="BY40" i="3"/>
  <c r="BW40" i="3"/>
  <c r="BS40" i="3"/>
  <c r="BP40" i="3"/>
  <c r="BN40" i="3"/>
  <c r="BJ40" i="3"/>
  <c r="BH40" i="3"/>
  <c r="BF40" i="3"/>
  <c r="AY40" i="3"/>
  <c r="AV40" i="3"/>
  <c r="AP40" i="3"/>
  <c r="AN40" i="3"/>
  <c r="AL40" i="3"/>
  <c r="AJ40" i="3"/>
  <c r="AG40" i="3"/>
  <c r="Z40" i="3"/>
  <c r="X40" i="3"/>
  <c r="V40" i="3"/>
  <c r="I40" i="3"/>
  <c r="G40" i="3"/>
  <c r="E40" i="3"/>
  <c r="C40" i="3"/>
  <c r="BY39" i="3"/>
  <c r="BW39" i="3"/>
  <c r="BS39" i="3"/>
  <c r="BP39" i="3"/>
  <c r="BN39" i="3"/>
  <c r="BJ39" i="3"/>
  <c r="BH39" i="3"/>
  <c r="BF39" i="3"/>
  <c r="AY39" i="3"/>
  <c r="AV39" i="3"/>
  <c r="AP39" i="3"/>
  <c r="AN39" i="3"/>
  <c r="AL39" i="3"/>
  <c r="AJ39" i="3"/>
  <c r="AG39" i="3"/>
  <c r="Z39" i="3"/>
  <c r="X39" i="3"/>
  <c r="V39" i="3"/>
  <c r="I39" i="3"/>
  <c r="G39" i="3"/>
  <c r="E39" i="3"/>
  <c r="C39" i="3"/>
  <c r="BY38" i="3"/>
  <c r="BW38" i="3"/>
  <c r="BS38" i="3"/>
  <c r="BP38" i="3"/>
  <c r="BN38" i="3"/>
  <c r="BJ38" i="3"/>
  <c r="BH38" i="3"/>
  <c r="BF38" i="3"/>
  <c r="AY38" i="3"/>
  <c r="AV38" i="3"/>
  <c r="AP38" i="3"/>
  <c r="AN38" i="3"/>
  <c r="AL38" i="3"/>
  <c r="AJ38" i="3"/>
  <c r="AG38" i="3"/>
  <c r="Z38" i="3"/>
  <c r="X38" i="3"/>
  <c r="V38" i="3"/>
  <c r="I38" i="3"/>
  <c r="G38" i="3"/>
  <c r="E38" i="3"/>
  <c r="C38" i="3"/>
  <c r="BY37" i="3"/>
  <c r="BW37" i="3"/>
  <c r="BS37" i="3"/>
  <c r="BP37" i="3"/>
  <c r="BN37" i="3"/>
  <c r="BJ37" i="3"/>
  <c r="BH37" i="3"/>
  <c r="BF37" i="3"/>
  <c r="AY37" i="3"/>
  <c r="AV37" i="3"/>
  <c r="AP37" i="3"/>
  <c r="AN37" i="3"/>
  <c r="AL37" i="3"/>
  <c r="AJ37" i="3"/>
  <c r="AG37" i="3"/>
  <c r="Z37" i="3"/>
  <c r="X37" i="3"/>
  <c r="I37" i="3"/>
  <c r="G37" i="3"/>
  <c r="E37" i="3"/>
  <c r="C37" i="3"/>
  <c r="BY36" i="3"/>
  <c r="BW36" i="3"/>
  <c r="BS36" i="3"/>
  <c r="BP36" i="3"/>
  <c r="BN36" i="3"/>
  <c r="BJ36" i="3"/>
  <c r="BH36" i="3"/>
  <c r="BF36" i="3"/>
  <c r="AY36" i="3"/>
  <c r="AV36" i="3"/>
  <c r="AP36" i="3"/>
  <c r="AN36" i="3"/>
  <c r="AL36" i="3"/>
  <c r="AJ36" i="3"/>
  <c r="AG36" i="3"/>
  <c r="Z36" i="3"/>
  <c r="X36" i="3"/>
  <c r="V36" i="3"/>
  <c r="I36" i="3"/>
  <c r="G36" i="3"/>
  <c r="E36" i="3"/>
  <c r="C36" i="3"/>
  <c r="BY35" i="3"/>
  <c r="BW35" i="3"/>
  <c r="BS35" i="3"/>
  <c r="BP35" i="3"/>
  <c r="BN35" i="3"/>
  <c r="BJ35" i="3"/>
  <c r="BH35" i="3"/>
  <c r="BF35" i="3"/>
  <c r="AY35" i="3"/>
  <c r="AV35" i="3"/>
  <c r="AP35" i="3"/>
  <c r="AN35" i="3"/>
  <c r="AL35" i="3"/>
  <c r="AJ35" i="3"/>
  <c r="AG35" i="3"/>
  <c r="Z35" i="3"/>
  <c r="X35" i="3"/>
  <c r="V35" i="3"/>
  <c r="I35" i="3"/>
  <c r="G35" i="3"/>
  <c r="E35" i="3"/>
  <c r="C35" i="3"/>
  <c r="BY34" i="3"/>
  <c r="BW34" i="3"/>
  <c r="BS34" i="3"/>
  <c r="BP34" i="3"/>
  <c r="BN34" i="3"/>
  <c r="BJ34" i="3"/>
  <c r="BH34" i="3"/>
  <c r="BF34" i="3"/>
  <c r="AY34" i="3"/>
  <c r="AV34" i="3"/>
  <c r="AP34" i="3"/>
  <c r="AN34" i="3"/>
  <c r="AL34" i="3"/>
  <c r="AJ34" i="3"/>
  <c r="AG34" i="3"/>
  <c r="Z34" i="3"/>
  <c r="X34" i="3"/>
  <c r="V34" i="3"/>
  <c r="I34" i="3"/>
  <c r="G34" i="3"/>
  <c r="E34" i="3"/>
  <c r="C34" i="3"/>
  <c r="BY33" i="3"/>
  <c r="BW33" i="3"/>
  <c r="BS33" i="3"/>
  <c r="BP33" i="3"/>
  <c r="BN33" i="3"/>
  <c r="BJ33" i="3"/>
  <c r="BH33" i="3"/>
  <c r="BF33" i="3"/>
  <c r="AY33" i="3"/>
  <c r="AV33" i="3"/>
  <c r="AP33" i="3"/>
  <c r="AN33" i="3"/>
  <c r="AL33" i="3"/>
  <c r="AJ33" i="3"/>
  <c r="AG33" i="3"/>
  <c r="Z33" i="3"/>
  <c r="X33" i="3"/>
  <c r="V33" i="3"/>
  <c r="I33" i="3"/>
  <c r="G33" i="3"/>
  <c r="E33" i="3"/>
  <c r="C33" i="3"/>
  <c r="BY32" i="3"/>
  <c r="BW32" i="3"/>
  <c r="BS32" i="3"/>
  <c r="BP32" i="3"/>
  <c r="BN32" i="3"/>
  <c r="BJ32" i="3"/>
  <c r="BH32" i="3"/>
  <c r="BF32" i="3"/>
  <c r="AY32" i="3"/>
  <c r="AV32" i="3"/>
  <c r="AP32" i="3"/>
  <c r="AN32" i="3"/>
  <c r="AL32" i="3"/>
  <c r="AJ32" i="3"/>
  <c r="AG32" i="3"/>
  <c r="Z32" i="3"/>
  <c r="X32" i="3"/>
  <c r="V32" i="3"/>
  <c r="I32" i="3"/>
  <c r="G32" i="3"/>
  <c r="E32" i="3"/>
  <c r="C32" i="3"/>
  <c r="BY31" i="3"/>
  <c r="BW31" i="3"/>
  <c r="BS31" i="3"/>
  <c r="BP31" i="3"/>
  <c r="BN31" i="3"/>
  <c r="BJ31" i="3"/>
  <c r="BH31" i="3"/>
  <c r="BF31" i="3"/>
  <c r="AY31" i="3"/>
  <c r="AV31" i="3"/>
  <c r="AP31" i="3"/>
  <c r="AN31" i="3"/>
  <c r="AL31" i="3"/>
  <c r="AJ31" i="3"/>
  <c r="AG31" i="3"/>
  <c r="Z31" i="3"/>
  <c r="X31" i="3"/>
  <c r="V31" i="3"/>
  <c r="I31" i="3"/>
  <c r="G31" i="3"/>
  <c r="E31" i="3"/>
  <c r="C31" i="3"/>
  <c r="BY30" i="3"/>
  <c r="BW30" i="3"/>
  <c r="BS30" i="3"/>
  <c r="BP30" i="3"/>
  <c r="BN30" i="3"/>
  <c r="BJ30" i="3"/>
  <c r="BH30" i="3"/>
  <c r="BF30" i="3"/>
  <c r="AY30" i="3"/>
  <c r="AV30" i="3"/>
  <c r="AP30" i="3"/>
  <c r="AN30" i="3"/>
  <c r="AL30" i="3"/>
  <c r="AJ30" i="3"/>
  <c r="AG30" i="3"/>
  <c r="Z30" i="3"/>
  <c r="X30" i="3"/>
  <c r="V30" i="3"/>
  <c r="I30" i="3"/>
  <c r="G30" i="3"/>
  <c r="E30" i="3"/>
  <c r="C30" i="3"/>
  <c r="BY29" i="3"/>
  <c r="BW29" i="3"/>
  <c r="BS29" i="3"/>
  <c r="BP29" i="3"/>
  <c r="BN29" i="3"/>
  <c r="BJ29" i="3"/>
  <c r="BH29" i="3"/>
  <c r="BF29" i="3"/>
  <c r="AY29" i="3"/>
  <c r="AV29" i="3"/>
  <c r="AP29" i="3"/>
  <c r="AN29" i="3"/>
  <c r="AL29" i="3"/>
  <c r="AJ29" i="3"/>
  <c r="AG29" i="3"/>
  <c r="Z29" i="3"/>
  <c r="X29" i="3"/>
  <c r="V29" i="3"/>
  <c r="I29" i="3"/>
  <c r="G29" i="3"/>
  <c r="E29" i="3"/>
  <c r="C29" i="3"/>
  <c r="BY28" i="3"/>
  <c r="BW28" i="3"/>
  <c r="BS28" i="3"/>
  <c r="BP28" i="3"/>
  <c r="BN28" i="3"/>
  <c r="BJ28" i="3"/>
  <c r="BH28" i="3"/>
  <c r="BF28" i="3"/>
  <c r="AY28" i="3"/>
  <c r="AV28" i="3"/>
  <c r="AP28" i="3"/>
  <c r="AN28" i="3"/>
  <c r="AL28" i="3"/>
  <c r="AJ28" i="3"/>
  <c r="AG28" i="3"/>
  <c r="Z28" i="3"/>
  <c r="X28" i="3"/>
  <c r="V28" i="3"/>
  <c r="I28" i="3"/>
  <c r="G28" i="3"/>
  <c r="E28" i="3"/>
  <c r="C28" i="3"/>
  <c r="BY27" i="3"/>
  <c r="BW27" i="3"/>
  <c r="BS27" i="3"/>
  <c r="BP27" i="3"/>
  <c r="BN27" i="3"/>
  <c r="BJ27" i="3"/>
  <c r="BH27" i="3"/>
  <c r="BF27" i="3"/>
  <c r="AY27" i="3"/>
  <c r="AV27" i="3"/>
  <c r="AP27" i="3"/>
  <c r="AN27" i="3"/>
  <c r="AL27" i="3"/>
  <c r="AJ27" i="3"/>
  <c r="AG27" i="3"/>
  <c r="Z27" i="3"/>
  <c r="X27" i="3"/>
  <c r="V27" i="3"/>
  <c r="I27" i="3"/>
  <c r="G27" i="3"/>
  <c r="E27" i="3"/>
  <c r="C27" i="3"/>
  <c r="BY26" i="3"/>
  <c r="BW26" i="3"/>
  <c r="BS26" i="3"/>
  <c r="BP26" i="3"/>
  <c r="BN26" i="3"/>
  <c r="BJ26" i="3"/>
  <c r="BH26" i="3"/>
  <c r="BF26" i="3"/>
  <c r="AY26" i="3"/>
  <c r="AV26" i="3"/>
  <c r="AP26" i="3"/>
  <c r="AN26" i="3"/>
  <c r="AL26" i="3"/>
  <c r="AJ26" i="3"/>
  <c r="AG26" i="3"/>
  <c r="Z26" i="3"/>
  <c r="X26" i="3"/>
  <c r="V26" i="3"/>
  <c r="I26" i="3"/>
  <c r="G26" i="3"/>
  <c r="E26" i="3"/>
  <c r="C26" i="3"/>
  <c r="BY25" i="3"/>
  <c r="BW25" i="3"/>
  <c r="BS25" i="3"/>
  <c r="BP25" i="3"/>
  <c r="BN25" i="3"/>
  <c r="BJ25" i="3"/>
  <c r="BH25" i="3"/>
  <c r="BF25" i="3"/>
  <c r="AY25" i="3"/>
  <c r="AV25" i="3"/>
  <c r="AP25" i="3"/>
  <c r="AN25" i="3"/>
  <c r="AL25" i="3"/>
  <c r="AJ25" i="3"/>
  <c r="AG25" i="3"/>
  <c r="Z25" i="3"/>
  <c r="X25" i="3"/>
  <c r="V25" i="3"/>
  <c r="I25" i="3"/>
  <c r="G25" i="3"/>
  <c r="E25" i="3"/>
  <c r="C25" i="3"/>
  <c r="BY24" i="3"/>
  <c r="BW24" i="3"/>
  <c r="BS24" i="3"/>
  <c r="BP24" i="3"/>
  <c r="BN24" i="3"/>
  <c r="BJ24" i="3"/>
  <c r="BH24" i="3"/>
  <c r="BF24" i="3"/>
  <c r="AY24" i="3"/>
  <c r="AV24" i="3"/>
  <c r="AP24" i="3"/>
  <c r="AN24" i="3"/>
  <c r="AL24" i="3"/>
  <c r="AJ24" i="3"/>
  <c r="AG24" i="3"/>
  <c r="Z24" i="3"/>
  <c r="X24" i="3"/>
  <c r="V24" i="3"/>
  <c r="I24" i="3"/>
  <c r="G24" i="3"/>
  <c r="E24" i="3"/>
  <c r="C24" i="3"/>
  <c r="BY23" i="3"/>
  <c r="BW23" i="3"/>
  <c r="BS23" i="3"/>
  <c r="BP23" i="3"/>
  <c r="BN23" i="3"/>
  <c r="BJ23" i="3"/>
  <c r="BH23" i="3"/>
  <c r="BF23" i="3"/>
  <c r="AY23" i="3"/>
  <c r="AV23" i="3"/>
  <c r="AP23" i="3"/>
  <c r="AN23" i="3"/>
  <c r="AL23" i="3"/>
  <c r="AJ23" i="3"/>
  <c r="AG23" i="3"/>
  <c r="Z23" i="3"/>
  <c r="X23" i="3"/>
  <c r="V23" i="3"/>
  <c r="I23" i="3"/>
  <c r="G23" i="3"/>
  <c r="E23" i="3"/>
  <c r="C23" i="3"/>
  <c r="BY22" i="3"/>
  <c r="BW22" i="3"/>
  <c r="BS22" i="3"/>
  <c r="BP22" i="3"/>
  <c r="BN22" i="3"/>
  <c r="BJ22" i="3"/>
  <c r="BH22" i="3"/>
  <c r="BF22" i="3"/>
  <c r="AY22" i="3"/>
  <c r="AV22" i="3"/>
  <c r="AP22" i="3"/>
  <c r="AN22" i="3"/>
  <c r="AL22" i="3"/>
  <c r="AJ22" i="3"/>
  <c r="AG22" i="3"/>
  <c r="Z22" i="3"/>
  <c r="X22" i="3"/>
  <c r="V22" i="3"/>
  <c r="I22" i="3"/>
  <c r="G22" i="3"/>
  <c r="E22" i="3"/>
  <c r="C22" i="3"/>
  <c r="BY21" i="3"/>
  <c r="BW21" i="3"/>
  <c r="BS21" i="3"/>
  <c r="BP21" i="3"/>
  <c r="BN21" i="3"/>
  <c r="BJ21" i="3"/>
  <c r="BH21" i="3"/>
  <c r="BF21" i="3"/>
  <c r="AY21" i="3"/>
  <c r="AV21" i="3"/>
  <c r="AP21" i="3"/>
  <c r="AN21" i="3"/>
  <c r="AL21" i="3"/>
  <c r="AJ21" i="3"/>
  <c r="AG21" i="3"/>
  <c r="Z21" i="3"/>
  <c r="X21" i="3"/>
  <c r="V21" i="3"/>
  <c r="I21" i="3"/>
  <c r="G21" i="3"/>
  <c r="E21" i="3"/>
  <c r="C21" i="3"/>
  <c r="BY20" i="3"/>
  <c r="BW20" i="3"/>
  <c r="BS20" i="3"/>
  <c r="BP20" i="3"/>
  <c r="BN20" i="3"/>
  <c r="BJ20" i="3"/>
  <c r="BH20" i="3"/>
  <c r="BF20" i="3"/>
  <c r="AY20" i="3"/>
  <c r="AV20" i="3"/>
  <c r="AP20" i="3"/>
  <c r="AN20" i="3"/>
  <c r="AL20" i="3"/>
  <c r="AJ20" i="3"/>
  <c r="AG20" i="3"/>
  <c r="Z20" i="3"/>
  <c r="X20" i="3"/>
  <c r="V20" i="3"/>
  <c r="I20" i="3"/>
  <c r="G20" i="3"/>
  <c r="E20" i="3"/>
  <c r="C20" i="3"/>
  <c r="BY19" i="3"/>
  <c r="BW19" i="3"/>
  <c r="BS19" i="3"/>
  <c r="BP19" i="3"/>
  <c r="BN19" i="3"/>
  <c r="BJ19" i="3"/>
  <c r="BH19" i="3"/>
  <c r="BF19" i="3"/>
  <c r="AY19" i="3"/>
  <c r="AV19" i="3"/>
  <c r="AP19" i="3"/>
  <c r="AN19" i="3"/>
  <c r="AL19" i="3"/>
  <c r="AJ19" i="3"/>
  <c r="AG19" i="3"/>
  <c r="Z19" i="3"/>
  <c r="X19" i="3"/>
  <c r="V19" i="3"/>
  <c r="I19" i="3"/>
  <c r="G19" i="3"/>
  <c r="E19" i="3"/>
  <c r="C19" i="3"/>
  <c r="BY18" i="3"/>
  <c r="BW18" i="3"/>
  <c r="BS18" i="3"/>
  <c r="BP18" i="3"/>
  <c r="BN18" i="3"/>
  <c r="BJ18" i="3"/>
  <c r="BH18" i="3"/>
  <c r="BF18" i="3"/>
  <c r="AY18" i="3"/>
  <c r="AV18" i="3"/>
  <c r="AP18" i="3"/>
  <c r="AN18" i="3"/>
  <c r="AL18" i="3"/>
  <c r="AJ18" i="3"/>
  <c r="AG18" i="3"/>
  <c r="Z18" i="3"/>
  <c r="X18" i="3"/>
  <c r="V18" i="3"/>
  <c r="I18" i="3"/>
  <c r="G18" i="3"/>
  <c r="E18" i="3"/>
  <c r="C18" i="3"/>
  <c r="BY17" i="3"/>
  <c r="BW17" i="3"/>
  <c r="BS17" i="3"/>
  <c r="BP17" i="3"/>
  <c r="BN17" i="3"/>
  <c r="BJ17" i="3"/>
  <c r="BH17" i="3"/>
  <c r="BF17" i="3"/>
  <c r="AY17" i="3"/>
  <c r="AV17" i="3"/>
  <c r="AP17" i="3"/>
  <c r="AN17" i="3"/>
  <c r="AL17" i="3"/>
  <c r="AJ17" i="3"/>
  <c r="AG17" i="3"/>
  <c r="Z17" i="3"/>
  <c r="X17" i="3"/>
  <c r="V17" i="3"/>
  <c r="I17" i="3"/>
  <c r="G17" i="3"/>
  <c r="E17" i="3"/>
  <c r="C17" i="3"/>
  <c r="BY16" i="3"/>
  <c r="BW16" i="3"/>
  <c r="BS16" i="3"/>
  <c r="BP16" i="3"/>
  <c r="BN16" i="3"/>
  <c r="BJ16" i="3"/>
  <c r="BH16" i="3"/>
  <c r="BF16" i="3"/>
  <c r="AY16" i="3"/>
  <c r="AV16" i="3"/>
  <c r="AP16" i="3"/>
  <c r="AN16" i="3"/>
  <c r="AL16" i="3"/>
  <c r="AJ16" i="3"/>
  <c r="AG16" i="3"/>
  <c r="Z16" i="3"/>
  <c r="X16" i="3"/>
  <c r="V16" i="3"/>
  <c r="I16" i="3"/>
  <c r="G16" i="3"/>
  <c r="E16" i="3"/>
  <c r="C16" i="3"/>
  <c r="BY15" i="3"/>
  <c r="BW15" i="3"/>
  <c r="BS15" i="3"/>
  <c r="BP15" i="3"/>
  <c r="BN15" i="3"/>
  <c r="BJ15" i="3"/>
  <c r="BH15" i="3"/>
  <c r="BF15" i="3"/>
  <c r="AY15" i="3"/>
  <c r="AV15" i="3"/>
  <c r="AP15" i="3"/>
  <c r="AN15" i="3"/>
  <c r="AL15" i="3"/>
  <c r="AJ15" i="3"/>
  <c r="AG15" i="3"/>
  <c r="Z15" i="3"/>
  <c r="X15" i="3"/>
  <c r="V15" i="3"/>
  <c r="I15" i="3"/>
  <c r="G15" i="3"/>
  <c r="E15" i="3"/>
  <c r="C15" i="3"/>
  <c r="BY14" i="3"/>
  <c r="BW14" i="3"/>
  <c r="BS14" i="3"/>
  <c r="BP14" i="3"/>
  <c r="BN14" i="3"/>
  <c r="BJ14" i="3"/>
  <c r="BH14" i="3"/>
  <c r="BF14" i="3"/>
  <c r="AY14" i="3"/>
  <c r="AV14" i="3"/>
  <c r="AP14" i="3"/>
  <c r="AN14" i="3"/>
  <c r="AL14" i="3"/>
  <c r="AJ14" i="3"/>
  <c r="AG14" i="3"/>
  <c r="Z14" i="3"/>
  <c r="X14" i="3"/>
  <c r="V14" i="3"/>
  <c r="I14" i="3"/>
  <c r="E14" i="3"/>
  <c r="C14" i="3"/>
  <c r="BY13" i="3"/>
  <c r="BW13" i="3"/>
  <c r="BS13" i="3"/>
  <c r="BP13" i="3"/>
  <c r="BN13" i="3"/>
  <c r="BJ13" i="3"/>
  <c r="BH13" i="3"/>
  <c r="BF13" i="3"/>
  <c r="AY13" i="3"/>
  <c r="AV13" i="3"/>
  <c r="AP13" i="3"/>
  <c r="AN13" i="3"/>
  <c r="AL13" i="3"/>
  <c r="AJ13" i="3"/>
  <c r="AG13" i="3"/>
  <c r="Z13" i="3"/>
  <c r="X13" i="3"/>
  <c r="V13" i="3"/>
  <c r="M13" i="3"/>
  <c r="K13" i="3"/>
  <c r="I13" i="3"/>
  <c r="E13" i="3"/>
  <c r="C13" i="3"/>
  <c r="BY112" i="2"/>
  <c r="BY111" i="2"/>
  <c r="BY110" i="2"/>
  <c r="BY109" i="2"/>
  <c r="BY108" i="2"/>
  <c r="BY107" i="2"/>
  <c r="BY106" i="2"/>
  <c r="BY105" i="2"/>
  <c r="BY104" i="2"/>
  <c r="BY103" i="2"/>
  <c r="BY102" i="2"/>
  <c r="BY101" i="2"/>
  <c r="BY100" i="2"/>
  <c r="BY99" i="2"/>
  <c r="BY98" i="2"/>
  <c r="BY97" i="2"/>
  <c r="BY96" i="2"/>
  <c r="BY95" i="2"/>
  <c r="BY94" i="2"/>
  <c r="BY93" i="2"/>
  <c r="BY92" i="2"/>
  <c r="BY91" i="2"/>
  <c r="BY90" i="2"/>
  <c r="BY89" i="2"/>
  <c r="BY88" i="2"/>
  <c r="BY87" i="2"/>
  <c r="BY86" i="2"/>
  <c r="BY85" i="2"/>
  <c r="BY84" i="2"/>
  <c r="BY83" i="2"/>
  <c r="BY82" i="2"/>
  <c r="BY81" i="2"/>
  <c r="BY80" i="2"/>
  <c r="BY79" i="2"/>
  <c r="BY78" i="2"/>
  <c r="BY77" i="2"/>
  <c r="BY76" i="2"/>
  <c r="BY75" i="2"/>
  <c r="BY74" i="2"/>
  <c r="BY73" i="2"/>
  <c r="BY72" i="2"/>
  <c r="BY71" i="2"/>
  <c r="BY70" i="2"/>
  <c r="BY69" i="2"/>
  <c r="BY68" i="2"/>
  <c r="BY67" i="2"/>
  <c r="BY66" i="2"/>
  <c r="BY65" i="2"/>
  <c r="BY64" i="2"/>
  <c r="BY63" i="2"/>
  <c r="BY62" i="2"/>
  <c r="BY61" i="2"/>
  <c r="BY60" i="2"/>
  <c r="BY59" i="2"/>
  <c r="BY58" i="2"/>
  <c r="BY57" i="2"/>
  <c r="BY56" i="2"/>
  <c r="BY55" i="2"/>
  <c r="BY54" i="2"/>
  <c r="BY53" i="2"/>
  <c r="BY52" i="2"/>
  <c r="BY51" i="2"/>
  <c r="BY50" i="2"/>
  <c r="BY49" i="2"/>
  <c r="BY48" i="2"/>
  <c r="BY47" i="2"/>
  <c r="BY46" i="2"/>
  <c r="BY45" i="2"/>
  <c r="BY44" i="2"/>
  <c r="BY43" i="2"/>
  <c r="BY42" i="2"/>
  <c r="BY41" i="2"/>
  <c r="BY40" i="2"/>
  <c r="BY39" i="2"/>
  <c r="BY38" i="2"/>
  <c r="BY37" i="2"/>
  <c r="BY36" i="2"/>
  <c r="BY35" i="2"/>
  <c r="BY34" i="2"/>
  <c r="BY33" i="2"/>
  <c r="BY32" i="2"/>
  <c r="BY31" i="2"/>
  <c r="BY30" i="2"/>
  <c r="BY29" i="2"/>
  <c r="BY28" i="2"/>
  <c r="BY27" i="2"/>
  <c r="BY26" i="2"/>
  <c r="BY25" i="2"/>
  <c r="BY24" i="2"/>
  <c r="BY23" i="2"/>
  <c r="BY22" i="2"/>
  <c r="BY21" i="2"/>
  <c r="BY20" i="2"/>
  <c r="BY19" i="2"/>
  <c r="BY18" i="2"/>
  <c r="BY17" i="2"/>
  <c r="BY16" i="2"/>
  <c r="BY15" i="2"/>
  <c r="BY14" i="2"/>
  <c r="BY13" i="2"/>
  <c r="BW112" i="2"/>
  <c r="BW111" i="2"/>
  <c r="BW110" i="2"/>
  <c r="BW109" i="2"/>
  <c r="BW108" i="2"/>
  <c r="BW107" i="2"/>
  <c r="BW106" i="2"/>
  <c r="BW105" i="2"/>
  <c r="BW104" i="2"/>
  <c r="BW103" i="2"/>
  <c r="BW102" i="2"/>
  <c r="BW101" i="2"/>
  <c r="BW100" i="2"/>
  <c r="BW99" i="2"/>
  <c r="BW98" i="2"/>
  <c r="BW97" i="2"/>
  <c r="BW96" i="2"/>
  <c r="BW95" i="2"/>
  <c r="BW94" i="2"/>
  <c r="BW93" i="2"/>
  <c r="BW92" i="2"/>
  <c r="BW91" i="2"/>
  <c r="BW90" i="2"/>
  <c r="BW89" i="2"/>
  <c r="BW88" i="2"/>
  <c r="BW87" i="2"/>
  <c r="BW86" i="2"/>
  <c r="BW85" i="2"/>
  <c r="BW84" i="2"/>
  <c r="BW83" i="2"/>
  <c r="BW82" i="2"/>
  <c r="BW81" i="2"/>
  <c r="BW80" i="2"/>
  <c r="BW79" i="2"/>
  <c r="BW78" i="2"/>
  <c r="BW77" i="2"/>
  <c r="BW76" i="2"/>
  <c r="BW75" i="2"/>
  <c r="BW74" i="2"/>
  <c r="BW73" i="2"/>
  <c r="BW72" i="2"/>
  <c r="BW71" i="2"/>
  <c r="BW70" i="2"/>
  <c r="BW69" i="2"/>
  <c r="BW68" i="2"/>
  <c r="BW67" i="2"/>
  <c r="BW66" i="2"/>
  <c r="BW65" i="2"/>
  <c r="BW64" i="2"/>
  <c r="BW63" i="2"/>
  <c r="BW62" i="2"/>
  <c r="BW61" i="2"/>
  <c r="BW60" i="2"/>
  <c r="BW59" i="2"/>
  <c r="BW58" i="2"/>
  <c r="BW57" i="2"/>
  <c r="BW56" i="2"/>
  <c r="BW55" i="2"/>
  <c r="BW54" i="2"/>
  <c r="BW53" i="2"/>
  <c r="BW52" i="2"/>
  <c r="BW51" i="2"/>
  <c r="BW50" i="2"/>
  <c r="BW49" i="2"/>
  <c r="BW48" i="2"/>
  <c r="BW47" i="2"/>
  <c r="BW46" i="2"/>
  <c r="BW45" i="2"/>
  <c r="BW44" i="2"/>
  <c r="BW43" i="2"/>
  <c r="BW42" i="2"/>
  <c r="BW41" i="2"/>
  <c r="BW40" i="2"/>
  <c r="BW39" i="2"/>
  <c r="BW38" i="2"/>
  <c r="BW37" i="2"/>
  <c r="BW36" i="2"/>
  <c r="BW35" i="2"/>
  <c r="BW34" i="2"/>
  <c r="BW33" i="2"/>
  <c r="BW32" i="2"/>
  <c r="BW31" i="2"/>
  <c r="BW30" i="2"/>
  <c r="BW29" i="2"/>
  <c r="BW28" i="2"/>
  <c r="BW27" i="2"/>
  <c r="BW26" i="2"/>
  <c r="BW25" i="2"/>
  <c r="BW24" i="2"/>
  <c r="BW23" i="2"/>
  <c r="BW22" i="2"/>
  <c r="BW21" i="2"/>
  <c r="BW20" i="2"/>
  <c r="BW19" i="2"/>
  <c r="BW18" i="2"/>
  <c r="BW17" i="2"/>
  <c r="BW16" i="2"/>
  <c r="BW15" i="2"/>
  <c r="BW14" i="2"/>
  <c r="BW13" i="2"/>
  <c r="BS112" i="2"/>
  <c r="BS111" i="2"/>
  <c r="BS110" i="2"/>
  <c r="BS109" i="2"/>
  <c r="BS108" i="2"/>
  <c r="BS107" i="2"/>
  <c r="BS106" i="2"/>
  <c r="BS105" i="2"/>
  <c r="BS104" i="2"/>
  <c r="BS103" i="2"/>
  <c r="BS102" i="2"/>
  <c r="BS101" i="2"/>
  <c r="BS100" i="2"/>
  <c r="BS99" i="2"/>
  <c r="BS98" i="2"/>
  <c r="BS97" i="2"/>
  <c r="BS96" i="2"/>
  <c r="BS95" i="2"/>
  <c r="BS94" i="2"/>
  <c r="BS93" i="2"/>
  <c r="BS92" i="2"/>
  <c r="BS91" i="2"/>
  <c r="BS90" i="2"/>
  <c r="BS89" i="2"/>
  <c r="BS88" i="2"/>
  <c r="BS87" i="2"/>
  <c r="BS86" i="2"/>
  <c r="BS85" i="2"/>
  <c r="BS84" i="2"/>
  <c r="BS83" i="2"/>
  <c r="BS82" i="2"/>
  <c r="BS81" i="2"/>
  <c r="BS80" i="2"/>
  <c r="BS79" i="2"/>
  <c r="BS78" i="2"/>
  <c r="BS77" i="2"/>
  <c r="BS76" i="2"/>
  <c r="BS75" i="2"/>
  <c r="BS74" i="2"/>
  <c r="BS73" i="2"/>
  <c r="BS72" i="2"/>
  <c r="BS71" i="2"/>
  <c r="BS70" i="2"/>
  <c r="BS69" i="2"/>
  <c r="BS68" i="2"/>
  <c r="BS67" i="2"/>
  <c r="BS66" i="2"/>
  <c r="BS65" i="2"/>
  <c r="BS64" i="2"/>
  <c r="BS63" i="2"/>
  <c r="BS62" i="2"/>
  <c r="BS61" i="2"/>
  <c r="BS60" i="2"/>
  <c r="BS59" i="2"/>
  <c r="BS58" i="2"/>
  <c r="BS57" i="2"/>
  <c r="BS56" i="2"/>
  <c r="BS55" i="2"/>
  <c r="BS54" i="2"/>
  <c r="BS53" i="2"/>
  <c r="BS52" i="2"/>
  <c r="BS51" i="2"/>
  <c r="BS50" i="2"/>
  <c r="BS49" i="2"/>
  <c r="BS48" i="2"/>
  <c r="BS47" i="2"/>
  <c r="BS46" i="2"/>
  <c r="BS45" i="2"/>
  <c r="BS44" i="2"/>
  <c r="BS43" i="2"/>
  <c r="BS42" i="2"/>
  <c r="BS41" i="2"/>
  <c r="BS40" i="2"/>
  <c r="BS39" i="2"/>
  <c r="BS38" i="2"/>
  <c r="BS37" i="2"/>
  <c r="BS36" i="2"/>
  <c r="BS35" i="2"/>
  <c r="BS34" i="2"/>
  <c r="BS33" i="2"/>
  <c r="BS32" i="2"/>
  <c r="BS31" i="2"/>
  <c r="BS30" i="2"/>
  <c r="BS29" i="2"/>
  <c r="BS28" i="2"/>
  <c r="BS27" i="2"/>
  <c r="BS26" i="2"/>
  <c r="BS25" i="2"/>
  <c r="BS24" i="2"/>
  <c r="BS23" i="2"/>
  <c r="BS22" i="2"/>
  <c r="BS21" i="2"/>
  <c r="BS20" i="2"/>
  <c r="BS19" i="2"/>
  <c r="BS18" i="2"/>
  <c r="BS17" i="2"/>
  <c r="BS16" i="2"/>
  <c r="BS15" i="2"/>
  <c r="BS14" i="2"/>
  <c r="BS13" i="2"/>
  <c r="BP112" i="2"/>
  <c r="BP111" i="2"/>
  <c r="BP110" i="2"/>
  <c r="BP109" i="2"/>
  <c r="BP108" i="2"/>
  <c r="BP107" i="2"/>
  <c r="BP106" i="2"/>
  <c r="BP105" i="2"/>
  <c r="BP104" i="2"/>
  <c r="BP103" i="2"/>
  <c r="BP102" i="2"/>
  <c r="BP101" i="2"/>
  <c r="BP100" i="2"/>
  <c r="BP99" i="2"/>
  <c r="BP98" i="2"/>
  <c r="BP97" i="2"/>
  <c r="BP96" i="2"/>
  <c r="BP95" i="2"/>
  <c r="BP94" i="2"/>
  <c r="BP93" i="2"/>
  <c r="BP92" i="2"/>
  <c r="BP91" i="2"/>
  <c r="BP90" i="2"/>
  <c r="BP89" i="2"/>
  <c r="BP88" i="2"/>
  <c r="BP87" i="2"/>
  <c r="BP86" i="2"/>
  <c r="BP85" i="2"/>
  <c r="BP84" i="2"/>
  <c r="BP83" i="2"/>
  <c r="BP82" i="2"/>
  <c r="BP81" i="2"/>
  <c r="BP80" i="2"/>
  <c r="BP79" i="2"/>
  <c r="BP78" i="2"/>
  <c r="BP77" i="2"/>
  <c r="BP76" i="2"/>
  <c r="BP75" i="2"/>
  <c r="BP74" i="2"/>
  <c r="BP73" i="2"/>
  <c r="BP72" i="2"/>
  <c r="BP71" i="2"/>
  <c r="BP70" i="2"/>
  <c r="BP69" i="2"/>
  <c r="BP68" i="2"/>
  <c r="BP67" i="2"/>
  <c r="BP66" i="2"/>
  <c r="BP65" i="2"/>
  <c r="BP64" i="2"/>
  <c r="BP63" i="2"/>
  <c r="BP62" i="2"/>
  <c r="BP61" i="2"/>
  <c r="BP60" i="2"/>
  <c r="BP59" i="2"/>
  <c r="BP58" i="2"/>
  <c r="BP57" i="2"/>
  <c r="BP56" i="2"/>
  <c r="BP55" i="2"/>
  <c r="BP54" i="2"/>
  <c r="BP53" i="2"/>
  <c r="BP52" i="2"/>
  <c r="BP51" i="2"/>
  <c r="BP50" i="2"/>
  <c r="BP49" i="2"/>
  <c r="BP48" i="2"/>
  <c r="BP47" i="2"/>
  <c r="BP46" i="2"/>
  <c r="BP45" i="2"/>
  <c r="BP44" i="2"/>
  <c r="BP43" i="2"/>
  <c r="BP42" i="2"/>
  <c r="BP41" i="2"/>
  <c r="BP40" i="2"/>
  <c r="BP39" i="2"/>
  <c r="BP38" i="2"/>
  <c r="BP37" i="2"/>
  <c r="BP36" i="2"/>
  <c r="BP35" i="2"/>
  <c r="BP34" i="2"/>
  <c r="BP33" i="2"/>
  <c r="BP32" i="2"/>
  <c r="BP31" i="2"/>
  <c r="BP30" i="2"/>
  <c r="BP29" i="2"/>
  <c r="BP28" i="2"/>
  <c r="BP27" i="2"/>
  <c r="BP26" i="2"/>
  <c r="BP25" i="2"/>
  <c r="BP24" i="2"/>
  <c r="BP23" i="2"/>
  <c r="BP22" i="2"/>
  <c r="BP21" i="2"/>
  <c r="BP20" i="2"/>
  <c r="BP19" i="2"/>
  <c r="BP18" i="2"/>
  <c r="BP17" i="2"/>
  <c r="BP16" i="2"/>
  <c r="BP15" i="2"/>
  <c r="BP14" i="2"/>
  <c r="BP13" i="2"/>
  <c r="BN14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3" i="2"/>
  <c r="BJ112" i="2"/>
  <c r="BJ111" i="2"/>
  <c r="BJ110" i="2"/>
  <c r="BJ109" i="2"/>
  <c r="BJ108" i="2"/>
  <c r="BJ107" i="2"/>
  <c r="BJ106" i="2"/>
  <c r="BJ105" i="2"/>
  <c r="BJ104" i="2"/>
  <c r="BJ103" i="2"/>
  <c r="BJ102" i="2"/>
  <c r="BJ101" i="2"/>
  <c r="BJ100" i="2"/>
  <c r="BJ99" i="2"/>
  <c r="BJ98" i="2"/>
  <c r="BJ97" i="2"/>
  <c r="BJ96" i="2"/>
  <c r="BJ95" i="2"/>
  <c r="BJ94" i="2"/>
  <c r="BJ93" i="2"/>
  <c r="BJ92" i="2"/>
  <c r="BJ91" i="2"/>
  <c r="BJ90" i="2"/>
  <c r="BJ89" i="2"/>
  <c r="BJ88" i="2"/>
  <c r="BJ87" i="2"/>
  <c r="BJ86" i="2"/>
  <c r="BJ85" i="2"/>
  <c r="BJ84" i="2"/>
  <c r="BJ83" i="2"/>
  <c r="BJ82" i="2"/>
  <c r="BJ81" i="2"/>
  <c r="BJ80" i="2"/>
  <c r="BJ79" i="2"/>
  <c r="BJ78" i="2"/>
  <c r="BJ77" i="2"/>
  <c r="BJ76" i="2"/>
  <c r="BJ75" i="2"/>
  <c r="BJ74" i="2"/>
  <c r="BJ73" i="2"/>
  <c r="BJ72" i="2"/>
  <c r="BJ71" i="2"/>
  <c r="BJ70" i="2"/>
  <c r="BJ69" i="2"/>
  <c r="BJ68" i="2"/>
  <c r="BJ67" i="2"/>
  <c r="BJ66" i="2"/>
  <c r="BJ65" i="2"/>
  <c r="BJ64" i="2"/>
  <c r="BJ63" i="2"/>
  <c r="BJ62" i="2"/>
  <c r="BJ61" i="2"/>
  <c r="BJ60" i="2"/>
  <c r="BJ59" i="2"/>
  <c r="BJ58" i="2"/>
  <c r="BJ57" i="2"/>
  <c r="BJ56" i="2"/>
  <c r="BJ55" i="2"/>
  <c r="BJ54" i="2"/>
  <c r="BJ53" i="2"/>
  <c r="BJ52" i="2"/>
  <c r="BJ51" i="2"/>
  <c r="BJ50" i="2"/>
  <c r="BJ49" i="2"/>
  <c r="BJ48" i="2"/>
  <c r="BJ47" i="2"/>
  <c r="BJ46" i="2"/>
  <c r="BJ45" i="2"/>
  <c r="BJ44" i="2"/>
  <c r="BJ43" i="2"/>
  <c r="BJ42" i="2"/>
  <c r="BJ41" i="2"/>
  <c r="BJ40" i="2"/>
  <c r="BJ39" i="2"/>
  <c r="BJ38" i="2"/>
  <c r="BJ37" i="2"/>
  <c r="BJ36" i="2"/>
  <c r="BJ35" i="2"/>
  <c r="BJ34" i="2"/>
  <c r="BJ33" i="2"/>
  <c r="BJ32" i="2"/>
  <c r="BJ31" i="2"/>
  <c r="BJ30" i="2"/>
  <c r="BJ29" i="2"/>
  <c r="BJ28" i="2"/>
  <c r="BJ27" i="2"/>
  <c r="BJ26" i="2"/>
  <c r="BJ25" i="2"/>
  <c r="BJ24" i="2"/>
  <c r="BJ23" i="2"/>
  <c r="BJ22" i="2"/>
  <c r="BJ21" i="2"/>
  <c r="BJ20" i="2"/>
  <c r="BJ19" i="2"/>
  <c r="BJ18" i="2"/>
  <c r="BJ17" i="2"/>
  <c r="BJ16" i="2"/>
  <c r="BJ15" i="2"/>
  <c r="BJ14" i="2"/>
  <c r="BJ13" i="2"/>
  <c r="BH112" i="2"/>
  <c r="BH111" i="2"/>
  <c r="BH110" i="2"/>
  <c r="BH109" i="2"/>
  <c r="BH108" i="2"/>
  <c r="BH107" i="2"/>
  <c r="BH106" i="2"/>
  <c r="BH105" i="2"/>
  <c r="BH104" i="2"/>
  <c r="BH103" i="2"/>
  <c r="BH102" i="2"/>
  <c r="BH101" i="2"/>
  <c r="BH100" i="2"/>
  <c r="BH99" i="2"/>
  <c r="BH98" i="2"/>
  <c r="BH97" i="2"/>
  <c r="BH96" i="2"/>
  <c r="BH95" i="2"/>
  <c r="BH94" i="2"/>
  <c r="BH93" i="2"/>
  <c r="BH92" i="2"/>
  <c r="BH91" i="2"/>
  <c r="BH90" i="2"/>
  <c r="BH89" i="2"/>
  <c r="BH88" i="2"/>
  <c r="BH87" i="2"/>
  <c r="BH86" i="2"/>
  <c r="BH85" i="2"/>
  <c r="BH84" i="2"/>
  <c r="BH83" i="2"/>
  <c r="BH82" i="2"/>
  <c r="BH81" i="2"/>
  <c r="BH80" i="2"/>
  <c r="BH79" i="2"/>
  <c r="BH78" i="2"/>
  <c r="BH77" i="2"/>
  <c r="BH76" i="2"/>
  <c r="BH75" i="2"/>
  <c r="BH74" i="2"/>
  <c r="BH73" i="2"/>
  <c r="BH72" i="2"/>
  <c r="BH71" i="2"/>
  <c r="BH70" i="2"/>
  <c r="BH69" i="2"/>
  <c r="BH68" i="2"/>
  <c r="BH67" i="2"/>
  <c r="BH66" i="2"/>
  <c r="BH65" i="2"/>
  <c r="BH64" i="2"/>
  <c r="BH63" i="2"/>
  <c r="BH62" i="2"/>
  <c r="BH61" i="2"/>
  <c r="BH60" i="2"/>
  <c r="BH59" i="2"/>
  <c r="BH58" i="2"/>
  <c r="BH57" i="2"/>
  <c r="BH56" i="2"/>
  <c r="BH55" i="2"/>
  <c r="BH54" i="2"/>
  <c r="BH53" i="2"/>
  <c r="BH52" i="2"/>
  <c r="BH51" i="2"/>
  <c r="BH50" i="2"/>
  <c r="BH49" i="2"/>
  <c r="BH48" i="2"/>
  <c r="BH47" i="2"/>
  <c r="BH46" i="2"/>
  <c r="BH45" i="2"/>
  <c r="BH44" i="2"/>
  <c r="BH43" i="2"/>
  <c r="BH42" i="2"/>
  <c r="BH41" i="2"/>
  <c r="BH40" i="2"/>
  <c r="BH39" i="2"/>
  <c r="BH38" i="2"/>
  <c r="BH37" i="2"/>
  <c r="BH36" i="2"/>
  <c r="BH35" i="2"/>
  <c r="BH34" i="2"/>
  <c r="BH33" i="2"/>
  <c r="BH32" i="2"/>
  <c r="BH31" i="2"/>
  <c r="BH30" i="2"/>
  <c r="BH29" i="2"/>
  <c r="BH28" i="2"/>
  <c r="BH27" i="2"/>
  <c r="BH26" i="2"/>
  <c r="BH25" i="2"/>
  <c r="BH24" i="2"/>
  <c r="BH23" i="2"/>
  <c r="BH22" i="2"/>
  <c r="BH21" i="2"/>
  <c r="BH20" i="2"/>
  <c r="BH19" i="2"/>
  <c r="BH18" i="2"/>
  <c r="BH17" i="2"/>
  <c r="BH16" i="2"/>
  <c r="BH15" i="2"/>
  <c r="BH14" i="2"/>
  <c r="BH13" i="2"/>
  <c r="BF112" i="2"/>
  <c r="BF111" i="2"/>
  <c r="BF110" i="2"/>
  <c r="BF109" i="2"/>
  <c r="BF108" i="2"/>
  <c r="BF107" i="2"/>
  <c r="BF106" i="2"/>
  <c r="BF105" i="2"/>
  <c r="BF104" i="2"/>
  <c r="BF103" i="2"/>
  <c r="BF102" i="2"/>
  <c r="BF101" i="2"/>
  <c r="BF100" i="2"/>
  <c r="BF99" i="2"/>
  <c r="BF98" i="2"/>
  <c r="BF97" i="2"/>
  <c r="BF96" i="2"/>
  <c r="BF95" i="2"/>
  <c r="BF94" i="2"/>
  <c r="BF93" i="2"/>
  <c r="BF92" i="2"/>
  <c r="BF91" i="2"/>
  <c r="BF90" i="2"/>
  <c r="BF89" i="2"/>
  <c r="BF88" i="2"/>
  <c r="BF87" i="2"/>
  <c r="BF86" i="2"/>
  <c r="BF85" i="2"/>
  <c r="BF84" i="2"/>
  <c r="BF83" i="2"/>
  <c r="BF82" i="2"/>
  <c r="BF81" i="2"/>
  <c r="BF80" i="2"/>
  <c r="BF79" i="2"/>
  <c r="BF78" i="2"/>
  <c r="BF77" i="2"/>
  <c r="BF76" i="2"/>
  <c r="BF75" i="2"/>
  <c r="BF74" i="2"/>
  <c r="BF73" i="2"/>
  <c r="BF72" i="2"/>
  <c r="BF71" i="2"/>
  <c r="BF70" i="2"/>
  <c r="BF69" i="2"/>
  <c r="BF68" i="2"/>
  <c r="BF67" i="2"/>
  <c r="BF66" i="2"/>
  <c r="BF65" i="2"/>
  <c r="BF64" i="2"/>
  <c r="BF63" i="2"/>
  <c r="BF62" i="2"/>
  <c r="BF61" i="2"/>
  <c r="BF60" i="2"/>
  <c r="BF59" i="2"/>
  <c r="BF58" i="2"/>
  <c r="BF57" i="2"/>
  <c r="BF56" i="2"/>
  <c r="BF55" i="2"/>
  <c r="BF54" i="2"/>
  <c r="BF53" i="2"/>
  <c r="BF52" i="2"/>
  <c r="BF51" i="2"/>
  <c r="BF50" i="2"/>
  <c r="BF49" i="2"/>
  <c r="BF48" i="2"/>
  <c r="BF47" i="2"/>
  <c r="BF46" i="2"/>
  <c r="BF45" i="2"/>
  <c r="BF44" i="2"/>
  <c r="BF43" i="2"/>
  <c r="BF42" i="2"/>
  <c r="BF41" i="2"/>
  <c r="BF40" i="2"/>
  <c r="BF39" i="2"/>
  <c r="BF38" i="2"/>
  <c r="BF37" i="2"/>
  <c r="BF36" i="2"/>
  <c r="BF35" i="2"/>
  <c r="BF34" i="2"/>
  <c r="BF33" i="2"/>
  <c r="BF32" i="2"/>
  <c r="BF31" i="2"/>
  <c r="BF30" i="2"/>
  <c r="BF29" i="2"/>
  <c r="BF28" i="2"/>
  <c r="BF27" i="2"/>
  <c r="BF26" i="2"/>
  <c r="BF25" i="2"/>
  <c r="BF24" i="2"/>
  <c r="BF23" i="2"/>
  <c r="BF22" i="2"/>
  <c r="BF21" i="2"/>
  <c r="BF20" i="2"/>
  <c r="BF19" i="2"/>
  <c r="BF18" i="2"/>
  <c r="BF17" i="2"/>
  <c r="BF16" i="2"/>
  <c r="BF15" i="2"/>
  <c r="BF14" i="2"/>
  <c r="BF13" i="2"/>
  <c r="AY112" i="2"/>
  <c r="AY111" i="2"/>
  <c r="AY110" i="2"/>
  <c r="AY109" i="2"/>
  <c r="AY108" i="2"/>
  <c r="AY107" i="2"/>
  <c r="AY106" i="2"/>
  <c r="AY105" i="2"/>
  <c r="AY104" i="2"/>
  <c r="AY103" i="2"/>
  <c r="AY102" i="2"/>
  <c r="AY101" i="2"/>
  <c r="AY100" i="2"/>
  <c r="AY99" i="2"/>
  <c r="AY98" i="2"/>
  <c r="AY97" i="2"/>
  <c r="AY96" i="2"/>
  <c r="AY95" i="2"/>
  <c r="AY94" i="2"/>
  <c r="AY93" i="2"/>
  <c r="AY92" i="2"/>
  <c r="AY91" i="2"/>
  <c r="AY90" i="2"/>
  <c r="AY89" i="2"/>
  <c r="AY88" i="2"/>
  <c r="AY87" i="2"/>
  <c r="AY86" i="2"/>
  <c r="AY85" i="2"/>
  <c r="AY84" i="2"/>
  <c r="AY83" i="2"/>
  <c r="AY82" i="2"/>
  <c r="AY81" i="2"/>
  <c r="AY80" i="2"/>
  <c r="AY79" i="2"/>
  <c r="AY78" i="2"/>
  <c r="AY77" i="2"/>
  <c r="AY76" i="2"/>
  <c r="AY75" i="2"/>
  <c r="AY74" i="2"/>
  <c r="AY73" i="2"/>
  <c r="AY72" i="2"/>
  <c r="AY71" i="2"/>
  <c r="AY70" i="2"/>
  <c r="AY69" i="2"/>
  <c r="AY68" i="2"/>
  <c r="AY67" i="2"/>
  <c r="AY66" i="2"/>
  <c r="AY65" i="2"/>
  <c r="AY64" i="2"/>
  <c r="AY63" i="2"/>
  <c r="AY62" i="2"/>
  <c r="AY61" i="2"/>
  <c r="AY60" i="2"/>
  <c r="AY59" i="2"/>
  <c r="AY58" i="2"/>
  <c r="AY57" i="2"/>
  <c r="AY56" i="2"/>
  <c r="AY55" i="2"/>
  <c r="AY54" i="2"/>
  <c r="AY53" i="2"/>
  <c r="AY52" i="2"/>
  <c r="AY51" i="2"/>
  <c r="AY50" i="2"/>
  <c r="AY49" i="2"/>
  <c r="AY48" i="2"/>
  <c r="AY47" i="2"/>
  <c r="AY46" i="2"/>
  <c r="AY45" i="2"/>
  <c r="AY44" i="2"/>
  <c r="AY43" i="2"/>
  <c r="AY42" i="2"/>
  <c r="AY41" i="2"/>
  <c r="AY40" i="2"/>
  <c r="AY39" i="2"/>
  <c r="AY38" i="2"/>
  <c r="AY37" i="2"/>
  <c r="AY36" i="2"/>
  <c r="AY35" i="2"/>
  <c r="AY34" i="2"/>
  <c r="AY33" i="2"/>
  <c r="AY32" i="2"/>
  <c r="AY31" i="2"/>
  <c r="AY30" i="2"/>
  <c r="AY29" i="2"/>
  <c r="AY28" i="2"/>
  <c r="AY27" i="2"/>
  <c r="AY26" i="2"/>
  <c r="AY25" i="2"/>
  <c r="AY24" i="2"/>
  <c r="AY23" i="2"/>
  <c r="AY22" i="2"/>
  <c r="AY21" i="2"/>
  <c r="AY20" i="2"/>
  <c r="AY19" i="2"/>
  <c r="AY18" i="2"/>
  <c r="AY17" i="2"/>
  <c r="AY16" i="2"/>
  <c r="AY15" i="2"/>
  <c r="AY14" i="2"/>
  <c r="AY13" i="2"/>
  <c r="AV112" i="2"/>
  <c r="AV111" i="2"/>
  <c r="AV110" i="2"/>
  <c r="AV109" i="2"/>
  <c r="AV108" i="2"/>
  <c r="AV107" i="2"/>
  <c r="AV106" i="2"/>
  <c r="AV105" i="2"/>
  <c r="AV104" i="2"/>
  <c r="AV103" i="2"/>
  <c r="AV102" i="2"/>
  <c r="AV101" i="2"/>
  <c r="AV100" i="2"/>
  <c r="AV99" i="2"/>
  <c r="AV98" i="2"/>
  <c r="AV97" i="2"/>
  <c r="AV96" i="2"/>
  <c r="AV95" i="2"/>
  <c r="AV94" i="2"/>
  <c r="AV93" i="2"/>
  <c r="AV92" i="2"/>
  <c r="AV91" i="2"/>
  <c r="AV90" i="2"/>
  <c r="AV89" i="2"/>
  <c r="AV88" i="2"/>
  <c r="AV87" i="2"/>
  <c r="AV86" i="2"/>
  <c r="AV85" i="2"/>
  <c r="AV84" i="2"/>
  <c r="AV83" i="2"/>
  <c r="AV82" i="2"/>
  <c r="AV81" i="2"/>
  <c r="AV80" i="2"/>
  <c r="AV79" i="2"/>
  <c r="AV78" i="2"/>
  <c r="AV77" i="2"/>
  <c r="AV76" i="2"/>
  <c r="AV75" i="2"/>
  <c r="AV74" i="2"/>
  <c r="AV73" i="2"/>
  <c r="AV72" i="2"/>
  <c r="AV71" i="2"/>
  <c r="AV70" i="2"/>
  <c r="AV69" i="2"/>
  <c r="AV68" i="2"/>
  <c r="AV67" i="2"/>
  <c r="AV66" i="2"/>
  <c r="AV65" i="2"/>
  <c r="AV64" i="2"/>
  <c r="AV63" i="2"/>
  <c r="AV62" i="2"/>
  <c r="AV61" i="2"/>
  <c r="AV60" i="2"/>
  <c r="AV59" i="2"/>
  <c r="AV58" i="2"/>
  <c r="AV57" i="2"/>
  <c r="AV56" i="2"/>
  <c r="AV55" i="2"/>
  <c r="AV54" i="2"/>
  <c r="AV53" i="2"/>
  <c r="AV52" i="2"/>
  <c r="AV51" i="2"/>
  <c r="AV50" i="2"/>
  <c r="AV49" i="2"/>
  <c r="AV48" i="2"/>
  <c r="AV47" i="2"/>
  <c r="AV46" i="2"/>
  <c r="AV45" i="2"/>
  <c r="AV44" i="2"/>
  <c r="AV43" i="2"/>
  <c r="AV42" i="2"/>
  <c r="AV41" i="2"/>
  <c r="AV40" i="2"/>
  <c r="AV39" i="2"/>
  <c r="AV38" i="2"/>
  <c r="AV37" i="2"/>
  <c r="AV36" i="2"/>
  <c r="AV35" i="2"/>
  <c r="AV34" i="2"/>
  <c r="AV33" i="2"/>
  <c r="AV32" i="2"/>
  <c r="AV31" i="2"/>
  <c r="AV30" i="2"/>
  <c r="AV29" i="2"/>
  <c r="AV28" i="2"/>
  <c r="AV27" i="2"/>
  <c r="AV26" i="2"/>
  <c r="AV25" i="2"/>
  <c r="AV24" i="2"/>
  <c r="AV23" i="2"/>
  <c r="AV22" i="2"/>
  <c r="AV21" i="2"/>
  <c r="AV20" i="2"/>
  <c r="AV19" i="2"/>
  <c r="AV18" i="2"/>
  <c r="AV17" i="2"/>
  <c r="AV16" i="2"/>
  <c r="AV15" i="2"/>
  <c r="AV14" i="2"/>
  <c r="AV13" i="2"/>
  <c r="AP112" i="2"/>
  <c r="AP111" i="2"/>
  <c r="AP110" i="2"/>
  <c r="AP109" i="2"/>
  <c r="AP108" i="2"/>
  <c r="AP107" i="2"/>
  <c r="AP106" i="2"/>
  <c r="AP105" i="2"/>
  <c r="AP104" i="2"/>
  <c r="AP103" i="2"/>
  <c r="AP102" i="2"/>
  <c r="AP101" i="2"/>
  <c r="AP100" i="2"/>
  <c r="AP99" i="2"/>
  <c r="AP98" i="2"/>
  <c r="AP97" i="2"/>
  <c r="AP96" i="2"/>
  <c r="AP95" i="2"/>
  <c r="AP94" i="2"/>
  <c r="AP93" i="2"/>
  <c r="AP92" i="2"/>
  <c r="AP91" i="2"/>
  <c r="AP90" i="2"/>
  <c r="AP89" i="2"/>
  <c r="AP88" i="2"/>
  <c r="AP87" i="2"/>
  <c r="AP86" i="2"/>
  <c r="AP85" i="2"/>
  <c r="AP84" i="2"/>
  <c r="AP83" i="2"/>
  <c r="AP82" i="2"/>
  <c r="AP81" i="2"/>
  <c r="AP80" i="2"/>
  <c r="AP79" i="2"/>
  <c r="AP78" i="2"/>
  <c r="AP77" i="2"/>
  <c r="AP76" i="2"/>
  <c r="AP75" i="2"/>
  <c r="AP74" i="2"/>
  <c r="AP73" i="2"/>
  <c r="AP72" i="2"/>
  <c r="AP71" i="2"/>
  <c r="AP70" i="2"/>
  <c r="AP69" i="2"/>
  <c r="AP68" i="2"/>
  <c r="AP67" i="2"/>
  <c r="AP66" i="2"/>
  <c r="AP65" i="2"/>
  <c r="AP64" i="2"/>
  <c r="AP63" i="2"/>
  <c r="AP62" i="2"/>
  <c r="AP61" i="2"/>
  <c r="AP60" i="2"/>
  <c r="AP59" i="2"/>
  <c r="AP58" i="2"/>
  <c r="AP57" i="2"/>
  <c r="AP56" i="2"/>
  <c r="AP55" i="2"/>
  <c r="AP54" i="2"/>
  <c r="AP53" i="2"/>
  <c r="AP52" i="2"/>
  <c r="AP51" i="2"/>
  <c r="AP50" i="2"/>
  <c r="AP49" i="2"/>
  <c r="AP48" i="2"/>
  <c r="AP47" i="2"/>
  <c r="AP46" i="2"/>
  <c r="AP45" i="2"/>
  <c r="AP44" i="2"/>
  <c r="AP43" i="2"/>
  <c r="AP42" i="2"/>
  <c r="AP41" i="2"/>
  <c r="AP40" i="2"/>
  <c r="AP39" i="2"/>
  <c r="AP38" i="2"/>
  <c r="AP37" i="2"/>
  <c r="AP36" i="2"/>
  <c r="AP35" i="2"/>
  <c r="AP34" i="2"/>
  <c r="AP33" i="2"/>
  <c r="AP32" i="2"/>
  <c r="AP31" i="2"/>
  <c r="AP30" i="2"/>
  <c r="AP29" i="2"/>
  <c r="AP28" i="2"/>
  <c r="AP27" i="2"/>
  <c r="AP26" i="2"/>
  <c r="AP25" i="2"/>
  <c r="AP24" i="2"/>
  <c r="AP23" i="2"/>
  <c r="AP22" i="2"/>
  <c r="AP21" i="2"/>
  <c r="AP20" i="2"/>
  <c r="AP19" i="2"/>
  <c r="AP18" i="2"/>
  <c r="AP17" i="2"/>
  <c r="AP16" i="2"/>
  <c r="AP15" i="2"/>
  <c r="AP14" i="2"/>
  <c r="AP13" i="2"/>
  <c r="AN112" i="2"/>
  <c r="AN111" i="2"/>
  <c r="AN110" i="2"/>
  <c r="AN109" i="2"/>
  <c r="AN108" i="2"/>
  <c r="AN107" i="2"/>
  <c r="AN106" i="2"/>
  <c r="AN105" i="2"/>
  <c r="AN104" i="2"/>
  <c r="AN103" i="2"/>
  <c r="AN102" i="2"/>
  <c r="AN101" i="2"/>
  <c r="AN100" i="2"/>
  <c r="AN99" i="2"/>
  <c r="AN98" i="2"/>
  <c r="AN97" i="2"/>
  <c r="AN96" i="2"/>
  <c r="AN95" i="2"/>
  <c r="AN94" i="2"/>
  <c r="AN93" i="2"/>
  <c r="AN92" i="2"/>
  <c r="AN91" i="2"/>
  <c r="AN90" i="2"/>
  <c r="AN89" i="2"/>
  <c r="AN88" i="2"/>
  <c r="AN87" i="2"/>
  <c r="AN86" i="2"/>
  <c r="AN85" i="2"/>
  <c r="AN84" i="2"/>
  <c r="AN83" i="2"/>
  <c r="AN82" i="2"/>
  <c r="AN81" i="2"/>
  <c r="AN80" i="2"/>
  <c r="AN79" i="2"/>
  <c r="AN78" i="2"/>
  <c r="AN77" i="2"/>
  <c r="AN76" i="2"/>
  <c r="AN75" i="2"/>
  <c r="AN74" i="2"/>
  <c r="AN73" i="2"/>
  <c r="AN72" i="2"/>
  <c r="AN71" i="2"/>
  <c r="AN70" i="2"/>
  <c r="AN69" i="2"/>
  <c r="AN68" i="2"/>
  <c r="AN67" i="2"/>
  <c r="AN66" i="2"/>
  <c r="AN65" i="2"/>
  <c r="AN64" i="2"/>
  <c r="AN63" i="2"/>
  <c r="AN62" i="2"/>
  <c r="AN61" i="2"/>
  <c r="AN60" i="2"/>
  <c r="AN59" i="2"/>
  <c r="AN58" i="2"/>
  <c r="AN57" i="2"/>
  <c r="AN56" i="2"/>
  <c r="AN55" i="2"/>
  <c r="AN54" i="2"/>
  <c r="AN53" i="2"/>
  <c r="AN52" i="2"/>
  <c r="AN51" i="2"/>
  <c r="AN50" i="2"/>
  <c r="AN49" i="2"/>
  <c r="AN48" i="2"/>
  <c r="AN47" i="2"/>
  <c r="AN46" i="2"/>
  <c r="AN45" i="2"/>
  <c r="AN44" i="2"/>
  <c r="AN43" i="2"/>
  <c r="AN42" i="2"/>
  <c r="AN41" i="2"/>
  <c r="AN40" i="2"/>
  <c r="AN39" i="2"/>
  <c r="AN38" i="2"/>
  <c r="AN37" i="2"/>
  <c r="AN36" i="2"/>
  <c r="AN35" i="2"/>
  <c r="AN34" i="2"/>
  <c r="AN33" i="2"/>
  <c r="AN32" i="2"/>
  <c r="AN31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N15" i="2"/>
  <c r="AN14" i="2"/>
  <c r="AN13" i="2"/>
  <c r="AL112" i="2"/>
  <c r="AL111" i="2"/>
  <c r="AL110" i="2"/>
  <c r="AL109" i="2"/>
  <c r="AL108" i="2"/>
  <c r="AL107" i="2"/>
  <c r="AL106" i="2"/>
  <c r="AL105" i="2"/>
  <c r="AL104" i="2"/>
  <c r="AL103" i="2"/>
  <c r="AL102" i="2"/>
  <c r="AL101" i="2"/>
  <c r="AL100" i="2"/>
  <c r="AL99" i="2"/>
  <c r="AL98" i="2"/>
  <c r="AL97" i="2"/>
  <c r="AL96" i="2"/>
  <c r="AL95" i="2"/>
  <c r="AL94" i="2"/>
  <c r="AL93" i="2"/>
  <c r="AL92" i="2"/>
  <c r="AL91" i="2"/>
  <c r="AL90" i="2"/>
  <c r="AL89" i="2"/>
  <c r="AL88" i="2"/>
  <c r="AL87" i="2"/>
  <c r="AL86" i="2"/>
  <c r="AL85" i="2"/>
  <c r="AL84" i="2"/>
  <c r="AL83" i="2"/>
  <c r="AL82" i="2"/>
  <c r="AL81" i="2"/>
  <c r="AL80" i="2"/>
  <c r="AL79" i="2"/>
  <c r="AL78" i="2"/>
  <c r="AL77" i="2"/>
  <c r="AL76" i="2"/>
  <c r="AL75" i="2"/>
  <c r="AL74" i="2"/>
  <c r="AL73" i="2"/>
  <c r="AL72" i="2"/>
  <c r="AL71" i="2"/>
  <c r="AL70" i="2"/>
  <c r="AL69" i="2"/>
  <c r="AL68" i="2"/>
  <c r="AL67" i="2"/>
  <c r="AL66" i="2"/>
  <c r="AL65" i="2"/>
  <c r="AL64" i="2"/>
  <c r="AL63" i="2"/>
  <c r="AL62" i="2"/>
  <c r="AL61" i="2"/>
  <c r="AL60" i="2"/>
  <c r="AL59" i="2"/>
  <c r="AL58" i="2"/>
  <c r="AL57" i="2"/>
  <c r="AL56" i="2"/>
  <c r="AL55" i="2"/>
  <c r="AL54" i="2"/>
  <c r="AL53" i="2"/>
  <c r="AL52" i="2"/>
  <c r="AL51" i="2"/>
  <c r="AL50" i="2"/>
  <c r="AL49" i="2"/>
  <c r="AL48" i="2"/>
  <c r="AL47" i="2"/>
  <c r="AL46" i="2"/>
  <c r="AL45" i="2"/>
  <c r="AL44" i="2"/>
  <c r="AL43" i="2"/>
  <c r="AL42" i="2"/>
  <c r="AL41" i="2"/>
  <c r="AL40" i="2"/>
  <c r="AL39" i="2"/>
  <c r="AL38" i="2"/>
  <c r="AL37" i="2"/>
  <c r="AL36" i="2"/>
  <c r="AL35" i="2"/>
  <c r="AL34" i="2"/>
  <c r="AL33" i="2"/>
  <c r="AL32" i="2"/>
  <c r="AL31" i="2"/>
  <c r="AL30" i="2"/>
  <c r="AL29" i="2"/>
  <c r="AL28" i="2"/>
  <c r="AL27" i="2"/>
  <c r="AL26" i="2"/>
  <c r="AL25" i="2"/>
  <c r="AL24" i="2"/>
  <c r="AL23" i="2"/>
  <c r="AL22" i="2"/>
  <c r="AL21" i="2"/>
  <c r="AL20" i="2"/>
  <c r="AL19" i="2"/>
  <c r="AL18" i="2"/>
  <c r="AL17" i="2"/>
  <c r="AL16" i="2"/>
  <c r="AL15" i="2"/>
  <c r="AL14" i="2"/>
  <c r="AL13" i="2"/>
  <c r="AJ112" i="2"/>
  <c r="AJ111" i="2"/>
  <c r="AJ110" i="2"/>
  <c r="AJ109" i="2"/>
  <c r="AJ108" i="2"/>
  <c r="AJ107" i="2"/>
  <c r="AJ106" i="2"/>
  <c r="AJ105" i="2"/>
  <c r="AJ104" i="2"/>
  <c r="AJ103" i="2"/>
  <c r="AJ102" i="2"/>
  <c r="AJ101" i="2"/>
  <c r="AJ100" i="2"/>
  <c r="AJ99" i="2"/>
  <c r="AJ98" i="2"/>
  <c r="AJ97" i="2"/>
  <c r="AJ96" i="2"/>
  <c r="AJ95" i="2"/>
  <c r="AJ94" i="2"/>
  <c r="AJ93" i="2"/>
  <c r="AJ92" i="2"/>
  <c r="AJ91" i="2"/>
  <c r="AJ90" i="2"/>
  <c r="AJ89" i="2"/>
  <c r="AJ88" i="2"/>
  <c r="AJ87" i="2"/>
  <c r="AJ86" i="2"/>
  <c r="AJ85" i="2"/>
  <c r="AJ84" i="2"/>
  <c r="AJ83" i="2"/>
  <c r="AJ82" i="2"/>
  <c r="AJ81" i="2"/>
  <c r="AJ80" i="2"/>
  <c r="AJ79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4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Z23" i="2"/>
  <c r="Z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G13" i="3" l="1"/>
  <c r="G14" i="3"/>
  <c r="V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H126" i="7" l="1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GF24" i="2"/>
  <c r="GF25" i="2"/>
  <c r="GF26" i="2"/>
  <c r="GF27" i="2"/>
  <c r="GF28" i="2"/>
  <c r="GF29" i="2"/>
  <c r="GF30" i="2"/>
  <c r="GF31" i="2"/>
  <c r="GF32" i="2"/>
  <c r="GF33" i="2"/>
  <c r="GF34" i="2"/>
  <c r="GF35" i="2"/>
  <c r="GF36" i="2"/>
  <c r="GF37" i="2"/>
  <c r="GF38" i="2"/>
  <c r="GF39" i="2"/>
  <c r="GF40" i="2"/>
  <c r="GF41" i="2"/>
  <c r="GF42" i="2"/>
  <c r="GF43" i="2"/>
  <c r="GF44" i="2"/>
  <c r="GF45" i="2"/>
  <c r="GF46" i="2"/>
  <c r="GF47" i="2"/>
  <c r="GF48" i="2"/>
  <c r="GF49" i="2"/>
  <c r="GF50" i="2"/>
  <c r="GF51" i="2"/>
  <c r="GF52" i="2"/>
  <c r="GF53" i="2"/>
  <c r="GF54" i="2"/>
  <c r="GF55" i="2"/>
  <c r="GF56" i="2"/>
  <c r="GF57" i="2"/>
  <c r="GF58" i="2"/>
  <c r="GF59" i="2"/>
  <c r="GF60" i="2"/>
  <c r="GF61" i="2"/>
  <c r="GF62" i="2"/>
  <c r="GF63" i="2"/>
  <c r="GF64" i="2"/>
  <c r="GF65" i="2"/>
  <c r="GF66" i="2"/>
  <c r="GF67" i="2"/>
  <c r="GF68" i="2"/>
  <c r="GF69" i="2"/>
  <c r="GF70" i="2"/>
  <c r="GF71" i="2"/>
  <c r="GF72" i="2"/>
  <c r="GF73" i="2"/>
  <c r="GF74" i="2"/>
  <c r="GF75" i="2"/>
  <c r="GF76" i="2"/>
  <c r="GF77" i="2"/>
  <c r="GF78" i="2"/>
  <c r="GF79" i="2"/>
  <c r="GF80" i="2"/>
  <c r="GF81" i="2"/>
  <c r="GF82" i="2"/>
  <c r="GF83" i="2"/>
  <c r="GF84" i="2"/>
  <c r="GF85" i="2"/>
  <c r="GF86" i="2"/>
  <c r="GF87" i="2"/>
  <c r="GF88" i="2"/>
  <c r="GF89" i="2"/>
  <c r="GF90" i="2"/>
  <c r="GF91" i="2"/>
  <c r="GF92" i="2"/>
  <c r="GF93" i="2"/>
  <c r="GF94" i="2"/>
  <c r="GF95" i="2"/>
  <c r="GF96" i="2"/>
  <c r="GF97" i="2"/>
  <c r="GF98" i="2"/>
  <c r="GF99" i="2"/>
  <c r="GF100" i="2"/>
  <c r="GF101" i="2"/>
  <c r="GF102" i="2"/>
  <c r="GF103" i="2"/>
  <c r="GF104" i="2"/>
  <c r="GF105" i="2"/>
  <c r="GF106" i="2"/>
  <c r="GF107" i="2"/>
  <c r="GF108" i="2"/>
  <c r="GF109" i="2"/>
  <c r="GF110" i="2"/>
  <c r="GF111" i="2"/>
  <c r="GF112" i="2"/>
  <c r="GF14" i="2"/>
  <c r="GF15" i="2"/>
  <c r="GF16" i="2"/>
  <c r="GF17" i="2"/>
  <c r="GF18" i="2"/>
  <c r="GF19" i="2"/>
  <c r="GF20" i="2"/>
  <c r="GF21" i="2"/>
  <c r="GF22" i="2"/>
  <c r="GF23" i="2"/>
  <c r="GF13" i="2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13" i="6"/>
  <c r="FZ18" i="2"/>
  <c r="FZ19" i="2"/>
  <c r="FZ20" i="2"/>
  <c r="FZ21" i="2"/>
  <c r="FZ22" i="2"/>
  <c r="FZ23" i="2"/>
  <c r="FZ24" i="2"/>
  <c r="FZ25" i="2"/>
  <c r="FZ26" i="2"/>
  <c r="FZ27" i="2"/>
  <c r="FZ28" i="2"/>
  <c r="FZ29" i="2"/>
  <c r="FZ30" i="2"/>
  <c r="FZ31" i="2"/>
  <c r="FZ32" i="2"/>
  <c r="FZ33" i="2"/>
  <c r="FZ34" i="2"/>
  <c r="FZ35" i="2"/>
  <c r="FZ36" i="2"/>
  <c r="FZ37" i="2"/>
  <c r="FZ38" i="2"/>
  <c r="FZ39" i="2"/>
  <c r="FZ40" i="2"/>
  <c r="FZ41" i="2"/>
  <c r="FZ42" i="2"/>
  <c r="FZ43" i="2"/>
  <c r="FZ44" i="2"/>
  <c r="FZ45" i="2"/>
  <c r="FZ46" i="2"/>
  <c r="FZ47" i="2"/>
  <c r="FZ48" i="2"/>
  <c r="FZ49" i="2"/>
  <c r="FZ50" i="2"/>
  <c r="FZ51" i="2"/>
  <c r="FZ52" i="2"/>
  <c r="FZ53" i="2"/>
  <c r="FZ54" i="2"/>
  <c r="FZ55" i="2"/>
  <c r="FZ56" i="2"/>
  <c r="FZ57" i="2"/>
  <c r="FZ58" i="2"/>
  <c r="FZ59" i="2"/>
  <c r="FZ60" i="2"/>
  <c r="FZ61" i="2"/>
  <c r="FZ62" i="2"/>
  <c r="FZ63" i="2"/>
  <c r="FZ64" i="2"/>
  <c r="FZ65" i="2"/>
  <c r="FZ66" i="2"/>
  <c r="FZ67" i="2"/>
  <c r="FZ68" i="2"/>
  <c r="FZ69" i="2"/>
  <c r="FZ70" i="2"/>
  <c r="FZ71" i="2"/>
  <c r="FZ72" i="2"/>
  <c r="FZ73" i="2"/>
  <c r="FZ74" i="2"/>
  <c r="FZ75" i="2"/>
  <c r="FZ76" i="2"/>
  <c r="FZ77" i="2"/>
  <c r="FZ78" i="2"/>
  <c r="FZ79" i="2"/>
  <c r="FZ80" i="2"/>
  <c r="FZ81" i="2"/>
  <c r="FZ82" i="2"/>
  <c r="FZ83" i="2"/>
  <c r="FZ84" i="2"/>
  <c r="FZ85" i="2"/>
  <c r="FZ86" i="2"/>
  <c r="FZ87" i="2"/>
  <c r="FZ88" i="2"/>
  <c r="FZ89" i="2"/>
  <c r="FZ90" i="2"/>
  <c r="FZ91" i="2"/>
  <c r="FZ92" i="2"/>
  <c r="FZ93" i="2"/>
  <c r="FZ94" i="2"/>
  <c r="FZ95" i="2"/>
  <c r="FZ96" i="2"/>
  <c r="FZ97" i="2"/>
  <c r="FZ98" i="2"/>
  <c r="FZ99" i="2"/>
  <c r="FZ100" i="2"/>
  <c r="FZ101" i="2"/>
  <c r="FZ102" i="2"/>
  <c r="FZ103" i="2"/>
  <c r="FZ104" i="2"/>
  <c r="FZ105" i="2"/>
  <c r="FZ106" i="2"/>
  <c r="FZ107" i="2"/>
  <c r="FZ108" i="2"/>
  <c r="FZ109" i="2"/>
  <c r="FZ110" i="2"/>
  <c r="FZ111" i="2"/>
  <c r="FZ112" i="2"/>
  <c r="FZ13" i="2"/>
  <c r="FZ14" i="2"/>
  <c r="FZ15" i="2"/>
  <c r="FZ16" i="2"/>
  <c r="FZ17" i="2"/>
  <c r="E13" i="2" l="1"/>
  <c r="G13" i="2"/>
  <c r="I13" i="2"/>
  <c r="E14" i="2"/>
  <c r="I14" i="2"/>
  <c r="E15" i="2"/>
  <c r="G15" i="2"/>
  <c r="I15" i="2"/>
  <c r="I16" i="2" l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M13" i="2" l="1"/>
  <c r="K13" i="2"/>
  <c r="Z14" i="2" l="1"/>
  <c r="Z92" i="2"/>
  <c r="Z96" i="2"/>
  <c r="Z84" i="2"/>
  <c r="Z27" i="2"/>
  <c r="Z36" i="2"/>
  <c r="Z42" i="2"/>
  <c r="Z75" i="2"/>
  <c r="Z83" i="2"/>
  <c r="Z99" i="2"/>
  <c r="Z107" i="2"/>
  <c r="Z34" i="2"/>
  <c r="Z95" i="2"/>
  <c r="Z79" i="2"/>
  <c r="Z71" i="2"/>
  <c r="Z32" i="2"/>
  <c r="Z112" i="2"/>
  <c r="Z60" i="2"/>
  <c r="Z78" i="2"/>
  <c r="Z44" i="2"/>
  <c r="Z50" i="2"/>
  <c r="Z91" i="2"/>
  <c r="Z86" i="2"/>
  <c r="Z76" i="2"/>
  <c r="Z81" i="2"/>
  <c r="Z57" i="2"/>
  <c r="Z64" i="2"/>
  <c r="Z41" i="2"/>
  <c r="Z93" i="2"/>
  <c r="Z40" i="2"/>
  <c r="Z87" i="2"/>
  <c r="Z100" i="2"/>
  <c r="Z54" i="2"/>
  <c r="Z43" i="2"/>
  <c r="Z20" i="2"/>
  <c r="Z21" i="2"/>
  <c r="Z85" i="2"/>
  <c r="Z61" i="2"/>
  <c r="Z47" i="2"/>
  <c r="Z49" i="2"/>
  <c r="Z88" i="2"/>
  <c r="Z18" i="2"/>
  <c r="Z103" i="2"/>
  <c r="Z28" i="2"/>
  <c r="Z35" i="2"/>
  <c r="Z105" i="2"/>
  <c r="Z22" i="2"/>
  <c r="Z106" i="2"/>
  <c r="Z26" i="2"/>
  <c r="Z97" i="2"/>
  <c r="Z65" i="2"/>
  <c r="Z67" i="2"/>
  <c r="Z55" i="2"/>
  <c r="Z17" i="2"/>
  <c r="Z31" i="2"/>
  <c r="Z109" i="2"/>
  <c r="Z15" i="2"/>
  <c r="Z52" i="2"/>
  <c r="Z94" i="2"/>
  <c r="Z39" i="2"/>
  <c r="Z68" i="2"/>
  <c r="Z101" i="2"/>
  <c r="Z108" i="2"/>
  <c r="Z80" i="2"/>
  <c r="Z98" i="2"/>
  <c r="Z90" i="2"/>
  <c r="Z59" i="2"/>
  <c r="Z66" i="2"/>
  <c r="Z74" i="2"/>
  <c r="Z19" i="2"/>
  <c r="Z38" i="2"/>
  <c r="Z56" i="2"/>
  <c r="Z29" i="2"/>
  <c r="Z37" i="2"/>
  <c r="Z69" i="2"/>
  <c r="Z16" i="2"/>
  <c r="Z89" i="2"/>
  <c r="Z25" i="2"/>
  <c r="Z45" i="2"/>
  <c r="Z77" i="2"/>
  <c r="Z73" i="2"/>
  <c r="Z33" i="2"/>
  <c r="Z46" i="2"/>
  <c r="Z82" i="2"/>
  <c r="Z62" i="2"/>
  <c r="Z63" i="2"/>
  <c r="Z111" i="2"/>
  <c r="Z48" i="2"/>
  <c r="Z110" i="2"/>
  <c r="Z102" i="2"/>
  <c r="Z24" i="2"/>
  <c r="Z51" i="2"/>
  <c r="Z70" i="2"/>
  <c r="Z53" i="2"/>
  <c r="Z58" i="2"/>
  <c r="Z104" i="2"/>
  <c r="Z30" i="2"/>
  <c r="Z72" i="2"/>
  <c r="BV47" i="3" l="1"/>
  <c r="J186" i="6"/>
  <c r="BV63" i="3"/>
  <c r="BV90" i="2"/>
  <c r="K3" i="9"/>
  <c r="J190" i="7"/>
  <c r="J168" i="7"/>
  <c r="J193" i="6"/>
  <c r="J214" i="6"/>
  <c r="BV91" i="3"/>
  <c r="EQ13" i="2"/>
  <c r="BV42" i="3"/>
  <c r="BV88" i="3"/>
  <c r="H23" i="11"/>
  <c r="J189" i="7"/>
  <c r="BV49" i="3"/>
  <c r="BV26" i="3"/>
  <c r="H83" i="11"/>
  <c r="J148" i="7"/>
  <c r="J157" i="6"/>
  <c r="BV54" i="3"/>
  <c r="L180" i="7"/>
  <c r="J153" i="7"/>
  <c r="L199" i="7"/>
  <c r="BV35" i="3"/>
  <c r="L186" i="7"/>
  <c r="H146" i="11"/>
  <c r="H80" i="11"/>
  <c r="BV55" i="3"/>
  <c r="J196" i="6"/>
  <c r="L156" i="7"/>
  <c r="J176" i="7"/>
  <c r="BV36" i="3"/>
  <c r="J141" i="7"/>
  <c r="L142" i="7"/>
  <c r="J137" i="7"/>
  <c r="BV45" i="3"/>
  <c r="H63" i="11"/>
  <c r="BV98" i="3"/>
  <c r="BV17" i="3"/>
  <c r="H210" i="11"/>
  <c r="H106" i="11"/>
  <c r="J139" i="7"/>
  <c r="J192" i="7"/>
  <c r="L189" i="7"/>
  <c r="BV33" i="2"/>
  <c r="BV89" i="2"/>
  <c r="H144" i="11"/>
  <c r="H120" i="11"/>
  <c r="L150" i="7"/>
  <c r="BV20" i="3"/>
  <c r="J167" i="6"/>
  <c r="BV67" i="3"/>
  <c r="L206" i="7"/>
  <c r="H207" i="11"/>
  <c r="L184" i="7"/>
  <c r="J218" i="7"/>
  <c r="H169" i="11"/>
  <c r="J222" i="6"/>
  <c r="BV112" i="3"/>
  <c r="H44" i="11"/>
  <c r="J220" i="7"/>
  <c r="H223" i="11"/>
  <c r="J155" i="7"/>
  <c r="J200" i="7"/>
  <c r="J185" i="6"/>
  <c r="J150" i="7"/>
  <c r="BV40" i="3"/>
  <c r="BV101" i="3"/>
  <c r="BV25" i="3"/>
  <c r="J136" i="6"/>
  <c r="BV28" i="3"/>
  <c r="BV112" i="2"/>
  <c r="J219" i="6"/>
  <c r="H151" i="11"/>
  <c r="J178" i="7"/>
  <c r="H74" i="11"/>
  <c r="J225" i="7"/>
  <c r="H109" i="11"/>
  <c r="BV22" i="3"/>
  <c r="L145" i="7"/>
  <c r="H185" i="11"/>
  <c r="H155" i="11"/>
  <c r="L137" i="7"/>
  <c r="BV82" i="3"/>
  <c r="BV39" i="2"/>
  <c r="BV91" i="2"/>
  <c r="BV62" i="3"/>
  <c r="H230" i="11"/>
  <c r="L198" i="7"/>
  <c r="L230" i="7"/>
  <c r="L196" i="7"/>
  <c r="H28" i="11"/>
  <c r="N2" i="7"/>
  <c r="H198" i="11"/>
  <c r="L216" i="7"/>
  <c r="L162" i="7"/>
  <c r="BV106" i="2"/>
  <c r="J208" i="7"/>
  <c r="J211" i="7"/>
  <c r="J226" i="7"/>
  <c r="EV13" i="2"/>
  <c r="J225" i="6"/>
  <c r="BV33" i="3"/>
  <c r="H219" i="11"/>
  <c r="J228" i="7"/>
  <c r="H117" i="11"/>
  <c r="K2" i="9"/>
  <c r="H201" i="11"/>
  <c r="H191" i="11"/>
  <c r="H92" i="11"/>
  <c r="BV60" i="3"/>
  <c r="H64" i="11"/>
  <c r="L168" i="7"/>
  <c r="BV107" i="2"/>
  <c r="BV65" i="3"/>
  <c r="H181" i="11"/>
  <c r="BV51" i="3"/>
  <c r="BV78" i="2"/>
  <c r="J143" i="7"/>
  <c r="BV13" i="2"/>
  <c r="L134" i="7"/>
  <c r="L190" i="7"/>
  <c r="H26" i="11"/>
  <c r="H220" i="11"/>
  <c r="J191" i="7"/>
  <c r="H215" i="11"/>
  <c r="H221" i="11"/>
  <c r="BV34" i="3"/>
  <c r="H99" i="11"/>
  <c r="BV62" i="2"/>
  <c r="H186" i="11"/>
  <c r="J179" i="7"/>
  <c r="J227" i="6"/>
  <c r="H51" i="11"/>
  <c r="H31" i="11"/>
  <c r="J154" i="6"/>
  <c r="L132" i="7"/>
  <c r="J200" i="6"/>
  <c r="BV31" i="3"/>
  <c r="H94" i="11"/>
  <c r="J158" i="6"/>
  <c r="L147" i="7"/>
  <c r="H69" i="11"/>
  <c r="BV72" i="3"/>
  <c r="J227" i="7"/>
  <c r="BV56" i="3"/>
  <c r="N4" i="7"/>
  <c r="BV53" i="2"/>
  <c r="BV35" i="2"/>
  <c r="BV103" i="3"/>
  <c r="J180" i="6"/>
  <c r="J126" i="6"/>
  <c r="H229" i="11"/>
  <c r="BV69" i="3"/>
  <c r="H135" i="11"/>
  <c r="L217" i="7"/>
  <c r="H182" i="11"/>
  <c r="H173" i="11"/>
  <c r="H134" i="11"/>
  <c r="L182" i="7"/>
  <c r="H79" i="11"/>
  <c r="J147" i="6"/>
  <c r="BV53" i="3"/>
  <c r="BV111" i="3"/>
  <c r="H162" i="11"/>
  <c r="H203" i="11"/>
  <c r="BV69" i="2"/>
  <c r="H141" i="11"/>
  <c r="J151" i="6"/>
  <c r="J162" i="7"/>
  <c r="H53" i="11"/>
  <c r="BV109" i="2"/>
  <c r="H68" i="11"/>
  <c r="H226" i="11"/>
  <c r="J223" i="7"/>
  <c r="L193" i="7"/>
  <c r="J205" i="7"/>
  <c r="BV30" i="2"/>
  <c r="BV61" i="2"/>
  <c r="BV99" i="3"/>
  <c r="J152" i="7"/>
  <c r="L224" i="7"/>
  <c r="H39" i="11"/>
  <c r="L222" i="7"/>
  <c r="BV24" i="2"/>
  <c r="L228" i="7"/>
  <c r="J182" i="7"/>
  <c r="J164" i="6"/>
  <c r="H76" i="11"/>
  <c r="H98" i="11"/>
  <c r="BV73" i="2"/>
  <c r="H160" i="11"/>
  <c r="H145" i="11"/>
  <c r="BV45" i="2"/>
  <c r="H122" i="11"/>
  <c r="H108" i="11"/>
  <c r="L191" i="7"/>
  <c r="H47" i="11"/>
  <c r="BV37" i="3"/>
  <c r="BV58" i="3"/>
  <c r="J226" i="6"/>
  <c r="BV49" i="2"/>
  <c r="BV103" i="2"/>
  <c r="H154" i="11"/>
  <c r="H84" i="11"/>
  <c r="K4" i="9"/>
  <c r="BV16" i="3"/>
  <c r="J204" i="6"/>
  <c r="H172" i="11"/>
  <c r="L129" i="7"/>
  <c r="H227" i="11"/>
  <c r="BV70" i="3"/>
  <c r="J168" i="6"/>
  <c r="H213" i="11"/>
  <c r="L221" i="7"/>
  <c r="J179" i="6"/>
  <c r="BV110" i="2"/>
  <c r="H192" i="11"/>
  <c r="H196" i="11"/>
  <c r="H40" i="11"/>
  <c r="BV44" i="2"/>
  <c r="J133" i="7"/>
  <c r="J213" i="7"/>
  <c r="H128" i="11"/>
  <c r="H175" i="11"/>
  <c r="H163" i="11"/>
  <c r="J127" i="7"/>
  <c r="J160" i="6"/>
  <c r="BV105" i="2"/>
  <c r="J131" i="7"/>
  <c r="H86" i="11"/>
  <c r="J144" i="7"/>
  <c r="J149" i="6"/>
  <c r="J153" i="6"/>
  <c r="BV97" i="3"/>
  <c r="L219" i="7"/>
  <c r="BV68" i="3"/>
  <c r="J136" i="7"/>
  <c r="J126" i="7"/>
  <c r="H133" i="11"/>
  <c r="J128" i="6"/>
  <c r="BV30" i="3"/>
  <c r="H19" i="11"/>
  <c r="BV59" i="3"/>
  <c r="J173" i="6"/>
  <c r="J133" i="6"/>
  <c r="BV80" i="2"/>
  <c r="J187" i="7"/>
  <c r="J223" i="6"/>
  <c r="H168" i="11"/>
  <c r="J169" i="6"/>
  <c r="J180" i="7"/>
  <c r="J183" i="6"/>
  <c r="H30" i="11"/>
  <c r="J229" i="6"/>
  <c r="BV108" i="2"/>
  <c r="BV38" i="2"/>
  <c r="J159" i="6"/>
  <c r="M4" i="6"/>
  <c r="H166" i="11"/>
  <c r="H41" i="11"/>
  <c r="BV46" i="2"/>
  <c r="L167" i="7"/>
  <c r="H56" i="11"/>
  <c r="L215" i="7"/>
  <c r="J220" i="6"/>
  <c r="BV40" i="2"/>
  <c r="BV54" i="2"/>
  <c r="BV76" i="2"/>
  <c r="H104" i="11"/>
  <c r="BV66" i="3"/>
  <c r="J230" i="7"/>
  <c r="H165" i="11"/>
  <c r="H190" i="11"/>
  <c r="H150" i="11"/>
  <c r="H153" i="11"/>
  <c r="BV66" i="2"/>
  <c r="J175" i="7"/>
  <c r="BV95" i="2"/>
  <c r="BV84" i="2"/>
  <c r="BV96" i="3"/>
  <c r="J184" i="6"/>
  <c r="BV29" i="3"/>
  <c r="BV83" i="2"/>
  <c r="L202" i="7"/>
  <c r="H49" i="11"/>
  <c r="J172" i="7"/>
  <c r="BV101" i="2"/>
  <c r="BV41" i="3"/>
  <c r="BV88" i="2"/>
  <c r="BV18" i="2"/>
  <c r="BV27" i="2"/>
  <c r="H34" i="11"/>
  <c r="M3" i="6"/>
  <c r="H70" i="11"/>
  <c r="J134" i="6"/>
  <c r="H212" i="11"/>
  <c r="BV93" i="3"/>
  <c r="H105" i="11"/>
  <c r="H73" i="11"/>
  <c r="H176" i="11"/>
  <c r="BV32" i="2"/>
  <c r="J173" i="7"/>
  <c r="J215" i="7"/>
  <c r="L146" i="7"/>
  <c r="L138" i="7"/>
  <c r="J228" i="6"/>
  <c r="J142" i="6"/>
  <c r="J199" i="6"/>
  <c r="J195" i="6"/>
  <c r="BV57" i="3"/>
  <c r="J177" i="6"/>
  <c r="J143" i="6"/>
  <c r="K3" i="10"/>
  <c r="H189" i="11"/>
  <c r="BV67" i="2"/>
  <c r="BV85" i="2"/>
  <c r="BV100" i="2"/>
  <c r="BV96" i="2"/>
  <c r="BV52" i="2"/>
  <c r="H24" i="11"/>
  <c r="H205" i="11"/>
  <c r="L211" i="7"/>
  <c r="J145" i="6"/>
  <c r="BV18" i="3"/>
  <c r="J231" i="7"/>
  <c r="H187" i="11"/>
  <c r="BV102" i="2"/>
  <c r="H77" i="11"/>
  <c r="H67" i="11"/>
  <c r="BV57" i="2"/>
  <c r="H139" i="11"/>
  <c r="H13" i="11"/>
  <c r="BV87" i="2"/>
  <c r="BV52" i="3"/>
  <c r="H167" i="11"/>
  <c r="CU13" i="3"/>
  <c r="BV14" i="2"/>
  <c r="L197" i="7"/>
  <c r="J152" i="6"/>
  <c r="L133" i="7"/>
  <c r="BV89" i="3"/>
  <c r="BV74" i="2"/>
  <c r="H202" i="11"/>
  <c r="J132" i="6"/>
  <c r="BV28" i="2"/>
  <c r="H78" i="11"/>
  <c r="J198" i="6"/>
  <c r="L171" i="7"/>
  <c r="H54" i="11"/>
  <c r="J156" i="7"/>
  <c r="L173" i="7"/>
  <c r="H231" i="11"/>
  <c r="BV73" i="3"/>
  <c r="L166" i="7"/>
  <c r="H129" i="11"/>
  <c r="H180" i="11"/>
  <c r="HG13" i="2"/>
  <c r="J167" i="7"/>
  <c r="H222" i="11"/>
  <c r="AR13" i="3"/>
  <c r="L194" i="7"/>
  <c r="J130" i="6"/>
  <c r="H211" i="11"/>
  <c r="K4" i="10"/>
  <c r="J201" i="6"/>
  <c r="J213" i="6"/>
  <c r="BV21" i="2"/>
  <c r="BV110" i="3"/>
  <c r="L187" i="7"/>
  <c r="BV104" i="3"/>
  <c r="L223" i="7"/>
  <c r="J141" i="6"/>
  <c r="J219" i="7"/>
  <c r="L201" i="7"/>
  <c r="BV14" i="3"/>
  <c r="H97" i="11"/>
  <c r="H206" i="11"/>
  <c r="J186" i="7"/>
  <c r="H123" i="11"/>
  <c r="H115" i="11"/>
  <c r="H33" i="11"/>
  <c r="BV56" i="2"/>
  <c r="L188" i="7"/>
  <c r="H217" i="11"/>
  <c r="DC13" i="2"/>
  <c r="L209" i="7"/>
  <c r="K2" i="10"/>
  <c r="H130" i="11"/>
  <c r="BV51" i="2"/>
  <c r="L151" i="7"/>
  <c r="J212" i="7"/>
  <c r="BV23" i="2"/>
  <c r="BV64" i="3"/>
  <c r="L203" i="7"/>
  <c r="HH13" i="2"/>
  <c r="J212" i="6"/>
  <c r="H118" i="11"/>
  <c r="H214" i="11"/>
  <c r="L179" i="7"/>
  <c r="H60" i="11"/>
  <c r="H216" i="11"/>
  <c r="BV25" i="2"/>
  <c r="BV100" i="3"/>
  <c r="H18" i="11"/>
  <c r="BV48" i="2"/>
  <c r="H161" i="11"/>
  <c r="BV50" i="3"/>
  <c r="J189" i="6"/>
  <c r="H35" i="11"/>
  <c r="BV72" i="2"/>
  <c r="H107" i="11"/>
  <c r="J190" i="6"/>
  <c r="BV107" i="3"/>
  <c r="H136" i="11"/>
  <c r="J197" i="6"/>
  <c r="H156" i="11"/>
  <c r="H27" i="11"/>
  <c r="J206" i="6"/>
  <c r="H37" i="11"/>
  <c r="H140" i="11"/>
  <c r="L227" i="7"/>
  <c r="J208" i="6"/>
  <c r="J202" i="6"/>
  <c r="L163" i="7"/>
  <c r="J130" i="7"/>
  <c r="L152" i="7"/>
  <c r="BV55" i="2"/>
  <c r="J184" i="7"/>
  <c r="H178" i="11"/>
  <c r="L204" i="7"/>
  <c r="J159" i="7"/>
  <c r="H132" i="11"/>
  <c r="J198" i="7"/>
  <c r="BV60" i="2"/>
  <c r="L174" i="7"/>
  <c r="L170" i="7"/>
  <c r="H57" i="11"/>
  <c r="J171" i="7"/>
  <c r="H194" i="11"/>
  <c r="H48" i="11"/>
  <c r="BV29" i="2"/>
  <c r="L148" i="7"/>
  <c r="J144" i="6"/>
  <c r="H15" i="11"/>
  <c r="J175" i="6"/>
  <c r="BV48" i="3"/>
  <c r="H158" i="11"/>
  <c r="J149" i="7"/>
  <c r="H138" i="11"/>
  <c r="J216" i="7"/>
  <c r="J169" i="7"/>
  <c r="J155" i="6"/>
  <c r="J171" i="6"/>
  <c r="H184" i="11"/>
  <c r="L200" i="7"/>
  <c r="J199" i="7"/>
  <c r="BV17" i="2"/>
  <c r="J194" i="6"/>
  <c r="L210" i="7"/>
  <c r="L195" i="7"/>
  <c r="BV22" i="2"/>
  <c r="BV78" i="3"/>
  <c r="J129" i="7"/>
  <c r="J140" i="7"/>
  <c r="BV108" i="3"/>
  <c r="J230" i="6"/>
  <c r="BV38" i="3"/>
  <c r="J221" i="7"/>
  <c r="L164" i="7"/>
  <c r="H209" i="11"/>
  <c r="L127" i="7"/>
  <c r="H225" i="11"/>
  <c r="BV75" i="2"/>
  <c r="H131" i="11"/>
  <c r="J193" i="7"/>
  <c r="H36" i="11"/>
  <c r="BV65" i="2"/>
  <c r="BV19" i="3"/>
  <c r="J166" i="6"/>
  <c r="BV74" i="3"/>
  <c r="BV16" i="2"/>
  <c r="L177" i="7"/>
  <c r="BV43" i="3"/>
  <c r="L225" i="7"/>
  <c r="GH13" i="2"/>
  <c r="H152" i="11"/>
  <c r="L140" i="7"/>
  <c r="L229" i="7"/>
  <c r="BV27" i="3"/>
  <c r="H116" i="11"/>
  <c r="BV77" i="3"/>
  <c r="H193" i="11"/>
  <c r="H43" i="11"/>
  <c r="J218" i="6"/>
  <c r="J139" i="6"/>
  <c r="J214" i="7"/>
  <c r="J176" i="6"/>
  <c r="L141" i="7"/>
  <c r="H121" i="11"/>
  <c r="BV104" i="2"/>
  <c r="H75" i="11"/>
  <c r="H58" i="11"/>
  <c r="M4" i="8"/>
  <c r="H177" i="11"/>
  <c r="BV63" i="2"/>
  <c r="L143" i="7"/>
  <c r="BV59" i="2"/>
  <c r="H183" i="11"/>
  <c r="J138" i="7"/>
  <c r="J131" i="6"/>
  <c r="J174" i="6"/>
  <c r="H65" i="11"/>
  <c r="J170" i="6"/>
  <c r="H52" i="11"/>
  <c r="L212" i="7"/>
  <c r="H170" i="11"/>
  <c r="H17" i="11"/>
  <c r="BV81" i="3"/>
  <c r="H87" i="11"/>
  <c r="J221" i="6"/>
  <c r="L154" i="7"/>
  <c r="J209" i="7"/>
  <c r="J170" i="7"/>
  <c r="L172" i="7"/>
  <c r="BV15" i="2"/>
  <c r="BV79" i="3"/>
  <c r="H61" i="11"/>
  <c r="J217" i="6"/>
  <c r="H174" i="11"/>
  <c r="J207" i="7"/>
  <c r="L165" i="7"/>
  <c r="H59" i="11"/>
  <c r="L159" i="7"/>
  <c r="J206" i="7"/>
  <c r="L207" i="7"/>
  <c r="J194" i="7"/>
  <c r="AR13" i="2"/>
  <c r="BV37" i="2"/>
  <c r="J217" i="7"/>
  <c r="H137" i="11"/>
  <c r="J142" i="7"/>
  <c r="H90" i="11"/>
  <c r="H195" i="11"/>
  <c r="H124" i="11"/>
  <c r="J158" i="7"/>
  <c r="BV86" i="2"/>
  <c r="H200" i="11"/>
  <c r="BV79" i="2"/>
  <c r="J211" i="6"/>
  <c r="H96" i="11"/>
  <c r="J224" i="7"/>
  <c r="J172" i="6"/>
  <c r="BV84" i="3"/>
  <c r="H62" i="11"/>
  <c r="L175" i="7"/>
  <c r="H29" i="11"/>
  <c r="H143" i="11"/>
  <c r="J187" i="6"/>
  <c r="BV26" i="2"/>
  <c r="J185" i="7"/>
  <c r="BV70" i="2"/>
  <c r="BV71" i="3"/>
  <c r="L4" i="11"/>
  <c r="BV94" i="3"/>
  <c r="BV86" i="3"/>
  <c r="H164" i="11"/>
  <c r="H148" i="11"/>
  <c r="BV15" i="3"/>
  <c r="J164" i="7"/>
  <c r="J203" i="6"/>
  <c r="J207" i="6"/>
  <c r="BV85" i="3"/>
  <c r="J140" i="6"/>
  <c r="BV41" i="2"/>
  <c r="H125" i="11"/>
  <c r="J137" i="6"/>
  <c r="H114" i="11"/>
  <c r="J188" i="6"/>
  <c r="H101" i="11"/>
  <c r="H38" i="11"/>
  <c r="J129" i="6"/>
  <c r="BV71" i="2"/>
  <c r="BV111" i="2"/>
  <c r="BV92" i="2"/>
  <c r="J156" i="6"/>
  <c r="J192" i="6"/>
  <c r="BV81" i="2"/>
  <c r="BV61" i="3"/>
  <c r="H16" i="11"/>
  <c r="H82" i="11"/>
  <c r="BV98" i="2"/>
  <c r="J151" i="7"/>
  <c r="J148" i="6"/>
  <c r="BV76" i="3"/>
  <c r="H91" i="11"/>
  <c r="BV105" i="3"/>
  <c r="J127" i="6"/>
  <c r="H126" i="11"/>
  <c r="L131" i="7"/>
  <c r="L213" i="7"/>
  <c r="L144" i="7"/>
  <c r="L214" i="7"/>
  <c r="GJ13" i="2"/>
  <c r="BV106" i="3"/>
  <c r="BV58" i="2"/>
  <c r="BV36" i="2"/>
  <c r="H218" i="11"/>
  <c r="L208" i="7"/>
  <c r="J163" i="6"/>
  <c r="BV47" i="2"/>
  <c r="J215" i="6"/>
  <c r="H81" i="11"/>
  <c r="J138" i="6"/>
  <c r="BV97" i="2"/>
  <c r="J128" i="7"/>
  <c r="J201" i="7"/>
  <c r="J205" i="6"/>
  <c r="BV75" i="3"/>
  <c r="BV32" i="3"/>
  <c r="J146" i="7"/>
  <c r="H50" i="11"/>
  <c r="BV19" i="2"/>
  <c r="J161" i="7"/>
  <c r="H20" i="11"/>
  <c r="BV99" i="2"/>
  <c r="J209" i="6"/>
  <c r="BV23" i="3"/>
  <c r="H25" i="11"/>
  <c r="H89" i="11"/>
  <c r="J145" i="7"/>
  <c r="J165" i="7"/>
  <c r="H103" i="11"/>
  <c r="BV46" i="3"/>
  <c r="J210" i="6"/>
  <c r="L157" i="7"/>
  <c r="H228" i="11"/>
  <c r="J160" i="7"/>
  <c r="J150" i="6"/>
  <c r="J147" i="7"/>
  <c r="BV90" i="3"/>
  <c r="H100" i="11"/>
  <c r="L160" i="7"/>
  <c r="L136" i="7"/>
  <c r="J157" i="7"/>
  <c r="BV21" i="3"/>
  <c r="BV94" i="2"/>
  <c r="BV83" i="3"/>
  <c r="L128" i="7"/>
  <c r="L226" i="7"/>
  <c r="H55" i="11"/>
  <c r="L205" i="7"/>
  <c r="H93" i="11"/>
  <c r="BV109" i="3"/>
  <c r="BV43" i="2"/>
  <c r="J182" i="6"/>
  <c r="H111" i="11"/>
  <c r="J165" i="6"/>
  <c r="BV20" i="2"/>
  <c r="H208" i="11"/>
  <c r="J146" i="6"/>
  <c r="H204" i="11"/>
  <c r="J161" i="6"/>
  <c r="J183" i="7"/>
  <c r="J197" i="7"/>
  <c r="J196" i="7"/>
  <c r="H179" i="11"/>
  <c r="BV77" i="2"/>
  <c r="L169" i="7"/>
  <c r="H72" i="11"/>
  <c r="H45" i="11"/>
  <c r="BV95" i="3"/>
  <c r="H22" i="11"/>
  <c r="H32" i="11"/>
  <c r="J191" i="6"/>
  <c r="L181" i="7"/>
  <c r="L153" i="7"/>
  <c r="J188" i="7"/>
  <c r="H199" i="11"/>
  <c r="L2" i="11"/>
  <c r="BV93" i="2"/>
  <c r="L183" i="7"/>
  <c r="J181" i="6"/>
  <c r="H159" i="11"/>
  <c r="J222" i="7"/>
  <c r="BV13" i="3"/>
  <c r="H188" i="11"/>
  <c r="L231" i="7"/>
  <c r="H42" i="11"/>
  <c r="H14" i="11"/>
  <c r="L135" i="7"/>
  <c r="J163" i="7"/>
  <c r="J162" i="6"/>
  <c r="BV31" i="2"/>
  <c r="J154" i="7"/>
  <c r="H149" i="11"/>
  <c r="BV82" i="2"/>
  <c r="H71" i="11"/>
  <c r="L126" i="7"/>
  <c r="L158" i="7"/>
  <c r="J181" i="7"/>
  <c r="H142" i="11"/>
  <c r="BV87" i="3"/>
  <c r="J166" i="7"/>
  <c r="J202" i="7"/>
  <c r="BV68" i="2"/>
  <c r="BV24" i="3"/>
  <c r="H171" i="11"/>
  <c r="L155" i="7"/>
  <c r="J178" i="6"/>
  <c r="J231" i="6"/>
  <c r="J195" i="7"/>
  <c r="H147" i="11"/>
  <c r="H110" i="11"/>
  <c r="L218" i="7"/>
  <c r="M2" i="6"/>
  <c r="L185" i="7"/>
  <c r="J224" i="6"/>
  <c r="BV80" i="3"/>
  <c r="BV42" i="2"/>
  <c r="J229" i="7"/>
  <c r="J210" i="7"/>
  <c r="H85" i="11"/>
  <c r="J204" i="7"/>
  <c r="J135" i="6"/>
  <c r="H127" i="11"/>
  <c r="H88" i="11"/>
  <c r="L178" i="7"/>
  <c r="H112" i="11"/>
  <c r="H46" i="11"/>
  <c r="H157" i="11"/>
  <c r="BV50" i="2"/>
  <c r="H95" i="11"/>
  <c r="BV92" i="3"/>
  <c r="L192" i="7"/>
  <c r="M3" i="8"/>
  <c r="BV44" i="3"/>
  <c r="H119" i="11"/>
  <c r="L3" i="11"/>
  <c r="J134" i="7"/>
  <c r="L176" i="7"/>
  <c r="J177" i="7"/>
  <c r="M2" i="8"/>
  <c r="L161" i="7"/>
  <c r="H14" i="2"/>
  <c r="H102" i="11"/>
  <c r="L220" i="7"/>
  <c r="EW13" i="2"/>
  <c r="H224" i="11"/>
  <c r="BV34" i="2"/>
  <c r="J135" i="7"/>
  <c r="J132" i="7"/>
  <c r="N3" i="7"/>
  <c r="H66" i="11"/>
  <c r="BV64" i="2"/>
  <c r="L130" i="7"/>
  <c r="H197" i="11"/>
  <c r="H113" i="11"/>
  <c r="BV39" i="3"/>
  <c r="L149" i="7"/>
  <c r="L139" i="7"/>
  <c r="J203" i="7"/>
  <c r="BV102" i="3"/>
  <c r="J174" i="7"/>
  <c r="H21" i="11"/>
  <c r="J216" i="6"/>
  <c r="G1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1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1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1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1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1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1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1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1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1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1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1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1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1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1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1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1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W12" authorId="0" shapeId="0" xr:uid="{00000000-0006-0000-0100-00001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100-000012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100-00001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100-000014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B12" authorId="0" shapeId="0" xr:uid="{00000000-0006-0000-0100-000015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100-000016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100-000017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100-00001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1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1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1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1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1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100-00001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100-00001F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1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1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1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1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1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1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100-000026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100-000027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100-000028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1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100-00002A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100-00002B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  <comment ref="GK12" authorId="0" shapeId="0" xr:uid="{00000000-0006-0000-0100-00002C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GN12" authorId="0" shapeId="0" xr:uid="{00000000-0006-0000-0100-00002D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GO12" authorId="0" shapeId="0" xr:uid="{00000000-0006-0000-0100-00002E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GP12" authorId="0" shapeId="0" xr:uid="{00000000-0006-0000-0100-00002F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初回登録：1、追加：2</t>
        </r>
      </text>
    </comment>
    <comment ref="HE12" authorId="0" shapeId="0" xr:uid="{00000000-0006-0000-0100-000030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  <comment ref="HJ12" authorId="0" shapeId="0" xr:uid="{00000000-0006-0000-0100-00003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  <comment ref="JC12" authorId="0" shapeId="0" xr:uid="{00000000-0006-0000-0100-000032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D12" authorId="0" shapeId="0" xr:uid="{00000000-0006-0000-0100-000033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E12" authorId="0" shapeId="0" xr:uid="{00000000-0006-0000-0100-000034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F12" authorId="0" shapeId="0" xr:uid="{00000000-0006-0000-0100-000035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G12" authorId="0" shapeId="0" xr:uid="{00000000-0006-0000-0100-000036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H12" authorId="0" shapeId="0" xr:uid="{00000000-0006-0000-0100-000037000000}">
      <text>
        <r>
          <rPr>
            <b/>
            <sz val="16"/>
            <color indexed="81"/>
            <rFont val="MS P ゴシック"/>
            <family val="3"/>
            <charset val="128"/>
          </rPr>
          <t xml:space="preserve">0：無
1：有
</t>
        </r>
      </text>
    </comment>
    <comment ref="JK12" authorId="0" shapeId="0" xr:uid="{00000000-0006-0000-0100-000038000000}">
      <text>
        <r>
          <rPr>
            <b/>
            <sz val="12"/>
            <color indexed="81"/>
            <rFont val="MS P ゴシック"/>
            <family val="3"/>
            <charset val="128"/>
          </rPr>
          <t>0：出力しない、1：出力する
2：出力する＆ブザー付</t>
        </r>
      </text>
    </comment>
    <comment ref="JL12" authorId="0" shapeId="0" xr:uid="{00000000-0006-0000-0100-000039000000}">
      <text>
        <r>
          <rPr>
            <b/>
            <sz val="12"/>
            <color indexed="81"/>
            <rFont val="MS P ゴシック"/>
            <family val="3"/>
            <charset val="128"/>
          </rPr>
          <t>0：警告しない
1：警告する</t>
        </r>
      </text>
    </comment>
    <comment ref="JM12" authorId="0" shapeId="0" xr:uid="{00000000-0006-0000-0100-00003A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  <comment ref="JN12" authorId="0" shapeId="0" xr:uid="{00000000-0006-0000-0100-00003B000000}">
      <text>
        <r>
          <rPr>
            <b/>
            <sz val="12"/>
            <color indexed="81"/>
            <rFont val="MS P ゴシック"/>
            <family val="3"/>
            <charset val="128"/>
          </rPr>
          <t>0：共通
1：ナイト非表示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2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2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2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2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2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2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2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2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2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2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2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2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2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2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2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2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2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2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2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2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2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2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2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2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2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2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2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2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2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2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2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2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2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2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2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2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2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2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2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2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2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2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2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2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3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3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3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3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3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3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3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3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3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</t>
        </r>
      </text>
    </comment>
    <comment ref="AH12" authorId="0" shapeId="0" xr:uid="{00000000-0006-0000-03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3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3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3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3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3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3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3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3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3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3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3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3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3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3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3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3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K12" authorId="0" shapeId="0" xr:uid="{00000000-0006-0000-03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3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Q12" authorId="0" shapeId="0" xr:uid="{00000000-0006-0000-0300-00001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R12" authorId="0" shapeId="0" xr:uid="{00000000-0006-0000-0300-00001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T12" authorId="0" shapeId="0" xr:uid="{00000000-0006-0000-03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U12" authorId="0" shapeId="0" xr:uid="{00000000-0006-0000-0300-000020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X12" authorId="0" shapeId="0" xr:uid="{00000000-0006-0000-0300-00002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Z12" authorId="0" shapeId="0" xr:uid="{00000000-0006-0000-0300-00002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A12" authorId="0" shapeId="0" xr:uid="{00000000-0006-0000-0300-000023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B12" authorId="0" shapeId="0" xr:uid="{00000000-0006-0000-0300-000024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CH12" authorId="0" shapeId="0" xr:uid="{00000000-0006-0000-0300-000025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J12" authorId="0" shapeId="0" xr:uid="{00000000-0006-0000-0300-00002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K12" authorId="0" shapeId="0" xr:uid="{00000000-0006-0000-0300-000027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M12" authorId="0" shapeId="0" xr:uid="{00000000-0006-0000-0300-000028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N12" authorId="0" shapeId="0" xr:uid="{00000000-0006-0000-0300-000029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なし：空欄、1：50％以上、2：25～50％、3：25％未満</t>
        </r>
      </text>
    </comment>
    <comment ref="CO12" authorId="0" shapeId="0" xr:uid="{00000000-0006-0000-0300-00002A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P12" authorId="0" shapeId="0" xr:uid="{00000000-0006-0000-0300-00002B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  <comment ref="CS12" authorId="0" shapeId="0" xr:uid="{00000000-0006-0000-0300-00002C000000}">
      <text>
        <r>
          <rPr>
            <b/>
            <sz val="14"/>
            <color indexed="81"/>
            <rFont val="MS P ゴシック"/>
            <family val="3"/>
            <charset val="128"/>
          </rPr>
          <t>純アルコール量（ｇ）＝容量（ｍｌ）×度数（度/100）×比重（0.8）で算出。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12" authorId="0" shapeId="0" xr:uid="{00000000-0006-0000-0400-000001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O12" authorId="0" shapeId="0" xr:uid="{00000000-0006-0000-0400-000002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P12" authorId="0" shapeId="0" xr:uid="{00000000-0006-0000-0400-000003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S12" authorId="0" shapeId="0" xr:uid="{00000000-0006-0000-0400-000004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U12" authorId="0" shapeId="0" xr:uid="{00000000-0006-0000-0400-000005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W12" authorId="0" shapeId="0" xr:uid="{00000000-0006-0000-0400-000006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Y12" authorId="0" shapeId="0" xr:uid="{00000000-0006-0000-0400-000007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A12" authorId="0" shapeId="0" xr:uid="{00000000-0006-0000-0400-000008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F12" authorId="0" shapeId="0" xr:uid="{00000000-0006-0000-0400-000009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
※ダンガミコードは「1終」</t>
        </r>
      </text>
    </comment>
    <comment ref="AH12" authorId="0" shapeId="0" xr:uid="{00000000-0006-0000-0400-00000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I12" authorId="0" shapeId="0" xr:uid="{00000000-0006-0000-0400-00000B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AK12" authorId="0" shapeId="0" xr:uid="{00000000-0006-0000-0400-00000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M12" authorId="0" shapeId="0" xr:uid="{00000000-0006-0000-0400-00000D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O12" authorId="0" shapeId="0" xr:uid="{00000000-0006-0000-0400-00000E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Q12" authorId="0" shapeId="0" xr:uid="{00000000-0006-0000-0400-00000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R12" authorId="0" shapeId="0" xr:uid="{00000000-0006-0000-0400-000010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S12" authorId="0" shapeId="0" xr:uid="{00000000-0006-0000-0400-000011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W12" authorId="0" shapeId="0" xr:uid="{00000000-0006-0000-0400-000012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AX12" authorId="0" shapeId="0" xr:uid="{00000000-0006-0000-0400-000013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Z12" authorId="0" shapeId="0" xr:uid="{00000000-0006-0000-0400-00001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A12" authorId="0" shapeId="0" xr:uid="{00000000-0006-0000-0400-000015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B12" authorId="0" shapeId="0" xr:uid="{00000000-0006-0000-0400-000016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C12" authorId="0" shapeId="0" xr:uid="{00000000-0006-0000-0400-000017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BD12" authorId="0" shapeId="0" xr:uid="{00000000-0006-0000-0400-000018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BG12" authorId="0" shapeId="0" xr:uid="{00000000-0006-0000-0400-000019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I12" authorId="0" shapeId="0" xr:uid="{00000000-0006-0000-0400-00001A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M12" authorId="0" shapeId="0" xr:uid="{00000000-0006-0000-0400-00001B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O12" authorId="0" shapeId="0" xr:uid="{00000000-0006-0000-0400-00001C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P12" authorId="0" shapeId="0" xr:uid="{00000000-0006-0000-0400-00001D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BQ12" authorId="0" shapeId="0" xr:uid="{00000000-0006-0000-0400-00001E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BT12" authorId="0" shapeId="0" xr:uid="{00000000-0006-0000-0400-00001F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V12" authorId="0" shapeId="0" xr:uid="{00000000-0006-0000-0400-000020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BW12" authorId="0" shapeId="0" xr:uid="{00000000-0006-0000-0400-000021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X12" authorId="0" shapeId="0" xr:uid="{00000000-0006-0000-0400-000022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BZ12" authorId="0" shapeId="0" xr:uid="{00000000-0006-0000-0400-000023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B12" authorId="0" shapeId="0" xr:uid="{00000000-0006-0000-0400-000024000000}">
      <text>
        <r>
          <rPr>
            <b/>
            <sz val="14"/>
            <color indexed="81"/>
            <rFont val="MS P ゴシック"/>
            <family val="3"/>
            <charset val="128"/>
          </rPr>
          <t>こちらから選択。</t>
        </r>
      </text>
    </comment>
    <comment ref="CD12" authorId="0" shapeId="0" xr:uid="{00000000-0006-0000-0400-000025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CG12" authorId="0" shapeId="0" xr:uid="{00000000-0006-0000-0400-000026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CH12" authorId="0" shapeId="0" xr:uid="{00000000-0006-0000-0400-000027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CJ12" authorId="0" shapeId="0" xr:uid="{00000000-0006-0000-0400-000028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G1" authorId="0" shapeId="0" xr:uid="{00000000-0006-0000-0500-000001000000}">
      <text>
        <r>
          <rPr>
            <b/>
            <sz val="14"/>
            <color indexed="81"/>
            <rFont val="MS P ゴシック"/>
            <family val="3"/>
            <charset val="128"/>
          </rPr>
          <t>数字のみ</t>
        </r>
      </text>
    </comment>
    <comment ref="H1" authorId="0" shapeId="0" xr:uid="{00000000-0006-0000-0500-000002000000}">
      <text>
        <r>
          <rPr>
            <b/>
            <sz val="14"/>
            <color indexed="81"/>
            <rFont val="MS P ゴシック"/>
            <family val="3"/>
            <charset val="128"/>
          </rPr>
          <t>単位は半角大
例：1.8L、750ML等々</t>
        </r>
      </text>
    </comment>
    <comment ref="J1" authorId="0" shapeId="0" xr:uid="{00000000-0006-0000-0500-000003000000}">
      <text>
        <r>
          <rPr>
            <b/>
            <sz val="14"/>
            <color indexed="81"/>
            <rFont val="MS P ゴシック"/>
            <family val="3"/>
            <charset val="128"/>
          </rPr>
          <t>ｋｇ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K1" authorId="0" shapeId="0" xr:uid="{00000000-0006-0000-0500-000004000000}">
      <text>
        <r>
          <rPr>
            <b/>
            <sz val="14"/>
            <color indexed="81"/>
            <rFont val="MS P ゴシック"/>
            <family val="3"/>
            <charset val="128"/>
          </rPr>
          <t>ｇ</t>
        </r>
      </text>
    </comment>
    <comment ref="S1" authorId="0" shapeId="0" xr:uid="{00000000-0006-0000-0500-000005000000}">
      <text>
        <r>
          <rPr>
            <b/>
            <sz val="14"/>
            <color indexed="81"/>
            <rFont val="MS P ゴシック"/>
            <family val="3"/>
            <charset val="128"/>
          </rPr>
          <t>0通常、1メーカー終売
※ダンガミコードは「1終」</t>
        </r>
      </text>
    </comment>
    <comment ref="U1" authorId="0" shapeId="0" xr:uid="{00000000-0006-0000-0500-000006000000}">
      <text>
        <r>
          <rPr>
            <b/>
            <sz val="14"/>
            <color indexed="81"/>
            <rFont val="MS P ゴシック"/>
            <family val="3"/>
            <charset val="128"/>
          </rPr>
          <t>8or10</t>
        </r>
      </text>
    </comment>
    <comment ref="Z1" authorId="0" shapeId="0" xr:uid="{00000000-0006-0000-0500-000007000000}">
      <text>
        <r>
          <rPr>
            <b/>
            <sz val="12"/>
            <color indexed="81"/>
            <rFont val="MS P ゴシック"/>
            <family val="3"/>
            <charset val="128"/>
          </rPr>
          <t>通常は「空欄」、物流区分「2直送品」の場合は入力</t>
        </r>
      </text>
    </comment>
    <comment ref="AA1" authorId="0" shapeId="0" xr:uid="{00000000-0006-0000-0500-000008000000}">
      <text>
        <r>
          <rPr>
            <b/>
            <sz val="12"/>
            <color indexed="81"/>
            <rFont val="MS P ゴシック"/>
            <family val="3"/>
            <charset val="128"/>
          </rPr>
          <t>ギフト直送品は「00001」を選択。</t>
        </r>
      </text>
    </comment>
    <comment ref="AC1" authorId="0" shapeId="0" xr:uid="{00000000-0006-0000-0500-000009000000}">
      <text>
        <r>
          <rPr>
            <b/>
            <sz val="14"/>
            <color indexed="81"/>
            <rFont val="MS P ゴシック"/>
            <family val="3"/>
            <charset val="128"/>
          </rPr>
          <t>0しない、1する
※ダンガミコードは「0しない」</t>
        </r>
      </text>
    </comment>
    <comment ref="AE1" authorId="0" shapeId="0" xr:uid="{00000000-0006-0000-0500-00000A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F1" authorId="0" shapeId="0" xr:uid="{00000000-0006-0000-0500-00000B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AG1" authorId="0" shapeId="0" xr:uid="{00000000-0006-0000-0500-00000C000000}">
      <text>
        <r>
          <rPr>
            <b/>
            <sz val="14"/>
            <color indexed="81"/>
            <rFont val="MS P ゴシック"/>
            <family val="3"/>
            <charset val="128"/>
          </rPr>
          <t>「0」で入力不要</t>
        </r>
      </text>
    </comment>
    <comment ref="AH1" authorId="0" shapeId="0" xr:uid="{00000000-0006-0000-0500-00000D000000}">
      <text>
        <r>
          <rPr>
            <b/>
            <sz val="14"/>
            <color indexed="81"/>
            <rFont val="MS P ゴシック"/>
            <family val="3"/>
            <charset val="128"/>
          </rPr>
          <t>「10」で入力不要</t>
        </r>
      </text>
    </comment>
    <comment ref="AP1" authorId="0" shapeId="0" xr:uid="{00000000-0006-0000-0500-00000E000000}">
      <text>
        <r>
          <rPr>
            <b/>
            <sz val="14"/>
            <color indexed="81"/>
            <rFont val="MS P ゴシック"/>
            <family val="3"/>
            <charset val="128"/>
          </rPr>
          <t>0正規、1並行</t>
        </r>
      </text>
    </comment>
    <comment ref="AQ1" authorId="0" shapeId="0" xr:uid="{00000000-0006-0000-0500-00000F000000}">
      <text>
        <r>
          <rPr>
            <b/>
            <sz val="14"/>
            <color indexed="81"/>
            <rFont val="MS P ゴシック"/>
            <family val="3"/>
            <charset val="128"/>
          </rPr>
          <t>メーカー名マクロにて表示</t>
        </r>
      </text>
    </comment>
    <comment ref="AT1" authorId="0" shapeId="0" xr:uid="{00000000-0006-0000-0500-000010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AU1" authorId="0" shapeId="0" xr:uid="{00000000-0006-0000-0500-000011000000}">
      <text>
        <r>
          <rPr>
            <b/>
            <sz val="14"/>
            <color indexed="81"/>
            <rFont val="MS P ゴシック"/>
            <family val="3"/>
            <charset val="128"/>
          </rPr>
          <t>あるなら必ず記入。
※間違え厳禁</t>
        </r>
      </text>
    </comment>
    <comment ref="AX1" authorId="0" shapeId="0" xr:uid="{00000000-0006-0000-0500-000012000000}">
      <text>
        <r>
          <rPr>
            <b/>
            <sz val="12"/>
            <color indexed="81"/>
            <rFont val="MS P ゴシック"/>
            <family val="3"/>
            <charset val="128"/>
          </rPr>
          <t>スクリューキャップは「1」、ラベルレスは「2」
それ以外は「空欄」</t>
        </r>
      </text>
    </comment>
    <comment ref="AZ1" authorId="0" shapeId="0" xr:uid="{00000000-0006-0000-0500-000013000000}">
      <text>
        <r>
          <rPr>
            <b/>
            <sz val="12"/>
            <color indexed="81"/>
            <rFont val="MS P ゴシック"/>
            <family val="3"/>
            <charset val="128"/>
          </rPr>
          <t>セット商品の場合は「1」を入力。</t>
        </r>
      </text>
    </comment>
    <comment ref="BA1" authorId="0" shapeId="0" xr:uid="{00000000-0006-0000-0500-000014000000}">
      <text>
        <r>
          <rPr>
            <b/>
            <sz val="14"/>
            <color indexed="81"/>
            <rFont val="MS P ゴシック"/>
            <family val="3"/>
            <charset val="128"/>
          </rPr>
          <t>なし：空欄、0：出力しない、1：1枚、2：入力した入荷数の総バラ分</t>
        </r>
      </text>
    </comment>
    <comment ref="BB1" authorId="0" shapeId="0" xr:uid="{00000000-0006-0000-0500-000015000000}">
      <text>
        <r>
          <rPr>
            <b/>
            <sz val="14"/>
            <color indexed="81"/>
            <rFont val="MS P ゴシック"/>
            <family val="3"/>
            <charset val="128"/>
          </rPr>
          <t>【直送】専用コードを作成する場合、通常商品コードの登録がある場合はここに入力。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M12" authorId="0" shapeId="0" xr:uid="{00000000-0006-0000-0800-000001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P12" authorId="0" shapeId="0" xr:uid="{00000000-0006-0000-0800-000002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Q12" authorId="0" shapeId="0" xr:uid="{00000000-0006-0000-0800-000003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R12" authorId="0" shapeId="0" xr:uid="{00000000-0006-0000-0800-000004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1" authorId="0" shapeId="0" xr:uid="{00000000-0006-0000-0900-000001000000}">
      <text>
        <r>
          <rPr>
            <b/>
            <sz val="14"/>
            <color indexed="81"/>
            <rFont val="MS P ゴシック"/>
            <family val="3"/>
            <charset val="128"/>
          </rPr>
          <t>1～9</t>
        </r>
      </text>
    </comment>
    <comment ref="H1" authorId="0" shapeId="0" xr:uid="{00000000-0006-0000-0900-000002000000}">
      <text>
        <r>
          <rPr>
            <b/>
            <sz val="14"/>
            <color indexed="81"/>
            <rFont val="MS P ゴシック"/>
            <family val="3"/>
            <charset val="128"/>
          </rPr>
          <t>0ケース、1バラ</t>
        </r>
      </text>
    </comment>
    <comment ref="I1" authorId="0" shapeId="0" xr:uid="{00000000-0006-0000-0900-000003000000}">
      <text>
        <r>
          <rPr>
            <b/>
            <sz val="14"/>
            <color indexed="81"/>
            <rFont val="MS P ゴシック"/>
            <family val="3"/>
            <charset val="128"/>
          </rPr>
          <t>0可能、1停止</t>
        </r>
      </text>
    </comment>
    <comment ref="J1" authorId="0" shapeId="0" xr:uid="{00000000-0006-0000-0900-000004000000}">
      <text>
        <r>
          <rPr>
            <b/>
            <sz val="14"/>
            <color indexed="81"/>
            <rFont val="MS P ゴシック"/>
            <family val="3"/>
            <charset val="128"/>
          </rPr>
          <t>初回登録：1、追加：0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C00-000001000000}">
      <text>
        <r>
          <rPr>
            <b/>
            <sz val="12"/>
            <color indexed="81"/>
            <rFont val="MS P ゴシック"/>
            <family val="3"/>
            <charset val="128"/>
          </rPr>
          <t>0全社、1東京、2大阪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00000000-0006-0000-0E00-000001000000}">
      <text>
        <r>
          <rPr>
            <b/>
            <sz val="12"/>
            <color indexed="81"/>
            <rFont val="MS P ゴシック"/>
            <family val="3"/>
            <charset val="128"/>
          </rPr>
          <t>KYリカーPOS：5202000、MMFC：5101510</t>
        </r>
      </text>
    </comment>
  </commentList>
</comments>
</file>

<file path=xl/sharedStrings.xml><?xml version="1.0" encoding="utf-8"?>
<sst xmlns="http://schemas.openxmlformats.org/spreadsheetml/2006/main" count="16496" uniqueCount="4054">
  <si>
    <t>小分類</t>
    <rPh sb="0" eb="3">
      <t>ショウブンルイ</t>
    </rPh>
    <phoneticPr fontId="5"/>
  </si>
  <si>
    <t>カクヤス
商品コード</t>
    <rPh sb="5" eb="7">
      <t>ショウヒン</t>
    </rPh>
    <phoneticPr fontId="6"/>
  </si>
  <si>
    <t>メーカー名</t>
    <rPh sb="3" eb="4">
      <t>メイ</t>
    </rPh>
    <phoneticPr fontId="5"/>
  </si>
  <si>
    <t>POS商品名</t>
    <rPh sb="2" eb="5">
      <t>ショウヒンメイ</t>
    </rPh>
    <phoneticPr fontId="5"/>
  </si>
  <si>
    <t>規格</t>
    <rPh sb="0" eb="1">
      <t>キカク</t>
    </rPh>
    <phoneticPr fontId="5"/>
  </si>
  <si>
    <t>トイレタリー（犬）</t>
  </si>
  <si>
    <t>0696125</t>
  </si>
  <si>
    <t>デオシートしっかり超吸収無香消臭タイプ　レギュラー</t>
  </si>
  <si>
    <t>0696127</t>
  </si>
  <si>
    <t>4520699670354</t>
  </si>
  <si>
    <t>デオシートしっかり超吸収無香消臭タイプ　ワイド</t>
  </si>
  <si>
    <t>0696130</t>
  </si>
  <si>
    <t>4520699674703</t>
  </si>
  <si>
    <t>デオシートしっかり超吸収無香無臭タイプ　スーパーワイド</t>
  </si>
  <si>
    <t>0696133</t>
  </si>
  <si>
    <t>4520699678763</t>
  </si>
  <si>
    <t>デオシート消臭＆フレグランス　フローラルシャボンの香り　レギュラー</t>
  </si>
  <si>
    <t>4520699681701</t>
  </si>
  <si>
    <t>デオシート消臭＆フレグランス　フローラルシャボンの香り　ワイド</t>
  </si>
  <si>
    <t>0162715</t>
  </si>
  <si>
    <t>4520699631645</t>
  </si>
  <si>
    <t>マナーウェア男の子用　ＳＳＳ　青チェック・紺チェック</t>
  </si>
  <si>
    <t>0886244</t>
  </si>
  <si>
    <t>4520699675359</t>
  </si>
  <si>
    <t>マナーウェア男の子用　ＳＳ　青チェック・紺チェック</t>
  </si>
  <si>
    <t>0162728</t>
  </si>
  <si>
    <t>4520699631713</t>
  </si>
  <si>
    <t>マナーウェア男の子用　Ｓ　青チェック・紺チェック</t>
  </si>
  <si>
    <t>0886272</t>
  </si>
  <si>
    <t>4520699676226</t>
  </si>
  <si>
    <t>マナーウェア男の子用　Ｍ　青チェック・紺チェック</t>
  </si>
  <si>
    <t>0162737</t>
  </si>
  <si>
    <t>4520699631898</t>
  </si>
  <si>
    <t>マナーウェア男の子用　Ｌ　青チェック・紺チェック</t>
  </si>
  <si>
    <t>0283394</t>
  </si>
  <si>
    <t>4520699642740</t>
  </si>
  <si>
    <t>マナーウェア男の子用　ＬＬ　青チェック・紺チェック</t>
  </si>
  <si>
    <t>0886308</t>
  </si>
  <si>
    <t>4520699677384</t>
  </si>
  <si>
    <t>マナーウェア女の子用　ＳＳＳ　ピンクリボン・青リボン</t>
  </si>
  <si>
    <t>0609241</t>
  </si>
  <si>
    <t>4520699685990</t>
  </si>
  <si>
    <t>マナーウェア女の子用　ＳＳ　ピンクリボン・青リボン</t>
  </si>
  <si>
    <t>0609246</t>
  </si>
  <si>
    <t>4520699686003</t>
  </si>
  <si>
    <t>マナーウェア女の子用　Ｓ　ピンクリボン・青リボン</t>
  </si>
  <si>
    <t>0609249</t>
  </si>
  <si>
    <t>4520699686492</t>
  </si>
  <si>
    <t>マナーウェア女の子用　Ｍ　ピンクリボン・青リボン</t>
  </si>
  <si>
    <t>0886372</t>
  </si>
  <si>
    <t>4520699680575</t>
  </si>
  <si>
    <t>マナーウェア女の子用　Ｌ　ピンクリボン・青リボン</t>
  </si>
  <si>
    <t>0585717</t>
  </si>
  <si>
    <t>4520699648490</t>
  </si>
  <si>
    <t>マナーウェア　長時間オムツ　ＳＳＳ</t>
  </si>
  <si>
    <t>0585720</t>
  </si>
  <si>
    <t>4520699648780</t>
  </si>
  <si>
    <t>マナーウェア　長時間オムツ　ＳＳ</t>
  </si>
  <si>
    <t>0585721</t>
  </si>
  <si>
    <t>4520699649152</t>
  </si>
  <si>
    <t>マナーウェア　長時間オムツ　Ｓ</t>
  </si>
  <si>
    <t>0585722</t>
  </si>
  <si>
    <t>4520699649671</t>
  </si>
  <si>
    <t>マナーウェア　長時間オムツ　Ｍ</t>
  </si>
  <si>
    <t>0585723</t>
  </si>
  <si>
    <t>4520699650042</t>
  </si>
  <si>
    <t>マナーウェア　長時間オムツ　Ｌ</t>
  </si>
  <si>
    <t>トイレタリー（猫）</t>
  </si>
  <si>
    <t>0514344</t>
  </si>
  <si>
    <t>4520699680568</t>
  </si>
  <si>
    <t>デオトイレ　飛び散らない消臭・抗菌サンド</t>
  </si>
  <si>
    <t>0509477</t>
  </si>
  <si>
    <t>4520699680759</t>
  </si>
  <si>
    <t>デオトイレ　飛び散らない緑茶成分入り消臭サンド</t>
  </si>
  <si>
    <t>0231373</t>
  </si>
  <si>
    <t>4520699685525</t>
  </si>
  <si>
    <t>デオトイレ　ふんわり香る消臭・抗菌サンド　ホワイトフローラルの香り</t>
  </si>
  <si>
    <t>0609239</t>
  </si>
  <si>
    <t>4520699685815</t>
  </si>
  <si>
    <t>デオトイレ　ふんわり香る消臭・抗菌サンド　ナチュラルグリーンの香り</t>
  </si>
  <si>
    <t>0337080</t>
  </si>
  <si>
    <t>4520699613443</t>
  </si>
  <si>
    <t>デオトイレ　消臭・抗菌シート</t>
  </si>
  <si>
    <t>0283445</t>
  </si>
  <si>
    <t>4520699623473</t>
  </si>
  <si>
    <t>デオトイレ　ふんわり香る消臭・抗菌シート　ナチュラルガーデンの香り</t>
  </si>
  <si>
    <t>0283495</t>
  </si>
  <si>
    <t>4520699685914</t>
  </si>
  <si>
    <t>デオトイレ　ふんわり香る消臭・抗菌シート　ナチュラルソープの香り</t>
  </si>
  <si>
    <t>0283414</t>
  </si>
  <si>
    <t>4520699612415</t>
  </si>
  <si>
    <t>デオトイレ　複数ねこ用　消臭・抗菌シート</t>
  </si>
  <si>
    <t>ドライフード（猫）</t>
  </si>
  <si>
    <t>0497814</t>
  </si>
  <si>
    <t>4520699649190</t>
  </si>
  <si>
    <t>ＡｌｌＷｅｌｌ　室内猫用　フィッシュ味　挽き小魚とささみ　フリーズドライパウダー入り</t>
  </si>
  <si>
    <t>0497840</t>
  </si>
  <si>
    <t>4520699649220</t>
  </si>
  <si>
    <t>ＡｌｌＷｅｌｌ　室内猫用　チキン味　挽き小魚とささみ　フリーズドライパウダー入り</t>
  </si>
  <si>
    <t>0495340</t>
  </si>
  <si>
    <t>4520699652336</t>
  </si>
  <si>
    <t>ＡｌｌＷｅｌｌ　１５歳以上の腎臓の健康維持用　フィッシュ味　挽き小魚とささみ　フリーズドライパウダー入り</t>
  </si>
  <si>
    <t>0283320</t>
  </si>
  <si>
    <t>4520699635599</t>
  </si>
  <si>
    <t>ＡｌｌＷｅｌｌ　避妊・去勢した猫の体重ケア　フィッシュ味　挽き小魚とささみ　フリーズドライパウダー入り</t>
  </si>
  <si>
    <t>0495378</t>
  </si>
  <si>
    <t>4520699652817</t>
  </si>
  <si>
    <t>ＡｌｌＷｅｌｌ　室内猫用贅沢素材入り　フィッシュ味　天然小魚とささみ　フリーズドライ入り</t>
  </si>
  <si>
    <t>0696139</t>
  </si>
  <si>
    <t>4520699685396</t>
  </si>
  <si>
    <t>デオシート消臭＆フレグランス　グリーンアロマの香り　レギュラー</t>
  </si>
  <si>
    <t>0696292</t>
  </si>
  <si>
    <t>4520699686386</t>
  </si>
  <si>
    <t>デオシート消臭＆フレグランス　グリーンアロマの香り　ワイド</t>
  </si>
  <si>
    <t>その他（犬・猫）</t>
  </si>
  <si>
    <t>0585727</t>
  </si>
  <si>
    <t>4520699654583</t>
  </si>
  <si>
    <t>デオクリーン　純水９９％ウェットティッシュ　つめかえ用</t>
    <rPh sb="26" eb="27">
      <t>ヨウ</t>
    </rPh>
    <phoneticPr fontId="5"/>
  </si>
  <si>
    <t>0585696</t>
  </si>
  <si>
    <t>4520699652114</t>
  </si>
  <si>
    <t>デオクリーン　ノンアルコール除菌ウェットティッシュ　つめかえ用</t>
    <rPh sb="30" eb="31">
      <t>ヨウ</t>
    </rPh>
    <phoneticPr fontId="5"/>
  </si>
  <si>
    <t>0494975</t>
  </si>
  <si>
    <t>4520699651438</t>
  </si>
  <si>
    <t>ＡｌｌＷｅｌｌ　１０歳以上の腎臓の健康維持用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</si>
  <si>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0497524</t>
  </si>
  <si>
    <t>4520699648636</t>
  </si>
  <si>
    <t>ＡｌｌＷｅｌｌ　健康に育つ子猫用　フィッシュ味　挽き小魚とささみ　フリーズドライパウダー入り</t>
    <rPh sb="8" eb="10">
      <t>ケンコウ</t>
    </rPh>
    <rPh sb="11" eb="12">
      <t>ソダ</t>
    </rPh>
    <rPh sb="15" eb="16">
      <t>ヨウ</t>
    </rPh>
    <rPh sb="22" eb="23">
      <t>アジ</t>
    </rPh>
    <phoneticPr fontId="5"/>
  </si>
  <si>
    <t>0283292</t>
  </si>
  <si>
    <t>4520699634677</t>
  </si>
  <si>
    <t>ＡｌｌＷｅｌｌ　２０歳以上の腎臓の健康維持用　フィッシュ味　挽き小魚とささみ　フリーズドライパウダー入り</t>
    <rPh sb="11" eb="13">
      <t>イジョウ</t>
    </rPh>
    <rPh sb="14" eb="16">
      <t>ジンゾウ</t>
    </rPh>
    <rPh sb="17" eb="19">
      <t>ケンコウ</t>
    </rPh>
    <rPh sb="19" eb="22">
      <t>イジヨウ</t>
    </rPh>
    <rPh sb="28" eb="29">
      <t>アジ</t>
    </rPh>
    <phoneticPr fontId="5"/>
  </si>
  <si>
    <t>0100393</t>
  </si>
  <si>
    <t>4520699643631</t>
  </si>
  <si>
    <t>銀のスプーン贅沢うまみ仕立て　まぐろ・かつお・煮干し・白身魚・しらす入り</t>
  </si>
  <si>
    <t>0099940</t>
  </si>
  <si>
    <t>4520699663196</t>
  </si>
  <si>
    <t>銀のスプーン贅沢うまみ仕立て　食事の吐き戻し軽減フードまぐろ・かつお・煮干し・白身魚・しらす入り</t>
  </si>
  <si>
    <t>0100150</t>
  </si>
  <si>
    <t>4520699648476</t>
  </si>
  <si>
    <t>銀のスプーン贅沢うまみ仕立て　毛玉ケアまぐろ・かつお・煮干し・白身魚・しらす入り</t>
  </si>
  <si>
    <t>0098775</t>
  </si>
  <si>
    <t>4520699647226</t>
  </si>
  <si>
    <t>銀のスプーン贅沢うまみ仕立て　１５歳頃からまぐろ・かつお・煮干し・白身魚・しらす入り</t>
  </si>
  <si>
    <t>0623934</t>
  </si>
  <si>
    <t>4520699663530</t>
  </si>
  <si>
    <t>銀のスプーン三ツ星グルメ　４種のアソート素材入りお魚レシピ</t>
  </si>
  <si>
    <t>0611817</t>
  </si>
  <si>
    <t>4520699602706</t>
  </si>
  <si>
    <t>銀のスプーン三ツ星グルメ　お魚レシピ</t>
  </si>
  <si>
    <t>0926156</t>
  </si>
  <si>
    <t>4520699635759</t>
  </si>
  <si>
    <t>銀のスプーン三ツ星グルメ　１５歳頃からお魚レシピ</t>
  </si>
  <si>
    <t>0424343</t>
  </si>
  <si>
    <t>4520699685334</t>
  </si>
  <si>
    <t>銀のスプーン三ツ星グルメ　お魚味クリームまぐろ味レシピ３種のアソート</t>
  </si>
  <si>
    <t>0227773</t>
  </si>
  <si>
    <t>4520699630549</t>
  </si>
  <si>
    <t>銀のスプーン三ツ星グルメ　お魚味クリームまぐろ・かつお味</t>
  </si>
  <si>
    <t>ウェットフード（猫）</t>
  </si>
  <si>
    <t>0599899</t>
  </si>
  <si>
    <t>4520699698709</t>
  </si>
  <si>
    <t>銀のスプーンパウチ　まぐろ</t>
  </si>
  <si>
    <t>0600024</t>
  </si>
  <si>
    <t>4520699698938</t>
  </si>
  <si>
    <t>銀のスプーンパウチ　まぐろ・かつおにささみ入り</t>
  </si>
  <si>
    <t>0600301</t>
  </si>
  <si>
    <t>4520699699010</t>
  </si>
  <si>
    <t>銀のスプーンパウチ　まぐろ・かつおにかつお節入り</t>
  </si>
  <si>
    <t>0600650</t>
  </si>
  <si>
    <t>4520699699249</t>
  </si>
  <si>
    <t>銀のスプーンパウチ　１５歳頃からまぐろ</t>
  </si>
  <si>
    <t>0423825</t>
  </si>
  <si>
    <t>4520699662700</t>
  </si>
  <si>
    <t>銀のスプーン三ツ星グルメパウチ　フレークまぐろ入りかつお</t>
  </si>
  <si>
    <t>0423856</t>
  </si>
  <si>
    <t>4520699662830</t>
  </si>
  <si>
    <t>銀のスプーン三ツ星グルメパウチ　フレークささみ・まぐろ入りかつお</t>
  </si>
  <si>
    <t>0423025</t>
  </si>
  <si>
    <t>4520699663219</t>
  </si>
  <si>
    <t>銀のスプーン三ツ星グルメパウチ　ジュレまぐろ・かつおにしらす・かにかま添え</t>
  </si>
  <si>
    <t>0282970</t>
  </si>
  <si>
    <t>4520699699911</t>
  </si>
  <si>
    <t>銀のスプーン三ツ星グルメパウチ　フレーク１５歳頃からまぐろ入りかつお</t>
  </si>
  <si>
    <t>ドライフード（犬）</t>
  </si>
  <si>
    <t>0424727</t>
  </si>
  <si>
    <t>4520699654842</t>
  </si>
  <si>
    <t>グラン・デリ　ふっくら仕立て　ビーフ・鶏ささみ・緑黄色野菜・チーズ・角切りビーフ粒入り　</t>
  </si>
  <si>
    <t>0425051</t>
  </si>
  <si>
    <t>4520699657409</t>
  </si>
  <si>
    <t>【WEB直送】グラン・デリ　ふっくら仕立て　低脂肪　鶏ささみ・ビーフ・緑黄色野菜・小魚・角切りビーフ粒入り　</t>
    <rPh sb="4" eb="6">
      <t>チョクソウ</t>
    </rPh>
    <phoneticPr fontId="5"/>
  </si>
  <si>
    <t>0424959</t>
  </si>
  <si>
    <t>4520699657058</t>
  </si>
  <si>
    <r>
      <t>【WEB直送】グラン・デリ　ふっくら仕立て13歳以上用鶏ささみ・ビーフ・緑黄</t>
    </r>
    <r>
      <rPr>
        <sz val="11"/>
        <rFont val="ＭＳ Ｐゴシック"/>
        <family val="3"/>
        <charset val="128"/>
      </rPr>
      <t>色野菜小魚チーズ・角切りビーフ粒入り</t>
    </r>
    <rPh sb="4" eb="6">
      <t>チョクソウ</t>
    </rPh>
    <phoneticPr fontId="5"/>
  </si>
  <si>
    <t>0578588</t>
  </si>
  <si>
    <t>4520699621646</t>
  </si>
  <si>
    <t>0578625</t>
  </si>
  <si>
    <t>4520699625729</t>
  </si>
  <si>
    <t>グラン・デリ　カリカリ仕立て　成犬用低脂肪味わいビーフ入りセレクト～脂肪分約２５％カット～</t>
    <phoneticPr fontId="5"/>
  </si>
  <si>
    <t>スナック（猫）</t>
  </si>
  <si>
    <t>0693808</t>
  </si>
  <si>
    <t>4901133716577</t>
  </si>
  <si>
    <t>ちゅ～る　まぐろ</t>
  </si>
  <si>
    <t>0693829</t>
  </si>
  <si>
    <t>4901133716591</t>
  </si>
  <si>
    <t>ちゅ～る　とりささみ</t>
  </si>
  <si>
    <t>0693821</t>
  </si>
  <si>
    <t>4901133716584</t>
  </si>
  <si>
    <t>ちゅ～る　かつお</t>
  </si>
  <si>
    <t>0202263</t>
  </si>
  <si>
    <t>4901133716676</t>
  </si>
  <si>
    <t>ちゅ～る　宗田かつお&amp;かつお節</t>
  </si>
  <si>
    <t>0868976</t>
  </si>
  <si>
    <t>4901133718854</t>
  </si>
  <si>
    <t>ちゅ～る　総合栄養食　まぐろ</t>
  </si>
  <si>
    <t>0052349</t>
  </si>
  <si>
    <t>4901133718298</t>
  </si>
  <si>
    <t>ちゅ～る　毛玉配慮　まぐろ</t>
  </si>
  <si>
    <t>0202322</t>
  </si>
  <si>
    <t>4901133716690</t>
  </si>
  <si>
    <t>ちゅ～る　まぐろ＆ほたて貝柱</t>
  </si>
  <si>
    <t>0202301</t>
  </si>
  <si>
    <t>4901133716683</t>
  </si>
  <si>
    <t>ちゅ～る　とりささみ＆日本海産かに</t>
  </si>
  <si>
    <t>0693835</t>
  </si>
  <si>
    <t>4901133716607</t>
  </si>
  <si>
    <t>ちゅ～る　１１歳からのまぐろ・かつお</t>
  </si>
  <si>
    <t>0868966</t>
  </si>
  <si>
    <t>4901133718830</t>
  </si>
  <si>
    <t>ちゅ～る　下部尿路配慮　まぐろ</t>
  </si>
  <si>
    <t>0084023</t>
  </si>
  <si>
    <t>4901133720444</t>
  </si>
  <si>
    <t>ちゅ～る　まぐろバラエティ ４０本入り</t>
  </si>
  <si>
    <t>0083993</t>
  </si>
  <si>
    <t>4901133720451</t>
  </si>
  <si>
    <t>ちゅ～る　まぐろ・かつおバラエティ ４０本入り</t>
  </si>
  <si>
    <t>0083975</t>
  </si>
  <si>
    <t>4901133720468</t>
  </si>
  <si>
    <t>ちゅ～る　とりささみバラエティ ４０本入り</t>
  </si>
  <si>
    <t>0571964</t>
  </si>
  <si>
    <t>4901133719202</t>
  </si>
  <si>
    <t>ちゅ～る　贅沢バラエティ ４０本入り</t>
  </si>
  <si>
    <t>0504685</t>
  </si>
  <si>
    <t>4901133710315</t>
  </si>
  <si>
    <t>焼かつお　高齢猫用</t>
  </si>
  <si>
    <t>0504658</t>
  </si>
  <si>
    <t>4901133710193</t>
  </si>
  <si>
    <t>焼かつお　かつお節味</t>
  </si>
  <si>
    <t>0504676</t>
  </si>
  <si>
    <t>4901133710230</t>
  </si>
  <si>
    <t>焼かつお　本格だし味</t>
  </si>
  <si>
    <t>0869540</t>
  </si>
  <si>
    <t>4901133706622</t>
  </si>
  <si>
    <t>焼ささみ　かにかま味</t>
  </si>
  <si>
    <t>0869555</t>
  </si>
  <si>
    <t>4901133706660</t>
  </si>
  <si>
    <t>焼ささみ　本格鰹だし味</t>
  </si>
  <si>
    <t>スナック（犬）</t>
  </si>
  <si>
    <t>0175522</t>
  </si>
  <si>
    <t>4901133720598</t>
  </si>
  <si>
    <t>ちゅ～る　総合栄養食 とりささみ</t>
  </si>
  <si>
    <t>0175587</t>
  </si>
  <si>
    <t>4901133720604</t>
  </si>
  <si>
    <t>ちゅ～る　総合栄養食 とりささみ ビーフ入り</t>
  </si>
  <si>
    <t>0175597</t>
  </si>
  <si>
    <t>4901133720611</t>
  </si>
  <si>
    <t>ちゅ～る　総合栄養食 とりささみ チーズ入り</t>
  </si>
  <si>
    <t>0117179</t>
  </si>
  <si>
    <t>4901133736568</t>
  </si>
  <si>
    <t>ちゅ～る    とりささみ</t>
    <phoneticPr fontId="5"/>
  </si>
  <si>
    <t>0117290</t>
  </si>
  <si>
    <t>4901133736582</t>
  </si>
  <si>
    <t>ちゅ～る　とりささみ チーズ味</t>
  </si>
  <si>
    <t>0044588</t>
  </si>
  <si>
    <t>4901133827730</t>
  </si>
  <si>
    <t>ちゅ～る　総合栄養食　とりささみバラエティ　４０本入り</t>
  </si>
  <si>
    <t>0448561</t>
  </si>
  <si>
    <t>4901133827464</t>
  </si>
  <si>
    <t>ちゅ～る　総合栄養食バラエティ　４０本入り</t>
  </si>
  <si>
    <t>ウェットフード（犬）</t>
  </si>
  <si>
    <t>0002248</t>
  </si>
  <si>
    <t>4901133441745</t>
  </si>
  <si>
    <t>ちゅ～るごはん　とりささみ＆ビーフ・緑黄色野菜</t>
  </si>
  <si>
    <t>0002139</t>
  </si>
  <si>
    <t>4901133441721</t>
  </si>
  <si>
    <t>ちゅ～るごはん　とりささみ</t>
  </si>
  <si>
    <t>0002298</t>
  </si>
  <si>
    <t>4901133441752</t>
  </si>
  <si>
    <t>ちゅ～るごはん　とりささみ＆チーズ</t>
  </si>
  <si>
    <t>0448510</t>
  </si>
  <si>
    <t>4901133827440</t>
  </si>
  <si>
    <t>ちゅ～る　とりささみバラエティ　４０本入り</t>
  </si>
  <si>
    <t>0182728</t>
  </si>
  <si>
    <t>4901133621994</t>
  </si>
  <si>
    <t>金のだしカップ　まぐろバラエティ １２個パック</t>
  </si>
  <si>
    <t>0182773</t>
  </si>
  <si>
    <t>4901133622014</t>
  </si>
  <si>
    <t>金のだしカップ　まぐろ・かつおバラエティ １２個パック</t>
  </si>
  <si>
    <t>0182767</t>
  </si>
  <si>
    <t>4901133622007</t>
  </si>
  <si>
    <t>金のだしカップ　かつおバラエティパック １２個パック</t>
  </si>
  <si>
    <t>0182788</t>
  </si>
  <si>
    <t>4901133622021</t>
  </si>
  <si>
    <t>金のだしカップ　１１歳からのバラエティ １２個パック</t>
  </si>
  <si>
    <t>0120120</t>
  </si>
  <si>
    <t>4901133618536</t>
  </si>
  <si>
    <t>ＣＩＡＯパウチ　まぐろ ささみ入り ほたて味</t>
  </si>
  <si>
    <t>0120371</t>
  </si>
  <si>
    <t>4901133618574</t>
  </si>
  <si>
    <t>ＣＩＡＯパウチ　ささみ ほたて味</t>
  </si>
  <si>
    <t>0120249</t>
  </si>
  <si>
    <t>4901133618550</t>
  </si>
  <si>
    <t>ＣＩＡＯパウチ　かつお ささみ入り ほたて味</t>
  </si>
  <si>
    <t>0442297</t>
  </si>
  <si>
    <t>4901133618635</t>
  </si>
  <si>
    <t>ＣＩＡＯパウチ　まぐろ ささみ・まぐろ節入り</t>
  </si>
  <si>
    <t>0959619</t>
  </si>
  <si>
    <t>4901133619892</t>
  </si>
  <si>
    <t>ＣＩＡＯパウチ　総合栄養食 まぐろ ささみ入り ほたて味</t>
  </si>
  <si>
    <t>0441229</t>
  </si>
  <si>
    <t>4901133618673</t>
  </si>
  <si>
    <t>焼かつおディナー　かつお節・ほたて貝柱入り</t>
  </si>
  <si>
    <t>0441232</t>
  </si>
  <si>
    <t>4901133618697</t>
  </si>
  <si>
    <t>焼かつおディナー　しらす・ほたて貝柱入り</t>
  </si>
  <si>
    <t>0441230</t>
  </si>
  <si>
    <t>4901133618680</t>
  </si>
  <si>
    <t>焼かつおディナー　ほたて貝柱入り</t>
  </si>
  <si>
    <t>0511308</t>
  </si>
  <si>
    <t>4903351011250</t>
  </si>
  <si>
    <t>ニオイをとる砂</t>
    <phoneticPr fontId="5"/>
  </si>
  <si>
    <t>0449333</t>
  </si>
  <si>
    <t>4903351002029</t>
  </si>
  <si>
    <t>ニオイをとる砂　フローラルソープの香り</t>
  </si>
  <si>
    <t>0798887</t>
  </si>
  <si>
    <t>4903351061002</t>
  </si>
  <si>
    <t>お茶でニオイをとる砂</t>
  </si>
  <si>
    <t>0449335</t>
  </si>
  <si>
    <t>4903351002036</t>
  </si>
  <si>
    <t>ニオイをとる砂　リラックスグリーンの香り</t>
    <rPh sb="18" eb="19">
      <t>カオ</t>
    </rPh>
    <phoneticPr fontId="5"/>
  </si>
  <si>
    <t>0390959</t>
  </si>
  <si>
    <t>4903351004856</t>
  </si>
  <si>
    <t>ニオイをとる砂　軽量タイプ</t>
  </si>
  <si>
    <t>0447127</t>
  </si>
  <si>
    <t>4976555800678</t>
  </si>
  <si>
    <t>紗　プレーン</t>
  </si>
  <si>
    <t>0447110</t>
  </si>
  <si>
    <t>4976555800708</t>
  </si>
  <si>
    <t>紗　野菜入り</t>
  </si>
  <si>
    <t>0921637</t>
  </si>
  <si>
    <t>4976555808889</t>
  </si>
  <si>
    <t>無添加良品　アキレススティック</t>
  </si>
  <si>
    <t>0097056</t>
  </si>
  <si>
    <t>4976555820300</t>
  </si>
  <si>
    <t>無添加良品　ガムのささみ巻ジャーキー</t>
  </si>
  <si>
    <t>0097021</t>
  </si>
  <si>
    <t>4976555820270</t>
  </si>
  <si>
    <t>無添加良品　香ばし鶏ささみチップス</t>
  </si>
  <si>
    <t>0096981</t>
  </si>
  <si>
    <t>4976555820263</t>
  </si>
  <si>
    <t>無添加良品　香ばし鶏ささみステーキ</t>
  </si>
  <si>
    <t>0503110</t>
  </si>
  <si>
    <t>4976555823929</t>
  </si>
  <si>
    <t>無添加良品　国産鶏のささみしっとり細切り</t>
  </si>
  <si>
    <t>0152757</t>
  </si>
  <si>
    <t>4976555823035</t>
  </si>
  <si>
    <t>無添加良品　香ばし鶏ささみ　ぶつ切り</t>
  </si>
  <si>
    <t>その他（猫）</t>
  </si>
  <si>
    <t>0701787</t>
  </si>
  <si>
    <t>4976555841671</t>
  </si>
  <si>
    <t>スッキリつめみがき　３Ｐ</t>
  </si>
  <si>
    <t>0678463</t>
  </si>
  <si>
    <t>4976555818314</t>
  </si>
  <si>
    <t>無添加良品　牛アキレス</t>
  </si>
  <si>
    <t>0859739</t>
  </si>
  <si>
    <t>4976555821376</t>
  </si>
  <si>
    <t>無添加良品　アキレススティック　ハード＆ロング</t>
  </si>
  <si>
    <t>0503093</t>
  </si>
  <si>
    <t>4976555823950</t>
  </si>
  <si>
    <t>無添加良品　国産鶏の白むね肉巻き</t>
  </si>
  <si>
    <t>0503108</t>
  </si>
  <si>
    <t>4976555823936</t>
  </si>
  <si>
    <t>無添加良品　国産鶏のむね肉ほぐれるスティック</t>
  </si>
  <si>
    <t>0534792</t>
  </si>
  <si>
    <t>4976555822175</t>
  </si>
  <si>
    <t>無添加良品　香ばし鶏ささみ　細切り</t>
  </si>
  <si>
    <t>0503113</t>
  </si>
  <si>
    <t>4976555823912</t>
  </si>
  <si>
    <t>無添加良品　国産鶏のむね肉しっとり細切り</t>
  </si>
  <si>
    <t>その他（犬）</t>
  </si>
  <si>
    <t>0519527</t>
  </si>
  <si>
    <t>4976555924633</t>
  </si>
  <si>
    <t>トイレの後のマナー袋</t>
  </si>
  <si>
    <t>0374847</t>
  </si>
  <si>
    <t>4972316207649</t>
  </si>
  <si>
    <t>ネオシーツ+カーボンDX　レギュラー</t>
  </si>
  <si>
    <t>0374848</t>
  </si>
  <si>
    <t>4972316207656</t>
  </si>
  <si>
    <t>ネオシーツ+カーボンDX　ワイド</t>
  </si>
  <si>
    <t>0378129</t>
  </si>
  <si>
    <t>4972316207663</t>
  </si>
  <si>
    <t>ネオシーツ+カーボンDX　スーパーワイド</t>
  </si>
  <si>
    <t>0596281</t>
  </si>
  <si>
    <t>4972316207557</t>
  </si>
  <si>
    <t>ネオシーツ　ＦＸレギュラー</t>
  </si>
  <si>
    <t>0596283</t>
  </si>
  <si>
    <t>4972316207564</t>
  </si>
  <si>
    <t>ネオシーツ　ＦＸワイド</t>
  </si>
  <si>
    <t>0596290</t>
  </si>
  <si>
    <t>4972316207571</t>
  </si>
  <si>
    <t>ネオシーツ　ＦＸスーパーワイド</t>
  </si>
  <si>
    <t>0321681</t>
  </si>
  <si>
    <t>4902201205177</t>
  </si>
  <si>
    <t>ピュリナワン　キャット　避妊・去勢した猫の体重ケア　避妊・去勢後から全ての年齢に　ターキー</t>
  </si>
  <si>
    <t>0562973</t>
  </si>
  <si>
    <t>4902201210973</t>
  </si>
  <si>
    <t>ピュリナワン　キャット　グレインフリー（穀物不使用）　１歳から全ての年齢に　チキン</t>
  </si>
  <si>
    <t>0321682</t>
  </si>
  <si>
    <t>4902201204965</t>
  </si>
  <si>
    <t>ピュリナワン　キャット　美味を求める成猫用　１歳以上　チキン</t>
  </si>
  <si>
    <t>0321686</t>
  </si>
  <si>
    <t>4902201204996</t>
  </si>
  <si>
    <t>ピュリナワン　キャット　優しく腎臓の健康サポート　１1歳以上　チキン</t>
  </si>
  <si>
    <t>0563020</t>
  </si>
  <si>
    <t>4902201210980</t>
  </si>
  <si>
    <t>ピュリナワン　キャット　グレインフリー(穀物不使用)　１歳から全ての年齢に　白身魚</t>
  </si>
  <si>
    <t>0321703</t>
  </si>
  <si>
    <t>4902201205115</t>
  </si>
  <si>
    <t>ピュリナワン　キャット　下部尿路の健康維持Ｆ．Ｌ．Ｕ．Ｔ．Ｈ．ケア　１歳以上　チキン</t>
  </si>
  <si>
    <t>0563165</t>
  </si>
  <si>
    <t>4902201211024</t>
  </si>
  <si>
    <t>モンプチ　クリスピーキッス　バラエティーパック　贅沢シリーズ</t>
  </si>
  <si>
    <t>0563166</t>
  </si>
  <si>
    <t>4902201211017</t>
  </si>
  <si>
    <t>モンプチ　クリスピーキッス　バラエティーパック　セレクトシリーズ</t>
  </si>
  <si>
    <t>0961260</t>
  </si>
  <si>
    <t>4902201210041</t>
  </si>
  <si>
    <t>モンプチ　クリスピーキッス　シーフードセレクト</t>
  </si>
  <si>
    <t>0961268</t>
  </si>
  <si>
    <t>4902201210072</t>
  </si>
  <si>
    <t>モンプチ　クリスピーキッス　贅沢おさかな味</t>
  </si>
  <si>
    <t>0961267</t>
  </si>
  <si>
    <t>4902201210065</t>
  </si>
  <si>
    <t>モンプチ　クリスピーキッス　ミックスグリルセレクト</t>
  </si>
  <si>
    <t>0434817</t>
  </si>
  <si>
    <t>4902201206600</t>
  </si>
  <si>
    <t>ピュリナワンドッグ　１～６歳　室内飼犬用　お腹の健康から体重ケア　小粒　チキン</t>
  </si>
  <si>
    <t>0434803</t>
  </si>
  <si>
    <t>4902201206556</t>
  </si>
  <si>
    <t>ピュリナワンドッグ　ほぐし粒入り　１～６歳　成犬用　チキン</t>
  </si>
  <si>
    <t>0434819</t>
  </si>
  <si>
    <t>4902201206617</t>
  </si>
  <si>
    <t>ピュリナワンドッグ　７歳以上　室内飼犬用　お腹の健康から体重ケア　小粒　チキン</t>
  </si>
  <si>
    <t>0434806</t>
  </si>
  <si>
    <t>4902201206570</t>
  </si>
  <si>
    <t>ピュリナワンドッグ　ほぐし粒入り　１歳以上　体重ケア　ターキー</t>
  </si>
  <si>
    <t>0470699</t>
  </si>
  <si>
    <t>4902201211321</t>
  </si>
  <si>
    <t>ピュリナワン　キャット　健康マルチケア　１５歳以上　チキン</t>
  </si>
  <si>
    <t>0433608</t>
  </si>
  <si>
    <t>4902201206433</t>
  </si>
  <si>
    <t>ピュリナワン　キャット　メタボリックエネルギーコントロール　１歳から全ての年齢に　ターキー</t>
  </si>
  <si>
    <t>0321704</t>
  </si>
  <si>
    <t>4902201205139</t>
  </si>
  <si>
    <t>ピュリナワン　キャット　下部尿路の健康維持Ｆ．Ｌ．Ｕ．Ｔ．Ｈ．ケア　１歳以上　サーモン</t>
  </si>
  <si>
    <t>0470698</t>
  </si>
  <si>
    <t>4902201211314</t>
  </si>
  <si>
    <t>ピュリナワン　キャット　健康マルチケア　１１歳以上　チキン</t>
  </si>
  <si>
    <t>0434804</t>
  </si>
  <si>
    <t>4902201206563</t>
  </si>
  <si>
    <t>ピュリナワンドッグ　ほぐし粒入り　７歳以上　これからも健康ケア　チキン</t>
  </si>
  <si>
    <t>0434826</t>
  </si>
  <si>
    <t>4902201206624</t>
  </si>
  <si>
    <t>ピュリナワンドッグ　１１歳以上　いつまでも健康ケア　小粒　チキン</t>
  </si>
  <si>
    <t>N基幹</t>
    <rPh sb="1" eb="3">
      <t>キカン</t>
    </rPh>
    <phoneticPr fontId="5"/>
  </si>
  <si>
    <t>W基幹</t>
    <rPh sb="1" eb="3">
      <t>キカン</t>
    </rPh>
    <phoneticPr fontId="5"/>
  </si>
  <si>
    <t>半角52文字</t>
    <rPh sb="0" eb="2">
      <t>ハンカク</t>
    </rPh>
    <rPh sb="4" eb="6">
      <t>モジ</t>
    </rPh>
    <phoneticPr fontId="5"/>
  </si>
  <si>
    <t>半角20字</t>
    <rPh sb="0" eb="2">
      <t>ハンカク</t>
    </rPh>
    <rPh sb="4" eb="5">
      <t>ジ</t>
    </rPh>
    <phoneticPr fontId="5"/>
  </si>
  <si>
    <t>基本情報予備</t>
    <rPh sb="0" eb="2">
      <t>キホン</t>
    </rPh>
    <rPh sb="2" eb="4">
      <t>ジョウホウ</t>
    </rPh>
    <rPh sb="4" eb="6">
      <t>ヨビ</t>
    </rPh>
    <phoneticPr fontId="5"/>
  </si>
  <si>
    <t>付属情報予備</t>
    <rPh sb="0" eb="2">
      <t>フゾク</t>
    </rPh>
    <rPh sb="2" eb="4">
      <t>ジョウホウ</t>
    </rPh>
    <rPh sb="4" eb="6">
      <t>ヨビ</t>
    </rPh>
    <phoneticPr fontId="5"/>
  </si>
  <si>
    <t>商品区分</t>
    <rPh sb="0" eb="2">
      <t>ショウヒン</t>
    </rPh>
    <rPh sb="2" eb="4">
      <t>クブン</t>
    </rPh>
    <phoneticPr fontId="5"/>
  </si>
  <si>
    <t>文字数</t>
    <rPh sb="0" eb="2">
      <t>モジスウ</t>
    </rPh>
    <phoneticPr fontId="5"/>
  </si>
  <si>
    <t>NANDEMO基幹登録名</t>
    <rPh sb="6" eb="8">
      <t>キカン</t>
    </rPh>
    <rPh sb="8" eb="10">
      <t>トウロク</t>
    </rPh>
    <rPh sb="9" eb="10">
      <t>メイ</t>
    </rPh>
    <phoneticPr fontId="5"/>
  </si>
  <si>
    <t>商品カナ</t>
    <rPh sb="0" eb="1">
      <t>ショウヒン</t>
    </rPh>
    <phoneticPr fontId="5"/>
  </si>
  <si>
    <t>POS商品名</t>
    <rPh sb="2" eb="5">
      <t>ショウヒンメイ</t>
    </rPh>
    <phoneticPr fontId="5"/>
  </si>
  <si>
    <t>POS商品カナ</t>
    <rPh sb="2" eb="4">
      <t>ショウヒン</t>
    </rPh>
    <phoneticPr fontId="5"/>
  </si>
  <si>
    <t>正式名称（見積記載名）</t>
    <rPh sb="0" eb="1">
      <t>セイシキ</t>
    </rPh>
    <rPh sb="1" eb="3">
      <t>メイショウ</t>
    </rPh>
    <rPh sb="4" eb="6">
      <t>ミツモリ</t>
    </rPh>
    <rPh sb="6" eb="8">
      <t>キサイ</t>
    </rPh>
    <rPh sb="8" eb="9">
      <t>メイ</t>
    </rPh>
    <phoneticPr fontId="5"/>
  </si>
  <si>
    <t>容量</t>
    <rPh sb="0" eb="1">
      <t>ヨウリョウ</t>
    </rPh>
    <phoneticPr fontId="5"/>
  </si>
  <si>
    <t>入数</t>
    <rPh sb="0" eb="1">
      <t>イリスウ</t>
    </rPh>
    <phoneticPr fontId="5"/>
  </si>
  <si>
    <t>ケース重量</t>
    <rPh sb="2" eb="4">
      <t>ジュウリョウ</t>
    </rPh>
    <phoneticPr fontId="5"/>
  </si>
  <si>
    <t>バラ重量</t>
    <rPh sb="1" eb="3">
      <t>ジュウリョウ</t>
    </rPh>
    <phoneticPr fontId="5"/>
  </si>
  <si>
    <t>ケース単位</t>
    <rPh sb="3" eb="5">
      <t>タンイ</t>
    </rPh>
    <phoneticPr fontId="5"/>
  </si>
  <si>
    <t>バラ単位</t>
    <rPh sb="2" eb="4">
      <t>タンイ</t>
    </rPh>
    <phoneticPr fontId="5"/>
  </si>
  <si>
    <t>在庫管理</t>
    <rPh sb="0" eb="1">
      <t>ザイコ</t>
    </rPh>
    <rPh sb="1" eb="3">
      <t>カンリ</t>
    </rPh>
    <phoneticPr fontId="5"/>
  </si>
  <si>
    <t>商品発売日</t>
    <rPh sb="0" eb="1">
      <t>ショウヒン</t>
    </rPh>
    <rPh sb="1" eb="4">
      <t>ハツバイビ</t>
    </rPh>
    <phoneticPr fontId="5"/>
  </si>
  <si>
    <t>賞味期限日数</t>
    <rPh sb="0" eb="3">
      <t>ショウミキゲン</t>
    </rPh>
    <rPh sb="3" eb="5">
      <t>ニッスウ</t>
    </rPh>
    <phoneticPr fontId="5"/>
  </si>
  <si>
    <t>取扱開始日</t>
    <rPh sb="0" eb="1">
      <t>トリアツカイ</t>
    </rPh>
    <rPh sb="1" eb="4">
      <t>カイシビ</t>
    </rPh>
    <phoneticPr fontId="5"/>
  </si>
  <si>
    <t>取扱終了日</t>
    <rPh sb="0" eb="1">
      <t>トリアツカイ</t>
    </rPh>
    <rPh sb="1" eb="4">
      <t>シュウリョウビ</t>
    </rPh>
    <phoneticPr fontId="5"/>
  </si>
  <si>
    <t>終売区分</t>
    <rPh sb="0" eb="1">
      <t>シュウバイ</t>
    </rPh>
    <rPh sb="1" eb="3">
      <t>クブン</t>
    </rPh>
    <phoneticPr fontId="5"/>
  </si>
  <si>
    <t>終売メモ</t>
    <rPh sb="0" eb="1">
      <t>シュウバイ</t>
    </rPh>
    <phoneticPr fontId="5"/>
  </si>
  <si>
    <t>売上対象</t>
    <rPh sb="0" eb="1">
      <t>ウリアゲ</t>
    </rPh>
    <rPh sb="1" eb="3">
      <t>タイショウ</t>
    </rPh>
    <phoneticPr fontId="5"/>
  </si>
  <si>
    <t>課税区分</t>
    <rPh sb="0" eb="3">
      <t>カゼイクブン</t>
    </rPh>
    <phoneticPr fontId="5"/>
  </si>
  <si>
    <t>消費税率コード</t>
    <rPh sb="0" eb="3">
      <t>ショウヒゼイリツ</t>
    </rPh>
    <phoneticPr fontId="5"/>
  </si>
  <si>
    <t>商品種別コード</t>
    <rPh sb="0" eb="1">
      <t>ショウヒン</t>
    </rPh>
    <rPh sb="1" eb="3">
      <t>シュベツ</t>
    </rPh>
    <phoneticPr fontId="5"/>
  </si>
  <si>
    <t>商品種別名</t>
    <rPh sb="0" eb="1">
      <t>ショウヒン</t>
    </rPh>
    <rPh sb="1" eb="3">
      <t>シュベツ</t>
    </rPh>
    <rPh sb="4" eb="5">
      <t>メイ</t>
    </rPh>
    <phoneticPr fontId="5"/>
  </si>
  <si>
    <t>温度帯区分</t>
    <rPh sb="0" eb="2">
      <t>オンドタイ</t>
    </rPh>
    <rPh sb="2" eb="4">
      <t>クブン</t>
    </rPh>
    <phoneticPr fontId="5"/>
  </si>
  <si>
    <t>物流区分</t>
    <rPh sb="0" eb="1">
      <t>ブツリュウ</t>
    </rPh>
    <rPh sb="1" eb="3">
      <t>クブン</t>
    </rPh>
    <phoneticPr fontId="5"/>
  </si>
  <si>
    <t>デポ当日発注区分</t>
    <rPh sb="1" eb="3">
      <t>トウジツ</t>
    </rPh>
    <rPh sb="3" eb="5">
      <t>ハッチュウ</t>
    </rPh>
    <rPh sb="5" eb="7">
      <t>クブン</t>
    </rPh>
    <phoneticPr fontId="5"/>
  </si>
  <si>
    <t>直送品納品リードタイム</t>
    <rPh sb="0" eb="1">
      <t>チョクソウ</t>
    </rPh>
    <rPh sb="1" eb="2">
      <t>ヒン</t>
    </rPh>
    <rPh sb="2" eb="4">
      <t>ノウヒン</t>
    </rPh>
    <phoneticPr fontId="5"/>
  </si>
  <si>
    <t>ギフト直送品</t>
    <rPh sb="2" eb="4">
      <t>チョクソウ</t>
    </rPh>
    <rPh sb="4" eb="5">
      <t>ヒン</t>
    </rPh>
    <phoneticPr fontId="5"/>
  </si>
  <si>
    <t>パッケージ構成商品コード</t>
    <rPh sb="4" eb="6">
      <t>コウセイ</t>
    </rPh>
    <rPh sb="6" eb="8">
      <t>ショウヒン</t>
    </rPh>
    <phoneticPr fontId="5"/>
  </si>
  <si>
    <t>パッケージ構成数</t>
    <rPh sb="4" eb="7">
      <t>コウセイスウ</t>
    </rPh>
    <phoneticPr fontId="5"/>
  </si>
  <si>
    <t>分析分類2</t>
    <rPh sb="0" eb="1">
      <t>ブンセキ</t>
    </rPh>
    <rPh sb="1" eb="3">
      <t>ブンルイ</t>
    </rPh>
    <phoneticPr fontId="5"/>
  </si>
  <si>
    <t>分析分類3</t>
    <rPh sb="0" eb="1">
      <t>ブンセキ</t>
    </rPh>
    <rPh sb="1" eb="3">
      <t>ブンルイ</t>
    </rPh>
    <phoneticPr fontId="5"/>
  </si>
  <si>
    <t>POSデータ作成区分</t>
    <rPh sb="5" eb="7">
      <t>サクセイ</t>
    </rPh>
    <rPh sb="7" eb="9">
      <t>クブン</t>
    </rPh>
    <phoneticPr fontId="5"/>
  </si>
  <si>
    <t>POSマイナスフラグ</t>
    <phoneticPr fontId="5"/>
  </si>
  <si>
    <t>KYL\0商品送信</t>
    <rPh sb="4" eb="6">
      <t>ショウヒン</t>
    </rPh>
    <rPh sb="6" eb="8">
      <t>ソウシン</t>
    </rPh>
    <phoneticPr fontId="5"/>
  </si>
  <si>
    <t>容器コード</t>
    <rPh sb="0" eb="1">
      <t>ヨウキ</t>
    </rPh>
    <phoneticPr fontId="5"/>
  </si>
  <si>
    <t>空容器コード</t>
    <rPh sb="0" eb="2">
      <t>クウヨウキ</t>
    </rPh>
    <phoneticPr fontId="5"/>
  </si>
  <si>
    <t>空函コード</t>
    <rPh sb="0" eb="1">
      <t>クウハコ</t>
    </rPh>
    <phoneticPr fontId="5"/>
  </si>
  <si>
    <t>容器区分</t>
    <rPh sb="0" eb="1">
      <t>ヨウキ</t>
    </rPh>
    <rPh sb="1" eb="3">
      <t>クブン</t>
    </rPh>
    <phoneticPr fontId="5"/>
  </si>
  <si>
    <t>HT容器回収</t>
    <rPh sb="1" eb="3">
      <t>ヨウキ</t>
    </rPh>
    <rPh sb="3" eb="5">
      <t>カイシュウ</t>
    </rPh>
    <phoneticPr fontId="5"/>
  </si>
  <si>
    <t>容器受入れ手数料課税区分</t>
    <rPh sb="0" eb="1">
      <t>ヨウキ</t>
    </rPh>
    <rPh sb="1" eb="3">
      <t>ウケイ</t>
    </rPh>
    <rPh sb="4" eb="7">
      <t>テスウリョウ</t>
    </rPh>
    <rPh sb="7" eb="11">
      <t>カゼイクブン</t>
    </rPh>
    <phoneticPr fontId="5"/>
  </si>
  <si>
    <t>容器受入手数料税率コード</t>
    <rPh sb="0" eb="1">
      <t>ヨウキ</t>
    </rPh>
    <rPh sb="1" eb="3">
      <t>ウケイレ</t>
    </rPh>
    <rPh sb="3" eb="6">
      <t>テスウリョウ</t>
    </rPh>
    <rPh sb="6" eb="8">
      <t>ゼイリツ</t>
    </rPh>
    <phoneticPr fontId="5"/>
  </si>
  <si>
    <t>容器払出手数料課税区分</t>
    <rPh sb="0" eb="1">
      <t>ヨウキ</t>
    </rPh>
    <rPh sb="1" eb="3">
      <t>ハライダシ</t>
    </rPh>
    <rPh sb="3" eb="6">
      <t>テスウリョウ</t>
    </rPh>
    <rPh sb="6" eb="8">
      <t>カゼイ</t>
    </rPh>
    <rPh sb="8" eb="10">
      <t>クブン</t>
    </rPh>
    <phoneticPr fontId="5"/>
  </si>
  <si>
    <t>容器払出手数料課税コード</t>
    <rPh sb="0" eb="1">
      <t>ヨウキ</t>
    </rPh>
    <rPh sb="1" eb="3">
      <t>ハライダシ</t>
    </rPh>
    <rPh sb="3" eb="6">
      <t>テスウリョウ</t>
    </rPh>
    <rPh sb="6" eb="8">
      <t>カゼイ</t>
    </rPh>
    <phoneticPr fontId="5"/>
  </si>
  <si>
    <t>SDPコード</t>
    <phoneticPr fontId="5"/>
  </si>
  <si>
    <t>配送方法</t>
    <rPh sb="0" eb="1">
      <t>ハイソウ</t>
    </rPh>
    <rPh sb="2" eb="4">
      <t>ホウホウ</t>
    </rPh>
    <phoneticPr fontId="5"/>
  </si>
  <si>
    <t>立寄り先会社コード</t>
    <rPh sb="0" eb="1">
      <t>タチヨ</t>
    </rPh>
    <rPh sb="2" eb="3">
      <t>サキ</t>
    </rPh>
    <rPh sb="3" eb="5">
      <t>カイシャ</t>
    </rPh>
    <phoneticPr fontId="5"/>
  </si>
  <si>
    <t>グループ直送会社コード</t>
    <rPh sb="3" eb="5">
      <t>チョクソウ</t>
    </rPh>
    <rPh sb="5" eb="7">
      <t>カイシャ</t>
    </rPh>
    <phoneticPr fontId="5"/>
  </si>
  <si>
    <t>立寄り受け配送</t>
    <rPh sb="0" eb="1">
      <t>タチヨ</t>
    </rPh>
    <rPh sb="2" eb="3">
      <t>ウ</t>
    </rPh>
    <rPh sb="4" eb="6">
      <t>ハイソウ</t>
    </rPh>
    <phoneticPr fontId="5"/>
  </si>
  <si>
    <t>伝発分類コード</t>
    <rPh sb="0" eb="1">
      <t>デンパツ</t>
    </rPh>
    <rPh sb="1" eb="3">
      <t>ブンルイ</t>
    </rPh>
    <phoneticPr fontId="5"/>
  </si>
  <si>
    <t>伝発分類名</t>
    <rPh sb="0" eb="1">
      <t>デンパツ</t>
    </rPh>
    <rPh sb="1" eb="3">
      <t>ブンルイ</t>
    </rPh>
    <rPh sb="3" eb="4">
      <t>メイ</t>
    </rPh>
    <phoneticPr fontId="5"/>
  </si>
  <si>
    <t>酒類コード</t>
    <rPh sb="0" eb="1">
      <t>シュルイ</t>
    </rPh>
    <phoneticPr fontId="5"/>
  </si>
  <si>
    <t>酒類名</t>
    <rPh sb="0" eb="1">
      <t>シュルイ</t>
    </rPh>
    <rPh sb="1" eb="2">
      <t>メイ</t>
    </rPh>
    <phoneticPr fontId="5"/>
  </si>
  <si>
    <t>国産/輸入</t>
    <rPh sb="0" eb="1">
      <t>コクサン</t>
    </rPh>
    <rPh sb="3" eb="5">
      <t>ユニュウ</t>
    </rPh>
    <phoneticPr fontId="5"/>
  </si>
  <si>
    <t>産地国コード</t>
    <rPh sb="0" eb="1">
      <t>サンチ</t>
    </rPh>
    <phoneticPr fontId="5"/>
  </si>
  <si>
    <t>産地国名</t>
    <rPh sb="0" eb="1">
      <t>サンチ</t>
    </rPh>
    <rPh sb="3" eb="4">
      <t>メイ</t>
    </rPh>
    <phoneticPr fontId="5"/>
  </si>
  <si>
    <t>産地地方コード</t>
    <rPh sb="0" eb="1">
      <t>サンチ</t>
    </rPh>
    <rPh sb="2" eb="4">
      <t>チホウ</t>
    </rPh>
    <phoneticPr fontId="5"/>
  </si>
  <si>
    <t>産地地方名</t>
    <rPh sb="0" eb="1">
      <t>サンチ</t>
    </rPh>
    <rPh sb="2" eb="4">
      <t>チホウ</t>
    </rPh>
    <rPh sb="4" eb="5">
      <t>メイ</t>
    </rPh>
    <phoneticPr fontId="5"/>
  </si>
  <si>
    <t>原料品種</t>
    <rPh sb="0" eb="1">
      <t>ゲンリョウ</t>
    </rPh>
    <rPh sb="1" eb="3">
      <t>ヒンシュ</t>
    </rPh>
    <phoneticPr fontId="5"/>
  </si>
  <si>
    <t>製造年</t>
    <rPh sb="0" eb="1">
      <t>セイゾウ</t>
    </rPh>
    <rPh sb="1" eb="2">
      <t>ネン</t>
    </rPh>
    <phoneticPr fontId="5"/>
  </si>
  <si>
    <t>正規・並行区分</t>
    <rPh sb="0" eb="1">
      <t>セイキ</t>
    </rPh>
    <rPh sb="2" eb="4">
      <t>ヘイコウ</t>
    </rPh>
    <rPh sb="4" eb="6">
      <t>クブン</t>
    </rPh>
    <phoneticPr fontId="5"/>
  </si>
  <si>
    <t>飲口区分コード</t>
    <rPh sb="0" eb="1">
      <t>クチ</t>
    </rPh>
    <rPh sb="1" eb="3">
      <t>クブン</t>
    </rPh>
    <phoneticPr fontId="5"/>
  </si>
  <si>
    <t>飲口区分名コード</t>
    <rPh sb="0" eb="1">
      <t>クチ</t>
    </rPh>
    <rPh sb="1" eb="3">
      <t>クブン</t>
    </rPh>
    <rPh sb="4" eb="5">
      <t>メイ</t>
    </rPh>
    <phoneticPr fontId="5"/>
  </si>
  <si>
    <t>メーカーコード</t>
    <phoneticPr fontId="5"/>
  </si>
  <si>
    <t>消化仕入区分</t>
    <rPh sb="0" eb="1">
      <t>ショウカ</t>
    </rPh>
    <rPh sb="1" eb="5">
      <t>シイレクブン</t>
    </rPh>
    <phoneticPr fontId="5"/>
  </si>
  <si>
    <t>マスタ単価区分</t>
    <rPh sb="2" eb="4">
      <t>タンカ</t>
    </rPh>
    <rPh sb="4" eb="6">
      <t>クブン</t>
    </rPh>
    <phoneticPr fontId="5"/>
  </si>
  <si>
    <t>代替商品コード</t>
    <rPh sb="0" eb="1">
      <t>ダイガ</t>
    </rPh>
    <rPh sb="1" eb="3">
      <t>ショウヒン</t>
    </rPh>
    <phoneticPr fontId="5"/>
  </si>
  <si>
    <t>代替商品変更日</t>
    <rPh sb="0" eb="1">
      <t>ダイガ</t>
    </rPh>
    <rPh sb="1" eb="3">
      <t>ショウヒン</t>
    </rPh>
    <rPh sb="4" eb="7">
      <t>ヘンコウビ</t>
    </rPh>
    <phoneticPr fontId="5"/>
  </si>
  <si>
    <t>出荷規制</t>
    <rPh sb="0" eb="1">
      <t>シュッカ</t>
    </rPh>
    <rPh sb="1" eb="3">
      <t>キセイ</t>
    </rPh>
    <phoneticPr fontId="5"/>
  </si>
  <si>
    <t>品切時食品館優先</t>
    <rPh sb="0" eb="1">
      <t>シナギ</t>
    </rPh>
    <rPh sb="1" eb="2">
      <t>ジ</t>
    </rPh>
    <rPh sb="2" eb="5">
      <t>ショクヒンカン</t>
    </rPh>
    <rPh sb="5" eb="7">
      <t>ユウセン</t>
    </rPh>
    <phoneticPr fontId="5"/>
  </si>
  <si>
    <t>季節限定区分</t>
    <rPh sb="0" eb="1">
      <t>キセツ</t>
    </rPh>
    <rPh sb="1" eb="3">
      <t>ゲンテイ</t>
    </rPh>
    <rPh sb="3" eb="5">
      <t>クブン</t>
    </rPh>
    <phoneticPr fontId="5"/>
  </si>
  <si>
    <t>店舗取扱区分</t>
    <rPh sb="0" eb="1">
      <t>テンポ</t>
    </rPh>
    <rPh sb="1" eb="3">
      <t>トリアツカ</t>
    </rPh>
    <rPh sb="3" eb="5">
      <t>クブン</t>
    </rPh>
    <phoneticPr fontId="5"/>
  </si>
  <si>
    <t>国分B商品</t>
    <rPh sb="0" eb="1">
      <t>コクブ</t>
    </rPh>
    <rPh sb="2" eb="4">
      <t>ショウヒン</t>
    </rPh>
    <phoneticPr fontId="5"/>
  </si>
  <si>
    <t>不定貫フラグ</t>
    <rPh sb="0" eb="2">
      <t>フテイカン</t>
    </rPh>
    <phoneticPr fontId="5"/>
  </si>
  <si>
    <t>不定貫単位区分</t>
    <rPh sb="0" eb="2">
      <t>フテイカン</t>
    </rPh>
    <rPh sb="2" eb="4">
      <t>タンイ</t>
    </rPh>
    <rPh sb="4" eb="6">
      <t>クブン</t>
    </rPh>
    <phoneticPr fontId="5"/>
  </si>
  <si>
    <t>不定貫単位</t>
    <rPh sb="0" eb="2">
      <t>フテイカン</t>
    </rPh>
    <rPh sb="2" eb="4">
      <t>タンイ</t>
    </rPh>
    <phoneticPr fontId="5"/>
  </si>
  <si>
    <t>予備区分1</t>
    <rPh sb="0" eb="3">
      <t>ヨビクブン</t>
    </rPh>
    <phoneticPr fontId="5"/>
  </si>
  <si>
    <t>予備区分2</t>
    <rPh sb="0" eb="3">
      <t>ヨビクブン</t>
    </rPh>
    <phoneticPr fontId="5"/>
  </si>
  <si>
    <t>予備区分3</t>
    <rPh sb="0" eb="3">
      <t>ヨビクブン</t>
    </rPh>
    <phoneticPr fontId="5"/>
  </si>
  <si>
    <t>予備区分4</t>
    <rPh sb="0" eb="3">
      <t>ヨビクブン</t>
    </rPh>
    <phoneticPr fontId="5"/>
  </si>
  <si>
    <t>予備区分5</t>
    <rPh sb="0" eb="3">
      <t>ヨビクブン</t>
    </rPh>
    <phoneticPr fontId="5"/>
  </si>
  <si>
    <t>予備区分6</t>
    <rPh sb="0" eb="3">
      <t>ヨビクブン</t>
    </rPh>
    <phoneticPr fontId="5"/>
  </si>
  <si>
    <t>予備区分7</t>
    <rPh sb="0" eb="3">
      <t>ヨビクブン</t>
    </rPh>
    <phoneticPr fontId="5"/>
  </si>
  <si>
    <t>予備区分8</t>
    <rPh sb="0" eb="3">
      <t>ヨビクブン</t>
    </rPh>
    <phoneticPr fontId="5"/>
  </si>
  <si>
    <t>得意先別割当商品</t>
    <rPh sb="0" eb="2">
      <t>トクイサキ</t>
    </rPh>
    <rPh sb="2" eb="3">
      <t>ベツ</t>
    </rPh>
    <rPh sb="3" eb="5">
      <t>ワリアテ</t>
    </rPh>
    <rPh sb="5" eb="7">
      <t>ショウヒン</t>
    </rPh>
    <phoneticPr fontId="5"/>
  </si>
  <si>
    <t>予備区分10</t>
    <rPh sb="0" eb="3">
      <t>ヨビクブン</t>
    </rPh>
    <phoneticPr fontId="5"/>
  </si>
  <si>
    <t>取り寄せ区分</t>
    <rPh sb="1" eb="2">
      <t>ヨ</t>
    </rPh>
    <rPh sb="3" eb="5">
      <t>クブン</t>
    </rPh>
    <phoneticPr fontId="5"/>
  </si>
  <si>
    <t>横持総ピック対象</t>
    <rPh sb="0" eb="1">
      <t>ヨコモチ</t>
    </rPh>
    <rPh sb="1" eb="2">
      <t>ソウ</t>
    </rPh>
    <rPh sb="5" eb="7">
      <t>タイショウ</t>
    </rPh>
    <phoneticPr fontId="5"/>
  </si>
  <si>
    <t>麦芽比率</t>
    <rPh sb="0" eb="1">
      <t>バクガ</t>
    </rPh>
    <rPh sb="1" eb="3">
      <t>ヒリツ</t>
    </rPh>
    <phoneticPr fontId="5"/>
  </si>
  <si>
    <t>元商品コード</t>
    <rPh sb="0" eb="2">
      <t>ショウヒン</t>
    </rPh>
    <phoneticPr fontId="5"/>
  </si>
  <si>
    <t>予備コード3</t>
    <rPh sb="0" eb="1">
      <t>ヨビ</t>
    </rPh>
    <phoneticPr fontId="5"/>
  </si>
  <si>
    <t>予備コード5</t>
    <rPh sb="0" eb="1">
      <t>ヨビ</t>
    </rPh>
    <phoneticPr fontId="5"/>
  </si>
  <si>
    <t>予備コード6</t>
    <rPh sb="0" eb="1">
      <t>ヨビ</t>
    </rPh>
    <phoneticPr fontId="5"/>
  </si>
  <si>
    <t>予備コード7</t>
    <rPh sb="0" eb="1">
      <t>ヨビ</t>
    </rPh>
    <phoneticPr fontId="5"/>
  </si>
  <si>
    <t>他社商品フラグ</t>
    <rPh sb="0" eb="1">
      <t>タシャ</t>
    </rPh>
    <rPh sb="1" eb="3">
      <t>ショウヒン</t>
    </rPh>
    <phoneticPr fontId="5"/>
  </si>
  <si>
    <t>予備日付01</t>
    <rPh sb="0" eb="1">
      <t>ヨビ</t>
    </rPh>
    <rPh sb="1" eb="3">
      <t>ヒヅケ</t>
    </rPh>
    <phoneticPr fontId="5"/>
  </si>
  <si>
    <t>予備日付02</t>
    <rPh sb="0" eb="1">
      <t>ヨビ</t>
    </rPh>
    <rPh sb="1" eb="3">
      <t>ヒヅケ</t>
    </rPh>
    <phoneticPr fontId="5"/>
  </si>
  <si>
    <t>予備日付03</t>
    <rPh sb="0" eb="1">
      <t>ヨビ</t>
    </rPh>
    <rPh sb="1" eb="3">
      <t>ヒヅケ</t>
    </rPh>
    <phoneticPr fontId="5"/>
  </si>
  <si>
    <t>予備日付04</t>
    <rPh sb="0" eb="1">
      <t>ヨビ</t>
    </rPh>
    <rPh sb="1" eb="3">
      <t>ヒヅケ</t>
    </rPh>
    <phoneticPr fontId="5"/>
  </si>
  <si>
    <t>予備日付05</t>
    <rPh sb="0" eb="1">
      <t>ヨビ</t>
    </rPh>
    <rPh sb="1" eb="3">
      <t>ヒヅケ</t>
    </rPh>
    <phoneticPr fontId="5"/>
  </si>
  <si>
    <t>予備数値01</t>
    <rPh sb="0" eb="1">
      <t>ヨビ</t>
    </rPh>
    <rPh sb="2" eb="4">
      <t>スウチ</t>
    </rPh>
    <phoneticPr fontId="5"/>
  </si>
  <si>
    <t>予備数値02</t>
    <rPh sb="0" eb="1">
      <t>ヨビ</t>
    </rPh>
    <rPh sb="2" eb="4">
      <t>スウチ</t>
    </rPh>
    <phoneticPr fontId="5"/>
  </si>
  <si>
    <t>予備数値03</t>
    <rPh sb="0" eb="1">
      <t>ヨビ</t>
    </rPh>
    <rPh sb="2" eb="4">
      <t>スウチ</t>
    </rPh>
    <phoneticPr fontId="5"/>
  </si>
  <si>
    <t>予備数値04</t>
    <rPh sb="0" eb="1">
      <t>ヨビ</t>
    </rPh>
    <rPh sb="2" eb="4">
      <t>スウチ</t>
    </rPh>
    <phoneticPr fontId="5"/>
  </si>
  <si>
    <t>予備名称2</t>
    <rPh sb="0" eb="1">
      <t>ヨビ</t>
    </rPh>
    <rPh sb="2" eb="4">
      <t>メイショウ</t>
    </rPh>
    <phoneticPr fontId="5"/>
  </si>
  <si>
    <t>ITFコード</t>
    <phoneticPr fontId="5"/>
  </si>
  <si>
    <t>本番サーバ</t>
    <rPh sb="0" eb="1">
      <t>ホンバン</t>
    </rPh>
    <phoneticPr fontId="5"/>
  </si>
  <si>
    <t>検証サーバ</t>
    <rPh sb="0" eb="1">
      <t>ケンショウ</t>
    </rPh>
    <phoneticPr fontId="5"/>
  </si>
  <si>
    <t>販売開始</t>
    <rPh sb="0" eb="1">
      <t>ハンバイ</t>
    </rPh>
    <rPh sb="1" eb="3">
      <t>カイシ</t>
    </rPh>
    <phoneticPr fontId="5"/>
  </si>
  <si>
    <t>販売終了</t>
    <rPh sb="0" eb="1">
      <t>ハンバイ</t>
    </rPh>
    <rPh sb="1" eb="3">
      <t>シュウリョウ</t>
    </rPh>
    <phoneticPr fontId="5"/>
  </si>
  <si>
    <t>展示番号</t>
    <rPh sb="0" eb="1">
      <t>テンジ</t>
    </rPh>
    <rPh sb="1" eb="3">
      <t>バンゴウ</t>
    </rPh>
    <phoneticPr fontId="5"/>
  </si>
  <si>
    <t>展示名</t>
    <rPh sb="0" eb="2">
      <t>テンジメイ</t>
    </rPh>
    <phoneticPr fontId="5"/>
  </si>
  <si>
    <t>冷やし可能（バラ）</t>
    <rPh sb="2" eb="4">
      <t>カノウ</t>
    </rPh>
    <phoneticPr fontId="5"/>
  </si>
  <si>
    <t>冷やし可能（ケース）</t>
    <rPh sb="2" eb="4">
      <t>カノウ</t>
    </rPh>
    <phoneticPr fontId="5"/>
  </si>
  <si>
    <t>納期区分</t>
    <rPh sb="0" eb="1">
      <t>ノウキ</t>
    </rPh>
    <rPh sb="1" eb="3">
      <t>クブン</t>
    </rPh>
    <phoneticPr fontId="5"/>
  </si>
  <si>
    <t>リードタイム</t>
    <phoneticPr fontId="5"/>
  </si>
  <si>
    <t>温度帯</t>
    <rPh sb="0" eb="2">
      <t>オンドタイ</t>
    </rPh>
    <phoneticPr fontId="5"/>
  </si>
  <si>
    <t>取扱区分</t>
    <rPh sb="0" eb="1">
      <t>トリアツカイ</t>
    </rPh>
    <rPh sb="1" eb="3">
      <t>クブン</t>
    </rPh>
    <phoneticPr fontId="5"/>
  </si>
  <si>
    <t>直送配送料</t>
    <rPh sb="0" eb="1">
      <t>チョクソウ</t>
    </rPh>
    <rPh sb="1" eb="4">
      <t>ハイソウリョウ</t>
    </rPh>
    <phoneticPr fontId="5"/>
  </si>
  <si>
    <t>キャッチコピー</t>
    <phoneticPr fontId="5"/>
  </si>
  <si>
    <t>商品説明</t>
    <rPh sb="0" eb="1">
      <t>ショウヒン</t>
    </rPh>
    <rPh sb="1" eb="3">
      <t>セツメイ</t>
    </rPh>
    <phoneticPr fontId="5"/>
  </si>
  <si>
    <t>カクヤスのひとこと</t>
    <phoneticPr fontId="5"/>
  </si>
  <si>
    <t>飲み口（★）</t>
    <rPh sb="1" eb="2">
      <t>クチ</t>
    </rPh>
    <phoneticPr fontId="5"/>
  </si>
  <si>
    <t>飲み口（あたり）</t>
    <rPh sb="1" eb="2">
      <t>クチ</t>
    </rPh>
    <phoneticPr fontId="5"/>
  </si>
  <si>
    <t>酒度</t>
    <rPh sb="0" eb="1">
      <t>シュド</t>
    </rPh>
    <phoneticPr fontId="5"/>
  </si>
  <si>
    <t>酸度</t>
    <rPh sb="0" eb="1">
      <t>サンド</t>
    </rPh>
    <phoneticPr fontId="5"/>
  </si>
  <si>
    <t>発注先コード</t>
    <rPh sb="0" eb="1">
      <t>ハッチュウ</t>
    </rPh>
    <rPh sb="1" eb="2">
      <t>サキ</t>
    </rPh>
    <phoneticPr fontId="5"/>
  </si>
  <si>
    <t>発注先名</t>
    <rPh sb="0" eb="1">
      <t>ハッチュウ</t>
    </rPh>
    <rPh sb="1" eb="2">
      <t>サキ</t>
    </rPh>
    <rPh sb="2" eb="3">
      <t>メイ</t>
    </rPh>
    <phoneticPr fontId="5"/>
  </si>
  <si>
    <t>帳合先コード</t>
    <rPh sb="0" eb="2">
      <t>チョウアイサキ</t>
    </rPh>
    <phoneticPr fontId="5"/>
  </si>
  <si>
    <t>帳合先名</t>
    <rPh sb="0" eb="1">
      <t>チョウアイ</t>
    </rPh>
    <rPh sb="1" eb="2">
      <t>メイ</t>
    </rPh>
    <phoneticPr fontId="5"/>
  </si>
  <si>
    <t>0する</t>
    <phoneticPr fontId="5"/>
  </si>
  <si>
    <t>0対象</t>
    <rPh sb="1" eb="3">
      <t>タイショウ</t>
    </rPh>
    <phoneticPr fontId="5"/>
  </si>
  <si>
    <t>409701</t>
  </si>
  <si>
    <t>1酒類以外</t>
  </si>
  <si>
    <t>【ﾍﾟｯﾄ用】ﾃﾞｵｼｰﾄしっかり超吸収無香消臭ﾀｲﾌﾟ ﾜｲﾄﾞ</t>
  </si>
  <si>
    <t>ﾃﾞｵｼｰﾄｼｯｶﾘﾁｮｳｷｭｳｼｭｳﾑｺｳｼｮｳｼｭｳﾀｲﾌﾟﾜｲﾄﾞ</t>
  </si>
  <si>
    <t>DSﾁｮｳｷｭｳｼｭｳﾑｺｳﾜｲﾄﾞ</t>
  </si>
  <si>
    <t>0</t>
  </si>
  <si>
    <t>36ﾏｲ</t>
  </si>
  <si>
    <t>11.5</t>
  </si>
  <si>
    <t>1735</t>
  </si>
  <si>
    <t>02C/S</t>
  </si>
  <si>
    <t>05個</t>
  </si>
  <si>
    <t>0外税</t>
  </si>
  <si>
    <t>その他</t>
  </si>
  <si>
    <t>2常温</t>
  </si>
  <si>
    <t>0在庫品</t>
  </si>
  <si>
    <t>不可</t>
  </si>
  <si>
    <t>雑品　その他　　　　　　　</t>
  </si>
  <si>
    <t>その他商品</t>
  </si>
  <si>
    <t>ユニ・チャーム株式会社</t>
  </si>
  <si>
    <t>4520699671153</t>
  </si>
  <si>
    <t>【ﾍﾟｯﾄ用】ﾃﾞｵｼｰﾄしっかり超吸収無香無臭 ｽｰﾊﾟｰﾜｲﾄﾞ</t>
  </si>
  <si>
    <t>ﾃﾞｵｼｰﾄｼｯｶﾘﾁｮｳｷｭｳｼｭｳﾑｺｳｼｮｳｼｭｳﾀｲﾌﾟｽｰﾊﾟｰﾜｲﾄﾞ</t>
  </si>
  <si>
    <t>DSﾁｮｳｷｭｳｼｭｳﾑｺｳSPﾜｲﾄﾞ</t>
  </si>
  <si>
    <t>15ﾏｲ</t>
  </si>
  <si>
    <t>8.8</t>
  </si>
  <si>
    <t>1876</t>
  </si>
  <si>
    <t>0する</t>
  </si>
  <si>
    <t>0410003530020</t>
  </si>
  <si>
    <t>【ﾍﾟｯﾄ用】ﾃﾞｵｼｰﾄ消臭&amp;ﾌﾚｸﾞﾗﾝｽﾌﾛｰﾗﾙｼｬﾎﾞﾝの香りﾚｷﾞｭﾗｰ</t>
  </si>
  <si>
    <t>ﾃﾞｵｼｰﾄｼｮｳｼｭｳｱﾝﾄﾞﾌﾚｸﾞﾗﾝｽﾌﾛｰﾗﾙｼｬﾎﾞﾝﾉｶｵﾘﾚｷﾞｭﾗｰ</t>
  </si>
  <si>
    <t>DSｼｮｳｼｭｳｼｬﾎﾞﾝﾚｷﾞｭﾗｰ</t>
  </si>
  <si>
    <t>84ﾏｲ</t>
  </si>
  <si>
    <t>11</t>
  </si>
  <si>
    <t>1539</t>
  </si>
  <si>
    <t>0410003530037</t>
  </si>
  <si>
    <t>【ﾍﾟｯﾄ用】ﾃﾞｵｼｰﾄ消臭&amp;ﾌﾚｸﾞﾗﾝｽ ﾌﾛｰﾗﾙｼｬﾎﾞﾝの香り ﾜｲﾄﾞ</t>
  </si>
  <si>
    <t>ﾃﾞｵｼｰﾄｼｮｳｼｭｳｱﾝﾄﾞﾌﾚｸﾞﾗﾝｽﾌﾛｰﾗﾙｼｬﾎﾞﾝﾉｶｵﾘﾜｲﾄﾞ</t>
  </si>
  <si>
    <t>DSｼｮｳｼｭｳｼｬﾎﾞﾝﾜｲﾄﾞ</t>
  </si>
  <si>
    <t>42ﾏｲ</t>
  </si>
  <si>
    <t>10.7</t>
  </si>
  <si>
    <t>1495</t>
  </si>
  <si>
    <t>0410003530044</t>
  </si>
  <si>
    <t>【ﾍﾟｯﾄ用】ﾏﾅｰｳｪｱ男の子用 SSS 青ﾁｪｯｸ･紺ﾁｪｯｸ</t>
  </si>
  <si>
    <t>ﾏﾅｰｳｪｱｵﾄｺﾉｺﾄｳSSSｱｵﾁｪｯｸｺﾝﾁｪｯｸ</t>
  </si>
  <si>
    <t>ﾏﾅｰｳｪｱｵﾄｺﾉｺSSSｱｵﾁｪｸ</t>
  </si>
  <si>
    <t>52ﾏｲ</t>
  </si>
  <si>
    <t>5.4</t>
  </si>
  <si>
    <t>551</t>
  </si>
  <si>
    <t>0410003530051</t>
  </si>
  <si>
    <t>【ﾍﾟｯﾄ用】ﾏﾅｰｳｪｱ男の子用 SS 青ﾁｪｯｸ･紺ﾁｪｯｸ</t>
  </si>
  <si>
    <t>ﾏﾅｰｳｪｱｵﾄｺﾉｺﾄｳSSｱｵﾁｪｯｸｺﾝﾁｪｯｸ</t>
  </si>
  <si>
    <t>ﾏﾅｰｳｪｱｵﾄｺﾉｺSSｱｵﾁｪｸ</t>
  </si>
  <si>
    <t>48ﾏｲ</t>
  </si>
  <si>
    <t>7.2</t>
  </si>
  <si>
    <t>739</t>
  </si>
  <si>
    <t>4520699675441</t>
  </si>
  <si>
    <t>【ﾍﾟｯﾄ用】ﾏﾅｰｳｪｱ男の子用 S 青ﾁｪｯｸ･紺ﾁｪｯｸ</t>
  </si>
  <si>
    <t>ﾏﾅｰｳｪｱｵﾄｺﾉｺﾄｳSｱｵﾁｪｯｸｺﾝﾁｪｯｸ</t>
  </si>
  <si>
    <t>ﾏﾅｰｳｪｱｵﾄｺﾉｺSｱｵﾁｪｸ</t>
  </si>
  <si>
    <t>46ﾏｲ</t>
  </si>
  <si>
    <t>7.3</t>
  </si>
  <si>
    <t>762</t>
  </si>
  <si>
    <t>4520699636275</t>
  </si>
  <si>
    <t>【ﾍﾟｯﾄ用】ﾏﾅｰｳｪｱ男の子用 M 青ﾁｪｯｸ･紺ﾁｪｯｸ</t>
  </si>
  <si>
    <t>ﾏﾅｰｳｪｱｵﾄｺﾉｺﾄｳMｱｵﾁｪｯｸｺﾝﾁｪｯｸ</t>
  </si>
  <si>
    <t>ﾏﾅｰｳｪｱｵﾄｺﾉｺMｱｵﾁｪｸ</t>
  </si>
  <si>
    <t>8</t>
  </si>
  <si>
    <t>837</t>
  </si>
  <si>
    <t>0410003530082</t>
  </si>
  <si>
    <t>【ﾍﾟｯﾄ用】ﾏﾅｰｳｪｱ男の子用 L 青ﾁｪｯｸ･紺ﾁｪｯｸ</t>
  </si>
  <si>
    <t>ﾏﾅｰｳｪｱｵﾄｺﾉｺﾄｳLｱｵﾁｪｯｸｺﾝﾁｪｯｸ</t>
  </si>
  <si>
    <t>ﾏﾅｰｳｪｱｵﾄｺﾉｺLｱｵﾁｪｸ</t>
  </si>
  <si>
    <t>40ﾏｲ</t>
  </si>
  <si>
    <t>8.7</t>
  </si>
  <si>
    <t>915</t>
  </si>
  <si>
    <t>0410003530099</t>
  </si>
  <si>
    <t>【ﾍﾟｯﾄ用】ﾏﾅｰｳｪｱ男の子用 LL 青ﾁｪｯｸ･紺ﾁｪｯｸ</t>
  </si>
  <si>
    <t>ﾏﾅｰｳｪｱｵﾄｺﾉｺﾄｳLLｱｵﾁｪｯｸｺﾝﾁｪｯｸ</t>
  </si>
  <si>
    <t>ﾏﾅｰｳｪｱｵﾄｺﾉｺLLｱｵﾁｪｸ</t>
  </si>
  <si>
    <t>32ﾏｲ</t>
  </si>
  <si>
    <t>1204</t>
  </si>
  <si>
    <t>0410003530105</t>
  </si>
  <si>
    <t>【ﾍﾟｯﾄ用】ﾏﾅｰｳｪｱ女の子用 SSS ﾋﾟﾝｸﾘﾎﾞﾝ･青ﾘﾎﾞﾝ</t>
  </si>
  <si>
    <t>ﾏﾅｰｳｪｱｵﾝﾅﾉｺﾖｳSSSﾋﾟﾝｸﾘﾎﾞﾝｱｵﾘﾎﾞﾝ</t>
  </si>
  <si>
    <t>ﾏﾅｰｳｪｱｵﾝﾅﾉｺSSSﾋﾟﾝｸ</t>
  </si>
  <si>
    <t>4.6</t>
  </si>
  <si>
    <t>338</t>
  </si>
  <si>
    <t>4520699677476</t>
  </si>
  <si>
    <t>【ﾍﾟｯﾄ用】ﾏﾅｰｳｪｱ女の子用 SS ﾋﾟﾝｸﾘﾎﾞﾝ･青ﾘﾎﾞﾝ</t>
  </si>
  <si>
    <t>ﾏﾅｰｳｪｱｵﾝﾅﾉｺﾖｳSSﾋﾟﾝｸﾘﾎﾞﾝｱｵﾘﾎﾞﾝ</t>
  </si>
  <si>
    <t>ﾏﾅｰｳｪｱｵﾝﾅﾉｺSSﾋﾟﾝｸ</t>
  </si>
  <si>
    <t>38ﾏｲ</t>
  </si>
  <si>
    <t>4.2</t>
  </si>
  <si>
    <t>446</t>
  </si>
  <si>
    <t>4520699686560</t>
  </si>
  <si>
    <t>【ﾍﾟｯﾄ用】ﾏﾅｰｳｪｱ女の子用 S ﾋﾟﾝｸﾘﾎﾞﾝ･青ﾘﾎﾞﾝ</t>
  </si>
  <si>
    <t>ﾏﾅｰｳｪｱｵﾝﾅﾉｺﾖｳSﾋﾟﾝｸﾘﾎﾞﾝｱｵﾘﾎﾞﾝ</t>
  </si>
  <si>
    <t>ﾏﾅｰｳｪｱｵﾝﾅﾉｺSﾋﾟﾝｸ</t>
  </si>
  <si>
    <t>4.9</t>
  </si>
  <si>
    <t>529</t>
  </si>
  <si>
    <t>4520699686638</t>
  </si>
  <si>
    <t>【ﾍﾟｯﾄ用】ﾏﾅｰｳｪｱ女の子用 M ﾋﾟﾝｸﾘﾎﾞﾝ･青ﾘﾎﾞﾝ</t>
  </si>
  <si>
    <t>ﾏﾅｰｳｪｱｵﾝﾅﾉｺﾖｳMﾋﾟﾝｸﾘﾎﾞﾝｱｵﾘﾎﾞﾝ</t>
  </si>
  <si>
    <t>ﾏﾅｰｳｪｱｵﾝﾅﾉｺMﾋﾟﾝｸ</t>
  </si>
  <si>
    <t>34ﾏｲ</t>
  </si>
  <si>
    <t>6.8</t>
  </si>
  <si>
    <t>658</t>
  </si>
  <si>
    <t>4520699686881</t>
  </si>
  <si>
    <t>【ﾍﾟｯﾄ用】ﾏﾅｰｳｪｱ女の子用 L ﾋﾟﾝｸﾘﾎﾞﾝ･青ﾘﾎﾞﾝ</t>
  </si>
  <si>
    <t>ﾏﾅｰｳｪｱｵﾝﾅﾉｺﾖｳLﾋﾟﾝｸﾘﾎﾞﾝｱｵﾘﾎﾞﾝ</t>
  </si>
  <si>
    <t>ﾏﾅｰｳｪｱｵﾝﾅﾉｺLﾋﾟﾝｸ</t>
  </si>
  <si>
    <t>7.4</t>
  </si>
  <si>
    <t>740</t>
  </si>
  <si>
    <t>4520699680841</t>
  </si>
  <si>
    <t>【ﾍﾟｯﾄ用】ﾏﾅｰｳｪｱ長時間ｵﾑﾂ SSS</t>
  </si>
  <si>
    <t>ﾏﾅｰｳｪｱﾁｮｳｼﾞｶﾝｵﾑﾂSSS</t>
  </si>
  <si>
    <t>360</t>
  </si>
  <si>
    <t>4520699648612</t>
  </si>
  <si>
    <t>【ﾍﾟｯﾄ用】ﾏﾅｰｳｪｱ長時間ｵﾑﾂ SS</t>
  </si>
  <si>
    <t>ﾏﾅｰｳｪｱﾁｮｳｼﾞｶﾝｵﾑﾂSS</t>
  </si>
  <si>
    <t>30ﾏｲ</t>
  </si>
  <si>
    <t>4.5</t>
  </si>
  <si>
    <t>484</t>
  </si>
  <si>
    <t>4520699648841</t>
  </si>
  <si>
    <t>【ﾍﾟｯﾄ用】ﾏﾅｰｳｪｱ長時間ｵﾑﾂ S</t>
  </si>
  <si>
    <t>ﾏﾅｰｳｪｱﾁｮｳｼﾞｶﾝｵﾑﾂS</t>
  </si>
  <si>
    <t>5.5</t>
  </si>
  <si>
    <t>606</t>
  </si>
  <si>
    <t>4520699649381</t>
  </si>
  <si>
    <t>【ﾍﾟｯﾄ用】ﾏﾅｰｳｪｱ長時間ｵﾑﾂ M</t>
  </si>
  <si>
    <t>ﾏﾅｰｳｪｱﾁｮｳｼﾞｶﾝｵﾑﾂM</t>
  </si>
  <si>
    <t>28ﾏｲ</t>
  </si>
  <si>
    <t>736</t>
  </si>
  <si>
    <t>4520699649732</t>
  </si>
  <si>
    <t>【ﾍﾟｯﾄ用】ﾏﾅｰｳｪｱ長時間ｵﾑﾂ L</t>
  </si>
  <si>
    <t>ﾏﾅｰｳｪｱﾁｮｳｼﾞｶﾝｵﾑﾂl</t>
  </si>
  <si>
    <t>ﾏﾅｰｳｪｱﾁｮｳｼﾞｶﾝｵﾑﾂL</t>
  </si>
  <si>
    <t>26ﾏｲ</t>
  </si>
  <si>
    <t>8.4</t>
  </si>
  <si>
    <t>855</t>
  </si>
  <si>
    <t>4520699650271</t>
  </si>
  <si>
    <t>【ﾍﾟｯﾄ用】ﾃﾞｵﾄｲﾚ飛び散らない消臭･抗菌ｻﾝﾄﾞ</t>
  </si>
  <si>
    <t>ﾃﾞｵﾄｲﾚﾄﾋﾞﾁﾗﾅｲｼｮｳｼｭｳｺｳｷﾝｻﾝﾄﾞ</t>
  </si>
  <si>
    <t>DTﾄﾋﾞﾁﾗﾅｲｼｮｳｼｭｳｻﾝﾄﾞ</t>
  </si>
  <si>
    <t>4L</t>
  </si>
  <si>
    <t>14.3</t>
  </si>
  <si>
    <t>3538</t>
  </si>
  <si>
    <t>4520699651155</t>
  </si>
  <si>
    <t>【ﾍﾟｯﾄ用】ﾃﾞｵﾄｲﾚ飛び散らない緑茶成分入消臭ｻﾝﾄﾞ</t>
  </si>
  <si>
    <t>ﾃﾞｵﾄｲﾚﾄﾋﾞﾁﾗﾅｲﾘｮｸﾁｬｾｲﾌﾞﾝｲﾘｼｮｳｼｭｳｻﾝﾄﾞ</t>
  </si>
  <si>
    <t>DTﾄﾋﾞﾁﾗﾅｲﾘｮｸﾁｬｻﾝﾄﾞ</t>
  </si>
  <si>
    <t>12.1</t>
  </si>
  <si>
    <t>1440</t>
  </si>
  <si>
    <t>0410003530228</t>
  </si>
  <si>
    <t>【ﾍﾟｯﾄ用】ﾃﾞｵﾄｲﾚふんわり香る消臭抗菌ｻﾝﾄﾞ ﾎﾜｲﾄﾌﾛｰﾗﾙ</t>
  </si>
  <si>
    <t>ﾃﾞｵﾄｲﾚﾌﾝﾜﾘｶｵﾙｼｮｳｼｭｳｺｳｷﾝｻﾝﾄﾞﾎﾜｲﾄﾌﾛｰﾗﾙ</t>
  </si>
  <si>
    <t>DTｶｵﾙｻﾝﾄﾞﾎﾜｲﾄﾌﾛｰﾗﾙ</t>
  </si>
  <si>
    <t>3.8L</t>
  </si>
  <si>
    <t>13.5</t>
  </si>
  <si>
    <t>3362</t>
  </si>
  <si>
    <t>0410003530235</t>
  </si>
  <si>
    <t>【ﾍﾟｯﾄ用】ﾃﾞｵﾄｲﾚふんわり香る消臭抗菌ｻﾝﾄﾞﾅﾁｭﾗﾙｸﾞﾘｰﾝ</t>
  </si>
  <si>
    <t>ﾃﾞｵﾄｲﾚﾌﾝﾜﾘｶｵﾙｼｮｳｼｭｳｺｳｷﾝｻﾝﾄﾞﾅﾁｭﾗﾙｸﾞﾘｰﾝ</t>
  </si>
  <si>
    <t>DTｶｵﾙｻﾝﾄﾞﾅﾁｭﾗﾙｸﾞﾘｰﾝ</t>
  </si>
  <si>
    <t>0410003530242</t>
  </si>
  <si>
    <t>【ﾍﾟｯﾄ用】ﾃﾞｵﾄｲﾚ消臭･抗菌ｼｰﾄ</t>
  </si>
  <si>
    <t>ﾃﾞｵﾄｲﾚｼｮｳｼｭｳｺｳｷﾝｼｰﾄ</t>
  </si>
  <si>
    <t>DTｼｮｳｼｭｳｺｳｷﾝｼｰﾄ</t>
  </si>
  <si>
    <t>10ﾏｲ</t>
  </si>
  <si>
    <t>12.3</t>
  </si>
  <si>
    <t>455</t>
  </si>
  <si>
    <t>0410003530259</t>
  </si>
  <si>
    <t>【ﾍﾟｯﾄ用】ﾃﾞｵﾄｲﾚふんわり香る消臭抗菌ｼｰﾄﾅﾁｭﾗﾙｶﾞｰﾃﾞﾝ</t>
  </si>
  <si>
    <t>ﾃﾞｵﾄｲﾚﾌﾝﾜﾘｶｵﾙｼｮｳｼｭｳｺｳｷﾝｼｰﾄﾅﾁｭﾗﾙｶﾞｰﾃﾞﾝ</t>
  </si>
  <si>
    <t>DTｶｵﾙｼｰﾄﾅﾁｭﾗﾙｶﾞｰﾃﾞﾝ</t>
  </si>
  <si>
    <t>0410003530266</t>
  </si>
  <si>
    <t>【ﾍﾟｯﾄ用】ﾃﾞｵﾄｲﾚふんわり香る消臭抗菌ｼｰﾄ ﾅﾁｭﾗﾙｿｰﾌﾟ</t>
  </si>
  <si>
    <t>ﾃﾞｵﾄｲﾚﾌﾝﾜﾘｶｵﾙｼｮｳｼｭｳｺｳｷﾝｼｰﾄﾅﾁｭﾗﾙｿｰﾌﾟ</t>
  </si>
  <si>
    <t>DTｶｵﾙｼｰﾄﾅﾁｭﾗﾙｿｰﾌﾟ</t>
  </si>
  <si>
    <t>4520699628294</t>
  </si>
  <si>
    <t>【ﾍﾟｯﾄ用】ﾃﾞｵﾄｲﾚ複数ねこ用 消臭･抗菌ｼｰﾄ</t>
  </si>
  <si>
    <t>ﾃﾞｵﾄｲﾚﾌｸｽｳﾈｺﾖｳｼｮｳｼｭｳｺｳｷﾝｼｰﾄ</t>
  </si>
  <si>
    <t>DTﾌｸｽｳﾈｺﾖｳｼｮｳｼｭｳｼｰﾄ</t>
  </si>
  <si>
    <t>8ﾏｲ</t>
  </si>
  <si>
    <t>13.6</t>
  </si>
  <si>
    <t>503</t>
  </si>
  <si>
    <t>0410003530280</t>
  </si>
  <si>
    <t>【ﾍﾟｯﾄ用】AllWell室内猫用 ﾌｨｯｼｭ味小魚ささみ</t>
  </si>
  <si>
    <t>ｵｰﾙｳｪﾙｼﾂﾅｲﾈｺﾖｳﾌｨｯｼｭｱｼﾞｺｻﾞｶﾅｻｻﾐ</t>
  </si>
  <si>
    <t>AWｼﾂﾅｲﾈｺﾖｳﾌｨｯｼｭｱｼﾞ</t>
  </si>
  <si>
    <t>1.6KG</t>
  </si>
  <si>
    <t>1654</t>
  </si>
  <si>
    <t>0410003530297</t>
  </si>
  <si>
    <t>【ﾍﾟｯﾄ用】AllWell室内猫用 ﾁｷﾝ味小魚とささみ</t>
  </si>
  <si>
    <t>ｵｰﾙｳｪﾙｼﾂﾅｲﾈｺﾖｳﾁｷﾝｱｼﾞｺｻﾞｶﾅｻｻﾐ</t>
  </si>
  <si>
    <t>AWｼﾂﾅｲﾈｺﾖｳﾁｷﾝｱｼﾞ</t>
  </si>
  <si>
    <t>0410003530303</t>
  </si>
  <si>
    <t>【ﾍﾟｯﾄ用】AllWell15歳以上の腎臓健康維持用 ﾌｨｯｼｭ味</t>
  </si>
  <si>
    <t>ｵｰﾙｳｪﾙ15ｻｲｲｼﾞｮｳﾉｶﾝｿﾞｳｹﾝｺｳｲｼﾞﾖｳﾌｨｯｼｭｱｼﾞ</t>
  </si>
  <si>
    <t>AW15ｻｲｶﾝｿﾞｳｹﾝｺｳｲｼﾞ</t>
  </si>
  <si>
    <t>1.5KG</t>
  </si>
  <si>
    <t>8.3</t>
  </si>
  <si>
    <t>1553</t>
  </si>
  <si>
    <t>0410003530310</t>
  </si>
  <si>
    <t>【ﾍﾟｯﾄ用】AllWell避妊･去勢した猫の体重ｹｱ ﾌｨｯｼｭ味</t>
  </si>
  <si>
    <t>ｵｰﾙｳｪﾙﾋﾆﾝｷｮｾｲｼﾀﾈｺﾉﾀｲｼﾞｭｳｹｱﾌｨｯｼｭｱｼﾞ</t>
  </si>
  <si>
    <t>AWﾋﾆﾝｷｮｾｲﾈｺﾀｲｼﾞｭｳｹｱ</t>
  </si>
  <si>
    <t>0410003530327</t>
  </si>
  <si>
    <t>【ﾍﾟｯﾄ用】AllWell室内猫用贅沢素材入 ﾌｨｯｼｭ味</t>
  </si>
  <si>
    <t>ｵｰﾙｳｪﾙｼﾂﾅｲﾈｺﾖｳｾﾞｲﾀｸｿｻﾞｲｲﾘﾌｨｯｼｭｱｼﾞ</t>
  </si>
  <si>
    <t>AWｼﾂﾅｲﾈｺｾﾞｲﾀｸｿｻﾞｲF</t>
  </si>
  <si>
    <t>0410003530334</t>
  </si>
  <si>
    <t>【ﾍﾟｯﾄ用】ﾃﾞｵｼｰﾄ消臭&amp;ﾌﾚｸﾞﾗﾝｽ ｸﾞﾘｰﾝｱﾛﾏの香り ﾚｷﾞｭﾗｰ</t>
  </si>
  <si>
    <t>ﾃﾞｵｼｰﾄｼｮｳｼｭｳｱﾝﾄﾞﾌﾚｸﾞﾗﾝｽｸﾞﾘｰﾝｱﾛﾏﾝｵｶｵﾘﾚｷﾞｭﾗｰ</t>
  </si>
  <si>
    <t>DSｼｮｳｼｭｳｸﾞﾘｰﾝｱﾛﾏﾚｷﾞｭ</t>
  </si>
  <si>
    <t>0410003529109</t>
  </si>
  <si>
    <t>【ﾍﾟｯﾄ用】ﾃﾞｵｼｰﾄ消臭&amp;ﾌﾚｸﾞﾗﾝｽ ｸﾞﾘｰﾝｱﾛﾏの香り ﾜｲﾄﾞ</t>
  </si>
  <si>
    <t>ﾃﾞｵｼｰﾄｼｮｳｼｭｳｱﾝﾄﾞﾌﾚｸﾞﾗﾝｽｸﾞﾘｰﾝｱﾛﾏﾝｵｶｵﾘﾜｲﾄﾞ</t>
  </si>
  <si>
    <t>DSｼｮｳｼｭｳｸﾞﾘｰﾝｱﾛﾏﾜｲﾄﾞ</t>
  </si>
  <si>
    <t>0410003529116</t>
  </si>
  <si>
    <t>【ﾍﾟｯﾄ用】ﾃﾞｵｸﾘｰﾝ 純水99%ｳｪｯﾄﾃｨｯｼｭ つめかえ用</t>
  </si>
  <si>
    <t>ﾃﾞｵｸﾞﾘｰﾝｼﾞｭﾝｽｲ99ﾊﾟｰｾﾝﾄｳｪｯﾄﾃｨｯｼｭﾂﾒｶｴﾖｳ</t>
  </si>
  <si>
    <t>DCｼﾞｭﾝｽｲ99%ｳｪｯﾄﾂﾒｶｴ</t>
  </si>
  <si>
    <t>70ﾏｲ*3ｺ</t>
  </si>
  <si>
    <t>927</t>
  </si>
  <si>
    <t>0410003529185</t>
  </si>
  <si>
    <t>【ﾍﾟｯﾄ用】ﾃﾞｵｸﾘｰﾝ ﾉﾝｱﾙｺｰﾙ除菌ｳｪｯﾄﾃｨｯｼｭ つめかえ用</t>
  </si>
  <si>
    <t>ﾃﾞｵｸﾞﾘｰﾝﾉﾝｱﾙｺｰﾙｼﾞｮｷﾝｳｪｯﾄﾃｨｯｼｭﾂﾒｶｴﾖｳ</t>
  </si>
  <si>
    <t>DC NAｼﾞｮｷﾝｳｪｯﾄﾂﾒｶｴ</t>
  </si>
  <si>
    <t>60ﾏｲ*3ｺ</t>
  </si>
  <si>
    <t>6.2</t>
  </si>
  <si>
    <t>717</t>
  </si>
  <si>
    <t>4520699652282</t>
  </si>
  <si>
    <t>【ﾍﾟｯﾄ用】AllWell10歳以上の腎臓の健康維持用ﾌｨｯｼｭ味</t>
  </si>
  <si>
    <t>ｵｰﾙｳｪﾙ10ｻｲｲｼﾞｮｳﾉｶﾝｿﾞｳﾉｹﾝｺｳｲｼﾞﾖｳﾌｨｯｼｭｱｼﾞ</t>
  </si>
  <si>
    <t>AW10ｻｲｶﾝｿﾞｳｹﾝｺｳｲｼﾞ</t>
  </si>
  <si>
    <t>1552</t>
  </si>
  <si>
    <t>0410003529208</t>
  </si>
  <si>
    <t>【ﾍﾟｯﾄ用】AllWell健康に育つ子猫用 ﾌｨｯｼｭ味</t>
  </si>
  <si>
    <t>ｵｰﾙｳｪﾙｹﾝｺｳﾆｿﾀﾞﾂｺﾈｺﾖｳﾌｨｯｼｭｱｼﾞ</t>
  </si>
  <si>
    <t>AWｹﾝｺｳﾆｿﾀﾞﾂｺﾈｺ ﾌｨｯｼｭ</t>
  </si>
  <si>
    <t>0410003529215</t>
  </si>
  <si>
    <t>【ﾍﾟｯﾄ用】AllWell20歳以上の腎臓の健康維持用ﾌｨｯｼｭ味</t>
  </si>
  <si>
    <t>ｵｰﾙｳｪﾙ20ｻｲｲｼﾞｮｳﾉｶﾝｿﾞｳﾉｹﾝｺｳｲｼﾞﾖｳﾌｨｯｼｭｱｼﾞ</t>
  </si>
  <si>
    <t>AW20ｻｲｲｼﾞｮｳｶﾝｿﾞｳｹﾝｺｳ</t>
  </si>
  <si>
    <t>0410003529222</t>
  </si>
  <si>
    <t>【ﾍﾟｯﾄ用】銀のｽﾌﾟｰﾝ贅沢うまみ仕立てﾏｸﾞﾛ･ｶﾂｵ･煮干</t>
  </si>
  <si>
    <t>ｷﾞﾝﾉｽﾌﾟｰﾝｾﾞｲﾀｸｳﾏﾐｼﾞﾀﾃﾏｸﾞﾛｶﾂｵﾆﾎﾞｼ</t>
  </si>
  <si>
    <t>GSｾﾞｲﾀｸﾏｸﾞﾛｶﾂｵﾆﾎﾞｼ</t>
  </si>
  <si>
    <t>9.8</t>
  </si>
  <si>
    <t>1544</t>
  </si>
  <si>
    <t>0410003529239</t>
  </si>
  <si>
    <t>【ﾍﾟｯﾄ用】銀のｽﾌﾟｰﾝ贅沢うまみ仕立 食事吐戻し軽減</t>
  </si>
  <si>
    <t>ｷﾞﾝﾉｽﾌﾟｰﾝｾﾞｲﾀｸｳﾏﾐｼﾞﾀﾃｼｮｸｼﾞﾊｷﾓﾄﾞｼｹｲｹﾞﾝ</t>
  </si>
  <si>
    <t>GSｾﾞｲﾀｸﾊｷﾓﾄﾞｼｹｲｹﾞﾝ</t>
  </si>
  <si>
    <t>1.3KG</t>
  </si>
  <si>
    <t>8.6</t>
  </si>
  <si>
    <t>1344</t>
  </si>
  <si>
    <t>0410003529246</t>
  </si>
  <si>
    <t>【ﾍﾟｯﾄ用】銀のｽﾌﾟｰﾝ贅沢うまみ仕立て 毛玉ｹｱ</t>
  </si>
  <si>
    <t>ｷﾞﾝﾉｽﾌﾟｰﾝｾﾞｲﾀｸｳﾏﾐｼﾞﾀﾃｹﾀﾞﾏｹｱ</t>
  </si>
  <si>
    <t>GSｾﾞｲﾀｸｹﾀﾞﾏｹｱ</t>
  </si>
  <si>
    <t>1.4KG</t>
  </si>
  <si>
    <t>9.2</t>
  </si>
  <si>
    <t>1443</t>
  </si>
  <si>
    <t>0410003529253</t>
  </si>
  <si>
    <t>【ﾍﾟｯﾄ用】銀のｽﾌﾟｰﾝ贅沢うまみ仕立て 15歳頃からﾏｸﾞﾛ</t>
  </si>
  <si>
    <t>ｷﾞﾝﾉｽﾌﾟｰﾝｾﾞｲﾀｸｳﾏﾐｼﾞﾀﾃ15ｻｲｺﾞﾛｶﾗﾏｸﾞﾛ</t>
  </si>
  <si>
    <t>GSｾﾞｲﾀｸ15ｻｲｺﾞﾛｶﾗﾏｸﾞﾛ</t>
  </si>
  <si>
    <t>1343</t>
  </si>
  <si>
    <t>0410003529260</t>
  </si>
  <si>
    <t>【ﾍﾟｯﾄ用】銀のｽﾌﾟｰﾝ三ﾂ星ｸﾞﾙﾒ 4種ｱｿｰﾄ お魚ﾚｼﾋﾟ</t>
  </si>
  <si>
    <t>ｷﾞﾝﾉｽﾌﾟｰﾝﾐﾂﾎﾞｼｸﾞﾙﾒ4ｼｭｱｿｰﾄｵｻｶﾅﾚｼﾋﾟ</t>
  </si>
  <si>
    <t>GSﾐﾂﾎﾞｼ4ｼｭｱｿｰﾄｵｻｶﾅ</t>
  </si>
  <si>
    <t>200G</t>
  </si>
  <si>
    <t>4</t>
  </si>
  <si>
    <t>252</t>
  </si>
  <si>
    <t>0410003529277</t>
  </si>
  <si>
    <t>【ﾍﾟｯﾄ用】銀のｽﾌﾟｰﾝ三ﾂ星ｸﾞﾙﾒ お魚ﾚｼﾋﾟ</t>
  </si>
  <si>
    <t>ｷﾞﾝﾉｽﾌﾟｰﾝﾐﾂﾎﾞｼｸﾞﾙﾒｵｻｶﾅﾚｼﾋﾟ</t>
  </si>
  <si>
    <t>GSﾐﾂﾎﾞｼ ｵｻｶﾅﾚｼﾋﾟ</t>
  </si>
  <si>
    <t>240G</t>
  </si>
  <si>
    <t>292</t>
  </si>
  <si>
    <t>0410003529284</t>
  </si>
  <si>
    <t>【ﾍﾟｯﾄ用】銀のｽﾌﾟｰﾝ三ﾂ星ｸﾞﾙﾒ 15歳頃からお魚ﾚｼﾋﾟ</t>
  </si>
  <si>
    <t>ｷﾞﾝﾉｽﾌﾟｰﾝﾐﾂﾎﾞｼｸﾞﾙﾒ15ｻｲｺﾞﾛｶﾗｵｻｶﾅﾚｼﾋﾟ</t>
  </si>
  <si>
    <t>GSﾐﾂﾎﾞｼ15ｻｲｺﾞﾛｶﾗｵｻｶﾅ</t>
  </si>
  <si>
    <t>0410003529291</t>
  </si>
  <si>
    <t>【ﾍﾟｯﾄ用】銀のｽﾌﾟｰﾝ三ﾂ星ｸﾞﾙﾒ お魚ｸﾘｰﾑﾏｸﾞﾛ味3種ｱｿｰﾄ</t>
  </si>
  <si>
    <t>ｷﾞﾝﾉｽﾌﾟｰﾝﾐﾂﾎﾞｼｸﾞﾙﾒｵｻｶﾅｸﾘｰﾑﾏｸﾞﾛ3ｼｭｱｿｰﾄ</t>
  </si>
  <si>
    <t>GSﾐﾂﾎﾞｼｵｻｶﾅｸﾘｰﾑﾏｸﾞﾛ3</t>
  </si>
  <si>
    <t>180G</t>
  </si>
  <si>
    <t>3.2</t>
  </si>
  <si>
    <t>230</t>
  </si>
  <si>
    <t>0410003529307</t>
  </si>
  <si>
    <t>【ﾍﾟｯﾄ用】銀のｽﾌﾟｰﾝ三ﾂ星ｸﾞﾙﾒ お魚味ｸﾘｰﾑﾏｸﾞﾛ･ｶﾂｵ味</t>
  </si>
  <si>
    <t>ｷﾞﾝﾉｽﾌﾟｰﾝﾐﾂﾎﾞｼｸﾞﾙﾒｵｻｶﾅｸﾘｰﾑﾏｸﾞﾛｶﾂｵｱｼﾞ</t>
  </si>
  <si>
    <t>GSﾐﾂﾎﾞｼｸﾘｰﾑﾏｸﾞﾛｶﾂｵ</t>
  </si>
  <si>
    <t>0410003529314</t>
  </si>
  <si>
    <t>【ﾍﾟｯﾄ用】銀のｽﾌﾟｰﾝﾊﾟｳﾁ まぐろ</t>
  </si>
  <si>
    <t>ｷﾞﾝﾉｽﾌﾟｰﾝﾊﾟｳﾁﾏｸﾞﾛ</t>
  </si>
  <si>
    <t>GSﾊﾟｳﾁﾏｸﾞﾛ</t>
  </si>
  <si>
    <t>60G*12ｺ</t>
  </si>
  <si>
    <t>816</t>
  </si>
  <si>
    <t>0410003529321</t>
  </si>
  <si>
    <t>【ﾍﾟｯﾄ用】銀のｽﾌﾟｰﾝﾊﾟｳﾁ まぐろ･かつお・ｻｻﾐ入</t>
  </si>
  <si>
    <t>ｷﾞﾝﾉｽﾌﾟｰﾝﾊﾟｳﾁﾏｸﾞﾛｶﾂｵｻｻﾐｲﾘ</t>
  </si>
  <si>
    <t>GSﾊﾟｳﾁﾏｸﾞﾛｶﾂｵｻｻﾐ</t>
  </si>
  <si>
    <t>0410003529338</t>
  </si>
  <si>
    <t>【ﾍﾟｯﾄ用】銀のｽﾌﾟｰﾝﾊﾟｳﾁ まぐろ･かつお・ｶﾂｵ節入</t>
  </si>
  <si>
    <t>ｷﾞﾝﾉｽﾌﾟｰﾝﾊﾟｳﾁﾏｸﾞﾛｶﾂｵｶﾂｵﾌﾞｼｲﾘ</t>
  </si>
  <si>
    <t>GSﾊﾟｳﾁﾏｸﾞﾛｶﾂｵｶﾂｵﾌﾞｼ</t>
  </si>
  <si>
    <t>0410003529345</t>
  </si>
  <si>
    <t>【ﾍﾟｯﾄ用】銀のｽﾌﾟｰﾝﾊﾟｳﾁ 15歳頃からまぐろ</t>
  </si>
  <si>
    <t>ｷﾞﾝﾉｽﾌﾟｰﾝﾊﾟｳﾁ15ｻｲｶﾗﾏｸﾞﾛ</t>
  </si>
  <si>
    <t>GSﾊﾟｳﾁ15ｻｲｺﾞﾛｶﾗﾏｸﾞﾛ</t>
  </si>
  <si>
    <t>0410003529352</t>
  </si>
  <si>
    <t>【ﾍﾟｯﾄ用】銀のｽﾌﾟｰﾝ三ﾂ星ｸﾞﾙﾒﾊﾟｳﾁ ﾌﾚｰｸまぐろ入ｶﾂｵ</t>
  </si>
  <si>
    <t>ｷﾞﾝﾉｽﾌﾟｰﾝﾐﾂﾎﾞｼｸﾞﾙﾒﾊﾟｳﾁﾌﾚｰｸﾏｸﾞﾛｲﾘｶﾂｵ</t>
  </si>
  <si>
    <t>GSﾐﾂﾎﾞｼﾌﾚｰｸﾏｸﾞﾛｲﾘｶﾂｵ</t>
  </si>
  <si>
    <t>35G*8ﾌｸﾛ</t>
  </si>
  <si>
    <t>327</t>
  </si>
  <si>
    <t>0410003529369</t>
  </si>
  <si>
    <t>【ﾍﾟｯﾄ用】銀のｽﾌﾟｰﾝ三ﾂ星ｸﾞﾙﾒﾊﾟｳﾁ ﾌﾚｰｸｻｻﾐ･ﾏｸﾞﾛ入ｶﾂｵ</t>
  </si>
  <si>
    <t>ｷﾞﾝﾉｽﾌﾟｰﾝﾐﾂﾎﾞｼｸﾞﾙﾒﾊﾟｳﾁﾌﾚｰｸｻｻﾐﾏｸﾞﾛｲﾘｶﾂｵ</t>
  </si>
  <si>
    <t>GSﾐﾂﾎﾞｼﾌﾚｰｸｻｻﾐﾏｸﾞﾛ</t>
  </si>
  <si>
    <t>0410003529376</t>
  </si>
  <si>
    <t>【ﾍﾟｯﾄ用】銀のｽﾌﾟｰﾝ三ﾂ星ｸﾞﾙﾒﾊﾟｳﾁ ｼﾞｭﾚﾏｸﾞﾛ･ｶﾂｵ・ｼﾗｽ</t>
  </si>
  <si>
    <t>ｷﾞﾝﾉｽﾌﾟｰﾝﾐﾂﾎﾞｼｸﾞﾙﾒﾊﾟｳﾁｼﾞｭﾚﾏｸﾞﾛｶﾂｵｼﾗｽ</t>
  </si>
  <si>
    <t>GSﾐﾂﾎﾞｼｼﾞｭﾚﾏｸﾞﾛｶﾂｵ</t>
  </si>
  <si>
    <t>0410003529383</t>
  </si>
  <si>
    <t>【ﾍﾟｯﾄ用】銀のｽﾌﾟｰﾝ三ﾂ星ｸﾞﾙﾒﾊﾟｳﾁﾌﾚｰｸ15歳頃からﾏｸﾞﾛ</t>
  </si>
  <si>
    <t>ｷﾞﾝﾉｽﾌﾟｰﾝﾐﾂﾎﾞｼｸﾞﾙﾒﾊﾟｳﾁﾌﾚｰｸ15ｻｲｺﾞﾛｶﾗﾏｸﾞﾛ</t>
  </si>
  <si>
    <t>GSﾐﾂﾎﾞｼﾌﾚｰｸ15ｻｲﾏｸﾞﾛ</t>
  </si>
  <si>
    <t>0410003529390</t>
  </si>
  <si>
    <t>【ﾍﾟｯﾄ用】ｸﾞﾗﾝﾃﾞﾘ ﾌｯｸﾗ仕立て ﾋﾞｰﾌ･鶏ｻｻﾐ･緑黄色</t>
  </si>
  <si>
    <t>ｸﾞﾗﾝﾃﾞﾘﾌｯｸﾗｼﾞﾀﾃﾋﾞｰﾌﾄﾘｻｻﾐﾘｮｸｵｳｼｮｸ</t>
  </si>
  <si>
    <t>GDﾌｯｸﾗﾄﾘｻｻﾐﾋﾞｰﾌ</t>
  </si>
  <si>
    <t>1.7KG</t>
  </si>
  <si>
    <t>7.5</t>
  </si>
  <si>
    <t>1769</t>
  </si>
  <si>
    <t>0410003529406</t>
  </si>
  <si>
    <t>【ﾍﾟｯﾄ用】ｸﾞﾗﾝﾃﾞﾘ ﾌｯｸ仕立て 低脂肪 鶏ささみ</t>
  </si>
  <si>
    <t>ｸﾞﾗﾝﾃﾞﾘﾌｯｸﾗｼﾞﾀﾃﾃｲｼﾎﾞｳﾄﾘｻｻﾐ</t>
  </si>
  <si>
    <t>GDﾌｯｸﾗﾃｲｼﾎﾞｳﾄﾘｻｻﾐ</t>
  </si>
  <si>
    <t>0410003529413</t>
  </si>
  <si>
    <t>【ﾍﾟｯﾄ用】ｸﾞﾗﾝﾃﾞﾘ ﾌｯｸﾗ仕立て13歳以上用鶏ｻｻﾐﾋﾞｰﾌ緑黄</t>
  </si>
  <si>
    <t>ｸﾞﾗﾝﾃﾞﾘﾌｯｸﾗｼﾀﾃ13ｻｲｲｼﾞｮｳﾖｳﾄﾘｻｻﾐﾋﾞｰﾌﾘｮｸｵｳｼｮｸﾔｻｲｺｻﾞｶﾅﾁｰ</t>
  </si>
  <si>
    <t>7.1</t>
  </si>
  <si>
    <t>1669</t>
  </si>
  <si>
    <t>10袋</t>
  </si>
  <si>
    <t>0410003529420</t>
  </si>
  <si>
    <t>【ﾍﾟｯﾄ用】ｸﾞﾗﾝﾃﾞﾘ ｶﾘｶﾘ仕立て成犬用味わいﾋﾞｰﾌｾﾚｸﾄ</t>
  </si>
  <si>
    <t>ｸﾞﾗﾝﾃﾞﾘｶﾘｶﾘｼﾞﾀﾃｾｲｹﾝﾖｳｱｼﾞﾜｲﾋﾞｰﾌｾﾚｸﾄ</t>
  </si>
  <si>
    <t>GDｶﾘｶﾘｾｲｹﾝﾋﾞｰﾌｾﾚｸﾄ</t>
  </si>
  <si>
    <t>グラン・デリ　カリカリ仕立て　成犬用味わいビーフ入りセレクト</t>
    <phoneticPr fontId="5"/>
  </si>
  <si>
    <t>1667</t>
  </si>
  <si>
    <t>0410003529437</t>
  </si>
  <si>
    <t>【ﾍﾟｯﾄ用】ｸﾞﾗﾝﾃﾞﾘ ｶﾘｶﾘ仕立て成犬用低脂肪 約25%ｶｯﾄ</t>
  </si>
  <si>
    <t>ｸﾞﾗﾝﾃﾞﾘｶﾘｶﾘｼﾞﾀﾃｾｲｹﾝﾖｳﾃｲｼﾎﾞｳﾔｸ25ﾊﾟｰｾﾝﾄｶｯﾄ</t>
  </si>
  <si>
    <t>GDｶﾘｶﾘｾｲｹﾝﾃｲｼﾎﾞｳ</t>
  </si>
  <si>
    <t>0410003529444</t>
  </si>
  <si>
    <t>【ﾍﾟｯﾄ用】ちゅーる まぐろ</t>
  </si>
  <si>
    <t>ﾁｭｰﾙﾏｸﾞﾛ</t>
  </si>
  <si>
    <t>14G*4ﾎﾝ</t>
  </si>
  <si>
    <t>3.7</t>
  </si>
  <si>
    <t>70</t>
  </si>
  <si>
    <t>いなばペットフード株式会社</t>
  </si>
  <si>
    <t>0410003530341</t>
  </si>
  <si>
    <t>【ﾍﾟｯﾄ用】ちゅーる とりささみ</t>
  </si>
  <si>
    <t>ﾁｭｰﾙﾄﾘｻｻﾐ</t>
  </si>
  <si>
    <t>0410003530358</t>
  </si>
  <si>
    <t>【ﾍﾟｯﾄ用】ちゅーる かつお</t>
  </si>
  <si>
    <t>ﾁｭｰﾙｶﾂｵ</t>
  </si>
  <si>
    <t>0410003530365</t>
  </si>
  <si>
    <t>【ﾍﾟｯﾄ用】ちゅーる 宗田かつお＆かつお節</t>
  </si>
  <si>
    <t>ﾁｭｰﾙｿｳﾀﾞｶﾂｵｱﾝﾄﾞｶﾂｵﾌﾞｼ</t>
  </si>
  <si>
    <t>ﾁｭｰﾙｿｳﾀﾞｶﾂｵ&amp;ｶﾂｵﾌﾞｼ</t>
  </si>
  <si>
    <t>0410003530372</t>
  </si>
  <si>
    <t>【ﾍﾟｯﾄ用】ちゅーる 総合栄養食まぐろ</t>
  </si>
  <si>
    <t>ﾁｭｰﾙｿｳｺﾞｳｴｲﾖｳｼｮｸﾏｸﾞﾛ</t>
  </si>
  <si>
    <t>0410003530389</t>
  </si>
  <si>
    <t>【ﾍﾟｯﾄ用】ちゅーる 毛玉配慮 まぐろ</t>
  </si>
  <si>
    <t>ﾁｭｰﾙｹﾀﾞﾏﾊｲﾘｮﾏｸﾞﾛ</t>
  </si>
  <si>
    <t>0410003530396</t>
  </si>
  <si>
    <t>【ﾍﾟｯﾄ用】ちゅーる まぐろ＆ほたて貝柱</t>
  </si>
  <si>
    <t>ﾁｭｰﾙﾏｸﾞﾛｱﾝﾄﾞﾎﾀﾃｶｲﾊﾞｼﾗ</t>
  </si>
  <si>
    <t>ﾁｭｰﾙﾏｸﾞﾛ&amp;ﾎﾀﾃｶｲﾊﾞｼﾗ</t>
  </si>
  <si>
    <t>0410003530402</t>
  </si>
  <si>
    <t>【ﾍﾟｯﾄ用】ちゅーる とりささみ＆日本海産かに</t>
  </si>
  <si>
    <t>ﾁｭｰﾙﾄﾘｻｻﾐｱﾝﾄﾞﾆﾎﾝｶｲｻﾝｶﾆ</t>
  </si>
  <si>
    <t>ﾁｭｰﾙﾄﾘｻｻﾐ&amp;ﾆﾎﾝｶｲｻﾝｶﾆ</t>
  </si>
  <si>
    <t>0410003530419</t>
  </si>
  <si>
    <t>【ﾍﾟｯﾄ用】ちゅーる 11歳からのまぐろ･かつお</t>
  </si>
  <si>
    <t>ﾁｭｰﾙ11ｻｲｶﾗﾉﾏｸﾞﾛｶﾂｵ</t>
  </si>
  <si>
    <t>0410003530426</t>
  </si>
  <si>
    <t>【ﾍﾟｯﾄ用】ちゅーる 下部尿路配慮 まぐろ</t>
  </si>
  <si>
    <t>ﾁｭｰﾙｶﾌﾞﾆｮｳﾛﾊｲﾘｮﾏｸﾞﾛ</t>
  </si>
  <si>
    <t>0410003530433</t>
  </si>
  <si>
    <t>【ﾍﾟｯﾄ用】ちゅーる まぐろﾊﾞﾗｴﾃｨ 40本入</t>
  </si>
  <si>
    <t>ﾁｭｰﾙﾏｸﾞﾛﾊﾞﾗｴﾃｨ40ﾎﾟﾝｲﾘ</t>
  </si>
  <si>
    <t>ﾁｭｰﾙﾏｸﾞﾛﾊﾞﾗｴﾃｨ40ｲﾘ</t>
  </si>
  <si>
    <t>14G*40ﾎﾝ</t>
  </si>
  <si>
    <t>6</t>
  </si>
  <si>
    <t>700</t>
  </si>
  <si>
    <t>0410003530440</t>
  </si>
  <si>
    <t>【ﾍﾟｯﾄ用】ちゅーる まぐろ・かつおﾊﾞﾗｴﾃｨ 40本入</t>
  </si>
  <si>
    <t>ﾁｭｰﾙﾏｸﾞﾛｶﾂｵﾊﾞﾗｴﾃｨ40ﾎﾟﾝｲﾘ</t>
  </si>
  <si>
    <t>ﾁｭｰﾙﾏｸﾞﾛｶﾂｵﾊﾞﾗｴﾃｨ40</t>
  </si>
  <si>
    <t>0410003530457</t>
  </si>
  <si>
    <t>【ﾍﾟｯﾄ用】ちゅーる とりささみﾊﾞﾗｴﾃｨ 40本入</t>
  </si>
  <si>
    <t>ﾁｭｰﾙﾄﾘｻｻﾐﾊﾞﾗｴﾃｨ40ﾎﾟﾝｲﾘ</t>
  </si>
  <si>
    <t>ﾁｭｰﾙﾄﾘｻｻﾐﾊﾞﾗｴﾃｨ40ｲﾘ</t>
  </si>
  <si>
    <t>0410003530464</t>
  </si>
  <si>
    <t>【ﾍﾟｯﾄ用】ちゅーる 贅沢ﾊﾞﾗｴﾃｨ 40本入</t>
  </si>
  <si>
    <t>ﾁｭｰﾙｾﾞｲﾀｸﾊﾞﾗｴﾃｨ40ﾎﾟﾝｲﾘ</t>
  </si>
  <si>
    <t>ﾁｭｰﾙｾﾞｲﾀｸﾊﾞﾗｴﾃｨ40ｲﾘ</t>
  </si>
  <si>
    <t>0410003530471</t>
  </si>
  <si>
    <t>【ﾍﾟｯﾄ用】いなば 焼かつお 高齢猫用</t>
  </si>
  <si>
    <t>ｲﾅﾊﾞﾔｷｶﾂｵｺｳﾚｲﾈｺﾖｳ</t>
  </si>
  <si>
    <t>1ﾎﾝ</t>
  </si>
  <si>
    <t>1.8</t>
  </si>
  <si>
    <t>30</t>
  </si>
  <si>
    <t>0410003530488</t>
  </si>
  <si>
    <t>【ﾍﾟｯﾄ用】いなば 焼かつお かつお節味</t>
  </si>
  <si>
    <t>ｲﾅﾊﾞﾔｷｶﾂｵｶﾂｵﾌﾞｼ</t>
  </si>
  <si>
    <t>0410003530495</t>
  </si>
  <si>
    <t>【ﾍﾟｯﾄ用】いなば 焼かつお 本格だし味</t>
  </si>
  <si>
    <t>ｲﾅﾊﾞﾔｷｶﾂｵﾎﾝｶｸﾀﾞｲｱｼﾞ</t>
  </si>
  <si>
    <t>0410003530501</t>
  </si>
  <si>
    <t>【ﾍﾟｯﾄ用】いなば 焼ささみ かにかま味</t>
  </si>
  <si>
    <t>ｲﾅﾊﾞﾔｷｻｻﾐｶﾆｶﾏｱｼﾞ</t>
  </si>
  <si>
    <t>0410003530518</t>
  </si>
  <si>
    <t>【ﾍﾟｯﾄ用】いなば 焼ささみ 本格鰹だし味</t>
  </si>
  <si>
    <t>ｲﾅﾊﾞﾔｷｻｻﾐﾎﾝｶｸｶﾂｵﾀﾞｼｱｼﾞ</t>
  </si>
  <si>
    <t>ｲﾅﾊﾞﾔｷｻｻﾐﾎﾝｶｸｶﾂｵﾀﾞｼ</t>
  </si>
  <si>
    <t>0410003530525</t>
  </si>
  <si>
    <t>【ﾍﾟｯﾄ用】犬ちゅーる 総合栄養食 とりささみ</t>
  </si>
  <si>
    <t>ﾜﾝﾁｭｰﾙｿｳｺﾞｳｴｲﾖｳｼｮｸﾄﾘｻｻﾐ ｲﾇ</t>
  </si>
  <si>
    <t>ﾜﾝﾁｭｰﾙｿｳｺﾞｳｴｲﾖｳﾄﾘｻｻﾐ</t>
  </si>
  <si>
    <t>0410003530563</t>
  </si>
  <si>
    <t>【ﾍﾟｯﾄ用】犬ちゅーる 総合栄養食 とりささみ ﾋﾞｰﾌ入</t>
  </si>
  <si>
    <t>ﾜﾝﾁｭｰﾙｿｳｺﾞｳｴｲﾖｳｼｮｸﾄﾘｻｻﾐﾋﾞｰﾌｲﾘ ｲﾇ</t>
  </si>
  <si>
    <t>ﾁｭｰﾙｿｳｺﾞｳｴｲﾖｳｻｻﾐﾋﾞｰﾌ</t>
  </si>
  <si>
    <t>0410003530570</t>
  </si>
  <si>
    <t>【ﾍﾟｯﾄ用】犬ちゅーる 総合栄養食 とりささみ ﾁｰｽﾞ入</t>
  </si>
  <si>
    <t>ﾜﾝﾁｭｰﾙｿｳｺﾞｳｴｲﾖｳｼｮｸﾄﾘｻｻﾐﾁｰｽﾞｲﾘ ｲﾇ</t>
  </si>
  <si>
    <t>ﾁｭｰﾙｿｳｺﾞｳｴｲﾖｳｻｻﾐﾁｰｽﾞ</t>
  </si>
  <si>
    <t>0410003530587</t>
  </si>
  <si>
    <t>【ﾍﾟｯﾄ用】犬ちゅーる とりささみ</t>
  </si>
  <si>
    <t>ﾜﾝﾁｭｰﾙﾄﾘｻｻﾐ ｲﾇ</t>
  </si>
  <si>
    <t>ﾜﾝﾁｭｰﾙﾄﾘｻｻﾐ</t>
  </si>
  <si>
    <t>0410003530594</t>
  </si>
  <si>
    <t>【ﾍﾟｯﾄ用】犬ちゅーる とりささみ ﾁｰｽﾞ味</t>
  </si>
  <si>
    <t>ﾜﾝﾁｭｰﾙﾄﾘｻｻﾐﾁｰｽﾞｱｼﾞ ｲﾇ</t>
  </si>
  <si>
    <t>ﾜﾝﾁｭｰﾙﾄﾘｻｻﾐﾁｰｽﾞ</t>
  </si>
  <si>
    <t>0410003530600</t>
  </si>
  <si>
    <t>【ﾍﾟｯﾄ用】犬ちゅーる 総合栄養食とりささみﾊﾞﾗｴﾃｨ40本</t>
  </si>
  <si>
    <t>ﾜﾝﾁｭｰﾙｿｳｺﾞｳｴｲﾖｳｼｮｸﾄﾘｻｻﾐﾊﾞﾗｴﾃｨ40ﾎﾝｲﾘ ｲﾇ</t>
  </si>
  <si>
    <t>ﾁｭｰﾙｿｳｺﾞｳｴｲﾖｳｻｻﾐB40</t>
  </si>
  <si>
    <t>0410003530617</t>
  </si>
  <si>
    <t>【ﾍﾟｯﾄ用】犬ちゅーる 総合栄養食ﾊﾞﾗｴﾃｨ40本入</t>
  </si>
  <si>
    <t>ﾜﾝﾁｭｰﾙｿｳｺﾞｳｴｲﾖｳｼｮｸﾊﾞﾗｴﾃｨ40ﾎﾝｲﾘ ｲﾇ</t>
  </si>
  <si>
    <t>ﾁｭｰﾙｿｳｺﾞｳｴｲﾖｳｼｮｸB40</t>
  </si>
  <si>
    <t>0410003530624</t>
  </si>
  <si>
    <t>【ﾍﾟｯﾄ用】ちゅーる ごはん とりささみ&amp;ﾋﾞｰﾌ緑黄色野菜</t>
  </si>
  <si>
    <t>ﾁｭｰﾙｺﾞﾊﾝﾄﾘｻｻﾐｱﾝﾄﾞﾋﾞｰﾌﾘｮｸｵｳｼｮｸﾔｻｲ</t>
  </si>
  <si>
    <t>ﾁｭｰﾙｺﾞﾊﾝｻｻﾐﾋﾞｰﾌﾔｻｲ</t>
  </si>
  <si>
    <t>0410003531683</t>
  </si>
  <si>
    <t>【ﾍﾟｯﾄ用】ちゅーる ごはん とりささみ</t>
  </si>
  <si>
    <t>ﾁｭｰﾙｺﾞﾊﾝﾄﾘｻｻﾐ</t>
  </si>
  <si>
    <t>0410003531690</t>
  </si>
  <si>
    <t>【ﾍﾟｯﾄ用】ちゅーる ごはん とりささみ&amp;ﾁｰｽﾞ</t>
  </si>
  <si>
    <t>ﾁｭｰﾙｺﾞﾊﾝﾄﾘｻｻﾐｱﾝﾄﾞﾁｰｽﾞ</t>
  </si>
  <si>
    <t>ﾁｭｰﾙｺﾞﾊﾝﾄﾘｻｻﾐﾁｰｽﾞ</t>
  </si>
  <si>
    <t>0410003531706</t>
  </si>
  <si>
    <t>【ﾍﾟｯﾄ用】犬ちゅーる とりささみﾊﾞﾗｴﾃｨ40本入</t>
  </si>
  <si>
    <t>ﾜﾝﾁｭｰﾙﾄﾘｻｻﾊﾞﾗｴﾃｨ40ﾎﾝｲﾘ ｲﾇ</t>
  </si>
  <si>
    <t>0410003531713</t>
  </si>
  <si>
    <t>【ﾍﾟｯﾄ用】いなば金のだしｶｯﾌﾟまぐろﾊﾞﾗｴﾃｨ 12個PC</t>
  </si>
  <si>
    <t>ｲﾅﾊﾞｷﾝﾉﾀﾞｼｶｯﾌﾟﾏｸﾞﾛﾊﾞﾗｴﾃｨ12ｺﾊﾟｯｸ</t>
  </si>
  <si>
    <t>KDCﾏｸﾞﾛﾊﾞﾗｴﾃｨ12ﾊﾟｯｸ</t>
  </si>
  <si>
    <t>70G*12ｺ</t>
  </si>
  <si>
    <t>990</t>
  </si>
  <si>
    <t>0410003531720</t>
  </si>
  <si>
    <t>【ﾍﾟｯﾄ用】いなば金のだしｶｯﾌﾟﾏｸﾞﾛｶﾂｵﾊﾞﾗｴﾃｨ12個PC</t>
  </si>
  <si>
    <t>ｲﾅﾊﾞｷﾝﾉﾀﾞｼｶｯﾌﾟﾏｸﾞﾛｶﾂｵﾊﾞﾗｴﾃｨ12ｺﾊﾟｯｸ</t>
  </si>
  <si>
    <t>KDCﾏｸﾞﾛｶﾂｵB12ﾊﾟｯｸ</t>
  </si>
  <si>
    <t>0410003531737</t>
  </si>
  <si>
    <t>【ﾍﾟｯﾄ用】いなば金のだしｶｯﾌﾟかつおﾊﾞﾗｴﾃｨﾊﾟｯｸ12個PC</t>
  </si>
  <si>
    <t>ｲﾅﾊﾞｷﾝﾉﾀﾞｼｶｯﾌﾟｶﾂｵﾊﾞﾗｴﾃｨ12ｺﾊﾟｯｸ</t>
  </si>
  <si>
    <t>KDCｶﾂｵﾊﾞﾗｴﾃｨ12ﾊﾟｯｸ</t>
  </si>
  <si>
    <t>0410003531744</t>
  </si>
  <si>
    <t>【ﾍﾟｯﾄ用】いなば金のだしｶｯﾌﾟ11歳からのﾊﾞﾗｴﾃｨ12個PC</t>
  </si>
  <si>
    <t>ｲﾅﾊﾞｷﾝﾉﾀﾞｼｶｯﾌﾟ11ｻｲｶﾗﾉﾊﾞﾗｴﾃｨ12ｺﾊﾟｯｸ</t>
  </si>
  <si>
    <t>KDC11ｻｲｶﾗﾉﾊﾞﾗｴﾃｨ12</t>
  </si>
  <si>
    <t>0410003531751</t>
  </si>
  <si>
    <t>【ﾍﾟｯﾄ用】CIAOﾊﾟｳﾁ まぐろ ささみ入 ほたて味</t>
  </si>
  <si>
    <t>ﾁｬｵﾊﾟｳﾁﾏｸﾞﾛｻｻﾐｲﾘﾎﾀﾃｱｼﾞ</t>
  </si>
  <si>
    <t>ﾁｬｵﾊﾟｳﾁﾏｸﾞﾛｻｻﾐｲﾘﾎﾀﾃ</t>
  </si>
  <si>
    <t>40G</t>
  </si>
  <si>
    <t>43</t>
  </si>
  <si>
    <t>0410003531843</t>
  </si>
  <si>
    <t>【ﾍﾟｯﾄ用】CIAOﾊﾟｳﾁ ささみ ほたて味</t>
  </si>
  <si>
    <t>ﾁｬｵﾊﾟｳﾁｻｻﾐﾎﾀﾃｱｼﾞ</t>
  </si>
  <si>
    <t>ﾁｬｵﾊﾟｳﾁｻｻﾐﾎﾀﾃ</t>
  </si>
  <si>
    <t>0410003531850</t>
  </si>
  <si>
    <t>【ﾍﾟｯﾄ用】CIAOﾊﾟｳﾁ かつお ささみ入 ほたて味</t>
  </si>
  <si>
    <t>ﾁｬｵﾊﾟｳﾁｶﾂｵﾁｻｻﾐｲﾘﾎﾀﾃｱｼﾞ</t>
  </si>
  <si>
    <t>ﾁｬｵﾊﾟｳﾁｶﾂｵｻｻﾐｲﾘﾎﾀﾃ</t>
  </si>
  <si>
    <t>0410003531867</t>
  </si>
  <si>
    <t>【ﾍﾟｯﾄ用】CIAOﾊﾟｳﾁ まぐろ ささみ･まぐろ節入</t>
  </si>
  <si>
    <t>ﾁｬｵﾊﾟｳﾁﾏｸﾞﾛｻｻﾐﾏｸﾞﾛﾌﾞｼｲﾘ</t>
  </si>
  <si>
    <t>0410003531874</t>
  </si>
  <si>
    <t>【ﾍﾟｯﾄ用】CIAOﾊﾟｳﾁ 総合栄養食 ﾏｸﾞﾛ･ｻｻﾐ入ほたて味</t>
  </si>
  <si>
    <t>ﾁｬｵﾊﾟｳﾁｿｳｺﾞｳｴｲﾖｳｼｮｸﾏｸﾞﾛｻｻﾐｲﾘﾎﾀﾃｱｼﾞ</t>
  </si>
  <si>
    <t>ﾁｬｵﾊﾟｳﾁｿｳｺﾞｳｴｲﾖｳﾏｸﾞﾛ</t>
  </si>
  <si>
    <t>0410003531881</t>
  </si>
  <si>
    <t>【ﾍﾟｯﾄ用】いなば焼かつおﾃﾞｨﾅｰかつお節ほたて貝柱入</t>
  </si>
  <si>
    <t>ｲﾅﾊﾞﾔｷｶﾂｵﾃﾞｨﾅｰｶﾂｵﾌﾞｼﾎﾀﾃｶｲﾊﾞｼﾗｲﾘ</t>
  </si>
  <si>
    <t>ﾔｷｶﾂｵDｶﾂｵﾌﾞｼﾎﾀﾃｶｲｲﾘ</t>
  </si>
  <si>
    <t>50G</t>
  </si>
  <si>
    <t>5.6</t>
  </si>
  <si>
    <t>53</t>
  </si>
  <si>
    <t>0410003531898</t>
  </si>
  <si>
    <t>【ﾍﾟｯﾄ用】いなば焼かつおﾃﾞｨﾅｰしらす･ほたて貝柱入</t>
  </si>
  <si>
    <t>ｲﾅﾊﾞﾔｷｶﾂｵﾃﾞｨﾅｰｼﾗｽﾎﾀﾃｶｲﾊﾞｼﾗｲﾘ</t>
  </si>
  <si>
    <t>ﾔｷｶﾂｵDｼﾗｽﾎﾀﾃｶｲｲﾘ</t>
  </si>
  <si>
    <t>0410003531904</t>
  </si>
  <si>
    <t>【ﾍﾟｯﾄ用】いなば焼かつおﾃﾞｨﾅｰ ほたて貝柱入</t>
  </si>
  <si>
    <t>ｲﾅﾊﾞﾔｷｶﾂｵﾃﾞｨﾅｰﾎﾀﾃｶｲﾊﾞｼﾗｲﾘ</t>
  </si>
  <si>
    <t>ﾔｷｶﾂｵDﾎﾀﾃｶｲﾊﾞｼﾗｲﾘ</t>
  </si>
  <si>
    <t>0410003531911</t>
  </si>
  <si>
    <t>【ﾍﾟｯﾄ用】ﾗｲｵﾝ ﾆｵｲをとる砂</t>
  </si>
  <si>
    <t>ﾗｲｵﾝﾆｵｲｦﾄﾙｽﾅ</t>
  </si>
  <si>
    <t>ﾆｵｲｦﾄﾙｽﾅ</t>
  </si>
  <si>
    <t>5L</t>
  </si>
  <si>
    <t>16</t>
  </si>
  <si>
    <t>3930</t>
  </si>
  <si>
    <t>ライオン商事株式会社</t>
  </si>
  <si>
    <t>0410003530631</t>
  </si>
  <si>
    <t>【ﾍﾟｯﾄ用】ﾗｲｵﾝ ﾆｵｲをとる砂 ﾌﾛｰﾗﾙｿｰﾌﾟの香り</t>
  </si>
  <si>
    <t>ﾗｲｵﾝﾆｵｲｦﾄﾙｽﾅﾌﾛｰﾗﾙｿｰﾌﾟﾉｶｵﾘ</t>
  </si>
  <si>
    <t>ﾆｵｲｦﾄﾙｽﾅﾌﾛｰﾗﾙｿｰﾌﾟ</t>
  </si>
  <si>
    <t>0410003530648</t>
  </si>
  <si>
    <t>【ﾍﾟｯﾄ用】ﾗｲｵﾝ お茶でﾆｵｲをとる砂</t>
  </si>
  <si>
    <t>ﾗｲｵﾝｵﾁｬﾃﾞﾆｵｲｦﾄﾙｽﾅ</t>
  </si>
  <si>
    <t>ｵﾁｬﾃﾞﾆｵｲｦﾄﾙｽﾅ</t>
  </si>
  <si>
    <t>7L</t>
  </si>
  <si>
    <t>14.4</t>
  </si>
  <si>
    <t>1980</t>
  </si>
  <si>
    <t>0410003530655</t>
  </si>
  <si>
    <t>【ﾍﾟｯﾄ用】ﾗｲｵﾝ ﾆｵｲをとる砂 ﾘﾗｯｸｽｸﾞﾘｰﾝの香り</t>
  </si>
  <si>
    <t>ﾗｲｵﾝﾆｵｲｦﾄﾙｽﾅﾘﾗｯｸｽｸﾞﾘｰﾝﾉｶｵﾘ</t>
  </si>
  <si>
    <t>ﾆｵｲｦﾄﾙｽﾅﾘﾗｯｸｽｸﾞﾘｰﾝ</t>
  </si>
  <si>
    <t>0410003531928</t>
  </si>
  <si>
    <t>【ﾍﾟｯﾄ用】ﾗｲｵﾝ ﾆｵｲをとる砂 軽量ﾀｲﾌﾟ</t>
  </si>
  <si>
    <t>ﾗｲｵﾝﾆｵｲｦﾄﾙｽﾅｹｲﾘｮｳﾀｲﾌﾟ</t>
  </si>
  <si>
    <t>ﾆｵｲｦﾄﾙｽﾅｹｲﾘｮｳﾀｲﾌﾟ</t>
  </si>
  <si>
    <t>2250</t>
  </si>
  <si>
    <t>0410003531935</t>
  </si>
  <si>
    <t>【ﾍﾟｯﾄ用】ﾄﾞｷﾞｰﾏﾝ 紗 ﾌﾟﾚｰﾝ</t>
  </si>
  <si>
    <t>ﾄﾞｷﾞｰﾏﾝｻﾔﾌﾟﾚｰﾝ</t>
  </si>
  <si>
    <t>ｻﾔ ﾌﾟﾚｰﾝ</t>
  </si>
  <si>
    <t>170G</t>
  </si>
  <si>
    <t>180</t>
  </si>
  <si>
    <t>ドギーマンハヤシ株式会社</t>
  </si>
  <si>
    <t>0410003530662</t>
  </si>
  <si>
    <t>【ﾍﾟｯﾄ用】ﾄﾞｷﾞｰﾏﾝ 紗 野菜入</t>
  </si>
  <si>
    <t>ﾄﾞｷﾞｰﾏﾝｻﾔﾔｻｲｲﾘ</t>
  </si>
  <si>
    <t>ｻﾔ ﾔｻｲｲﾘ</t>
  </si>
  <si>
    <t>0410003530679</t>
  </si>
  <si>
    <t>【ﾍﾟｯﾄ用】ﾄﾞｷﾞｰﾏﾝ無添加良品 ｱｷﾚｽｽﾃｨｯｸ</t>
  </si>
  <si>
    <t>ﾄﾞｷﾞｰﾏﾝﾑﾃﾝｶﾘｮｳﾋﾝｱｷﾚｽｽﾃｨｯｸ</t>
  </si>
  <si>
    <t>ﾑﾃﾝｶR ｱｷﾚｽｽﾃｨｯｸ</t>
  </si>
  <si>
    <t>100G</t>
  </si>
  <si>
    <t>3.5</t>
  </si>
  <si>
    <t>110</t>
  </si>
  <si>
    <t>0410003530686</t>
  </si>
  <si>
    <t>【ﾍﾟｯﾄ用】ﾄﾞｷﾞｰﾏﾝ無添加良品 ｶﾞﾑのささみ巻ｼﾞｬｰｷｰ</t>
  </si>
  <si>
    <t>ﾄﾞｷﾞｰﾏﾝﾑﾃﾝｶﾘｮｳﾋﾝｶﾞﾑﾉｻｻﾐﾏｷｼﾞｬｰｷｰ</t>
  </si>
  <si>
    <t>ﾑﾃﾝｶRｶﾞﾑﾉｻｻﾐﾏｷｼﾞｬｰｷｰ</t>
  </si>
  <si>
    <t>8ﾎﾝ*2</t>
  </si>
  <si>
    <t>9.5</t>
  </si>
  <si>
    <t>240</t>
  </si>
  <si>
    <t>0410003530693</t>
  </si>
  <si>
    <t>【ﾍﾟｯﾄ用】ﾄﾞｷﾞｰﾏﾝ無添加良品 香ばし鶏ささみﾁｯﾌﾟｽ</t>
  </si>
  <si>
    <t>ﾄﾞｷﾞｰﾏﾝﾑﾃﾝｶﾘｮｳﾋﾝｺｳﾊﾞｼﾄﾘｻｻﾐﾁｯﾌﾟｽ</t>
  </si>
  <si>
    <t>ﾑﾃﾝｶRｺｳﾊﾞｼﾄﾘｻｻﾐﾁｯﾌﾟｽ</t>
  </si>
  <si>
    <t>120G</t>
  </si>
  <si>
    <t>130</t>
  </si>
  <si>
    <t>0410003530709</t>
  </si>
  <si>
    <t>【ﾍﾟｯﾄ用】ﾄﾞｷﾞｰﾏﾝ無添加良品 香ばし鶏ささみｽﾃｰｷ</t>
  </si>
  <si>
    <t>ﾄﾞｷﾞｰﾏﾝﾑﾃﾝｶﾘｮｳﾋﾝｺｳﾊﾞｼﾄﾘｻｻﾐｽﾃｰｷ</t>
  </si>
  <si>
    <t>ﾑﾃﾝｶRｺｳﾊﾞｼﾄﾘｻｻﾐｽﾃｰｷ</t>
  </si>
  <si>
    <t>0410003530716</t>
  </si>
  <si>
    <t>【ﾍﾟｯﾄ用】ﾄﾞｷﾞｰﾏﾝ無添加良品国産鶏ｻｻﾐしっとり細切り</t>
  </si>
  <si>
    <t>ﾄﾞｷﾞｰﾏﾝﾑﾃﾝｶﾘｮｳﾋﾝｺｸｻﾝﾄﾘｻｻﾐｼｯﾄﾘﾎｿｷﾞﾘ</t>
  </si>
  <si>
    <t>ﾑﾃﾝｶRｺｸｻﾝﾄﾘｼｯﾄﾘﾎｿｷﾞﾘ</t>
  </si>
  <si>
    <t>140G</t>
  </si>
  <si>
    <t>150</t>
  </si>
  <si>
    <t>0410003530723</t>
  </si>
  <si>
    <t>【ﾍﾟｯﾄ用】ﾄﾞｷﾞｰﾏﾝ無添加良品香ばし鶏ささみぶつ切り</t>
  </si>
  <si>
    <t>ﾄﾞｷﾞｰﾏﾝﾑﾃﾝｶﾘｮｳﾋﾝｺｳﾊﾞｼﾄﾘｻｻﾐﾌﾞﾂｷﾞﾘ</t>
  </si>
  <si>
    <t>ﾑﾃﾝｶRｺｳﾊﾞｼｻｻﾐﾌﾞﾂｷﾞﾘ</t>
  </si>
  <si>
    <t>0410003530730</t>
  </si>
  <si>
    <t>【ﾍﾟｯﾄ用】ﾄﾞｷﾞｰﾏﾝｽｯｷﾘつめみがき 3P</t>
  </si>
  <si>
    <t>ﾄﾞｷﾞｰﾏﾝｽｯｷﾘﾂﾒﾐｶﾞｷ3P</t>
  </si>
  <si>
    <t>ｽｯｷﾘﾂﾒﾐｶﾞｷ3P</t>
  </si>
  <si>
    <t>8.2</t>
  </si>
  <si>
    <t>905</t>
  </si>
  <si>
    <t>0410003530747</t>
  </si>
  <si>
    <t>【ﾍﾟｯﾄ用】ﾄﾞｷﾞｰﾏﾝ無添加良品 牛ｱｷﾚｽ</t>
  </si>
  <si>
    <t>ﾄﾞｷﾞｰﾏﾝﾑﾃﾝｶﾘｮｳﾋﾝｷﾞｭｳｱｷﾚｽ</t>
  </si>
  <si>
    <t>MRｷﾞｭｳｱｷﾚｽ</t>
  </si>
  <si>
    <t>220</t>
  </si>
  <si>
    <t>0410003531966</t>
  </si>
  <si>
    <t>【ﾍﾟｯﾄ用】ﾄﾞｷﾞｰﾏﾝ無添加良品 ｱｷﾚｽｽﾃｨｯｸ ﾊｰﾄﾞ&amp;ﾛﾝｸﾞ</t>
  </si>
  <si>
    <t>ﾄﾞｷﾞｰﾏﾝﾑﾃﾝｶﾘｮｳﾋﾝｱｷﾚｽｽﾃｨｯｸﾊｰﾄﾞｱﾝﾄﾞﾛﾝｸﾞ</t>
  </si>
  <si>
    <t>MRｱｷﾚｽｽﾃｨｯｸﾊｰﾄﾞﾛﾝｸﾞ</t>
  </si>
  <si>
    <t>80G</t>
  </si>
  <si>
    <t>3</t>
  </si>
  <si>
    <t>95</t>
  </si>
  <si>
    <t>0410003531973</t>
  </si>
  <si>
    <t>【ﾍﾟｯﾄ用】ﾄﾞｷﾞｰﾏﾝ無添加良品 国産鶏の白むね肉巻き</t>
  </si>
  <si>
    <t>ﾄﾞｷﾞｰﾏﾝﾑﾃﾝｶﾘｮｳﾋﾝｺｸｻﾝﾄﾘﾉｼﾛﾑﾈﾆｸﾏｷ</t>
  </si>
  <si>
    <t>MRｺｸｻﾝﾄﾘｼﾛﾑﾈﾆｸﾏｷ</t>
  </si>
  <si>
    <t>9ﾎﾝ</t>
  </si>
  <si>
    <t>140</t>
  </si>
  <si>
    <t>0410003531980</t>
  </si>
  <si>
    <t>【ﾍﾟｯﾄ用】ﾄﾞｷﾞｰﾏﾝ無添加良品国産鶏ﾑﾈ肉ほぐれるｽﾃｨｯｸ</t>
  </si>
  <si>
    <t>ﾄﾞｷﾞｰﾏﾝﾑﾃﾝｶﾘｮｳﾋﾝｺｸｻﾝﾄﾘﾉｼﾛﾑﾈﾆｸﾎｸﾞﾚﾙｽﾃｨｯｸ</t>
  </si>
  <si>
    <t>MRｺｸｻﾝﾄﾘﾑﾈﾎｸﾞﾚﾙｽﾃｨｯｸ</t>
  </si>
  <si>
    <t>0410003531997</t>
  </si>
  <si>
    <t>【ﾍﾟｯﾄ用】ﾄﾞｷﾞｰﾏﾝ無添加良品 香ばし鶏ささみ 細切り</t>
  </si>
  <si>
    <t>ﾄﾞｷﾞｰﾏﾝﾑﾃﾝｶﾘｮｳﾋﾝｺｳﾊﾞｼﾄﾘｻｻﾐﾎｿｷﾞﾘ</t>
  </si>
  <si>
    <t>MRｺｳﾊﾞｼﾄﾘｻｻﾐﾎｿｷﾞﾘ</t>
  </si>
  <si>
    <t>0410003532000</t>
  </si>
  <si>
    <t>【ﾍﾟｯﾄ用】ﾄﾞｷﾞｰﾏﾝ無添加良品国産鶏ﾑﾈね肉ｼｯﾄﾘ細切り</t>
  </si>
  <si>
    <t>ﾄﾞｷﾞｰﾏﾝﾑﾃﾝｶﾘｮｳﾋﾝﾄﾘﾑﾈﾆｸｼｯﾄﾘﾎｿｷﾞﾘ</t>
  </si>
  <si>
    <t>MRｺｸｻﾝﾄﾘﾑﾈｼｯﾄﾘﾎｿｷﾞﾘ</t>
  </si>
  <si>
    <t>0410003532017</t>
  </si>
  <si>
    <t>【ﾍﾟｯﾄ用】ﾄﾞｷﾞｰﾏﾝﾄｲﾚの後のﾏﾅｰ袋</t>
  </si>
  <si>
    <t>ﾄﾞｷﾞｰﾏﾝﾄｲﾚﾉｱﾄﾉﾏﾅｰﾌﾞｸﾛ</t>
  </si>
  <si>
    <t>ﾄｲﾚﾉｱﾄﾉﾏﾅｰﾌﾞｸﾛ</t>
  </si>
  <si>
    <t>100ﾏｲ</t>
  </si>
  <si>
    <t>7</t>
  </si>
  <si>
    <t>512</t>
  </si>
  <si>
    <t>0410003532024</t>
  </si>
  <si>
    <t>【ﾍﾟｯﾄ用】ｺｰﾁｮｰﾈｵｼｰﾂ+ｶｰﾎﾞﾝDX ﾚｷﾞｭﾗｰ</t>
  </si>
  <si>
    <t>ｺｰﾁｮｰﾈｵｼｰﾂ+ｶｰﾎﾞﾝDXﾚｷﾞｭﾗｰ</t>
  </si>
  <si>
    <t>NS+ｶｰﾎﾞﾝDXﾚｷﾞｭﾗｰ</t>
  </si>
  <si>
    <t>88ﾏｲ</t>
  </si>
  <si>
    <t>13.1</t>
  </si>
  <si>
    <t>3000</t>
  </si>
  <si>
    <t>株式会社コーチョー</t>
  </si>
  <si>
    <t>0410003530754</t>
  </si>
  <si>
    <t>【ﾍﾟｯﾄ用】ｺｰﾁｮｰﾈｵｼｰﾂ+ｶｰﾎﾞﾝDX ﾜｲﾄﾞ</t>
  </si>
  <si>
    <t>ｺｰﾁｮｰﾈｵｼｰﾂ+ｶｰﾎﾞﾝDXﾜｲﾄﾞ</t>
  </si>
  <si>
    <t>NS+ｶｰﾎﾞﾝDXﾜｲﾄﾞ</t>
  </si>
  <si>
    <t>44ﾏｲ</t>
  </si>
  <si>
    <t>2755</t>
  </si>
  <si>
    <t>0410003530761</t>
  </si>
  <si>
    <t>【ﾍﾟｯﾄ用】ｺｰﾁｮｰﾈｵｼｰﾂ+ｶｰﾎﾞﾝDX ｽｰﾊﾟｰﾜｲﾄﾞ</t>
  </si>
  <si>
    <t>ｺｰﾁｮｰﾈｵｼｰﾂ+ｶｰﾎﾞﾝDXｽｰﾊﾟｰﾜｲﾄﾞ</t>
  </si>
  <si>
    <t>NS+ｶｰﾎﾞﾝDXｽｰﾊﾟｰﾜｲﾄﾞ</t>
  </si>
  <si>
    <t>18ﾏｲ</t>
  </si>
  <si>
    <t>10.1</t>
  </si>
  <si>
    <t>2289</t>
  </si>
  <si>
    <t>0410003530778</t>
  </si>
  <si>
    <t>【ﾍﾟｯﾄ用】ｺｰﾁｮｰﾈｵｼｰﾂ FXﾚｷﾞｭﾗｰ</t>
  </si>
  <si>
    <t>ｺｰﾁｮｰﾈｵｼｰﾂFXﾚｷﾞｭﾗｰ</t>
  </si>
  <si>
    <t>NSFXﾚｷﾞｭﾗｰ</t>
  </si>
  <si>
    <t>180ﾏｲ</t>
  </si>
  <si>
    <t>11.1</t>
  </si>
  <si>
    <t>2557</t>
  </si>
  <si>
    <t>0410003530785</t>
  </si>
  <si>
    <t>【ﾍﾟｯﾄ用】ｺｰﾁｮｰﾈｵｼｰﾂ FXﾜｲﾄﾞ</t>
  </si>
  <si>
    <t>ｺｰﾁｮｰﾈｵｼｰﾂFXﾜｲﾄﾞ</t>
  </si>
  <si>
    <t>NSFXﾜｲﾄﾞ</t>
  </si>
  <si>
    <t>90ﾏｲ</t>
  </si>
  <si>
    <t>2556</t>
  </si>
  <si>
    <t>0410003530792</t>
  </si>
  <si>
    <t>【ﾍﾟｯﾄ用】ｺｰﾁｮｰﾈｵｼｰﾂ FXｽｰﾊﾟｰﾜｲﾄﾞ</t>
  </si>
  <si>
    <t>ｺｰﾁｮｰﾈｵｼｰﾂFXｽｰﾊﾟｰﾜｲﾄﾞ</t>
  </si>
  <si>
    <t>NSFXｽｰﾊﾟｰﾜｲﾄﾞ</t>
  </si>
  <si>
    <t>9</t>
  </si>
  <si>
    <t>2048</t>
  </si>
  <si>
    <t>0410003530808</t>
  </si>
  <si>
    <t>【ﾍﾟｯﾄ用】ﾋﾟｭﾘﾅﾜﾝｷｬｯﾄ避妊･去勢した猫の体重ｹｱ ﾀｰｷｰ</t>
  </si>
  <si>
    <t>ﾋﾟｭﾘﾅﾜﾝｷｬｯﾄﾋﾆﾝｷｮｾｲｼﾀﾈｺﾉﾀｲｼﾞｭｳｹｱﾀｰｷｰ</t>
  </si>
  <si>
    <t>POCﾋﾆﾝｷｮｾｲｹｱﾀｰｷｰ</t>
  </si>
  <si>
    <t>2.2KG</t>
  </si>
  <si>
    <t>2300</t>
  </si>
  <si>
    <t>ネスレ日本株式会社</t>
  </si>
  <si>
    <t>0410003530815</t>
  </si>
  <si>
    <t>【ﾍﾟｯﾄ用】ﾋﾟｭﾘﾅﾜﾝｷｬｯﾄ ｸﾞﾚｲﾝﾌﾘｰ1歳から全ての年齢ﾁｷﾝ</t>
  </si>
  <si>
    <t>ﾋﾟｭﾘﾅﾜﾝｷｬｯﾄｸﾞﾚｲﾝﾌﾘｰ1ｻｲｶﾗｽﾍﾞﾃﾉﾈﾝﾚｲﾁｷﾝ</t>
  </si>
  <si>
    <t>POCｸﾞﾚｲﾝﾌﾘｰﾈﾝﾚｲﾁｷﾝ</t>
  </si>
  <si>
    <t>10.6</t>
  </si>
  <si>
    <t>1670</t>
  </si>
  <si>
    <t>0410003530822</t>
  </si>
  <si>
    <t>【ﾍﾟｯﾄ用】ﾋﾟｭﾘﾅﾜﾝｷｬｯﾄ美味を求める成猫用1歳以上ﾁｷﾝ</t>
  </si>
  <si>
    <t>ﾋﾟｭﾘﾅﾜﾝｷｬｯﾄﾋﾞﾐｦﾓﾄﾒﾙｾｲﾈｺﾖｳ1ｻｲｲｼﾞｮｳﾁｷﾝ</t>
  </si>
  <si>
    <t>POCﾋﾞﾐ1ｻｲｲｼﾞｮｳﾁｷﾝ</t>
  </si>
  <si>
    <t>0410003530839</t>
  </si>
  <si>
    <t>【ﾍﾟｯﾄ用】ﾋﾟｭﾘﾅﾜﾝｷｬｯﾄ腎臓健康ｻﾎﾟｰﾄ11歳以上ﾁｷﾝ</t>
  </si>
  <si>
    <t>ﾋﾟｭﾘﾅﾜﾝｷｬｯﾄｼﾞﾝｿﾞｳｹﾝｺｳｻﾎﾟｰﾄ11ｻｲｲｼﾞｮｳﾁｷﾝ</t>
  </si>
  <si>
    <t>POCｼﾞﾝｿﾞｳ11ｻｲﾁｷﾝ</t>
  </si>
  <si>
    <t>0410003530846</t>
  </si>
  <si>
    <t>【ﾍﾟｯﾄ用】ﾋﾟｭﾘﾅﾜﾝｷｬｯﾄ ｸﾞﾚｲﾝﾌﾘｰ1歳から全年齢白身魚</t>
  </si>
  <si>
    <t>ﾋﾟｭﾘﾅﾜﾝｷｬｯﾄｸﾞﾚｲﾝﾌﾘｰ1ｻｲｶﾗｾﾞﾝﾈﾝﾚｲｼﾛﾐｻﾞｶﾅ</t>
  </si>
  <si>
    <t>POCｸﾞﾚｲﾝﾌﾘｰｼﾛﾐｻﾞｶﾅ</t>
  </si>
  <si>
    <t>0410003530853</t>
  </si>
  <si>
    <t>【ﾍﾟｯﾄ用】ﾋﾟｭﾘﾅﾜﾝｷｬｯﾄ下部尿路健康維持1歳以上ﾁｷﾝ</t>
  </si>
  <si>
    <t>ﾋﾟｭﾘﾅﾜﾝｷｬｯﾄｶﾌﾞﾆｮｳﾛｹﾝｺｳｲｼﾞ1ｻｲｲｼﾞｮｳﾁｷﾝ</t>
  </si>
  <si>
    <t>POCｶﾌﾞﾆｮｳﾛ1ｻｲﾁｷﾝ</t>
  </si>
  <si>
    <t>0410003530860</t>
  </si>
  <si>
    <t>【ﾍﾟｯﾄ用】ﾓﾝﾌﾟﾁ ｸﾘｽﾋﾟｰｷｯｽ ﾊﾞﾗｴﾃｨｰﾊﾟｯｸ 贅沢ｼﾘｰｽﾞ</t>
  </si>
  <si>
    <t>ﾓﾝﾌﾟﾁｸﾘｽﾋﾟｰｷｯｽﾊﾞﾗｴﾃｨｰﾊﾟｯｸｾﾞｲﾀｸｼﾘｰｽﾞ</t>
  </si>
  <si>
    <t>MPCKﾊﾞﾗｴﾃｨｾﾞｲﾀｸｼﾘｰｽﾞ</t>
  </si>
  <si>
    <t>265</t>
  </si>
  <si>
    <t>0410003530877</t>
  </si>
  <si>
    <t>【ﾍﾟｯﾄ用】ﾓﾝﾌﾟﾁ ｸﾘｽﾋﾟｰｷｯｽ ﾊﾞﾗｴﾃｨｰﾊﾟｯｸ ｾﾚｸﾄｼﾘｰｽﾞ</t>
  </si>
  <si>
    <t>ﾓﾝﾌﾟﾁｸﾘｽﾋﾟｰｷｯｽﾊﾞﾗｴﾃｨｰﾊﾟｯｸｾﾚｸﾄｼﾘｰｽﾞ</t>
  </si>
  <si>
    <t>MPCKﾊﾞﾗｴﾃｨｰｾﾚｸﾄｼﾘｰｽﾞ</t>
  </si>
  <si>
    <t>0410003530884</t>
  </si>
  <si>
    <t>【ﾍﾟｯﾄ用】ﾓﾝﾌﾟﾁ ｸﾘｽﾋﾟｰｷｯｽ ｼｰﾌｰﾄﾞｾﾚｸﾄ</t>
  </si>
  <si>
    <t>ﾓﾝﾌﾟﾁｸﾘｽﾋﾟｰｷｯｽｼｰﾌｰﾄﾞｾﾚｸﾄ</t>
  </si>
  <si>
    <t>MPCKｼｰﾌｰﾄﾞｾﾚｸﾄ</t>
  </si>
  <si>
    <t>0410003530891</t>
  </si>
  <si>
    <t>【ﾍﾟｯﾄ用】ﾓﾝﾌﾟﾁ ｸﾘｽﾋﾟｰｷｯｽ 贅沢おさかな味</t>
  </si>
  <si>
    <t>ﾓﾝﾌﾟﾁｸﾘｽﾋﾟｰｷｯｽｾﾞｲﾀｸｵｻｶﾅｱｼﾞ</t>
  </si>
  <si>
    <t>MPCKｾﾞｲﾀｸｵｻｶﾅｱｼﾞ</t>
  </si>
  <si>
    <t>0410003530907</t>
  </si>
  <si>
    <t>【ﾍﾟｯﾄ用】ﾓﾝﾌﾟﾁ ｸﾘｽﾋﾟｰｷｯｽ ﾐｯｸｽｸﾞﾘﾙｾﾚｸﾄ</t>
  </si>
  <si>
    <t>ﾓﾝﾌﾟﾁｸﾘｽﾋﾟｰｷｯｽﾐｯｸｽｸﾞﾘﾙｾﾚｸﾄ</t>
  </si>
  <si>
    <t>MPCKﾐｯｸｽｸﾞﾘﾙｾﾚｸﾄ</t>
  </si>
  <si>
    <t>0410003530914</t>
  </si>
  <si>
    <t>【ﾍﾟｯﾄ用】ﾋﾟｭﾘﾅﾜﾝﾄﾞｯｸﾞ1-6歳室内犬健康体重ｹｱ小粒ﾁｷﾝ</t>
  </si>
  <si>
    <t>ﾋﾟｭﾘﾅﾜﾝﾄﾞｯｸﾞ1-6ｻｲｼﾂﾅｲｹﾝｹﾝｺｳﾀｲｼﾞｭｳｹｱｺﾂﾌﾞﾁｷﾝ</t>
  </si>
  <si>
    <t>POD1-6ｻｲｼﾂﾅｲｺﾂﾌﾞｹｱ</t>
  </si>
  <si>
    <t>2.1KG</t>
  </si>
  <si>
    <t>2200</t>
  </si>
  <si>
    <t>0410003531010</t>
  </si>
  <si>
    <t>【ﾍﾟｯﾄ用】ﾋﾟｭﾘﾅﾜﾝﾄﾞｯｸﾞ ほぐし粒入り 1-6歳成犬用ﾁｷﾝ</t>
  </si>
  <si>
    <t>ﾋﾟｭﾘﾅﾜﾝﾄﾞｯｸﾞﾎｸﾞｼﾂﾌﾞｲﾘ1-6ｻｲｾｲｹﾝﾖｳﾁｷﾝ</t>
  </si>
  <si>
    <t>PODﾎｸﾞｼﾂﾌﾞｲﾘ1-6ｻｲﾁｷﾝ</t>
  </si>
  <si>
    <t>0410003531027</t>
  </si>
  <si>
    <t>【ﾍﾟｯﾄ用】ﾋﾟｭﾘﾅﾜﾝﾄﾞｯｸﾞ7歳以上室内犬用体重ｹｱ小粒ﾁｷﾝ</t>
  </si>
  <si>
    <t>ﾋﾟｭﾘﾅﾜﾝﾄﾞｯｸﾞ7ｻｲｲｼﾞｮｳｼﾂﾅｲｹﾝﾖｳﾀｲｼﾞｭｳｹｱｺﾂﾌﾞﾁｷﾝ</t>
  </si>
  <si>
    <t>POD7ｻｲｲｼﾞｮｳｺﾂﾌﾞｹｱﾁｷﾝ</t>
  </si>
  <si>
    <t>0410003531034</t>
  </si>
  <si>
    <t>【ﾍﾟｯﾄ用】ﾋﾟｭﾘﾅﾜﾝﾄﾞｯｸﾞほぐし粒入1歳以上体重ｹｱﾀｰｷｰ</t>
  </si>
  <si>
    <t>ﾋﾟｭﾘﾅﾜﾝﾄﾞｯｸﾞﾎｸﾞｼﾂﾌﾞｲﾘ1ｻｲｲｼﾞｮｳﾀｲｼﾞｭｳｹｱﾀｰｷｰ</t>
  </si>
  <si>
    <t>PODﾎｸﾞｼ1ｻｲｲｼﾞｮｳﾀｰｷｰ</t>
  </si>
  <si>
    <t>0410003531041</t>
  </si>
  <si>
    <t>【ﾍﾟｯﾄ用】ﾋﾟｭﾘﾅﾜﾝ ｷｬｯﾄ 健康ﾏﾙﾁｹｱ 15歳以上 ﾁｷﾝ</t>
  </si>
  <si>
    <t>ﾋﾟｭﾘﾅﾜﾝｷｬｯﾄｹﾝｺｳﾏﾙﾁｹｱ15ｻｲｲｼﾞｮｳﾁｷﾝ</t>
  </si>
  <si>
    <t>POCｹﾝｺｳﾏﾙﾁｹｱ15ｻｲﾁｷﾝ</t>
  </si>
  <si>
    <t>2KG</t>
  </si>
  <si>
    <t>2100</t>
  </si>
  <si>
    <t>0410003532031</t>
  </si>
  <si>
    <t>【ﾍﾟｯﾄ用】ﾋﾟｭﾘﾅﾜﾝ ｷｬｯﾄ ﾒﾀﾎﾞﾘｯｸｺﾝﾄﾛｰﾙ1歳~全年齢ﾀｰｷｰ</t>
  </si>
  <si>
    <t>ﾋﾟｭﾘﾅﾜﾝｷｬｯﾄﾒﾀﾎﾞﾘｯｸｺﾝﾄﾛｰﾙ1ｻｲｶﾗｾﾞﾝﾈﾝﾚｲﾀｰｷｰ</t>
  </si>
  <si>
    <t>POCﾒﾀﾎﾞ1ｻｲﾀｰｷｰ</t>
  </si>
  <si>
    <t>0410003532048</t>
  </si>
  <si>
    <t>【ﾍﾟｯﾄ用】ﾋﾟｭﾘﾅﾜﾝｷｬｯﾄ下部尿路健康維持  1歳以上ｻｰﾓﾝ</t>
  </si>
  <si>
    <t>ﾋﾟｭﾘﾅﾜﾝｷｬｯﾄｶﾌﾞﾆｮｳﾛｹﾝｺｳｲｼﾞ1ｻｲｲｼﾞｮｳｻｰﾓﾝ</t>
  </si>
  <si>
    <t>POCｶﾌﾞﾆｮｳﾛ1ｻｲｻｰﾓﾝ</t>
  </si>
  <si>
    <t>0410003532055</t>
  </si>
  <si>
    <t>【ﾍﾟｯﾄ用】ﾋﾟｭﾘﾅﾜﾝ ｷｬｯﾄ 健康ﾏﾙﾁｹｱ 11歳以上 ﾁｷﾝ</t>
  </si>
  <si>
    <t>ﾋﾟｭﾘﾅﾜﾝｷｬｯﾄｹﾝｺｳﾏﾙﾁｹｱ11ｻｲｲｼﾞｮｳﾁｷﾝ</t>
  </si>
  <si>
    <t>POCｹﾝｺｳﾏﾙﾁｹｱ11ｻｲﾁｷﾝ</t>
  </si>
  <si>
    <t>0410003532062</t>
  </si>
  <si>
    <t>【ﾍﾟｯﾄ用】ﾋﾟｭﾘﾅﾜﾝﾄﾞｯｸﾞほぐし粒入7歳以上 健康ｹｱﾁｷﾝ</t>
  </si>
  <si>
    <t>ﾋﾟｭﾘﾅﾜﾝﾄﾞｯｸﾞﾎｸﾞｼﾂﾌﾞｲﾘ7ｻｲｲｼﾞｮｳｹﾝｺｳｹｱﾁｷﾝ</t>
  </si>
  <si>
    <t>PODﾎｸﾞｼﾂﾌﾞｲﾘ7ｻｲｹｱﾁｷﾝ</t>
  </si>
  <si>
    <t>0410003532154</t>
  </si>
  <si>
    <t>【ﾍﾟｯﾄ用】ﾋﾟｭﾘﾅﾜﾝﾄﾞｯｸﾞ 11歳以上 健康ｹｱ小粒 ﾁｷﾝ</t>
  </si>
  <si>
    <t>ﾋﾟｭﾘﾅﾜﾝﾄﾞｯｸﾞ11ｻｲｲｼﾞｮｳｹﾝｺｳｹｱｺﾂﾌﾞﾁｷﾝ</t>
  </si>
  <si>
    <t>POD11ｻｲｲｼﾞｮｳｹﾝｺｳﾁｷﾝ</t>
  </si>
  <si>
    <t>0410003532161</t>
  </si>
  <si>
    <t>POS商品分類名</t>
    <rPh sb="3" eb="5">
      <t>ショウヒン</t>
    </rPh>
    <rPh sb="5" eb="7">
      <t>ブンルイ</t>
    </rPh>
    <rPh sb="7" eb="8">
      <t>メイ</t>
    </rPh>
    <phoneticPr fontId="5"/>
  </si>
  <si>
    <t>POS商品分類CD</t>
    <rPh sb="3" eb="5">
      <t>ショウヒン</t>
    </rPh>
    <rPh sb="5" eb="7">
      <t>ブンルイ</t>
    </rPh>
    <phoneticPr fontId="5"/>
  </si>
  <si>
    <t>小分類名</t>
    <rPh sb="0" eb="3">
      <t>ショウブンルイ</t>
    </rPh>
    <rPh sb="3" eb="4">
      <t>メイ</t>
    </rPh>
    <phoneticPr fontId="5"/>
  </si>
  <si>
    <t>ケースJANコード</t>
    <phoneticPr fontId="5"/>
  </si>
  <si>
    <t>バラJANコード</t>
    <phoneticPr fontId="5"/>
  </si>
  <si>
    <t>半角20字、全角10字</t>
    <rPh sb="0" eb="2">
      <t>ハンカク</t>
    </rPh>
    <rPh sb="4" eb="5">
      <t>ジ</t>
    </rPh>
    <rPh sb="6" eb="8">
      <t>ゼンカク</t>
    </rPh>
    <rPh sb="10" eb="11">
      <t>ジ</t>
    </rPh>
    <phoneticPr fontId="5"/>
  </si>
  <si>
    <t>伝票半角40字、全角20字（基幹半角52字、全角26字・実際半角42字、全角21字）</t>
    <rPh sb="0" eb="2">
      <t>デンピョウ</t>
    </rPh>
    <rPh sb="8" eb="10">
      <t>ゼンカク</t>
    </rPh>
    <rPh sb="12" eb="13">
      <t>ジ</t>
    </rPh>
    <rPh sb="22" eb="24">
      <t>ゼンカク</t>
    </rPh>
    <rPh sb="26" eb="27">
      <t>ジ</t>
    </rPh>
    <rPh sb="30" eb="32">
      <t>ハンカク</t>
    </rPh>
    <rPh sb="34" eb="35">
      <t>ジ</t>
    </rPh>
    <rPh sb="36" eb="38">
      <t>ゼンカク</t>
    </rPh>
    <rPh sb="40" eb="41">
      <t>ジ</t>
    </rPh>
    <phoneticPr fontId="3"/>
  </si>
  <si>
    <t>画像</t>
    <rPh sb="0" eb="1">
      <t>ガゾウ</t>
    </rPh>
    <phoneticPr fontId="5"/>
  </si>
  <si>
    <t>WEB掲載</t>
    <rPh sb="2" eb="4">
      <t>ケイサイ</t>
    </rPh>
    <phoneticPr fontId="5"/>
  </si>
  <si>
    <t>特売バラ（税抜）</t>
    <rPh sb="0" eb="1">
      <t>トクバイ</t>
    </rPh>
    <rPh sb="4" eb="6">
      <t>ゼイヌキ</t>
    </rPh>
    <phoneticPr fontId="3"/>
  </si>
  <si>
    <t>特売バラ（税込）</t>
    <rPh sb="0" eb="1">
      <t>トクバイ</t>
    </rPh>
    <rPh sb="4" eb="6">
      <t>ゼイヌキ</t>
    </rPh>
    <rPh sb="6" eb="7">
      <t>コミ</t>
    </rPh>
    <phoneticPr fontId="3"/>
  </si>
  <si>
    <t>特売ケース（税抜）</t>
    <rPh sb="0" eb="1">
      <t>トクバイ</t>
    </rPh>
    <rPh sb="5" eb="7">
      <t>ゼイヌキ</t>
    </rPh>
    <phoneticPr fontId="3"/>
  </si>
  <si>
    <t>特売ケース（税込）</t>
    <rPh sb="0" eb="1">
      <t>トクバイ</t>
    </rPh>
    <rPh sb="5" eb="7">
      <t>ゼイヌキ</t>
    </rPh>
    <rPh sb="7" eb="8">
      <t>コミ</t>
    </rPh>
    <phoneticPr fontId="3"/>
  </si>
  <si>
    <t>特売設定</t>
    <rPh sb="0" eb="2">
      <t>トクバイ</t>
    </rPh>
    <rPh sb="2" eb="4">
      <t>セッテイ</t>
    </rPh>
    <phoneticPr fontId="3"/>
  </si>
  <si>
    <t>特売期間</t>
    <rPh sb="0" eb="1">
      <t>トクバイ</t>
    </rPh>
    <rPh sb="1" eb="3">
      <t>キカン</t>
    </rPh>
    <phoneticPr fontId="3"/>
  </si>
  <si>
    <t>チェック</t>
    <phoneticPr fontId="5"/>
  </si>
  <si>
    <t>ボール重量</t>
    <rPh sb="2" eb="4">
      <t>ジュウリョウ</t>
    </rPh>
    <phoneticPr fontId="5"/>
  </si>
  <si>
    <t>発注単位</t>
    <rPh sb="0" eb="1">
      <t>ハッチュウ</t>
    </rPh>
    <rPh sb="1" eb="3">
      <t>タンイ</t>
    </rPh>
    <phoneticPr fontId="5"/>
  </si>
  <si>
    <t>ボール入数</t>
    <rPh sb="3" eb="5">
      <t>イリスウ</t>
    </rPh>
    <phoneticPr fontId="5"/>
  </si>
  <si>
    <t>日本</t>
  </si>
  <si>
    <t>予備コード1</t>
    <rPh sb="0" eb="1">
      <t>ヨビ</t>
    </rPh>
    <phoneticPr fontId="5"/>
  </si>
  <si>
    <t>メッセージ1</t>
    <phoneticPr fontId="3"/>
  </si>
  <si>
    <t>メッセージ2</t>
  </si>
  <si>
    <t>実施顧客/業務</t>
    <rPh sb="0" eb="2">
      <t>ジッシ</t>
    </rPh>
    <rPh sb="2" eb="4">
      <t>コキャク</t>
    </rPh>
    <rPh sb="5" eb="7">
      <t>ギョウム</t>
    </rPh>
    <phoneticPr fontId="13"/>
  </si>
  <si>
    <t>実施顧客/法人</t>
    <rPh sb="0" eb="2">
      <t>ジッシ</t>
    </rPh>
    <rPh sb="2" eb="4">
      <t>コキャク</t>
    </rPh>
    <rPh sb="5" eb="7">
      <t>ホウジン</t>
    </rPh>
    <phoneticPr fontId="13"/>
  </si>
  <si>
    <t>実施顧客/法人一般</t>
    <rPh sb="0" eb="2">
      <t>ジッシ</t>
    </rPh>
    <rPh sb="2" eb="4">
      <t>コキャク</t>
    </rPh>
    <rPh sb="5" eb="7">
      <t>ホウジン</t>
    </rPh>
    <rPh sb="7" eb="9">
      <t>イッパン</t>
    </rPh>
    <phoneticPr fontId="13"/>
  </si>
  <si>
    <t>実施顧客/業務一般</t>
    <rPh sb="0" eb="2">
      <t>ジッシ</t>
    </rPh>
    <rPh sb="2" eb="4">
      <t>コキャク</t>
    </rPh>
    <rPh sb="5" eb="7">
      <t>ギョウム</t>
    </rPh>
    <rPh sb="7" eb="9">
      <t>イッパン</t>
    </rPh>
    <phoneticPr fontId="13"/>
  </si>
  <si>
    <t>実施顧客/一般</t>
    <rPh sb="0" eb="2">
      <t>ジッシ</t>
    </rPh>
    <rPh sb="2" eb="4">
      <t>コキャク</t>
    </rPh>
    <rPh sb="5" eb="7">
      <t>イッパン</t>
    </rPh>
    <phoneticPr fontId="13"/>
  </si>
  <si>
    <t>実施顧客/POS</t>
    <rPh sb="0" eb="2">
      <t>ジッシ</t>
    </rPh>
    <rPh sb="2" eb="4">
      <t>コキャク</t>
    </rPh>
    <phoneticPr fontId="13"/>
  </si>
  <si>
    <t>出力フラグ</t>
    <rPh sb="0" eb="2">
      <t>シュツリョク</t>
    </rPh>
    <phoneticPr fontId="13"/>
  </si>
  <si>
    <t>警告フラグ</t>
    <rPh sb="0" eb="2">
      <t>ケイコク</t>
    </rPh>
    <phoneticPr fontId="13"/>
  </si>
  <si>
    <t>共通帯表示設定</t>
    <rPh sb="0" eb="2">
      <t>キョウツウ</t>
    </rPh>
    <rPh sb="2" eb="3">
      <t>オビ</t>
    </rPh>
    <rPh sb="3" eb="5">
      <t>ヒョウジ</t>
    </rPh>
    <rPh sb="5" eb="7">
      <t>セッテイ</t>
    </rPh>
    <phoneticPr fontId="13"/>
  </si>
  <si>
    <t>猫ドライ</t>
    <rPh sb="0" eb="1">
      <t>ネコ</t>
    </rPh>
    <phoneticPr fontId="2"/>
  </si>
  <si>
    <t>1関東</t>
    <rPh sb="1" eb="3">
      <t>カントウ</t>
    </rPh>
    <phoneticPr fontId="2"/>
  </si>
  <si>
    <t>N基幹（帯）</t>
    <rPh sb="1" eb="3">
      <t>キカン</t>
    </rPh>
    <rPh sb="4" eb="5">
      <t>オビ</t>
    </rPh>
    <phoneticPr fontId="5"/>
  </si>
  <si>
    <t>処理</t>
    <rPh sb="0" eb="1">
      <t>ショリ</t>
    </rPh>
    <phoneticPr fontId="3"/>
  </si>
  <si>
    <t>NO</t>
    <phoneticPr fontId="5"/>
  </si>
  <si>
    <t>NO</t>
    <phoneticPr fontId="5"/>
  </si>
  <si>
    <r>
      <t>取引先商品コード</t>
    </r>
    <r>
      <rPr>
        <sz val="11"/>
        <color rgb="FFFF0000"/>
        <rFont val="ＭＳ Ｐゴシック"/>
        <family val="3"/>
        <charset val="128"/>
      </rPr>
      <t>（発注先商品マスタメンテ）</t>
    </r>
    <rPh sb="0" eb="2">
      <t>トリヒキサキ</t>
    </rPh>
    <rPh sb="2" eb="4">
      <t>ショウヒン</t>
    </rPh>
    <rPh sb="9" eb="11">
      <t>ハッチュウ</t>
    </rPh>
    <rPh sb="11" eb="12">
      <t>サキ</t>
    </rPh>
    <rPh sb="12" eb="14">
      <t>ショウヒン</t>
    </rPh>
    <phoneticPr fontId="8"/>
  </si>
  <si>
    <t>締時間（通常）</t>
    <rPh sb="0" eb="2">
      <t>シメジカン</t>
    </rPh>
    <rPh sb="3" eb="5">
      <t>ツウジョウ</t>
    </rPh>
    <phoneticPr fontId="5"/>
  </si>
  <si>
    <t>発注リードタイム（通常）</t>
    <rPh sb="0" eb="2">
      <t>ハッチュウ</t>
    </rPh>
    <rPh sb="9" eb="11">
      <t>ツウジョウ</t>
    </rPh>
    <phoneticPr fontId="5"/>
  </si>
  <si>
    <t>締時間（休日前）</t>
    <rPh sb="0" eb="2">
      <t>シメジカン</t>
    </rPh>
    <rPh sb="4" eb="6">
      <t>キュウジツ</t>
    </rPh>
    <rPh sb="6" eb="7">
      <t>マエ</t>
    </rPh>
    <phoneticPr fontId="5"/>
  </si>
  <si>
    <t>発注リードタイム（休日前）</t>
    <rPh sb="0" eb="2">
      <t>ハッチュウ</t>
    </rPh>
    <rPh sb="9" eb="12">
      <t>キュウジツマエ</t>
    </rPh>
    <phoneticPr fontId="5"/>
  </si>
  <si>
    <t>休日区分（土）</t>
    <rPh sb="0" eb="1">
      <t>キュウジツ</t>
    </rPh>
    <rPh sb="1" eb="3">
      <t>クブン</t>
    </rPh>
    <rPh sb="4" eb="5">
      <t>ド</t>
    </rPh>
    <phoneticPr fontId="5"/>
  </si>
  <si>
    <t>休日区分（日）</t>
    <rPh sb="0" eb="1">
      <t>キュウジツ</t>
    </rPh>
    <rPh sb="1" eb="3">
      <t>クブン</t>
    </rPh>
    <rPh sb="4" eb="5">
      <t>ド</t>
    </rPh>
    <rPh sb="5" eb="6">
      <t>ヒ</t>
    </rPh>
    <phoneticPr fontId="5"/>
  </si>
  <si>
    <t>ロット区分</t>
    <rPh sb="2" eb="4">
      <t>クブン</t>
    </rPh>
    <phoneticPr fontId="5"/>
  </si>
  <si>
    <t>発注先</t>
    <rPh sb="0" eb="3">
      <t>ハッチュウサキ</t>
    </rPh>
    <phoneticPr fontId="13"/>
  </si>
  <si>
    <t>卸、Ｎ1～3、買上</t>
    <rPh sb="0" eb="1">
      <t>オロシ</t>
    </rPh>
    <rPh sb="7" eb="9">
      <t>カイアゲ</t>
    </rPh>
    <phoneticPr fontId="5"/>
  </si>
  <si>
    <t>休日区分（その他変則）</t>
    <rPh sb="0" eb="2">
      <t>クブン</t>
    </rPh>
    <rPh sb="4" eb="5">
      <t>タ</t>
    </rPh>
    <rPh sb="6" eb="8">
      <t>ヘンソク</t>
    </rPh>
    <phoneticPr fontId="5"/>
  </si>
  <si>
    <t>①ロット数/金額</t>
    <rPh sb="2" eb="3">
      <t>スウ</t>
    </rPh>
    <rPh sb="5" eb="7">
      <t>キンガク</t>
    </rPh>
    <phoneticPr fontId="13"/>
  </si>
  <si>
    <t>①ロット単位</t>
    <rPh sb="1" eb="3">
      <t>タンイ</t>
    </rPh>
    <phoneticPr fontId="13"/>
  </si>
  <si>
    <t>②ロット数/金額</t>
    <rPh sb="2" eb="3">
      <t>スウ</t>
    </rPh>
    <rPh sb="5" eb="7">
      <t>キンガク</t>
    </rPh>
    <phoneticPr fontId="13"/>
  </si>
  <si>
    <t>②ロット単位</t>
    <rPh sb="1" eb="3">
      <t>タンイ</t>
    </rPh>
    <phoneticPr fontId="13"/>
  </si>
  <si>
    <t>③ロット数/金額</t>
    <rPh sb="2" eb="3">
      <t>スウ</t>
    </rPh>
    <rPh sb="5" eb="7">
      <t>キンガク</t>
    </rPh>
    <phoneticPr fontId="13"/>
  </si>
  <si>
    <t>③ロット単位</t>
    <rPh sb="1" eb="3">
      <t>タンイ</t>
    </rPh>
    <phoneticPr fontId="13"/>
  </si>
  <si>
    <t>④ロット数/金額</t>
    <rPh sb="2" eb="3">
      <t>スウ</t>
    </rPh>
    <rPh sb="5" eb="7">
      <t>キンガク</t>
    </rPh>
    <phoneticPr fontId="13"/>
  </si>
  <si>
    <t>④ロット単位</t>
    <rPh sb="1" eb="3">
      <t>タンイ</t>
    </rPh>
    <phoneticPr fontId="13"/>
  </si>
  <si>
    <t>⑤ロット数/金額</t>
    <rPh sb="2" eb="3">
      <t>スウ</t>
    </rPh>
    <rPh sb="5" eb="7">
      <t>キンガク</t>
    </rPh>
    <phoneticPr fontId="13"/>
  </si>
  <si>
    <t>⑤ロット単位</t>
    <rPh sb="1" eb="3">
      <t>タンイ</t>
    </rPh>
    <phoneticPr fontId="13"/>
  </si>
  <si>
    <t>⑥ロット数/金額</t>
    <rPh sb="2" eb="3">
      <t>スウ</t>
    </rPh>
    <rPh sb="5" eb="7">
      <t>キンガク</t>
    </rPh>
    <phoneticPr fontId="13"/>
  </si>
  <si>
    <t>⑥ロット単位</t>
    <rPh sb="1" eb="3">
      <t>タンイ</t>
    </rPh>
    <phoneticPr fontId="13"/>
  </si>
  <si>
    <t>⑦ロット数/金額</t>
    <rPh sb="2" eb="3">
      <t>スウ</t>
    </rPh>
    <rPh sb="5" eb="7">
      <t>キンガク</t>
    </rPh>
    <phoneticPr fontId="13"/>
  </si>
  <si>
    <t>⑦ロット単位</t>
    <rPh sb="1" eb="3">
      <t>タンイ</t>
    </rPh>
    <phoneticPr fontId="13"/>
  </si>
  <si>
    <t>⑧ロット数/金額</t>
    <rPh sb="2" eb="3">
      <t>スウ</t>
    </rPh>
    <rPh sb="5" eb="7">
      <t>キンガク</t>
    </rPh>
    <phoneticPr fontId="13"/>
  </si>
  <si>
    <t>⑧ロット単位</t>
    <rPh sb="1" eb="3">
      <t>タンイ</t>
    </rPh>
    <phoneticPr fontId="13"/>
  </si>
  <si>
    <t>⑨ロット数/金額</t>
    <rPh sb="2" eb="3">
      <t>スウ</t>
    </rPh>
    <rPh sb="5" eb="7">
      <t>キンガク</t>
    </rPh>
    <phoneticPr fontId="13"/>
  </si>
  <si>
    <t>⑨ロット単位</t>
    <rPh sb="1" eb="3">
      <t>タンイ</t>
    </rPh>
    <phoneticPr fontId="13"/>
  </si>
  <si>
    <t>エリア区分</t>
    <rPh sb="2" eb="4">
      <t>クブン</t>
    </rPh>
    <phoneticPr fontId="3"/>
  </si>
  <si>
    <t>(KG)長崎一番かまぼこ詰合GEO-36</t>
  </si>
  <si>
    <t>(KG)長崎一番かまぼこ詰合RSYU-2</t>
  </si>
  <si>
    <t>(KG)長崎一番ﾊﾄｼﾛｰﾙ詰合K-79</t>
  </si>
  <si>
    <t>(KG)坂本屋 東坡煮･東坡煮しぐれ詰合</t>
  </si>
  <si>
    <t>(KG)坂本屋 角煮めし詰合せ</t>
  </si>
  <si>
    <t>(KG)まるなか 長崎かまぼこ詰合せ A</t>
  </si>
  <si>
    <t>(KG)まるなか 長崎かまぼこ詰合せ B</t>
  </si>
  <si>
    <t>(KG)まるなか 長崎かまぼこ詰合せ C</t>
  </si>
  <si>
    <t>(KG)つくも ちゃんぽん皿うどんｾｯﾄ</t>
  </si>
  <si>
    <t>(KG)つくも 長崎角煮饅頭10個ｾｯﾄ</t>
  </si>
  <si>
    <t>(KG)つくも 長崎ばってん鶏親子丼の素</t>
  </si>
  <si>
    <t>(KG)冷麺･拉麺詰合せ12食RM-30</t>
  </si>
  <si>
    <t>(KG)えんまきのｱｼﾞﾌﾗｲｾｯﾄ</t>
  </si>
  <si>
    <t>(KG)えんまきの干物ｾｯﾄ</t>
  </si>
  <si>
    <t>(KG)えんまきの丼ぶりｾｯﾄ</t>
  </si>
  <si>
    <t>(KG)梅のや 茂木海鮮ｾｯﾄ U-40</t>
  </si>
  <si>
    <t>(KG)梅のや 茂木海鮮ｾｯﾄ U-45</t>
  </si>
  <si>
    <t>(KG)梅のや 茂木海鮮ｾｯﾄ U-50</t>
  </si>
  <si>
    <t>(KG)彼杵鯨肉 鯨肉珍味詰合せ</t>
  </si>
  <si>
    <t>(KG)にほんのご馳走果実ｼﾞｭｰｽ6本</t>
  </si>
  <si>
    <t>(KG)にほんのご馳走果実ｼﾞｭｰｽ8本</t>
  </si>
  <si>
    <t>(KG)ﾌﾙｰﾂｼﾞｭﾚ 彩果しずく 8袋</t>
  </si>
  <si>
    <t>(KG)ﾌﾙｰﾂｼﾞｭﾚ 彩果しずく10袋</t>
  </si>
  <si>
    <t>(KG)瀬戸内の島そだちPみかんｼﾞｭｰｽ</t>
  </si>
  <si>
    <t>(KG)国産果汁ひと粒ｾﾞﾘｰ 60個入</t>
  </si>
  <si>
    <t>(KG)ﾎｼﾌﾙｰﾂFﾊﾟｰﾗあんみつ5個</t>
  </si>
  <si>
    <t>(KG)ﾎｼﾌﾙｰﾂ 果実あんの羊羹9個</t>
  </si>
  <si>
    <t>(KG)赤いﾍﾞﾘｰと爽やかﾁｰｽﾞのﾀﾙﾄ</t>
  </si>
  <si>
    <t>(KG)ﾎｼﾌﾙｰﾂ ﾌﾙｰﾂｼﾞｭﾚ6個</t>
  </si>
  <si>
    <t>(KG)ﾎｼﾌﾙｰﾂ ﾌﾙｰﾂｼﾞｭﾚ8個</t>
  </si>
  <si>
    <t>(KG)ﾎｼF ひとくちﾌﾙｰﾂｾﾞﾘｰ</t>
  </si>
  <si>
    <t>(KG)果実のしっとりﾊﾟｳﾝﾄﾞｹｰｷ9個</t>
  </si>
  <si>
    <t>(KG)ﾘｰｶﾞﾛｲﾔﾙHﾊﾞﾆﾗﾎｯﾄｹｰｷ</t>
  </si>
  <si>
    <t>(KG)ﾌﾙｰﾙﾌﾞﾗﾝ北海道ﾗｽｸ3種詰</t>
  </si>
  <si>
    <t>(KG)ｶﾙﾋﾞｰ かっぱえびせん匠海2種</t>
  </si>
  <si>
    <t>(KG)ｶﾙﾋﾞｰ 夏のご挨拶ｾｯﾄ24個</t>
  </si>
  <si>
    <t>(KG)八天堂Pくりｰむﾊﾟﾝ瀬戸内ﾚﾓﾝ</t>
  </si>
  <si>
    <t>(KG)ﾎﾞﾝﾊﾟﾃｨ ﾜｯﾌﾙﾊﾞﾗｴﾃｨ</t>
  </si>
  <si>
    <t>(KG)ざる盛&amp;北海道ﾒﾛﾝﾚｱﾁｰｽﾞ</t>
  </si>
  <si>
    <t>(KG)名物ﾌﾟﾘﾝ&amp;珈琲ﾌﾟﾘﾝｾｯﾄ12個</t>
  </si>
  <si>
    <t>(KG)丸福珈琲店 珈琲と小豆のｾﾞﾘｰ</t>
  </si>
  <si>
    <t>(KG)中屋商店 島原かんざらし6個</t>
  </si>
  <si>
    <t>(KG)きな粉&amp;抹茶ｸｯｷｰと宇治抹茶ｹｰｷ</t>
  </si>
  <si>
    <t>(KG)岐阜中津川 国産栗きんとん10個</t>
  </si>
  <si>
    <t>(KG)ｽﾀｰﾛｰﾙOR&amp;ﾚﾓﾝとみかん大福</t>
  </si>
  <si>
    <t>(KG)葛の抹茶豆乳ぷりん 6個</t>
  </si>
  <si>
    <t>(KG)生ｸﾘｰﾑ最中 9個入</t>
  </si>
  <si>
    <t>(KG)坂利製麺所 くずきり 8本</t>
  </si>
  <si>
    <t>(KG)ｱｲｽｺｰﾋｰ&amp;ｾﾞﾘｰDRJ30</t>
  </si>
  <si>
    <t>(KG))凍らせて食べるﾃﾞｻﾞｰﾄIDD-30</t>
  </si>
  <si>
    <t>(KG)和歌山県産 まるごと蜜柑ｼﾞｭﾚ</t>
  </si>
  <si>
    <t>(KG)ｻﾏｰｽｲｰﾂ  SSR-20R</t>
  </si>
  <si>
    <t>(KG)夕張ﾒﾛﾝｾﾞﾘｰｴｽﾄ KW-9</t>
  </si>
  <si>
    <t>(KG)ひととえ3層ﾃﾞｻﾞｰﾄｼﾞｭﾚﾊﾟﾌｪ</t>
  </si>
  <si>
    <t>(KG)夕張ｸﾗｳﾝﾒﾛﾝｾﾞﾘｰ食べ比べ</t>
  </si>
  <si>
    <t>(KG)果実の奏</t>
  </si>
  <si>
    <t>(KG)ﾃﾞｻﾞｰﾄｶﾞｰﾃﾞﾝ DGA-D0</t>
  </si>
  <si>
    <t>(KG)ﾌﾙｰﾂﾃﾞｻﾞｰﾄ濃厚ｼﾞｭﾚ</t>
  </si>
  <si>
    <t>(KG)ﾏﾙｼﾝ食品 ﾌﾟﾚﾐｱﾑﾌﾟﾘﾝ</t>
  </si>
  <si>
    <t>(KG)ﾌﾟﾗｲﾑｽｲｰﾂ   TA-30</t>
  </si>
  <si>
    <t>(KG)よくばりﾃﾞｻﾞｰﾄ   YW-30</t>
  </si>
  <si>
    <t>(KG)創菓京づるﾌﾙｰﾃｨ FI-30</t>
  </si>
  <si>
    <t>(KG)創菓京づるﾌﾙｰﾃｨ FI-40</t>
  </si>
  <si>
    <t>(KG)匠苑 TA-20</t>
  </si>
  <si>
    <t>(KG)匠苑 TA-30</t>
  </si>
  <si>
    <t>(KG) 創菓 京づる 花風流HF-30</t>
  </si>
  <si>
    <t>(KG)創菓 京づる 花風流 HF-40</t>
  </si>
  <si>
    <t>(KG)ひととえ わらび餅三種詰合せ</t>
  </si>
  <si>
    <t>(KG)和菓集涼      WKR-C0</t>
  </si>
  <si>
    <t>(KG)ﾀﾞﾝｹ ｽｲｰﾂ SPB-30</t>
  </si>
  <si>
    <t>(KG)ｶﾌｪdeｿﾚｲﾕ CDS-30</t>
  </si>
  <si>
    <t>(KG)泰平製菓 天然水おかきTM-30</t>
  </si>
  <si>
    <t>(KG)金澤兼六 金澤小町 KMC-20</t>
  </si>
  <si>
    <t>(KG)金澤兼六 金澤小町 KMC-30</t>
  </si>
  <si>
    <t>(KG)ｶﾙﾋﾟｽ ｷﾞﾌﾄ   VL30N</t>
  </si>
  <si>
    <t>(KG)すこやかｶﾙﾋﾟｽｷﾞﾌﾄSC50</t>
  </si>
  <si>
    <t>(KG)ｷｰｺｰﾋｰｷﾞﾌﾄLCJ-30L</t>
  </si>
  <si>
    <t>(KG)AGFｷﾞﾌﾄ     LP-30</t>
  </si>
  <si>
    <t>(KG)AGFｷﾞﾌﾄ     LR-30</t>
  </si>
  <si>
    <t>(KG)ﾈｽｶﾌｪ ｷﾞﾌﾄ N30-LM</t>
  </si>
  <si>
    <t>(KG)ﾘｷｯﾄﾞｺｰﾋｰ詰合せDR-30</t>
  </si>
  <si>
    <t>(KG)AGF ｷﾞﾌﾄ MQO-30N</t>
  </si>
  <si>
    <t>(KG)AGF ｷﾞﾌﾄ MQO-50N</t>
  </si>
  <si>
    <t>(KG)AGF ｷﾞﾌﾄ RD-30</t>
  </si>
  <si>
    <t>(KG)岡山の桃 6玉</t>
  </si>
  <si>
    <t>(KG)岡山の桃 12-13玉</t>
  </si>
  <si>
    <t>(KG)和歌山あら川の桃</t>
  </si>
  <si>
    <t>(KG)山梨の桃</t>
  </si>
  <si>
    <t>(KG)山梨県産 水蜜姫</t>
  </si>
  <si>
    <t>(KG)北海道らいでんﾒﾛﾝ(赤肉)1玉</t>
  </si>
  <si>
    <t>(KG)ﾏｽｸﾒﾛﾝ 1玉</t>
  </si>
  <si>
    <t>(KG)ﾏｽｸﾒﾛﾝ 2玉</t>
  </si>
  <si>
    <t>(KG)広島三次ﾋﾟｵｰﾈ</t>
  </si>
  <si>
    <t>(KG)宮崎ﾏﾝｺﾞｰ</t>
  </si>
  <si>
    <t>(KG)台湾産 ｱｯﾌﾟﾙﾏﾝｺﾞｰ</t>
  </si>
  <si>
    <t>(KG)夏の果物ｺﾌﾚ</t>
  </si>
  <si>
    <t>(KG)桃とｼｬｲﾝﾏｽｶｯﾄ</t>
  </si>
  <si>
    <t>(KG)北海道ﾒﾛﾝと桃詰合せ</t>
  </si>
  <si>
    <t>(KG)桃とﾊｳｽみかん詰合せ</t>
  </si>
  <si>
    <t>(KG)桃と広島三次ﾋﾟｵｰﾈ</t>
  </si>
  <si>
    <t>(KG)夏の旬果詰合せ A</t>
  </si>
  <si>
    <t>(KG)岡山県産どりのｺﾚうまｾｯﾄ</t>
  </si>
  <si>
    <t>(KG)華味鳥 焼き鳥･唐揚げｾｯﾄ</t>
  </si>
  <si>
    <t>(KG)お豆腐と山芋旨味さつまあげ27個</t>
  </si>
  <si>
    <t>(KG)お豆腐と山芋旨味さつまあげ33個</t>
  </si>
  <si>
    <t>(KG)2種の味付け骨なしｽﾍﾟｱﾘﾌﾞ</t>
  </si>
  <si>
    <t>(KG)博多紀久屋 厚切りｻｰﾓﾝ明太</t>
  </si>
  <si>
    <t>(KG)博多一口ぎょうざ</t>
  </si>
  <si>
    <t>(KG)赤玉本店 牛すじ煮込み</t>
  </si>
  <si>
    <t>(KG))ﾘｰｶﾞﾛｲﾔﾙﾎﾃﾙﾋﾟｯﾂｧｾｯﾄ</t>
  </si>
  <si>
    <t>(KG) 松阪牛ももﾊﾞﾗ焼肉用</t>
  </si>
  <si>
    <t>(KG)米沢牛ﾊﾞﾗ焼肉用</t>
  </si>
  <si>
    <t>(KG)6大和牛食べくらべﾐﾆｽﾃｰｷ</t>
  </si>
  <si>
    <t>(KG)鹿野高原豚ﾛｰｽｽﾃｰｷｾｯﾄ</t>
  </si>
  <si>
    <t>(KG)豊味館 牛ﾛｰﾙｽﾃｰｷ 6入</t>
  </si>
  <si>
    <t>(KG)豊味館 黒豚ﾛｰﾙｽﾃｰｷ 8入</t>
  </si>
  <si>
    <t>(KG)豊味館 牛ﾃｰﾙｶﾚｰ 2袋入</t>
  </si>
  <si>
    <t>(KG)松阪牛もも肩ﾛｰｽすき焼き用</t>
  </si>
  <si>
    <t>(KG)広島県産神石牛肩ﾛｰｽうす切り</t>
  </si>
  <si>
    <t>(KG)国産豚肉の西京味噌たれ漬</t>
  </si>
  <si>
    <t>(KG)坂井宏之監修 ﾛｰｽﾄﾋﾞｰﾌ</t>
  </si>
  <si>
    <t>(KG)牛100%ﾊﾝﾊﾞｰｸﾞと黒ﾄﾘｭﾌ</t>
  </si>
  <si>
    <t>(KG)黄木の米沢牛ｽﾃｰｷ･焼肉ご飯</t>
  </si>
  <si>
    <t>(KG)米沢牛入り濃旨ﾃﾞﾐﾊﾝﾊﾞｰｸﾞ</t>
  </si>
  <si>
    <t>(KG)黒豚丼･和牛ﾐﾆ丼の具三昧</t>
  </si>
  <si>
    <t>(KG)土井 手作りﾊﾑ K-001</t>
  </si>
  <si>
    <t>(KG)土井 手作りﾊﾑ K-002</t>
  </si>
  <si>
    <t>(KG)土井 手作りﾊﾑ K-003</t>
  </si>
  <si>
    <t>(KG)土井 手作りﾊﾑ K-004</t>
  </si>
  <si>
    <t>(KG)日本ﾊﾑ九州めぐりHSM-350</t>
  </si>
  <si>
    <t>(KG)日本ﾊﾑ九州めぐりHSM-310</t>
  </si>
  <si>
    <t>(KG)日本ﾊﾑ九州めぐりHSM-550</t>
  </si>
  <si>
    <t>(KG)伊藤ﾊﾑ ｷﾞﾌﾄ IGM-40</t>
  </si>
  <si>
    <t>(KG)丸大ﾊﾑ 煌彩   MC-475</t>
  </si>
  <si>
    <t>(KG)ﾌﾟﾘﾏﾊﾑ鹿児島紀行H-320R</t>
  </si>
  <si>
    <t>(KG)ﾌﾟﾘﾏﾊﾑ鹿児島紀行H-540R</t>
  </si>
  <si>
    <t>(KG)うなぎ割烹｢一愼｣特製蒲焼</t>
  </si>
  <si>
    <t>(KG)うなぎ割烹｢一愼｣特製長蒲焼</t>
  </si>
  <si>
    <t>(KG)うなぎ割烹｢一愼｣おこわ風鰻めし</t>
  </si>
  <si>
    <t>(KG)うなぎ割烹｢一愼｣鰻のひつまぶし</t>
  </si>
  <si>
    <t>(KG)鰻楽 宮崎県産 鰻蒲焼2尾ｾｯﾄ</t>
  </si>
  <si>
    <t>(KG)鰻楽 宮崎県産 鰻蒲焼4尾ｾｯﾄ</t>
  </si>
  <si>
    <t>(KG)鰻楽 九州産うなぎ蒲焼3種ｾｯﾄ</t>
  </si>
  <si>
    <t>(KG)きらびき工房 鱧の湯引き</t>
  </si>
  <si>
    <t>(KG)関とら焼きはも･焼きふく食べ比べ</t>
  </si>
  <si>
    <t>(KG)氷温熟成 境港ｻｰﾓﾝ2種ｾｯﾄ</t>
  </si>
  <si>
    <t>(KG)ｶﾅﾀﾞ産天然紅鮭ｽﾓｰｸｻｰﾓﾝ</t>
  </si>
  <si>
    <t>(KG)下関｢音｣天然ふく冷しゃぶｾｯﾄ</t>
  </si>
  <si>
    <t>(KG)ﾚﾝｼﾞで簡単ふく唐揚げと一夜干し</t>
  </si>
  <si>
    <t>(KG) 炙りまぐろ秘伝のたれ仕込み</t>
  </si>
  <si>
    <t>(KG)下関 音 関門の煮あなご炙り丼</t>
  </si>
  <si>
    <t>(KG)大分･絆屋 海鮮丼詰合せ</t>
  </si>
  <si>
    <t>(KG)氷温熟成無着色辛子明太子(切子)</t>
  </si>
  <si>
    <t>(KG)三陸海宝漬中村家 海鮮漬3種詰合</t>
  </si>
  <si>
    <t>(KG)博多紀久屋数の子松前満杯詰</t>
  </si>
  <si>
    <t>(KG)福さ屋 無着色辛子めんたい</t>
  </si>
  <si>
    <t>(KG)かねふく 無着色辛子明太子</t>
  </si>
  <si>
    <t>(KG)山口県産 車海老と干物ｾｯﾄ</t>
  </si>
  <si>
    <t>(KG)氷温熟成 無着色たらこ(切子)</t>
  </si>
  <si>
    <t>(KG)刺身用 北海道帆立貝柱(割れ)</t>
  </si>
  <si>
    <t>(KG)ﾌｧｲﾌﾞM 5種の無水調理ｶﾚｰ</t>
  </si>
  <si>
    <t>(KG)菊乃井の贅沢 ｶﾚｰｷﾞﾌﾄｾｯﾄ</t>
  </si>
  <si>
    <t>(KG)まるごとﾁｷﾝﾚｯｸﾞｽｰﾌﾟｶﾚｰ</t>
  </si>
  <si>
    <t>(KG)夏野菜の彩り三輪素麺と3種のつゆ</t>
  </si>
  <si>
    <t>(KG)ぴょんぴょん舎の盛岡冷麺 4食</t>
  </si>
  <si>
    <t>(KG)神田 喜川 鰻じゅれ半生そうめん</t>
  </si>
  <si>
    <t>(KG)京都 楽仙樓 黒酢冷麺と混ぜ麺</t>
  </si>
  <si>
    <t>(KG)揖保乃糸 特級品 YA30</t>
  </si>
  <si>
    <t>(KG)揖保乃糸 特級品 YA40</t>
  </si>
  <si>
    <t>(KG)揖保乃糸 特級品 YA50</t>
  </si>
  <si>
    <t>(KG)揖保乃糸上級品麺つゆ詰合YT30G</t>
  </si>
  <si>
    <t>(KG) 揖保乃糸 上級品 WZ30</t>
  </si>
  <si>
    <t>(KG) 揖保乃糸 上級品 WZ50</t>
  </si>
  <si>
    <t>(KG)三輪素麺 三輪の四季IUS-30</t>
  </si>
  <si>
    <t>(KG)三輪素麺 三輪の四季IUS-50</t>
  </si>
  <si>
    <t>(KG)三輪の神糸 二年物  A-30N</t>
  </si>
  <si>
    <t>(KG)三輪の神糸 二年物  A-50N</t>
  </si>
  <si>
    <t>(KG)島原手延そうめん   MK-20</t>
  </si>
  <si>
    <t>(KG)島原手延そうめん   MK-30</t>
  </si>
  <si>
    <t>(KG) 小豆島そうめん RS-20</t>
  </si>
  <si>
    <t>(KG) 小豆島そうめん RS-30</t>
  </si>
  <si>
    <t>(KG)島原手延細麺めんつゆADS-30</t>
  </si>
  <si>
    <t>(KG) 播州手延素麺ｾｯﾄ BS-20</t>
  </si>
  <si>
    <t>(KG)播州手延素麺ｾｯﾄ  BS-30</t>
  </si>
  <si>
    <t>(KG) 播州手延素麺ｾｯﾄ BS-50</t>
  </si>
  <si>
    <t>(KG)三大産地詰合せｾｯﾄ BIT30</t>
  </si>
  <si>
    <t>(KG)安田の佃煮ふる里自慢FS-30S</t>
  </si>
  <si>
    <t>(KG)ﾏﾙﾊﾆﾁﾛ瓶詰合せABZ-50</t>
  </si>
  <si>
    <t>(KG)酒悦 山海探幸    KM-30</t>
  </si>
  <si>
    <t>(KG)ひとしなｷﾞﾌﾄA</t>
  </si>
  <si>
    <t>(KG)ひとしなｷﾞﾌﾄB</t>
  </si>
  <si>
    <t>(KG)豆徳 野菜ﾁｯﾌﾟｽ 缶</t>
  </si>
  <si>
    <t>(KG)ひとしなｷﾞﾌﾄC</t>
  </si>
  <si>
    <t>(KG)ひとしなｷﾞﾌﾄD</t>
  </si>
  <si>
    <t>(KG)ひとしなｷﾞﾌﾄE</t>
  </si>
  <si>
    <t>(KG)山盛堂本舗 ｶﾚｰのおせんべい</t>
  </si>
  <si>
    <t>(KG)熟成二度焼かに煎餅 かなめ</t>
  </si>
  <si>
    <t>(KG)田中屋 石臼挽き出石そば</t>
  </si>
  <si>
    <t>(KG)ﾑｰﾐﾝ谷のおともだちｾｯﾄ</t>
  </si>
  <si>
    <t>(KG)一風堂 博多絹ごしﾗｰﾒﾝｾｯﾄ</t>
  </si>
  <si>
    <t>(KG)紀州南高梅干 咄々々</t>
  </si>
  <si>
    <t>(KG)明神水産 藁焼き鰹たたき</t>
  </si>
  <si>
    <t>(KG)鶏三和 名古屋名物 手羽唐 3袋</t>
  </si>
  <si>
    <t>(KG)京漬物の入った京都米の焼おにぎり</t>
  </si>
  <si>
    <t>(KG)佃善のじゃが豚</t>
  </si>
  <si>
    <t>(KG)静岡B級ｸﾞﾙﾒ浜松餃子</t>
  </si>
  <si>
    <t>(KG)大龍 ﾐﾆ丼の具4種ｾｯﾄ</t>
  </si>
  <si>
    <t>(KG)ｱﾏﾉﾌｰｽﾞｷﾞﾌﾄM-300RA</t>
  </si>
  <si>
    <t>(KG)味香門和膳詰合せ MKD-30</t>
  </si>
  <si>
    <t>(KG)日清ｵｲﾘｵｷﾞﾌﾄ OV-30</t>
  </si>
  <si>
    <t>(KG)日清ｵｲﾘｵｷﾞﾌﾄ OV-50</t>
  </si>
  <si>
    <t>(KG)日清ｵｲﾘｵｷﾞﾌﾄ OP-20N</t>
  </si>
  <si>
    <t>(KG)日清ｵｲﾘｵｷﾞﾌﾄ OP-30N</t>
  </si>
  <si>
    <t>(KG)日清ｵｲﾘｵｷﾞﾌﾄ OP-50N</t>
  </si>
  <si>
    <t>(KG)ﾗｲｵﾝ ﾄｯﾌﾟ LNW-30A</t>
  </si>
  <si>
    <t>(KG)ﾗｲｵﾝ ﾄｯﾌﾟ LNW-50A</t>
  </si>
  <si>
    <t>(KG)花王 ZERO KAB-30</t>
  </si>
  <si>
    <t>(KG)花王 ZERO KAB-50</t>
  </si>
  <si>
    <t>(KG)つくも 長崎野菜ﾄﾞﾚｯｼﾝｸﾞ4本</t>
    <phoneticPr fontId="3"/>
  </si>
  <si>
    <t>1</t>
  </si>
  <si>
    <t>必須</t>
    <rPh sb="0" eb="2">
      <t>ヒッスウ</t>
    </rPh>
    <phoneticPr fontId="3"/>
  </si>
  <si>
    <t>GEO-36</t>
  </si>
  <si>
    <t>RSYU-2</t>
  </si>
  <si>
    <t>K-79</t>
  </si>
  <si>
    <t>ST-1</t>
  </si>
  <si>
    <t>SKM-8</t>
  </si>
  <si>
    <t>RM-30</t>
  </si>
  <si>
    <t>U-40</t>
  </si>
  <si>
    <t>U-45</t>
  </si>
  <si>
    <t>U-50</t>
  </si>
  <si>
    <t>HFNH-6</t>
  </si>
  <si>
    <t>HFNH-8</t>
  </si>
  <si>
    <t>HFSI-08</t>
  </si>
  <si>
    <t>HFSI-10</t>
  </si>
  <si>
    <t>HFSS-6</t>
  </si>
  <si>
    <t>HFKJ-011</t>
  </si>
  <si>
    <t>HFNA-33</t>
  </si>
  <si>
    <t>HFAK-9</t>
  </si>
  <si>
    <t>ABT-038</t>
  </si>
  <si>
    <t>HJ19-C3S</t>
  </si>
  <si>
    <t>HJ19-D0S</t>
  </si>
  <si>
    <t>HFHFZ15N</t>
  </si>
  <si>
    <t>HFKP-002</t>
  </si>
  <si>
    <t>RRHH-004</t>
  </si>
  <si>
    <t>SHRA-C5M</t>
  </si>
  <si>
    <t>CKT-30N</t>
  </si>
  <si>
    <t>OSGS-24CGN</t>
  </si>
  <si>
    <t>HCL-C7S</t>
  </si>
  <si>
    <t>BWB-10</t>
  </si>
  <si>
    <t>WZRMS</t>
  </si>
  <si>
    <t>MP8KP4</t>
  </si>
  <si>
    <t>MRF-001</t>
  </si>
  <si>
    <t>KKCM-001</t>
  </si>
  <si>
    <t>SKK-C7S</t>
  </si>
  <si>
    <t>ORMM-DOS</t>
  </si>
  <si>
    <t>KT-KZP6</t>
  </si>
  <si>
    <t>TNCM-9</t>
  </si>
  <si>
    <t>くずきり8</t>
  </si>
  <si>
    <t>DRJ-30</t>
  </si>
  <si>
    <t>IDD-30</t>
  </si>
  <si>
    <t>MM-C0</t>
  </si>
  <si>
    <t>SSR-20R</t>
  </si>
  <si>
    <t>KW-9</t>
  </si>
  <si>
    <t>JPC-30</t>
  </si>
  <si>
    <t>NEO-YC</t>
  </si>
  <si>
    <t>KKA-C0</t>
  </si>
  <si>
    <t>DGA-D0</t>
  </si>
  <si>
    <t>FD-C0</t>
  </si>
  <si>
    <t>PP</t>
  </si>
  <si>
    <t>TA-30</t>
  </si>
  <si>
    <t>YW-30</t>
  </si>
  <si>
    <t>FI-30</t>
  </si>
  <si>
    <t>FI-40</t>
  </si>
  <si>
    <t>TA-20</t>
  </si>
  <si>
    <t>HF-30</t>
  </si>
  <si>
    <t>HF-40</t>
  </si>
  <si>
    <t>WAA-30</t>
  </si>
  <si>
    <t>WKR-C0</t>
  </si>
  <si>
    <t>SPB-30</t>
  </si>
  <si>
    <t>CDS-30</t>
  </si>
  <si>
    <t>TM-30</t>
  </si>
  <si>
    <t>KMC-20</t>
  </si>
  <si>
    <t>KMC-30</t>
  </si>
  <si>
    <t>VL30N</t>
  </si>
  <si>
    <t>SC50</t>
  </si>
  <si>
    <t>LCJ-30L</t>
  </si>
  <si>
    <t>LP-30</t>
  </si>
  <si>
    <t>LR-30</t>
  </si>
  <si>
    <t>N30-LM</t>
  </si>
  <si>
    <t>DR-30</t>
  </si>
  <si>
    <t>MQO-30N</t>
  </si>
  <si>
    <t>MQO-50N</t>
  </si>
  <si>
    <t>RD-30</t>
  </si>
  <si>
    <t>OKM50L</t>
  </si>
  <si>
    <t>OKM100L</t>
  </si>
  <si>
    <t>ARKM-E0S</t>
  </si>
  <si>
    <t>fw-ym1.4kg</t>
  </si>
  <si>
    <t>fw-sih2k</t>
  </si>
  <si>
    <t>HRMA28</t>
  </si>
  <si>
    <t>fw-mm1.5-1</t>
  </si>
  <si>
    <t>fw-mm1.5-2</t>
  </si>
  <si>
    <t>HMP-2-400</t>
  </si>
  <si>
    <t>fw-mym700</t>
  </si>
  <si>
    <t>bf-tm1kg</t>
  </si>
  <si>
    <t>fw-kc-s</t>
  </si>
  <si>
    <t>fw-mm2sm1</t>
  </si>
  <si>
    <t>HMM-14</t>
  </si>
  <si>
    <t>fw-mmhm</t>
  </si>
  <si>
    <t>OKMP55N</t>
  </si>
  <si>
    <t>AMPH-F0S-N</t>
  </si>
  <si>
    <t>IKU-35</t>
  </si>
  <si>
    <t>HY-40HTP</t>
  </si>
  <si>
    <t>MAD-021</t>
  </si>
  <si>
    <t>MAE-021</t>
  </si>
  <si>
    <t>RG-341</t>
  </si>
  <si>
    <t>KAS-400</t>
  </si>
  <si>
    <t>一口-3</t>
  </si>
  <si>
    <t>AHG-04</t>
  </si>
  <si>
    <t>RRHP-003</t>
  </si>
  <si>
    <t>MMBY-100</t>
  </si>
  <si>
    <t>YY70</t>
  </si>
  <si>
    <t>7000951</t>
  </si>
  <si>
    <t>SR-30</t>
  </si>
  <si>
    <t>822</t>
  </si>
  <si>
    <t>422</t>
  </si>
  <si>
    <t>2985</t>
  </si>
  <si>
    <t>MMKS-100</t>
  </si>
  <si>
    <t>GKU-400g</t>
  </si>
  <si>
    <t>TR_SGR33K</t>
  </si>
  <si>
    <t>S2-SR1S1</t>
  </si>
  <si>
    <t>S1-01S</t>
  </si>
  <si>
    <t>SYG70</t>
  </si>
  <si>
    <t>YDH50</t>
  </si>
  <si>
    <t>B8-42</t>
  </si>
  <si>
    <t>K-001</t>
  </si>
  <si>
    <t>K-002</t>
  </si>
  <si>
    <t>K-003</t>
  </si>
  <si>
    <t>K-004</t>
  </si>
  <si>
    <t>HSM-350</t>
  </si>
  <si>
    <t>HSM-310</t>
  </si>
  <si>
    <t>HSM-550</t>
  </si>
  <si>
    <t>IGM-40</t>
  </si>
  <si>
    <t>MC-475</t>
  </si>
  <si>
    <t>H-320R</t>
  </si>
  <si>
    <t>H-540R</t>
  </si>
  <si>
    <t>SUCI063</t>
  </si>
  <si>
    <t>UNI-122</t>
  </si>
  <si>
    <t>IUM610</t>
  </si>
  <si>
    <t>UIH3W</t>
  </si>
  <si>
    <t>MN2/280</t>
  </si>
  <si>
    <t>MN4/560</t>
  </si>
  <si>
    <t>C4G2B2</t>
  </si>
  <si>
    <t>HMO-02</t>
  </si>
  <si>
    <t>HMT-80Z</t>
  </si>
  <si>
    <t>sms-50</t>
  </si>
  <si>
    <t>KTBS-003</t>
  </si>
  <si>
    <t>OT-140</t>
  </si>
  <si>
    <t>FIK-RZ</t>
  </si>
  <si>
    <t>10292R</t>
  </si>
  <si>
    <t>OT-161</t>
  </si>
  <si>
    <t>KZ-3802</t>
  </si>
  <si>
    <t>HMK-500</t>
  </si>
  <si>
    <t>NK-KZ3</t>
  </si>
  <si>
    <t>KMK-560</t>
  </si>
  <si>
    <t>MMASR-50</t>
  </si>
  <si>
    <t>102850</t>
  </si>
  <si>
    <t>YA-10</t>
  </si>
  <si>
    <t>HMT-500</t>
  </si>
  <si>
    <t>SHH-400</t>
  </si>
  <si>
    <t>7031719</t>
  </si>
  <si>
    <t>KKNI-001</t>
  </si>
  <si>
    <t>CLSC-35</t>
  </si>
  <si>
    <t>JU-30</t>
  </si>
  <si>
    <t>OR4-D</t>
  </si>
  <si>
    <t>KUH-35</t>
  </si>
  <si>
    <t>RMS-01</t>
  </si>
  <si>
    <t>YA30</t>
  </si>
  <si>
    <t>YA40</t>
  </si>
  <si>
    <t>YA50</t>
  </si>
  <si>
    <t>YT30G</t>
  </si>
  <si>
    <t>WZ30</t>
  </si>
  <si>
    <t>WZ50</t>
  </si>
  <si>
    <t>IUS-30</t>
  </si>
  <si>
    <t>IUS-50</t>
  </si>
  <si>
    <t>A-30N</t>
  </si>
  <si>
    <t>A-50N</t>
  </si>
  <si>
    <t>MK-20</t>
  </si>
  <si>
    <t>MK-30</t>
  </si>
  <si>
    <t>RS-20</t>
  </si>
  <si>
    <t>RS-30</t>
  </si>
  <si>
    <t>ADS-30</t>
  </si>
  <si>
    <t>BS20</t>
  </si>
  <si>
    <t>BS30</t>
  </si>
  <si>
    <t>BS50</t>
  </si>
  <si>
    <t>BIT30</t>
  </si>
  <si>
    <t>FS-30S</t>
  </si>
  <si>
    <t>ABZ-50</t>
  </si>
  <si>
    <t>KM-30</t>
  </si>
  <si>
    <t>HTSN-A2</t>
  </si>
  <si>
    <t>HTSN-BS</t>
  </si>
  <si>
    <t>MYC-C4M</t>
  </si>
  <si>
    <t>HTSN-C2</t>
  </si>
  <si>
    <t>HTSN-D</t>
  </si>
  <si>
    <t>HTSN-E3</t>
  </si>
  <si>
    <t>KK-20</t>
  </si>
  <si>
    <t>0108</t>
  </si>
  <si>
    <t>ST-638</t>
  </si>
  <si>
    <t>9048</t>
  </si>
  <si>
    <t>5736</t>
  </si>
  <si>
    <t>KNTTT-C6M</t>
  </si>
  <si>
    <t>SR-4</t>
  </si>
  <si>
    <t>STK-3P</t>
  </si>
  <si>
    <t>DKYO-14</t>
  </si>
  <si>
    <t>TJB10</t>
  </si>
  <si>
    <t>HG-30</t>
  </si>
  <si>
    <t>YM-40</t>
  </si>
  <si>
    <t>M-300RA</t>
  </si>
  <si>
    <t>MKD-30</t>
  </si>
  <si>
    <t>OV-30</t>
  </si>
  <si>
    <t>OV-50</t>
  </si>
  <si>
    <t>OP-20N</t>
  </si>
  <si>
    <t>OP-30N</t>
  </si>
  <si>
    <t>OP-50N</t>
  </si>
  <si>
    <t>LNW-30A</t>
  </si>
  <si>
    <t>LNW-50A</t>
  </si>
  <si>
    <t>KAB-30</t>
  </si>
  <si>
    <t>KAB-50</t>
  </si>
  <si>
    <t>1D「0」</t>
    <phoneticPr fontId="3"/>
  </si>
  <si>
    <t>1D「2」</t>
    <phoneticPr fontId="3"/>
  </si>
  <si>
    <t>ｲﾝｽﾄｱｺｰﾄﾞ出力</t>
    <rPh sb="8" eb="10">
      <t>シュツリョク</t>
    </rPh>
    <phoneticPr fontId="5"/>
  </si>
  <si>
    <t>1/6</t>
    <phoneticPr fontId="3"/>
  </si>
  <si>
    <t>確認</t>
    <rPh sb="0" eb="2">
      <t>カクニン</t>
    </rPh>
    <phoneticPr fontId="3"/>
  </si>
  <si>
    <t>1/6D「0」</t>
    <phoneticPr fontId="3"/>
  </si>
  <si>
    <t>1/6D「8」</t>
    <phoneticPr fontId="3"/>
  </si>
  <si>
    <t>2/6D「0」</t>
    <phoneticPr fontId="3"/>
  </si>
  <si>
    <t>2/6D「1」</t>
    <phoneticPr fontId="3"/>
  </si>
  <si>
    <t>2/6</t>
    <phoneticPr fontId="3"/>
  </si>
  <si>
    <t>1/6前者名称</t>
    <rPh sb="3" eb="5">
      <t>ゼンシャ</t>
    </rPh>
    <rPh sb="5" eb="7">
      <t>メイショウ</t>
    </rPh>
    <phoneticPr fontId="3"/>
  </si>
  <si>
    <t>1/6前者名称</t>
    <rPh sb="3" eb="5">
      <t>ゼンシャ</t>
    </rPh>
    <rPh sb="5" eb="7">
      <t>メイショウ</t>
    </rPh>
    <phoneticPr fontId="3"/>
  </si>
  <si>
    <t>2/6前者名称</t>
    <rPh sb="3" eb="5">
      <t>ゼンシャ</t>
    </rPh>
    <rPh sb="5" eb="7">
      <t>メイショウ</t>
    </rPh>
    <phoneticPr fontId="3"/>
  </si>
  <si>
    <t>2/6D「0」</t>
    <phoneticPr fontId="3"/>
  </si>
  <si>
    <t>2/6D「2」</t>
    <phoneticPr fontId="3"/>
  </si>
  <si>
    <t>2/6D「999」</t>
    <phoneticPr fontId="3"/>
  </si>
  <si>
    <t>2/6D「0」</t>
    <phoneticPr fontId="3"/>
  </si>
  <si>
    <t>2/6D「8」</t>
    <phoneticPr fontId="3"/>
  </si>
  <si>
    <t>2/6（酒）</t>
    <rPh sb="4" eb="5">
      <t>サケ</t>
    </rPh>
    <phoneticPr fontId="3"/>
  </si>
  <si>
    <t>3/6</t>
    <phoneticPr fontId="3"/>
  </si>
  <si>
    <t>3/6前者名称</t>
    <rPh sb="3" eb="5">
      <t>ゼンシャ</t>
    </rPh>
    <rPh sb="5" eb="7">
      <t>メイショウ</t>
    </rPh>
    <phoneticPr fontId="3"/>
  </si>
  <si>
    <t>4/6</t>
    <phoneticPr fontId="3"/>
  </si>
  <si>
    <t>5/6</t>
    <phoneticPr fontId="3"/>
  </si>
  <si>
    <t>6/6</t>
    <phoneticPr fontId="3"/>
  </si>
  <si>
    <t>卸価格（バラ）</t>
    <rPh sb="0" eb="2">
      <t>カカク</t>
    </rPh>
    <phoneticPr fontId="13"/>
  </si>
  <si>
    <t>生産者価格（バラ）</t>
    <rPh sb="0" eb="2">
      <t>セイサンシャ</t>
    </rPh>
    <rPh sb="2" eb="4">
      <t>カカク</t>
    </rPh>
    <phoneticPr fontId="13"/>
  </si>
  <si>
    <t>小売価格（バラ）</t>
    <rPh sb="0" eb="3">
      <t>コウリカカク</t>
    </rPh>
    <phoneticPr fontId="13"/>
  </si>
  <si>
    <t>Ｒ3（バラ）</t>
    <phoneticPr fontId="5"/>
  </si>
  <si>
    <t>Ｒ2（バラ）</t>
    <phoneticPr fontId="5"/>
  </si>
  <si>
    <t>Ｒ1（バラ）</t>
    <phoneticPr fontId="5"/>
  </si>
  <si>
    <t>N1（バラ）</t>
    <phoneticPr fontId="13"/>
  </si>
  <si>
    <t>N2（バラ）</t>
    <phoneticPr fontId="13"/>
  </si>
  <si>
    <t>N3（バラ）</t>
    <phoneticPr fontId="13"/>
  </si>
  <si>
    <t>N単価、R売価</t>
    <rPh sb="1" eb="3">
      <t>タンカ</t>
    </rPh>
    <rPh sb="5" eb="7">
      <t>バイカ</t>
    </rPh>
    <phoneticPr fontId="5"/>
  </si>
  <si>
    <t>新単価（バラ）</t>
    <rPh sb="0" eb="1">
      <t>シン</t>
    </rPh>
    <rPh sb="1" eb="3">
      <t>タンカ</t>
    </rPh>
    <phoneticPr fontId="3"/>
  </si>
  <si>
    <t>変更日</t>
    <rPh sb="0" eb="3">
      <t>ヘンコウビ</t>
    </rPh>
    <phoneticPr fontId="3"/>
  </si>
  <si>
    <t>仕入先コード</t>
    <rPh sb="0" eb="2">
      <t>シイレサキ</t>
    </rPh>
    <phoneticPr fontId="3"/>
  </si>
  <si>
    <t>仕入先名</t>
    <rPh sb="0" eb="2">
      <t>シイレサキ</t>
    </rPh>
    <rPh sb="3" eb="4">
      <t>メイ</t>
    </rPh>
    <phoneticPr fontId="3"/>
  </si>
  <si>
    <t>単価（バラ）</t>
    <rPh sb="0" eb="1">
      <t>タンカ</t>
    </rPh>
    <phoneticPr fontId="5"/>
  </si>
  <si>
    <t>仕入先別期間単価設定</t>
    <rPh sb="0" eb="3">
      <t>シイレサキ</t>
    </rPh>
    <rPh sb="3" eb="4">
      <t>ベツ</t>
    </rPh>
    <rPh sb="4" eb="6">
      <t>キカン</t>
    </rPh>
    <rPh sb="6" eb="8">
      <t>タンカ</t>
    </rPh>
    <rPh sb="8" eb="10">
      <t>セッテイ</t>
    </rPh>
    <phoneticPr fontId="3"/>
  </si>
  <si>
    <t>エリア区分</t>
    <rPh sb="2" eb="4">
      <t>クブン</t>
    </rPh>
    <phoneticPr fontId="3"/>
  </si>
  <si>
    <t>単価適用日</t>
    <rPh sb="0" eb="1">
      <t>タンカ</t>
    </rPh>
    <rPh sb="1" eb="4">
      <t>テキヨウビ</t>
    </rPh>
    <phoneticPr fontId="3"/>
  </si>
  <si>
    <t>備考</t>
    <rPh sb="0" eb="1">
      <t>ビコウ</t>
    </rPh>
    <phoneticPr fontId="3"/>
  </si>
  <si>
    <t>仕入先別単価</t>
    <rPh sb="0" eb="3">
      <t>シイレサキ</t>
    </rPh>
    <rPh sb="3" eb="4">
      <t>ベツ</t>
    </rPh>
    <rPh sb="4" eb="6">
      <t>タンカ</t>
    </rPh>
    <phoneticPr fontId="3"/>
  </si>
  <si>
    <t>POS単価</t>
    <rPh sb="3" eb="5">
      <t>タンカ</t>
    </rPh>
    <phoneticPr fontId="3"/>
  </si>
  <si>
    <t>部署単価参照コード</t>
    <rPh sb="0" eb="1">
      <t>ブショ</t>
    </rPh>
    <rPh sb="1" eb="3">
      <t>タンカ</t>
    </rPh>
    <rPh sb="3" eb="5">
      <t>サンショウ</t>
    </rPh>
    <phoneticPr fontId="3"/>
  </si>
  <si>
    <t>新単価（ケース）</t>
    <rPh sb="0" eb="2">
      <t>シンタンカ</t>
    </rPh>
    <phoneticPr fontId="3"/>
  </si>
  <si>
    <t>新単価（バラ）</t>
    <rPh sb="0" eb="2">
      <t>シンタンカ</t>
    </rPh>
    <phoneticPr fontId="3"/>
  </si>
  <si>
    <t>変更日付</t>
    <rPh sb="0" eb="1">
      <t>ヘンコウ</t>
    </rPh>
    <rPh sb="1" eb="3">
      <t>ヒヅケ</t>
    </rPh>
    <phoneticPr fontId="3"/>
  </si>
  <si>
    <t>部署別店頭単価</t>
    <rPh sb="0" eb="3">
      <t>ブショベツ</t>
    </rPh>
    <rPh sb="3" eb="5">
      <t>テントウ</t>
    </rPh>
    <rPh sb="5" eb="7">
      <t>タンカ</t>
    </rPh>
    <phoneticPr fontId="3"/>
  </si>
  <si>
    <t>発注先情報</t>
    <rPh sb="0" eb="3">
      <t>ハッチュウサキ</t>
    </rPh>
    <rPh sb="3" eb="5">
      <t>ジョウホウ</t>
    </rPh>
    <phoneticPr fontId="13"/>
  </si>
  <si>
    <t>発注停止</t>
    <rPh sb="0" eb="1">
      <t>ハッチュウ</t>
    </rPh>
    <rPh sb="1" eb="3">
      <t>テイシ</t>
    </rPh>
    <phoneticPr fontId="3"/>
  </si>
  <si>
    <t>基本区分</t>
    <rPh sb="0" eb="1">
      <t>キホン</t>
    </rPh>
    <rPh sb="1" eb="3">
      <t>クブン</t>
    </rPh>
    <phoneticPr fontId="3"/>
  </si>
  <si>
    <t>商品帯</t>
    <rPh sb="0" eb="2">
      <t>ショウヒン</t>
    </rPh>
    <rPh sb="2" eb="3">
      <t>オビ</t>
    </rPh>
    <phoneticPr fontId="3"/>
  </si>
  <si>
    <t>1/1</t>
    <phoneticPr fontId="3"/>
  </si>
  <si>
    <t>適用期間（From）</t>
    <rPh sb="0" eb="2">
      <t>テキヨウ</t>
    </rPh>
    <rPh sb="2" eb="4">
      <t>キカン</t>
    </rPh>
    <phoneticPr fontId="3"/>
  </si>
  <si>
    <t>適用期間（To）</t>
    <rPh sb="0" eb="2">
      <t>テキヨウ</t>
    </rPh>
    <rPh sb="2" eb="4">
      <t>キカン</t>
    </rPh>
    <phoneticPr fontId="3"/>
  </si>
  <si>
    <t>区分</t>
    <rPh sb="0" eb="1">
      <t>クブン</t>
    </rPh>
    <phoneticPr fontId="3"/>
  </si>
  <si>
    <t>3商品</t>
    <rPh sb="1" eb="3">
      <t>ショウヒン</t>
    </rPh>
    <phoneticPr fontId="3"/>
  </si>
  <si>
    <t>枝番</t>
    <rPh sb="0" eb="1">
      <t>エダバン</t>
    </rPh>
    <phoneticPr fontId="3"/>
  </si>
  <si>
    <t>実施個所</t>
    <rPh sb="0" eb="1">
      <t>ジッシ</t>
    </rPh>
    <rPh sb="1" eb="3">
      <t>カショ</t>
    </rPh>
    <phoneticPr fontId="3"/>
  </si>
  <si>
    <t>表示設定</t>
    <rPh sb="0" eb="2">
      <t>ヒョウジ</t>
    </rPh>
    <rPh sb="2" eb="4">
      <t>セッテイ</t>
    </rPh>
    <phoneticPr fontId="13"/>
  </si>
  <si>
    <t>1/1</t>
    <phoneticPr fontId="3"/>
  </si>
  <si>
    <t>特売設定</t>
    <rPh sb="0" eb="2">
      <t>トクバイ</t>
    </rPh>
    <rPh sb="2" eb="4">
      <t>セッテイ</t>
    </rPh>
    <phoneticPr fontId="3"/>
  </si>
  <si>
    <t>金券フラグ</t>
    <rPh sb="0" eb="1">
      <t>キンケン</t>
    </rPh>
    <phoneticPr fontId="5"/>
  </si>
  <si>
    <t>→これよりWEB基幹及び単価、発注関連</t>
    <rPh sb="8" eb="10">
      <t>キカン</t>
    </rPh>
    <rPh sb="10" eb="11">
      <t>オヨ</t>
    </rPh>
    <rPh sb="12" eb="14">
      <t>タンカ</t>
    </rPh>
    <rPh sb="15" eb="17">
      <t>ハッチュウ</t>
    </rPh>
    <rPh sb="17" eb="19">
      <t>カンレン</t>
    </rPh>
    <phoneticPr fontId="3"/>
  </si>
  <si>
    <t>展示</t>
    <rPh sb="0" eb="1">
      <t>テンジ</t>
    </rPh>
    <phoneticPr fontId="5"/>
  </si>
  <si>
    <t>お奨め順</t>
    <rPh sb="0" eb="1">
      <t>スス</t>
    </rPh>
    <rPh sb="2" eb="3">
      <t>ジュン</t>
    </rPh>
    <phoneticPr fontId="3"/>
  </si>
  <si>
    <t>商品レビュー受付</t>
    <rPh sb="0" eb="1">
      <t>ショウヒン</t>
    </rPh>
    <rPh sb="5" eb="7">
      <t>ウケツケ</t>
    </rPh>
    <phoneticPr fontId="3"/>
  </si>
  <si>
    <t>商品アイコン</t>
    <rPh sb="0" eb="1">
      <t>ショウヒン</t>
    </rPh>
    <phoneticPr fontId="3"/>
  </si>
  <si>
    <t>詳細イメージ</t>
    <rPh sb="0" eb="1">
      <t>ショウサイ</t>
    </rPh>
    <phoneticPr fontId="3"/>
  </si>
  <si>
    <t>キーワード</t>
    <phoneticPr fontId="3"/>
  </si>
  <si>
    <t>テンプレート</t>
    <phoneticPr fontId="3"/>
  </si>
  <si>
    <t>1/4</t>
    <phoneticPr fontId="3"/>
  </si>
  <si>
    <t>1/4前者名称</t>
    <rPh sb="3" eb="5">
      <t>ゼンシャ</t>
    </rPh>
    <rPh sb="5" eb="7">
      <t>メイショウ</t>
    </rPh>
    <phoneticPr fontId="3"/>
  </si>
  <si>
    <t>検索</t>
    <rPh sb="0" eb="1">
      <t>ケンサク</t>
    </rPh>
    <phoneticPr fontId="3"/>
  </si>
  <si>
    <t>ケース割引</t>
    <rPh sb="2" eb="4">
      <t>ワリビキ</t>
    </rPh>
    <phoneticPr fontId="3"/>
  </si>
  <si>
    <t>酒区分</t>
    <rPh sb="0" eb="2">
      <t>サケクブン</t>
    </rPh>
    <phoneticPr fontId="3"/>
  </si>
  <si>
    <t>NEWアイコン制御フラグ</t>
    <rPh sb="6" eb="8">
      <t>セイギョ</t>
    </rPh>
    <phoneticPr fontId="3"/>
  </si>
  <si>
    <t>配達方法（バラ）カクヤス</t>
    <rPh sb="0" eb="1">
      <t>ハイタツ</t>
    </rPh>
    <rPh sb="1" eb="3">
      <t>ホウホウ</t>
    </rPh>
    <phoneticPr fontId="5"/>
  </si>
  <si>
    <t>配達方法（バラ）常温</t>
    <rPh sb="0" eb="1">
      <t>ハイタツ</t>
    </rPh>
    <rPh sb="1" eb="3">
      <t>ホウホウ</t>
    </rPh>
    <rPh sb="8" eb="10">
      <t>ジョウオン</t>
    </rPh>
    <phoneticPr fontId="5"/>
  </si>
  <si>
    <t>配達方法（バラ）冷凍</t>
    <rPh sb="0" eb="1">
      <t>ハイタツ</t>
    </rPh>
    <rPh sb="1" eb="3">
      <t>ホウホウ</t>
    </rPh>
    <rPh sb="8" eb="10">
      <t>レイトウ</t>
    </rPh>
    <phoneticPr fontId="5"/>
  </si>
  <si>
    <t>配達方法（バラ）冷蔵</t>
    <rPh sb="0" eb="1">
      <t>ハイタツ</t>
    </rPh>
    <rPh sb="1" eb="3">
      <t>ホウホウ</t>
    </rPh>
    <rPh sb="8" eb="10">
      <t>レイゾウ</t>
    </rPh>
    <phoneticPr fontId="5"/>
  </si>
  <si>
    <t>配達方法（ケース）カクヤス</t>
    <rPh sb="0" eb="1">
      <t>ハイタツ</t>
    </rPh>
    <rPh sb="1" eb="3">
      <t>ホウホウ</t>
    </rPh>
    <phoneticPr fontId="5"/>
  </si>
  <si>
    <t>配達方法（ケース）常温</t>
    <rPh sb="0" eb="1">
      <t>ハイタツ</t>
    </rPh>
    <rPh sb="1" eb="3">
      <t>ホウホウ</t>
    </rPh>
    <rPh sb="9" eb="11">
      <t>ジョウオン</t>
    </rPh>
    <phoneticPr fontId="5"/>
  </si>
  <si>
    <t>配達方法（ケース）冷凍</t>
    <rPh sb="0" eb="1">
      <t>ハイタツ</t>
    </rPh>
    <rPh sb="1" eb="3">
      <t>ホウホウ</t>
    </rPh>
    <rPh sb="9" eb="11">
      <t>レイトウ</t>
    </rPh>
    <phoneticPr fontId="5"/>
  </si>
  <si>
    <t>配達方法（ケース）冷蔵</t>
    <rPh sb="0" eb="1">
      <t>ハイタツ</t>
    </rPh>
    <rPh sb="1" eb="3">
      <t>ホウホウ</t>
    </rPh>
    <rPh sb="9" eb="11">
      <t>レイゾウ</t>
    </rPh>
    <phoneticPr fontId="5"/>
  </si>
  <si>
    <t>容器保証料</t>
    <rPh sb="0" eb="1">
      <t>ヨウキ</t>
    </rPh>
    <rPh sb="1" eb="4">
      <t>ホショウリョウ</t>
    </rPh>
    <phoneticPr fontId="3"/>
  </si>
  <si>
    <t>商品種類</t>
    <rPh sb="0" eb="1">
      <t>ショウヒン</t>
    </rPh>
    <rPh sb="1" eb="3">
      <t>シュルイ</t>
    </rPh>
    <phoneticPr fontId="3"/>
  </si>
  <si>
    <t>メーカーURL</t>
    <phoneticPr fontId="3"/>
  </si>
  <si>
    <t>テキスト</t>
    <phoneticPr fontId="3"/>
  </si>
  <si>
    <t>カクヤスURL</t>
    <phoneticPr fontId="3"/>
  </si>
  <si>
    <t>飲み方（熱燗）</t>
    <rPh sb="1" eb="2">
      <t>カタ</t>
    </rPh>
    <rPh sb="3" eb="5">
      <t>アツカン</t>
    </rPh>
    <phoneticPr fontId="3"/>
  </si>
  <si>
    <t>飲み方（ぬる燗）</t>
    <rPh sb="1" eb="2">
      <t>カタ</t>
    </rPh>
    <rPh sb="6" eb="7">
      <t>カン</t>
    </rPh>
    <phoneticPr fontId="3"/>
  </si>
  <si>
    <t>飲み方（常温）</t>
    <rPh sb="1" eb="2">
      <t>カタ</t>
    </rPh>
    <rPh sb="4" eb="6">
      <t>ジョウオン</t>
    </rPh>
    <phoneticPr fontId="3"/>
  </si>
  <si>
    <t>飲み方（冷や）</t>
    <rPh sb="1" eb="2">
      <t>カタ</t>
    </rPh>
    <rPh sb="4" eb="5">
      <t>ヒ</t>
    </rPh>
    <phoneticPr fontId="3"/>
  </si>
  <si>
    <t>硬度</t>
    <rPh sb="0" eb="1">
      <t>コウド</t>
    </rPh>
    <phoneticPr fontId="3"/>
  </si>
  <si>
    <t>色</t>
    <rPh sb="0" eb="1">
      <t>イロ</t>
    </rPh>
    <phoneticPr fontId="3"/>
  </si>
  <si>
    <t>原料</t>
    <rPh sb="0" eb="1">
      <t>ゲンリョウ</t>
    </rPh>
    <phoneticPr fontId="13"/>
  </si>
  <si>
    <t>2/4</t>
    <phoneticPr fontId="3"/>
  </si>
  <si>
    <t>基本</t>
    <rPh sb="0" eb="2">
      <t>キホン</t>
    </rPh>
    <phoneticPr fontId="3"/>
  </si>
  <si>
    <t>商品説明</t>
    <rPh sb="0" eb="2">
      <t>ショウヒン</t>
    </rPh>
    <rPh sb="2" eb="4">
      <t>セツメイ</t>
    </rPh>
    <phoneticPr fontId="3"/>
  </si>
  <si>
    <t>ケースバラ区分</t>
    <rPh sb="4" eb="6">
      <t>クブン</t>
    </rPh>
    <phoneticPr fontId="3"/>
  </si>
  <si>
    <t>ケース単位</t>
    <rPh sb="2" eb="4">
      <t>タンイ</t>
    </rPh>
    <phoneticPr fontId="3"/>
  </si>
  <si>
    <t>バラ単位</t>
    <rPh sb="1" eb="3">
      <t>タンイ</t>
    </rPh>
    <phoneticPr fontId="3"/>
  </si>
  <si>
    <t>Web課税区分</t>
    <rPh sb="2" eb="6">
      <t>カゼイクブン</t>
    </rPh>
    <phoneticPr fontId="3"/>
  </si>
  <si>
    <t>ケース特別送料</t>
    <rPh sb="2" eb="4">
      <t>トクベツ</t>
    </rPh>
    <rPh sb="4" eb="6">
      <t>ソウリョウ</t>
    </rPh>
    <phoneticPr fontId="3"/>
  </si>
  <si>
    <t>バラ特別送料</t>
    <rPh sb="1" eb="3">
      <t>トクベツ</t>
    </rPh>
    <rPh sb="3" eb="5">
      <t>ソウリョウ</t>
    </rPh>
    <phoneticPr fontId="3"/>
  </si>
  <si>
    <t>3/4</t>
    <phoneticPr fontId="3"/>
  </si>
  <si>
    <t>ロボ</t>
    <phoneticPr fontId="3"/>
  </si>
  <si>
    <t>度数FROM</t>
    <rPh sb="0" eb="1">
      <t>ドスウ</t>
    </rPh>
    <phoneticPr fontId="5"/>
  </si>
  <si>
    <t>度数TO</t>
    <rPh sb="0" eb="1">
      <t>ドスウ</t>
    </rPh>
    <phoneticPr fontId="5"/>
  </si>
  <si>
    <t>ロボ</t>
    <phoneticPr fontId="3"/>
  </si>
  <si>
    <t>変更日付</t>
    <rPh sb="0" eb="2">
      <t>ヘンコウ</t>
    </rPh>
    <rPh sb="2" eb="4">
      <t>ヒヅケ</t>
    </rPh>
    <phoneticPr fontId="3"/>
  </si>
  <si>
    <t>仕入単価</t>
    <rPh sb="0" eb="4">
      <t>シイレタンカ</t>
    </rPh>
    <phoneticPr fontId="3"/>
  </si>
  <si>
    <t>部署コード</t>
    <rPh sb="0" eb="2">
      <t>ブショ</t>
    </rPh>
    <phoneticPr fontId="3"/>
  </si>
  <si>
    <t>適用期間FROM</t>
    <rPh sb="0" eb="2">
      <t>テキヨウ</t>
    </rPh>
    <rPh sb="2" eb="4">
      <t>キカン</t>
    </rPh>
    <phoneticPr fontId="3"/>
  </si>
  <si>
    <t>適用期間TO</t>
    <rPh sb="0" eb="2">
      <t>テキヨウ</t>
    </rPh>
    <rPh sb="2" eb="4">
      <t>キカン</t>
    </rPh>
    <phoneticPr fontId="3"/>
  </si>
  <si>
    <t>POS単価設定</t>
    <rPh sb="3" eb="5">
      <t>タンカ</t>
    </rPh>
    <rPh sb="5" eb="7">
      <t>セッテイ</t>
    </rPh>
    <phoneticPr fontId="3"/>
  </si>
  <si>
    <t>特売期間FROM</t>
    <rPh sb="0" eb="1">
      <t>トクバイ</t>
    </rPh>
    <rPh sb="1" eb="3">
      <t>キカン</t>
    </rPh>
    <phoneticPr fontId="5"/>
  </si>
  <si>
    <t>特売期間TO</t>
    <rPh sb="0" eb="1">
      <t>トクバイ</t>
    </rPh>
    <rPh sb="1" eb="3">
      <t>キカン</t>
    </rPh>
    <phoneticPr fontId="5"/>
  </si>
  <si>
    <t>商品名</t>
    <rPh sb="0" eb="2">
      <t>ショウヒンメイ</t>
    </rPh>
    <phoneticPr fontId="5"/>
  </si>
  <si>
    <t>1/1前者名称</t>
    <rPh sb="3" eb="5">
      <t>ゼンシャ</t>
    </rPh>
    <rPh sb="5" eb="7">
      <t>メイショウ</t>
    </rPh>
    <phoneticPr fontId="3"/>
  </si>
  <si>
    <t>1/1</t>
    <phoneticPr fontId="3"/>
  </si>
  <si>
    <t>処理</t>
    <rPh sb="0" eb="1">
      <t>ショリ</t>
    </rPh>
    <phoneticPr fontId="5"/>
  </si>
  <si>
    <t>商品コード</t>
    <rPh sb="0" eb="1">
      <t>ショウヒン</t>
    </rPh>
    <phoneticPr fontId="3"/>
  </si>
  <si>
    <t>販売期間FROM</t>
    <rPh sb="0" eb="1">
      <t>ハンバイ</t>
    </rPh>
    <rPh sb="2" eb="4">
      <t>キカン</t>
    </rPh>
    <phoneticPr fontId="5"/>
  </si>
  <si>
    <t>販売期間TO</t>
    <rPh sb="0" eb="1">
      <t>ハンバイ</t>
    </rPh>
    <rPh sb="2" eb="4">
      <t>キカン</t>
    </rPh>
    <phoneticPr fontId="5"/>
  </si>
  <si>
    <t>容量</t>
    <rPh sb="0" eb="1">
      <t>ヨウリョウ</t>
    </rPh>
    <phoneticPr fontId="3"/>
  </si>
  <si>
    <t>規格</t>
    <rPh sb="0" eb="1">
      <t>キカク</t>
    </rPh>
    <phoneticPr fontId="3"/>
  </si>
  <si>
    <t>入数</t>
    <rPh sb="0" eb="1">
      <t>イリスウ</t>
    </rPh>
    <phoneticPr fontId="3"/>
  </si>
  <si>
    <t>キャンペーン期間FROM</t>
    <rPh sb="5" eb="7">
      <t>キカン</t>
    </rPh>
    <phoneticPr fontId="3"/>
  </si>
  <si>
    <t>キャンペーン期間TO</t>
    <rPh sb="5" eb="7">
      <t>キカン</t>
    </rPh>
    <phoneticPr fontId="3"/>
  </si>
  <si>
    <t>4/4</t>
    <phoneticPr fontId="3"/>
  </si>
  <si>
    <t>キャンペーン設定</t>
    <rPh sb="6" eb="8">
      <t>セッテイ</t>
    </rPh>
    <phoneticPr fontId="3"/>
  </si>
  <si>
    <t>キャンペーンURL</t>
    <phoneticPr fontId="3"/>
  </si>
  <si>
    <t>キャンペーンテキスト</t>
    <phoneticPr fontId="3"/>
  </si>
  <si>
    <t>WEB販売</t>
    <rPh sb="2" eb="4">
      <t>ハンバイ</t>
    </rPh>
    <phoneticPr fontId="3"/>
  </si>
  <si>
    <t>注文毎注文上限数</t>
    <rPh sb="0" eb="2">
      <t>チュウモンゴト</t>
    </rPh>
    <rPh sb="2" eb="4">
      <t>チュウモン</t>
    </rPh>
    <rPh sb="4" eb="7">
      <t>ジョウゲンスウ</t>
    </rPh>
    <phoneticPr fontId="3"/>
  </si>
  <si>
    <t>注文制限期間</t>
    <rPh sb="0" eb="1">
      <t>チュウモン</t>
    </rPh>
    <rPh sb="1" eb="3">
      <t>セイゲン</t>
    </rPh>
    <rPh sb="3" eb="5">
      <t>キカン</t>
    </rPh>
    <phoneticPr fontId="3"/>
  </si>
  <si>
    <t>注文制限単位</t>
    <rPh sb="0" eb="1">
      <t>チュウモン</t>
    </rPh>
    <rPh sb="1" eb="3">
      <t>セイゲン</t>
    </rPh>
    <rPh sb="3" eb="5">
      <t>タンイ</t>
    </rPh>
    <phoneticPr fontId="3"/>
  </si>
  <si>
    <t>特売期間非表示フラグ</t>
    <rPh sb="0" eb="1">
      <t>トクバイ</t>
    </rPh>
    <rPh sb="1" eb="3">
      <t>キカン</t>
    </rPh>
    <rPh sb="3" eb="6">
      <t>ヒヒョウジ</t>
    </rPh>
    <phoneticPr fontId="3"/>
  </si>
  <si>
    <t>クーポン定義フラグ</t>
    <rPh sb="3" eb="5">
      <t>テイギ</t>
    </rPh>
    <phoneticPr fontId="3"/>
  </si>
  <si>
    <t>不要</t>
    <rPh sb="0" eb="2">
      <t>フヨウ</t>
    </rPh>
    <phoneticPr fontId="3"/>
  </si>
  <si>
    <t>WEB商品名</t>
    <rPh sb="3" eb="5">
      <t>ショウヒンメイ</t>
    </rPh>
    <phoneticPr fontId="3"/>
  </si>
  <si>
    <t>申請日</t>
    <rPh sb="0" eb="3">
      <t>シンセイビ</t>
    </rPh>
    <phoneticPr fontId="3"/>
  </si>
  <si>
    <t>申請者</t>
    <rPh sb="0" eb="3">
      <t>シンセイシャ</t>
    </rPh>
    <phoneticPr fontId="3"/>
  </si>
  <si>
    <t>商品区分</t>
  </si>
  <si>
    <t>ｹｰｽ･ﾊﾞﾗ単位</t>
    <rPh sb="7" eb="9">
      <t>タンイ</t>
    </rPh>
    <phoneticPr fontId="16"/>
  </si>
  <si>
    <t>物流区分</t>
    <rPh sb="0" eb="2">
      <t>ブツリュウ</t>
    </rPh>
    <rPh sb="2" eb="4">
      <t>クブン</t>
    </rPh>
    <phoneticPr fontId="16"/>
  </si>
  <si>
    <t>デポ当日発注区分</t>
    <rPh sb="2" eb="4">
      <t>トウジツ</t>
    </rPh>
    <rPh sb="4" eb="6">
      <t>ハッチュウ</t>
    </rPh>
    <rPh sb="6" eb="8">
      <t>クブン</t>
    </rPh>
    <phoneticPr fontId="16"/>
  </si>
  <si>
    <t>発注単位</t>
    <rPh sb="0" eb="2">
      <t>ハッチュウ</t>
    </rPh>
    <rPh sb="2" eb="4">
      <t>タンイ</t>
    </rPh>
    <phoneticPr fontId="17"/>
  </si>
  <si>
    <t>発注停止</t>
    <rPh sb="0" eb="2">
      <t>ハッチュウ</t>
    </rPh>
    <rPh sb="2" eb="4">
      <t>テイシ</t>
    </rPh>
    <phoneticPr fontId="16"/>
  </si>
  <si>
    <t>在庫管理</t>
    <rPh sb="0" eb="2">
      <t>ザイコ</t>
    </rPh>
    <rPh sb="2" eb="4">
      <t>カンリ</t>
    </rPh>
    <phoneticPr fontId="16"/>
  </si>
  <si>
    <t>課税区分</t>
    <rPh sb="0" eb="2">
      <t>カゼイ</t>
    </rPh>
    <rPh sb="2" eb="4">
      <t>クブン</t>
    </rPh>
    <phoneticPr fontId="16"/>
  </si>
  <si>
    <t>国産輸入</t>
    <rPh sb="0" eb="2">
      <t>コクサン</t>
    </rPh>
    <rPh sb="2" eb="4">
      <t>ユニュウ</t>
    </rPh>
    <phoneticPr fontId="16"/>
  </si>
  <si>
    <t>横持ピック</t>
    <rPh sb="0" eb="2">
      <t>ヨコモチ</t>
    </rPh>
    <phoneticPr fontId="16"/>
  </si>
  <si>
    <t>HT容器回収</t>
    <rPh sb="2" eb="4">
      <t>ヨウキ</t>
    </rPh>
    <rPh sb="4" eb="6">
      <t>カイシュウ</t>
    </rPh>
    <phoneticPr fontId="16"/>
  </si>
  <si>
    <t>予備区分3</t>
    <rPh sb="0" eb="2">
      <t>ヨビ</t>
    </rPh>
    <rPh sb="2" eb="4">
      <t>クブン</t>
    </rPh>
    <phoneticPr fontId="16"/>
  </si>
  <si>
    <t>予備区分4</t>
    <rPh sb="0" eb="2">
      <t>ヨビ</t>
    </rPh>
    <rPh sb="2" eb="4">
      <t>クブン</t>
    </rPh>
    <phoneticPr fontId="16"/>
  </si>
  <si>
    <t>消費税率コード</t>
    <rPh sb="0" eb="2">
      <t>ショウヒ</t>
    </rPh>
    <rPh sb="2" eb="4">
      <t>ゼイリツ</t>
    </rPh>
    <phoneticPr fontId="16"/>
  </si>
  <si>
    <t>10000001ﾋﾞｰﾙ空容器大/20</t>
  </si>
  <si>
    <t>共通部署</t>
  </si>
  <si>
    <t>使用不可</t>
    <rPh sb="0" eb="2">
      <t>シヨウ</t>
    </rPh>
    <rPh sb="2" eb="4">
      <t>フカ</t>
    </rPh>
    <phoneticPr fontId="16"/>
  </si>
  <si>
    <t>ケースのみ</t>
    <phoneticPr fontId="17"/>
  </si>
  <si>
    <t>可能</t>
    <rPh sb="0" eb="2">
      <t>カノウ</t>
    </rPh>
    <phoneticPr fontId="16"/>
  </si>
  <si>
    <t>回収する</t>
    <rPh sb="0" eb="2">
      <t>カイシュウ</t>
    </rPh>
    <phoneticPr fontId="16"/>
  </si>
  <si>
    <t>8</t>
    <phoneticPr fontId="16"/>
  </si>
  <si>
    <t>10000002ﾋﾞｰﾙ空容器中/20</t>
  </si>
  <si>
    <t>センター共通</t>
  </si>
  <si>
    <t>バラ</t>
    <phoneticPr fontId="17"/>
  </si>
  <si>
    <t>停止</t>
    <rPh sb="0" eb="2">
      <t>テイシ</t>
    </rPh>
    <phoneticPr fontId="16"/>
  </si>
  <si>
    <t>0しない</t>
    <phoneticPr fontId="16"/>
  </si>
  <si>
    <t>10</t>
    <phoneticPr fontId="16"/>
  </si>
  <si>
    <t>10000003ﾋﾞｰﾙ空容器小/30</t>
  </si>
  <si>
    <t>WEB物流</t>
  </si>
  <si>
    <t>1する</t>
    <phoneticPr fontId="16"/>
  </si>
  <si>
    <t>10000005△関西ｺｰﾗ/24空容器</t>
  </si>
  <si>
    <t>千葉センター</t>
  </si>
  <si>
    <t>10000010ｱｻﾋ空樽20L</t>
  </si>
  <si>
    <t>平和島</t>
    <rPh sb="0" eb="3">
      <t>ヘイワジマ</t>
    </rPh>
    <phoneticPr fontId="16"/>
  </si>
  <si>
    <t>平和島（自社）</t>
    <rPh sb="0" eb="3">
      <t>ヘイワジマ</t>
    </rPh>
    <rPh sb="4" eb="6">
      <t>ジシャ</t>
    </rPh>
    <phoneticPr fontId="16"/>
  </si>
  <si>
    <t>10000011ｻｯﾎﾟﾛ空樽20L</t>
  </si>
  <si>
    <t>平和島（消化）</t>
    <rPh sb="0" eb="3">
      <t>ヘイワジマ</t>
    </rPh>
    <rPh sb="4" eb="6">
      <t>ショウカ</t>
    </rPh>
    <phoneticPr fontId="16"/>
  </si>
  <si>
    <t>10000012ｻｯﾎﾟﾛ空樽10L</t>
  </si>
  <si>
    <t>平和島発注</t>
    <rPh sb="0" eb="3">
      <t>ヘイワジマ</t>
    </rPh>
    <rPh sb="3" eb="5">
      <t>ハッチュウ</t>
    </rPh>
    <phoneticPr fontId="16"/>
  </si>
  <si>
    <t>10000014ｷﾘﾝ空樽15L</t>
  </si>
  <si>
    <t>ＳＳ共通</t>
  </si>
  <si>
    <t>10000016ｻﾝﾄﾘｰ空樽15L</t>
  </si>
  <si>
    <t>店舗直送共通</t>
    <rPh sb="0" eb="2">
      <t>テンポ</t>
    </rPh>
    <rPh sb="2" eb="4">
      <t>チョクソウ</t>
    </rPh>
    <phoneticPr fontId="16"/>
  </si>
  <si>
    <t>10000017ｻﾝﾄﾘｰ空樽9L･10L</t>
  </si>
  <si>
    <t>ＶＣ共通</t>
  </si>
  <si>
    <t>10000018ｱｻﾋ空樽19L</t>
  </si>
  <si>
    <t>店舗共通</t>
    <rPh sb="0" eb="2">
      <t>テンポ</t>
    </rPh>
    <phoneticPr fontId="16"/>
  </si>
  <si>
    <t>10000019ｱｻﾋ空樽10L</t>
  </si>
  <si>
    <t>検校共通</t>
    <rPh sb="0" eb="2">
      <t>ケンギョウ</t>
    </rPh>
    <rPh sb="2" eb="4">
      <t>キョウツウ</t>
    </rPh>
    <phoneticPr fontId="16"/>
  </si>
  <si>
    <t>10000021角ﾊｲ･ｽﾊﾟ空樽10L</t>
  </si>
  <si>
    <t>MHD発注G</t>
  </si>
  <si>
    <t>10000022ｷﾘﾝ空樽7L</t>
  </si>
  <si>
    <t>ＭＭＦＣ共通</t>
  </si>
  <si>
    <t>10000023ｱｻﾋ空樽30L</t>
    <phoneticPr fontId="16"/>
  </si>
  <si>
    <t>ＭＭＦＣ（アイスコ）</t>
  </si>
  <si>
    <t>10000025ｷﾘﾝ空樽20L</t>
  </si>
  <si>
    <t>ＫＹリカー共通</t>
  </si>
  <si>
    <t>10000026ｻﾝﾄﾘｰ空樽20L</t>
  </si>
  <si>
    <t>SS共通（大阪）</t>
    <rPh sb="2" eb="4">
      <t>キョウツウ</t>
    </rPh>
    <rPh sb="5" eb="7">
      <t>オオサカ</t>
    </rPh>
    <phoneticPr fontId="16"/>
  </si>
  <si>
    <t>10000027ｻﾝﾄﾘｰ3ｶﾞﾛﾝ空樽</t>
  </si>
  <si>
    <t>大阪共通</t>
    <rPh sb="0" eb="2">
      <t>オオサカ</t>
    </rPh>
    <phoneticPr fontId="16"/>
  </si>
  <si>
    <t>10000071ｷﾘﾝﾚﾓﾝ/30大空容器</t>
  </si>
  <si>
    <t>大阪配送センター</t>
    <rPh sb="0" eb="2">
      <t>オオサカ</t>
    </rPh>
    <rPh sb="2" eb="4">
      <t>ハイソウ</t>
    </rPh>
    <phoneticPr fontId="16"/>
  </si>
  <si>
    <t>10000074ｷﾘﾝﾐﾈﾗﾙ/30</t>
  </si>
  <si>
    <t>共通(直送)</t>
    <rPh sb="0" eb="2">
      <t>キョウツウ</t>
    </rPh>
    <rPh sb="3" eb="5">
      <t>チョクソウ</t>
    </rPh>
    <phoneticPr fontId="16"/>
  </si>
  <si>
    <t>10000078ｻﾝﾄﾘｰﾐﾈﾗﾙ/30日本の天然水</t>
  </si>
  <si>
    <t>10000082ｳｨﾙｷﾝｿﾝ/24</t>
  </si>
  <si>
    <t>10000083ﾆｯｶﾐﾈﾗﾙ/30</t>
  </si>
  <si>
    <t>10000084ｺｰﾗ製品空容器/24</t>
  </si>
  <si>
    <t>10000085富士ﾐﾈﾗﾙ/20大空容器</t>
  </si>
  <si>
    <t>10000086富士ﾐﾈﾗﾙ/30空容器</t>
  </si>
  <si>
    <t>10000087ﾎｯﾋﾟｰ空容器/30</t>
  </si>
  <si>
    <t>10000091ｻﾜｰ空容器/24</t>
  </si>
  <si>
    <t>10000097炭酸ｶﾞｽﾎﾞﾝﾍﾞ空容器</t>
  </si>
  <si>
    <t>10000139軽井沢ﾋﾞｰﾙ空樽</t>
  </si>
  <si>
    <t>10000157ｽﾀｲﾆｰ空容器/20</t>
  </si>
  <si>
    <t>10000158△ｶﾅﾀﾞﾄﾞﾗｲ（浅箱入り）/24空容器(関西)</t>
  </si>
  <si>
    <t>10000164ｱｻﾋ空樽5L</t>
  </si>
  <si>
    <t>10000165△布引ﾐﾈﾗﾙ360/30</t>
  </si>
  <si>
    <t>10000173ｷﾞﾈｽ/ｷﾙｹﾆｰ空樽30L</t>
  </si>
  <si>
    <t>10000197△能勢ﾅﾁｭ360/30</t>
  </si>
  <si>
    <t>10000202△能勢ｿｰﾀﾞ200/24</t>
  </si>
  <si>
    <t>10000205ABｲﾝﾍﾞﾌﾞ空樽</t>
    <rPh sb="16" eb="17">
      <t>クウ</t>
    </rPh>
    <rPh sb="17" eb="18">
      <t>タル</t>
    </rPh>
    <phoneticPr fontId="16"/>
  </si>
  <si>
    <t>10000206ﾎｯﾋﾟｰ空樽19L</t>
  </si>
  <si>
    <t>10000210ｻｯﾎﾟﾛ氷彩･樽詰ﾜｲﾝ空樽10L</t>
  </si>
  <si>
    <t>10000212ﾄｷﾜﾋﾟｰｺｯｸｳｽﾀｰｿｰｽ</t>
  </si>
  <si>
    <t>10000224大和葡萄空樽</t>
  </si>
  <si>
    <t>10000243ｱｰﾃﾞﾝﾄｻﾜｰ/30</t>
  </si>
  <si>
    <t>10000248銀河高原ﾋﾞｰﾙ空樽</t>
  </si>
  <si>
    <t>10000289△布引ｶﾞﾗﾅ340/30</t>
  </si>
  <si>
    <t>10000292△布引ｿｰﾀﾞ200/24</t>
  </si>
  <si>
    <t>10000304ｵﾘｵﾝ･ｷﾝｼｬﾁ空樽</t>
  </si>
  <si>
    <t>10000307川崎飲料/24空容器</t>
  </si>
  <si>
    <t>10000308△布引900/12</t>
  </si>
  <si>
    <t>10000309ｼﾒｲﾎﾜｲﾄ空樽20L</t>
  </si>
  <si>
    <t>10000313ﾌﾞﾗｯｾﾙｽﾞ空樽</t>
  </si>
  <si>
    <t>10000316廣島空樽</t>
  </si>
  <si>
    <t>10000317日本ﾋﾞｰﾙ空樽</t>
  </si>
  <si>
    <t>10000329花月ﾗﾑﾈ空容器/24</t>
  </si>
  <si>
    <t>10000330ｺｴﾄﾞ空樽</t>
  </si>
  <si>
    <t>10000331ｲｴﾅ(Jena)空樽</t>
  </si>
  <si>
    <t>10000332NPﾀﾝｻﾝ･ﾚﾓﾝ/30</t>
  </si>
  <si>
    <t>10000339ｱｲｺﾝﾕｰﾛ空樽</t>
  </si>
  <si>
    <t>10000340小西･ｷﾝｷ空樽</t>
  </si>
  <si>
    <t>10000344花月炭酸ｻﾜｰ/24空容器</t>
  </si>
  <si>
    <t>10000345ｱﾛﾏﾃｨｯｸｴｰﾙ空樽</t>
  </si>
  <si>
    <t>10000346ﾎｯﾋﾟｰ空樽10L</t>
  </si>
  <si>
    <t>10000349ﾌﾞﾙｰﾑｰﾝ空樽15L</t>
  </si>
  <si>
    <t>10000350ﾏｵｳ空樽20L</t>
  </si>
  <si>
    <t>10000351ｸﾛｰﾈﾝﾌﾞﾙｸﾞ空樽</t>
  </si>
  <si>
    <t>10000354黄桜空樽10L</t>
    <rPh sb="8" eb="10">
      <t>キザクラ</t>
    </rPh>
    <phoneticPr fontId="16"/>
  </si>
  <si>
    <t>10000355黄桜空樽5L</t>
    <rPh sb="8" eb="10">
      <t>キザクラ</t>
    </rPh>
    <phoneticPr fontId="16"/>
  </si>
  <si>
    <t>10000356【20入】ﾎｯﾋﾟｰ空容器</t>
  </si>
  <si>
    <t>10000357大榮空樽</t>
    <phoneticPr fontId="16"/>
  </si>
  <si>
    <t>10000358石川酒造空樽10L</t>
    <phoneticPr fontId="16"/>
  </si>
  <si>
    <t>10000360ｱｻﾋ輸入空樽</t>
    <phoneticPr fontId="16"/>
  </si>
  <si>
    <t>10000361ﾎｯﾋﾟｰｻﾜｰ空容器/24</t>
    <phoneticPr fontId="16"/>
  </si>
  <si>
    <t>10000362文楽空容器/24</t>
    <phoneticPr fontId="16"/>
  </si>
  <si>
    <t>10000363文楽空容器/20</t>
    <phoneticPr fontId="16"/>
  </si>
  <si>
    <t>10000366ﾀｲｶﾞｰ空樽</t>
    <phoneticPr fontId="16"/>
  </si>
  <si>
    <t>10000367ｱﾚﾌ小樽空樽</t>
    <phoneticPr fontId="16"/>
  </si>
  <si>
    <t>10000368ﾍﾞｱﾚﾝ醸造所空樽</t>
    <phoneticPr fontId="16"/>
  </si>
  <si>
    <t>10000401ｻｯﾎﾟﾛ飲料/24空容器</t>
  </si>
  <si>
    <t>10000402ｷﾘﾝﾋﾞﾊﾞ/24空容器</t>
  </si>
  <si>
    <t>10000403ｱｻﾋ飲料/24空容器</t>
  </si>
  <si>
    <t>10000404ｻﾝﾄﾘｰﾌｰｽﾞ/24空容器</t>
  </si>
  <si>
    <t>10000406△能勢ｳｰﾛﾝ1L/12</t>
  </si>
  <si>
    <t>10000407ｻﾝｸﾄｶﾞｰﾚﾝ空樽</t>
  </si>
  <si>
    <t>10000409エチゴビール空樽</t>
  </si>
  <si>
    <t>10000410東京飲料/24空容器</t>
  </si>
  <si>
    <t>10000411△辻井鉱泉所ﾗﾑﾈ 150ML/12</t>
  </si>
  <si>
    <t>小分類名</t>
    <rPh sb="3" eb="4">
      <t>メイ</t>
    </rPh>
    <phoneticPr fontId="3"/>
  </si>
  <si>
    <t>商品区分名</t>
    <rPh sb="4" eb="5">
      <t>メイ</t>
    </rPh>
    <phoneticPr fontId="3"/>
  </si>
  <si>
    <t>ｹｰｽ･ﾊﾞﾗ単位名</t>
    <rPh sb="7" eb="9">
      <t>タンイ</t>
    </rPh>
    <rPh sb="9" eb="10">
      <t>メイ</t>
    </rPh>
    <phoneticPr fontId="16"/>
  </si>
  <si>
    <t>商品種別名</t>
    <rPh sb="3" eb="4">
      <t>ベツ</t>
    </rPh>
    <rPh sb="4" eb="5">
      <t>メイ</t>
    </rPh>
    <phoneticPr fontId="3"/>
  </si>
  <si>
    <t>商品種別</t>
    <rPh sb="3" eb="4">
      <t>ベツ</t>
    </rPh>
    <phoneticPr fontId="3"/>
  </si>
  <si>
    <t>POS商品分類</t>
    <rPh sb="3" eb="5">
      <t>ショウヒン</t>
    </rPh>
    <rPh sb="5" eb="7">
      <t>ブンルイ</t>
    </rPh>
    <phoneticPr fontId="3"/>
  </si>
  <si>
    <t>伝発分類</t>
    <phoneticPr fontId="3"/>
  </si>
  <si>
    <t>伝発分類名</t>
    <rPh sb="4" eb="5">
      <t>メイ</t>
    </rPh>
    <phoneticPr fontId="3"/>
  </si>
  <si>
    <t>POS商品分類名</t>
    <rPh sb="3" eb="5">
      <t>ショウヒン</t>
    </rPh>
    <rPh sb="5" eb="7">
      <t>ブンルイ</t>
    </rPh>
    <rPh sb="7" eb="8">
      <t>メイ</t>
    </rPh>
    <phoneticPr fontId="3"/>
  </si>
  <si>
    <t>小分類</t>
    <phoneticPr fontId="3"/>
  </si>
  <si>
    <t>リキュール</t>
    <phoneticPr fontId="3"/>
  </si>
  <si>
    <t>酒類</t>
    <rPh sb="0" eb="2">
      <t>シュルイ</t>
    </rPh>
    <phoneticPr fontId="3"/>
  </si>
  <si>
    <t>酒類名（酒税分類）</t>
    <rPh sb="2" eb="3">
      <t>メイ</t>
    </rPh>
    <phoneticPr fontId="3"/>
  </si>
  <si>
    <t>飲み口</t>
    <phoneticPr fontId="3"/>
  </si>
  <si>
    <t>飲み口名</t>
    <rPh sb="3" eb="4">
      <t>メイ</t>
    </rPh>
    <phoneticPr fontId="3"/>
  </si>
  <si>
    <t>産地（国）</t>
    <rPh sb="0" eb="2">
      <t>サンチ</t>
    </rPh>
    <rPh sb="3" eb="4">
      <t>クニ</t>
    </rPh>
    <phoneticPr fontId="16"/>
  </si>
  <si>
    <t>産地名（国）</t>
    <rPh sb="0" eb="2">
      <t>サンチ</t>
    </rPh>
    <rPh sb="2" eb="3">
      <t>メイ</t>
    </rPh>
    <rPh sb="4" eb="5">
      <t>クニ</t>
    </rPh>
    <phoneticPr fontId="16"/>
  </si>
  <si>
    <t>産地(地方）</t>
    <rPh sb="3" eb="5">
      <t>チホウ</t>
    </rPh>
    <phoneticPr fontId="16"/>
  </si>
  <si>
    <t>産地名(地方）</t>
    <rPh sb="2" eb="3">
      <t>メイ</t>
    </rPh>
    <rPh sb="4" eb="6">
      <t>チホウ</t>
    </rPh>
    <phoneticPr fontId="16"/>
  </si>
  <si>
    <t>季節限定区分名</t>
    <rPh sb="2" eb="4">
      <t>ゲンテイ</t>
    </rPh>
    <rPh sb="6" eb="7">
      <t>メイ</t>
    </rPh>
    <phoneticPr fontId="3"/>
  </si>
  <si>
    <t>季節限定区分</t>
    <rPh sb="2" eb="4">
      <t>ゲンテイ</t>
    </rPh>
    <phoneticPr fontId="3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</si>
  <si>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3"/>
  </si>
  <si>
    <t>店舗取扱区分</t>
    <rPh sb="0" eb="2">
      <t>テンポ</t>
    </rPh>
    <rPh sb="2" eb="4">
      <t>トリアツカイ</t>
    </rPh>
    <rPh sb="4" eb="6">
      <t>クブン</t>
    </rPh>
    <phoneticPr fontId="3"/>
  </si>
  <si>
    <t>温度帯区分名</t>
    <rPh sb="0" eb="2">
      <t>オンド</t>
    </rPh>
    <rPh sb="2" eb="3">
      <t>タイ</t>
    </rPh>
    <rPh sb="3" eb="6">
      <t>クブンメイ</t>
    </rPh>
    <phoneticPr fontId="16"/>
  </si>
  <si>
    <t>温度帯区分</t>
    <rPh sb="0" eb="2">
      <t>オンド</t>
    </rPh>
    <rPh sb="2" eb="3">
      <t>タイ</t>
    </rPh>
    <rPh sb="3" eb="5">
      <t>クブン</t>
    </rPh>
    <phoneticPr fontId="16"/>
  </si>
  <si>
    <t>物流区分名</t>
    <rPh sb="0" eb="2">
      <t>ブツリュウ</t>
    </rPh>
    <rPh sb="2" eb="4">
      <t>クブン</t>
    </rPh>
    <rPh sb="4" eb="5">
      <t>メイ</t>
    </rPh>
    <phoneticPr fontId="16"/>
  </si>
  <si>
    <t>デポ当日発注区分名</t>
    <rPh sb="2" eb="4">
      <t>トウジツ</t>
    </rPh>
    <rPh sb="4" eb="6">
      <t>ハッチュウ</t>
    </rPh>
    <rPh sb="6" eb="8">
      <t>クブン</t>
    </rPh>
    <rPh sb="8" eb="9">
      <t>メイ</t>
    </rPh>
    <phoneticPr fontId="16"/>
  </si>
  <si>
    <t>空容器コード</t>
    <rPh sb="0" eb="3">
      <t>クウヨウキ</t>
    </rPh>
    <phoneticPr fontId="3"/>
  </si>
  <si>
    <t>空容器名</t>
    <rPh sb="3" eb="4">
      <t>メイ</t>
    </rPh>
    <phoneticPr fontId="3"/>
  </si>
  <si>
    <t>課税区分名</t>
    <rPh sb="0" eb="2">
      <t>カゼイ</t>
    </rPh>
    <rPh sb="2" eb="4">
      <t>クブン</t>
    </rPh>
    <rPh sb="4" eb="5">
      <t>メイ</t>
    </rPh>
    <phoneticPr fontId="16"/>
  </si>
  <si>
    <t>在庫管理名</t>
    <rPh sb="0" eb="2">
      <t>ザイコ</t>
    </rPh>
    <rPh sb="2" eb="4">
      <t>カンリ</t>
    </rPh>
    <rPh sb="4" eb="5">
      <t>メイ</t>
    </rPh>
    <phoneticPr fontId="16"/>
  </si>
  <si>
    <t>下限値</t>
    <rPh sb="0" eb="3">
      <t>カゲンチ</t>
    </rPh>
    <phoneticPr fontId="16"/>
  </si>
  <si>
    <t>ケース単位名</t>
    <rPh sb="3" eb="5">
      <t>タンイ</t>
    </rPh>
    <rPh sb="5" eb="6">
      <t>メイ</t>
    </rPh>
    <phoneticPr fontId="5"/>
  </si>
  <si>
    <t>バラ単位名</t>
    <rPh sb="2" eb="4">
      <t>タンイ</t>
    </rPh>
    <rPh sb="4" eb="5">
      <t>メイ</t>
    </rPh>
    <phoneticPr fontId="5"/>
  </si>
  <si>
    <t>在庫管理名</t>
    <rPh sb="0" eb="1">
      <t>ザイコ</t>
    </rPh>
    <rPh sb="1" eb="3">
      <t>カンリ</t>
    </rPh>
    <rPh sb="4" eb="5">
      <t>メイ</t>
    </rPh>
    <phoneticPr fontId="5"/>
  </si>
  <si>
    <t>課税区分名</t>
    <rPh sb="0" eb="3">
      <t>カゼイクブン</t>
    </rPh>
    <rPh sb="4" eb="5">
      <t>メイ</t>
    </rPh>
    <phoneticPr fontId="5"/>
  </si>
  <si>
    <t>温度帯区分名</t>
    <rPh sb="0" eb="2">
      <t>オンドタイ</t>
    </rPh>
    <rPh sb="2" eb="4">
      <t>クブン</t>
    </rPh>
    <rPh sb="5" eb="6">
      <t>メイ</t>
    </rPh>
    <phoneticPr fontId="5"/>
  </si>
  <si>
    <t>物流区分名</t>
    <rPh sb="0" eb="1">
      <t>ブツリュウ</t>
    </rPh>
    <rPh sb="1" eb="3">
      <t>クブン</t>
    </rPh>
    <rPh sb="4" eb="5">
      <t>メイ</t>
    </rPh>
    <phoneticPr fontId="5"/>
  </si>
  <si>
    <t>デポ当日発注区分名</t>
    <rPh sb="1" eb="3">
      <t>トウジツ</t>
    </rPh>
    <rPh sb="3" eb="5">
      <t>ハッチュウ</t>
    </rPh>
    <rPh sb="5" eb="7">
      <t>クブン</t>
    </rPh>
    <rPh sb="8" eb="9">
      <t>メイ</t>
    </rPh>
    <phoneticPr fontId="5"/>
  </si>
  <si>
    <t>小分類コード</t>
    <rPh sb="0" eb="3">
      <t>ショウブンルイ</t>
    </rPh>
    <phoneticPr fontId="5"/>
  </si>
  <si>
    <t>POS商品分類コード</t>
    <rPh sb="3" eb="5">
      <t>ショウヒン</t>
    </rPh>
    <rPh sb="5" eb="7">
      <t>ブンルイ</t>
    </rPh>
    <phoneticPr fontId="5"/>
  </si>
  <si>
    <t>インストアーコードシール出力</t>
    <rPh sb="12" eb="14">
      <t>シュツリョク</t>
    </rPh>
    <phoneticPr fontId="5"/>
  </si>
  <si>
    <t>仕入先コード</t>
    <rPh sb="0" eb="3">
      <t>シイレサキ</t>
    </rPh>
    <phoneticPr fontId="3"/>
  </si>
  <si>
    <t>問屋リベート（バラ）</t>
    <rPh sb="0" eb="2">
      <t>トンヤ</t>
    </rPh>
    <phoneticPr fontId="13"/>
  </si>
  <si>
    <t>メーカーリベート（バラ）</t>
    <phoneticPr fontId="13"/>
  </si>
  <si>
    <t>寄贈品（バラ）</t>
    <rPh sb="0" eb="3">
      <t>キゾウヒン</t>
    </rPh>
    <phoneticPr fontId="13"/>
  </si>
  <si>
    <t>不良品（バラ）</t>
    <rPh sb="0" eb="1">
      <t>フ</t>
    </rPh>
    <rPh sb="1" eb="3">
      <t>リョウヒン</t>
    </rPh>
    <phoneticPr fontId="13"/>
  </si>
  <si>
    <t>バラ単価</t>
    <rPh sb="1" eb="3">
      <t>タンカ</t>
    </rPh>
    <phoneticPr fontId="3"/>
  </si>
  <si>
    <t>ケース単価</t>
    <rPh sb="2" eb="4">
      <t>タンカ</t>
    </rPh>
    <phoneticPr fontId="3"/>
  </si>
  <si>
    <t>部署コード</t>
    <rPh sb="0" eb="1">
      <t>ブショ</t>
    </rPh>
    <phoneticPr fontId="3"/>
  </si>
  <si>
    <t>部署コード（仕入単価）</t>
    <rPh sb="0" eb="2">
      <t>ブショ</t>
    </rPh>
    <rPh sb="6" eb="10">
      <t>シイレタンカ</t>
    </rPh>
    <phoneticPr fontId="17"/>
  </si>
  <si>
    <t>部署コード（発注情報）</t>
    <rPh sb="0" eb="2">
      <t>ブショ</t>
    </rPh>
    <rPh sb="6" eb="8">
      <t>ハッチュウ</t>
    </rPh>
    <rPh sb="8" eb="10">
      <t>ジョウホウ</t>
    </rPh>
    <phoneticPr fontId="17"/>
  </si>
  <si>
    <t>部署名</t>
    <rPh sb="0" eb="2">
      <t>ブショ</t>
    </rPh>
    <rPh sb="2" eb="3">
      <t>メイ</t>
    </rPh>
    <phoneticPr fontId="3"/>
  </si>
  <si>
    <t>仕入先名</t>
    <rPh sb="0" eb="3">
      <t>シイレサキ</t>
    </rPh>
    <rPh sb="3" eb="4">
      <t>メイ</t>
    </rPh>
    <phoneticPr fontId="3"/>
  </si>
  <si>
    <t>ロボ</t>
    <phoneticPr fontId="3"/>
  </si>
  <si>
    <t>伝発分類コード</t>
    <rPh sb="0" eb="2">
      <t>デンパツ</t>
    </rPh>
    <rPh sb="2" eb="4">
      <t>ブンルイ</t>
    </rPh>
    <phoneticPr fontId="5"/>
  </si>
  <si>
    <t>酒類コード</t>
    <rPh sb="0" eb="2">
      <t>シュルイ</t>
    </rPh>
    <phoneticPr fontId="5"/>
  </si>
  <si>
    <t>産地国コード</t>
    <rPh sb="0" eb="2">
      <t>サンチ</t>
    </rPh>
    <rPh sb="2" eb="3">
      <t>クニ</t>
    </rPh>
    <phoneticPr fontId="5"/>
  </si>
  <si>
    <t>産地地方コード</t>
    <rPh sb="0" eb="2">
      <t>サンチ</t>
    </rPh>
    <rPh sb="2" eb="4">
      <t>チホウ</t>
    </rPh>
    <phoneticPr fontId="5"/>
  </si>
  <si>
    <t>飲口区分コード</t>
    <rPh sb="0" eb="1">
      <t>ノ</t>
    </rPh>
    <rPh sb="1" eb="2">
      <t>クチ</t>
    </rPh>
    <rPh sb="2" eb="4">
      <t>クブン</t>
    </rPh>
    <phoneticPr fontId="5"/>
  </si>
  <si>
    <t>季節限定区分</t>
    <rPh sb="0" eb="2">
      <t>キセツ</t>
    </rPh>
    <rPh sb="2" eb="4">
      <t>ゲンテイ</t>
    </rPh>
    <rPh sb="4" eb="6">
      <t>クブン</t>
    </rPh>
    <phoneticPr fontId="5"/>
  </si>
  <si>
    <t>店舗取扱区分</t>
    <rPh sb="0" eb="2">
      <t>テンポ</t>
    </rPh>
    <rPh sb="2" eb="4">
      <t>トリアツカイ</t>
    </rPh>
    <rPh sb="4" eb="6">
      <t>クブン</t>
    </rPh>
    <phoneticPr fontId="5"/>
  </si>
  <si>
    <t>確認者</t>
    <rPh sb="0" eb="2">
      <t>カクニン</t>
    </rPh>
    <rPh sb="2" eb="3">
      <t>シャ</t>
    </rPh>
    <phoneticPr fontId="3"/>
  </si>
  <si>
    <t>※実施の申請書とは配置等が違っております。</t>
    <rPh sb="1" eb="3">
      <t>ジッシ</t>
    </rPh>
    <rPh sb="4" eb="7">
      <t>シンセイショ</t>
    </rPh>
    <rPh sb="9" eb="12">
      <t>ハイチトウ</t>
    </rPh>
    <rPh sb="13" eb="14">
      <t>チガ</t>
    </rPh>
    <phoneticPr fontId="3"/>
  </si>
  <si>
    <t>〔ﾍﾟｯﾄ用〕ﾃﾞｵｼｰﾄしっかり超吸収無香消臭ﾀｲﾌﾟ ﾚｷﾞｭﾗｰ</t>
  </si>
  <si>
    <t>ﾃﾞｵｼｰﾄｼｯｶﾘﾁｮｳｷｭｳｼｭｳﾑｺｳｼｮｳｼｭｳﾀｲﾌﾟﾚｷﾞｭﾗｰ</t>
  </si>
  <si>
    <t>DSﾁｮｳｷｭｳｼｭｳﾑｺｳﾚｷﾞｭﾗｰ</t>
  </si>
  <si>
    <t>72ﾏｲ</t>
  </si>
  <si>
    <t>11.8</t>
  </si>
  <si>
    <t>雑品 その他</t>
  </si>
  <si>
    <t/>
  </si>
  <si>
    <t>ERROR 未登録</t>
  </si>
  <si>
    <t>4520699667309</t>
  </si>
  <si>
    <t>4520699667071</t>
  </si>
  <si>
    <t>商品コード</t>
    <rPh sb="0" eb="1">
      <t>ショウヒン</t>
    </rPh>
    <phoneticPr fontId="5"/>
  </si>
  <si>
    <t>商品種別コード</t>
    <rPh sb="0" eb="2">
      <t>ショウヒン</t>
    </rPh>
    <rPh sb="2" eb="4">
      <t>シュベツ</t>
    </rPh>
    <phoneticPr fontId="5"/>
  </si>
  <si>
    <t>容器受入手数料課税区分</t>
    <rPh sb="0" eb="1">
      <t>ヨウキ</t>
    </rPh>
    <rPh sb="1" eb="3">
      <t>ウケイ</t>
    </rPh>
    <rPh sb="4" eb="7">
      <t>テスウリョウ</t>
    </rPh>
    <rPh sb="6" eb="10">
      <t>カゼイクブン</t>
    </rPh>
    <phoneticPr fontId="5"/>
  </si>
  <si>
    <t>容器払出手数料税率コード</t>
    <rPh sb="0" eb="1">
      <t>ヨウキ</t>
    </rPh>
    <rPh sb="1" eb="3">
      <t>ハライダシ</t>
    </rPh>
    <rPh sb="3" eb="6">
      <t>テスウリョウ</t>
    </rPh>
    <rPh sb="7" eb="9">
      <t>ゼイリツ</t>
    </rPh>
    <phoneticPr fontId="5"/>
  </si>
  <si>
    <t>ロボ/酒以外ロボ不要</t>
    <rPh sb="3" eb="6">
      <t>サケイガイ</t>
    </rPh>
    <rPh sb="8" eb="10">
      <t>フヨウ</t>
    </rPh>
    <phoneticPr fontId="3"/>
  </si>
  <si>
    <t>登録者</t>
    <rPh sb="0" eb="3">
      <t>トウロクシャ</t>
    </rPh>
    <phoneticPr fontId="3"/>
  </si>
  <si>
    <t>卸（バラ）</t>
    <rPh sb="0" eb="1">
      <t>オロシ</t>
    </rPh>
    <phoneticPr fontId="13"/>
  </si>
  <si>
    <t>小売（バラ）</t>
    <rPh sb="0" eb="2">
      <t>コウリ</t>
    </rPh>
    <phoneticPr fontId="13"/>
  </si>
  <si>
    <t>生販（バラ）</t>
    <rPh sb="0" eb="1">
      <t>ショウ</t>
    </rPh>
    <rPh sb="1" eb="2">
      <t>ハン</t>
    </rPh>
    <phoneticPr fontId="13"/>
  </si>
  <si>
    <t>R1（バラ）</t>
    <phoneticPr fontId="5"/>
  </si>
  <si>
    <t>R2（バラ）</t>
    <phoneticPr fontId="5"/>
  </si>
  <si>
    <t>R3（バラ）</t>
    <phoneticPr fontId="5"/>
  </si>
  <si>
    <t>N1（バラ）</t>
    <phoneticPr fontId="13"/>
  </si>
  <si>
    <t>0酒類</t>
  </si>
  <si>
    <t>0酒類</t>
    <phoneticPr fontId="16"/>
  </si>
  <si>
    <t>1酒類以外</t>
    <rPh sb="3" eb="5">
      <t>イガイ</t>
    </rPh>
    <phoneticPr fontId="16"/>
  </si>
  <si>
    <t>3空容器</t>
    <rPh sb="1" eb="2">
      <t>クウ</t>
    </rPh>
    <rPh sb="2" eb="4">
      <t>ヨウキ</t>
    </rPh>
    <phoneticPr fontId="16"/>
  </si>
  <si>
    <t>3空函</t>
    <rPh sb="1" eb="2">
      <t>クウ</t>
    </rPh>
    <rPh sb="2" eb="3">
      <t>ハコ</t>
    </rPh>
    <phoneticPr fontId="16"/>
  </si>
  <si>
    <t>5パッケージ商品</t>
    <phoneticPr fontId="3"/>
  </si>
  <si>
    <t>9その他(諸口)</t>
    <rPh sb="3" eb="4">
      <t>タ</t>
    </rPh>
    <rPh sb="5" eb="7">
      <t>ショクチ</t>
    </rPh>
    <phoneticPr fontId="16"/>
  </si>
  <si>
    <t>01本</t>
  </si>
  <si>
    <t>01本</t>
    <phoneticPr fontId="16"/>
  </si>
  <si>
    <t>02C/S</t>
    <phoneticPr fontId="16"/>
  </si>
  <si>
    <t>03ﾎﾞｰﾙ</t>
    <phoneticPr fontId="16"/>
  </si>
  <si>
    <t>04箱</t>
    <phoneticPr fontId="16"/>
  </si>
  <si>
    <t>05個</t>
    <phoneticPr fontId="16"/>
  </si>
  <si>
    <t>06ﾀﾞｰｽ</t>
    <phoneticPr fontId="16"/>
  </si>
  <si>
    <t>07半ﾀﾞｰｽ</t>
    <rPh sb="2" eb="3">
      <t>ハン</t>
    </rPh>
    <phoneticPr fontId="3"/>
  </si>
  <si>
    <t>08枚</t>
    <phoneticPr fontId="16"/>
  </si>
  <si>
    <t>09缶</t>
    <phoneticPr fontId="16"/>
  </si>
  <si>
    <t>10袋</t>
    <rPh sb="2" eb="3">
      <t>フクロ</t>
    </rPh>
    <phoneticPr fontId="16"/>
  </si>
  <si>
    <t>11－</t>
    <phoneticPr fontId="16"/>
  </si>
  <si>
    <t>12kｇ</t>
    <phoneticPr fontId="3"/>
  </si>
  <si>
    <t>13カートン</t>
    <phoneticPr fontId="3"/>
  </si>
  <si>
    <t>14セット</t>
    <phoneticPr fontId="16"/>
  </si>
  <si>
    <t>15パック</t>
    <phoneticPr fontId="3"/>
  </si>
  <si>
    <t>16組</t>
    <rPh sb="2" eb="3">
      <t>クミ</t>
    </rPh>
    <phoneticPr fontId="3"/>
  </si>
  <si>
    <t>0する</t>
    <phoneticPr fontId="16"/>
  </si>
  <si>
    <t>1しない</t>
    <phoneticPr fontId="16"/>
  </si>
  <si>
    <t>0外税</t>
    <rPh sb="1" eb="3">
      <t>ソトゼイ</t>
    </rPh>
    <phoneticPr fontId="16"/>
  </si>
  <si>
    <t>1内税</t>
    <rPh sb="1" eb="3">
      <t>ウチゼイ</t>
    </rPh>
    <phoneticPr fontId="16"/>
  </si>
  <si>
    <t>2非課税</t>
    <rPh sb="1" eb="4">
      <t>ヒカゼイ</t>
    </rPh>
    <phoneticPr fontId="16"/>
  </si>
  <si>
    <t>01清酒類</t>
    <phoneticPr fontId="16"/>
  </si>
  <si>
    <t>02焼酎類</t>
    <phoneticPr fontId="16"/>
  </si>
  <si>
    <t>03ビール類</t>
    <rPh sb="5" eb="6">
      <t>ルイ</t>
    </rPh>
    <phoneticPr fontId="16"/>
  </si>
  <si>
    <t>04ワイン類</t>
    <phoneticPr fontId="16"/>
  </si>
  <si>
    <t>05ウイスキー類</t>
    <phoneticPr fontId="16"/>
  </si>
  <si>
    <t>06ブランデー類</t>
    <phoneticPr fontId="16"/>
  </si>
  <si>
    <t>07その他酒類</t>
    <rPh sb="5" eb="7">
      <t>シュルイ</t>
    </rPh>
    <phoneticPr fontId="16"/>
  </si>
  <si>
    <t>08食品</t>
    <rPh sb="2" eb="4">
      <t>ショクヒン</t>
    </rPh>
    <phoneticPr fontId="16"/>
  </si>
  <si>
    <t>09その他</t>
    <rPh sb="4" eb="5">
      <t>タ</t>
    </rPh>
    <phoneticPr fontId="3"/>
  </si>
  <si>
    <t>商品種別名</t>
    <rPh sb="0" eb="2">
      <t>ショウヒン</t>
    </rPh>
    <rPh sb="2" eb="4">
      <t>シュベツ</t>
    </rPh>
    <rPh sb="4" eb="5">
      <t>メイ</t>
    </rPh>
    <phoneticPr fontId="5"/>
  </si>
  <si>
    <t>1冷凍</t>
    <rPh sb="1" eb="3">
      <t>レイトウ</t>
    </rPh>
    <phoneticPr fontId="16"/>
  </si>
  <si>
    <t>2常温</t>
    <rPh sb="1" eb="3">
      <t>ジョウオン</t>
    </rPh>
    <phoneticPr fontId="16"/>
  </si>
  <si>
    <t>3チルド</t>
    <phoneticPr fontId="3"/>
  </si>
  <si>
    <t>0在庫品</t>
    <rPh sb="1" eb="4">
      <t>ザイコヒン</t>
    </rPh>
    <phoneticPr fontId="16"/>
  </si>
  <si>
    <t>1取り寄せ品</t>
    <rPh sb="1" eb="4">
      <t>トリヨ</t>
    </rPh>
    <rPh sb="5" eb="6">
      <t>ヒン</t>
    </rPh>
    <phoneticPr fontId="16"/>
  </si>
  <si>
    <t>2直送品</t>
    <rPh sb="1" eb="3">
      <t>チョクソウ</t>
    </rPh>
    <rPh sb="3" eb="4">
      <t>ヒン</t>
    </rPh>
    <phoneticPr fontId="16"/>
  </si>
  <si>
    <t>1可</t>
    <rPh sb="1" eb="2">
      <t>カ</t>
    </rPh>
    <phoneticPr fontId="16"/>
  </si>
  <si>
    <t>2不可</t>
    <rPh sb="1" eb="3">
      <t>フカ</t>
    </rPh>
    <phoneticPr fontId="16"/>
  </si>
  <si>
    <t>0000004617SP ドイツ</t>
  </si>
  <si>
    <t>0001清酒　大吟醸　純米大吟</t>
  </si>
  <si>
    <t>0002清酒　吟醸　純米吟醸</t>
  </si>
  <si>
    <t>0003清酒　純米</t>
  </si>
  <si>
    <t>0004清酒　本醸造</t>
  </si>
  <si>
    <t>0005清酒　普通</t>
  </si>
  <si>
    <t>0006清酒　経済酒</t>
  </si>
  <si>
    <t>0007清酒　生酒　生貯蔵酒</t>
  </si>
  <si>
    <t>0008にごりおり</t>
  </si>
  <si>
    <t>0009清酒　菰かぶり</t>
  </si>
  <si>
    <t>0010清酒　ギフト</t>
  </si>
  <si>
    <t>0011清酒　その他</t>
  </si>
  <si>
    <t>0012合成酒</t>
  </si>
  <si>
    <t>0101焼酎　甲類　２０％</t>
  </si>
  <si>
    <t>0102焼酎　甲類　２５％</t>
  </si>
  <si>
    <t>0103焼酎　甲類　３５％</t>
  </si>
  <si>
    <t>0104焼酎　甲類　その他</t>
  </si>
  <si>
    <t>0105焼酎　乙類　麦</t>
  </si>
  <si>
    <t>0106焼酎　乙類　そば</t>
  </si>
  <si>
    <t>0107焼酎　乙類　米</t>
  </si>
  <si>
    <t>0108焼酎　乙類　芋</t>
  </si>
  <si>
    <t>0109焼酎　乙類　胡麻</t>
  </si>
  <si>
    <t>0110焼酎　乙類　泡盛</t>
  </si>
  <si>
    <t>0111焼酎　乙類　その他</t>
  </si>
  <si>
    <t>0112焼酎　甲乙混合</t>
  </si>
  <si>
    <t>0201味醂</t>
  </si>
  <si>
    <t>0301本直し</t>
  </si>
  <si>
    <t>0401国産　瓶ビール</t>
  </si>
  <si>
    <t>0402国産　缶ビール　小樽</t>
  </si>
  <si>
    <t>0403業務用　樽生ビール</t>
  </si>
  <si>
    <t>0404輸入ﾋﾞｰﾙ・海外ﾌﾞﾗﾝﾄﾞ ﾋﾞｰﾙ</t>
  </si>
  <si>
    <t>0405ビール　ギフト</t>
  </si>
  <si>
    <t>0406ビール　その他</t>
  </si>
  <si>
    <t>0501国産ワイン　赤</t>
  </si>
  <si>
    <t>0502国産ワイン　白</t>
  </si>
  <si>
    <t>0503国産ワイン　ロゼ</t>
  </si>
  <si>
    <t>0504フランスワイン 赤</t>
  </si>
  <si>
    <t>0505フランスワイン 白</t>
  </si>
  <si>
    <t>0506フランスワイン ロゼ</t>
  </si>
  <si>
    <t>0507ドイツワイン 赤</t>
  </si>
  <si>
    <t>0508ドイツワイン 白</t>
  </si>
  <si>
    <t>0509ドイツワイン ロゼ</t>
  </si>
  <si>
    <t>0510イタリアワイン 赤</t>
  </si>
  <si>
    <t>0511イタリアワイン 白</t>
  </si>
  <si>
    <t>0512イタリアワイン ロゼ</t>
  </si>
  <si>
    <t>0513スペインワイン 赤</t>
  </si>
  <si>
    <t>0514スペインワイン 白</t>
  </si>
  <si>
    <t>0515スペインワイン ロゼ</t>
  </si>
  <si>
    <t>0516アメリカワイン 赤</t>
  </si>
  <si>
    <t>0517アメリカワイン 白</t>
  </si>
  <si>
    <t>0518アメリカワイン ロゼ</t>
  </si>
  <si>
    <t>0519チリワイン 赤</t>
  </si>
  <si>
    <t>0520チリワイン 白</t>
  </si>
  <si>
    <t>0521チリワイン ロゼ</t>
  </si>
  <si>
    <t>0522ｱﾙｾﾞﾝﾁﾝﾜｲﾝ 赤</t>
  </si>
  <si>
    <t>0523ｱﾙｾﾞﾝﾁﾝﾜｲﾝ 白</t>
  </si>
  <si>
    <t>0524ｱﾙｾﾞﾝﾁﾝﾜｲﾝ ロゼ</t>
  </si>
  <si>
    <t>0525ｵｰｽﾄﾗﾘｱﾜｲﾝ 赤</t>
  </si>
  <si>
    <t>0526ｵｰｽﾄﾗﾘｱﾜｲﾝ 白</t>
  </si>
  <si>
    <t>0527ｵｰｽﾄﾗﾘｱﾜｲﾝ ロゼ</t>
  </si>
  <si>
    <t>0528南アフリカワイン 赤</t>
  </si>
  <si>
    <t>0529南アフリカワイン 白</t>
  </si>
  <si>
    <t>0530南アフリカワイン ロゼ</t>
  </si>
  <si>
    <t>0531その他ワイン 赤</t>
  </si>
  <si>
    <t>0532その他ワイン 白</t>
  </si>
  <si>
    <t>0533その他ワイン ロゼ</t>
  </si>
  <si>
    <t>0534その他ワイン</t>
  </si>
  <si>
    <t>0601国産スパークリング</t>
  </si>
  <si>
    <t>0602国産甘味果実酒</t>
  </si>
  <si>
    <t>0603シャンパン</t>
  </si>
  <si>
    <t>0604ヴァンムスー</t>
  </si>
  <si>
    <t>0605ベルモット</t>
  </si>
  <si>
    <t>0606カヴァ</t>
  </si>
  <si>
    <t>0607スプマンテ</t>
  </si>
  <si>
    <t>0608輸入スパークリング</t>
  </si>
  <si>
    <t>0609シェリー酒</t>
  </si>
  <si>
    <t>0610ポートワイン</t>
  </si>
  <si>
    <t>0611マデラ酒</t>
  </si>
  <si>
    <t>0612その他甘味果実酒</t>
  </si>
  <si>
    <t>0701国産ウィスキー</t>
  </si>
  <si>
    <t>0702ブレンデットスコッチ</t>
  </si>
  <si>
    <t>0703モルトスコッチ</t>
  </si>
  <si>
    <t>0704アイリッシュウィスキー</t>
  </si>
  <si>
    <t>0705バーボンウィスキー</t>
  </si>
  <si>
    <t>0706カナディアンウィスキー</t>
  </si>
  <si>
    <t>0707その他輸入ウィスキー</t>
  </si>
  <si>
    <t>0801国産ブランデー</t>
  </si>
  <si>
    <t>0802コニャックブランデー</t>
  </si>
  <si>
    <t>0803アルマニャックブランデー</t>
  </si>
  <si>
    <t>0804マール グラッパ</t>
  </si>
  <si>
    <t>0805カルヴァドス</t>
  </si>
  <si>
    <t>0806その他輸入ブランデー</t>
  </si>
  <si>
    <t>0901ニュースピリッツ</t>
  </si>
  <si>
    <t>0902ジン</t>
  </si>
  <si>
    <t>0903ウオツカ</t>
  </si>
  <si>
    <t>0904ラム</t>
  </si>
  <si>
    <t>0905テキーラ</t>
  </si>
  <si>
    <t>0906国産スピリッツ</t>
  </si>
  <si>
    <t>0907輸入スピリッツ</t>
  </si>
  <si>
    <t>1001国産リキュール</t>
  </si>
  <si>
    <t>1002発泡性リキュール</t>
  </si>
  <si>
    <t>1003梅酒</t>
  </si>
  <si>
    <t>1004輸入リキュール</t>
  </si>
  <si>
    <t>1005中華酒</t>
  </si>
  <si>
    <t>1006チューハイ・RTD</t>
  </si>
  <si>
    <t>1100発泡酒  生樽</t>
  </si>
  <si>
    <t>1101発泡酒</t>
  </si>
  <si>
    <t>1102その他雑酒　　　　　　　　</t>
  </si>
  <si>
    <t>1103新ジャンル（第三ビール）</t>
  </si>
  <si>
    <t>1104新ジャンル（第三ビール）樽詰</t>
  </si>
  <si>
    <t>1105ビールテイスト飲料(年齢確認品)</t>
  </si>
  <si>
    <t>1106ノンアルコール飲料(年齢確認品)</t>
  </si>
  <si>
    <t>1107原料用アルコール(年齢確認品)</t>
  </si>
  <si>
    <t>1200珈琲  紅茶類</t>
  </si>
  <si>
    <t>1201ミネラル類</t>
  </si>
  <si>
    <t>1202烏龍茶　緑茶類</t>
  </si>
  <si>
    <t>1203ジュース類</t>
  </si>
  <si>
    <t>1204スープ類</t>
  </si>
  <si>
    <t>1205サワー類</t>
  </si>
  <si>
    <t>1206コンク類</t>
  </si>
  <si>
    <t>1207機能性飲料類</t>
  </si>
  <si>
    <t>1208調味料類</t>
  </si>
  <si>
    <t>1209缶詰類</t>
  </si>
  <si>
    <t>1210日販品類（チルド）</t>
  </si>
  <si>
    <t>1211菓子　つまみ類</t>
  </si>
  <si>
    <t>1212冷凍食品</t>
  </si>
  <si>
    <t>1213輸入食材</t>
  </si>
  <si>
    <t>1214雑品 その他</t>
  </si>
  <si>
    <t>1215資材</t>
  </si>
  <si>
    <t>1216家電</t>
  </si>
  <si>
    <t>1217食品類(年齢確認品)</t>
  </si>
  <si>
    <t>1218菓子類(年齢確認品)</t>
  </si>
  <si>
    <t>1301その他</t>
  </si>
  <si>
    <t>1302たばこ</t>
  </si>
  <si>
    <t>1401ＰＯＳ空容器</t>
  </si>
  <si>
    <t>1402ＰＯＳ内税用</t>
  </si>
  <si>
    <t>1403ＰＯＳ商品券</t>
  </si>
  <si>
    <t>5000グローバルワイン</t>
  </si>
  <si>
    <t>8000請求名称</t>
  </si>
  <si>
    <t>9999その他＊ＩＮＶ</t>
  </si>
  <si>
    <t>伝発分類名</t>
    <rPh sb="0" eb="2">
      <t>デンパツ</t>
    </rPh>
    <rPh sb="2" eb="4">
      <t>ブンルイ</t>
    </rPh>
    <rPh sb="4" eb="5">
      <t>メイ</t>
    </rPh>
    <phoneticPr fontId="5"/>
  </si>
  <si>
    <t>001清酒</t>
    <phoneticPr fontId="16"/>
  </si>
  <si>
    <t>004合成酒</t>
    <phoneticPr fontId="16"/>
  </si>
  <si>
    <t>005焼酎 甲類</t>
    <phoneticPr fontId="16"/>
  </si>
  <si>
    <t>006焼酎 乙類</t>
    <phoneticPr fontId="16"/>
  </si>
  <si>
    <t>007味醂</t>
    <phoneticPr fontId="16"/>
  </si>
  <si>
    <t>008本直し</t>
    <phoneticPr fontId="16"/>
  </si>
  <si>
    <t>009ビール</t>
    <phoneticPr fontId="16"/>
  </si>
  <si>
    <t>010果 実 酒</t>
    <phoneticPr fontId="3"/>
  </si>
  <si>
    <t>011甘味果実酒</t>
    <phoneticPr fontId="3"/>
  </si>
  <si>
    <t>012ウイスキー</t>
    <phoneticPr fontId="3"/>
  </si>
  <si>
    <t>015ブランデー</t>
    <phoneticPr fontId="3"/>
  </si>
  <si>
    <t>018スピリッツ</t>
    <phoneticPr fontId="3"/>
  </si>
  <si>
    <t>020発泡酒</t>
    <phoneticPr fontId="16"/>
  </si>
  <si>
    <t>022甲乙混合</t>
    <phoneticPr fontId="3"/>
  </si>
  <si>
    <t>021その他の雑酒</t>
    <phoneticPr fontId="3"/>
  </si>
  <si>
    <t>031雑品、飲料類含む</t>
    <rPh sb="6" eb="8">
      <t>インリョウ</t>
    </rPh>
    <rPh sb="8" eb="9">
      <t>ルイ</t>
    </rPh>
    <rPh sb="9" eb="10">
      <t>フク</t>
    </rPh>
    <phoneticPr fontId="3"/>
  </si>
  <si>
    <t>032おつまみ、食品類含む</t>
    <rPh sb="8" eb="10">
      <t>ショクヒン</t>
    </rPh>
    <rPh sb="10" eb="11">
      <t>ルイ</t>
    </rPh>
    <rPh sb="11" eb="12">
      <t>フク</t>
    </rPh>
    <phoneticPr fontId="3"/>
  </si>
  <si>
    <t>033資材　　　　　　　　</t>
    <phoneticPr fontId="3"/>
  </si>
  <si>
    <t>049ＶＣ商品　　　　　　</t>
    <phoneticPr fontId="3"/>
  </si>
  <si>
    <t>050ＰＯＳ空容器　　　　</t>
    <phoneticPr fontId="3"/>
  </si>
  <si>
    <t>099その他＊ＩＮＶ　　　</t>
    <phoneticPr fontId="3"/>
  </si>
  <si>
    <t>000設定なし</t>
    <phoneticPr fontId="3"/>
  </si>
  <si>
    <t>380その他商品</t>
    <phoneticPr fontId="3"/>
  </si>
  <si>
    <t>酒類名</t>
    <rPh sb="0" eb="2">
      <t>シュルイ</t>
    </rPh>
    <rPh sb="2" eb="3">
      <t>メイ</t>
    </rPh>
    <phoneticPr fontId="5"/>
  </si>
  <si>
    <t>0100清酒</t>
    <phoneticPr fontId="16"/>
  </si>
  <si>
    <t>0200合成清酒</t>
    <phoneticPr fontId="16"/>
  </si>
  <si>
    <t>0301焼酎  甲類</t>
    <phoneticPr fontId="16"/>
  </si>
  <si>
    <t>0302焼酎  乙類</t>
    <phoneticPr fontId="16"/>
  </si>
  <si>
    <t>0303焼酎  甲乙混合</t>
    <phoneticPr fontId="16"/>
  </si>
  <si>
    <t>0400味醂</t>
    <phoneticPr fontId="16"/>
  </si>
  <si>
    <t>0500ビール</t>
    <phoneticPr fontId="16"/>
  </si>
  <si>
    <t>0601果実酒</t>
    <phoneticPr fontId="16"/>
  </si>
  <si>
    <t>0602甘味果実酒</t>
    <phoneticPr fontId="16"/>
  </si>
  <si>
    <t>0701ウイスキー</t>
    <phoneticPr fontId="16"/>
  </si>
  <si>
    <t>0702ブランデー</t>
    <phoneticPr fontId="16"/>
  </si>
  <si>
    <t>0800スピリッツ</t>
    <phoneticPr fontId="16"/>
  </si>
  <si>
    <t>0900リキュール</t>
    <phoneticPr fontId="16"/>
  </si>
  <si>
    <t>1000原料用アルコール</t>
    <phoneticPr fontId="16"/>
  </si>
  <si>
    <t>1001発泡酒</t>
    <phoneticPr fontId="16"/>
  </si>
  <si>
    <t>1002その他  雑酒</t>
    <phoneticPr fontId="16"/>
  </si>
  <si>
    <t>1003その他醸造酒</t>
    <phoneticPr fontId="16"/>
  </si>
  <si>
    <t>1100粉末酒</t>
    <phoneticPr fontId="16"/>
  </si>
  <si>
    <t>国産/輸入</t>
    <rPh sb="0" eb="2">
      <t>コクサン</t>
    </rPh>
    <rPh sb="3" eb="5">
      <t>ユニュウ</t>
    </rPh>
    <phoneticPr fontId="16"/>
  </si>
  <si>
    <t>0国産</t>
    <rPh sb="1" eb="3">
      <t>コクサン</t>
    </rPh>
    <phoneticPr fontId="16"/>
  </si>
  <si>
    <t>1輸入</t>
    <rPh sb="1" eb="3">
      <t>ユニュウ</t>
    </rPh>
    <phoneticPr fontId="16"/>
  </si>
  <si>
    <t>国産/輸入 名</t>
    <rPh sb="0" eb="1">
      <t>コクサン</t>
    </rPh>
    <rPh sb="3" eb="5">
      <t>ユニュウ</t>
    </rPh>
    <rPh sb="6" eb="7">
      <t>メイ</t>
    </rPh>
    <phoneticPr fontId="5"/>
  </si>
  <si>
    <t>10001日本</t>
  </si>
  <si>
    <t>10002中国</t>
  </si>
  <si>
    <t>10003韓国</t>
  </si>
  <si>
    <t>10004台湾</t>
  </si>
  <si>
    <t>10005インド</t>
  </si>
  <si>
    <t>10006インドネシア</t>
  </si>
  <si>
    <t>10007タイ</t>
  </si>
  <si>
    <t>10008ベトナム</t>
  </si>
  <si>
    <t>10009フィリピン</t>
  </si>
  <si>
    <t>10010シンガポール</t>
  </si>
  <si>
    <t>10011オーストラリア</t>
  </si>
  <si>
    <t>10012ニュージーランド</t>
  </si>
  <si>
    <t>10099アジア・オセアニア</t>
  </si>
  <si>
    <t>10101アメリカ</t>
  </si>
  <si>
    <t>10102カナダ</t>
  </si>
  <si>
    <t>10103キューバ</t>
  </si>
  <si>
    <t>10104メキシコ</t>
  </si>
  <si>
    <t>10105ブラジル</t>
  </si>
  <si>
    <t>10106ペルー</t>
  </si>
  <si>
    <t>10108アルゼンチン</t>
  </si>
  <si>
    <t>10109チリ</t>
  </si>
  <si>
    <t>10199北中南米</t>
  </si>
  <si>
    <t>10201ドイツ</t>
  </si>
  <si>
    <t>10202オーストリア</t>
  </si>
  <si>
    <t>10203チェコ</t>
  </si>
  <si>
    <t>10204ベルギー</t>
  </si>
  <si>
    <t>10205オランダ</t>
  </si>
  <si>
    <t>10206スイス</t>
  </si>
  <si>
    <t>10207デンマーク</t>
  </si>
  <si>
    <t>10208イギリス</t>
  </si>
  <si>
    <t>10209フランス</t>
  </si>
  <si>
    <t>10210イタリア</t>
  </si>
  <si>
    <t>10211スペイン</t>
  </si>
  <si>
    <t>10212ポルトガル</t>
  </si>
  <si>
    <t>10213ギリシャ</t>
  </si>
  <si>
    <t>10214トルコ</t>
  </si>
  <si>
    <t>10215ロシア</t>
  </si>
  <si>
    <t>10216モルドヴァ</t>
  </si>
  <si>
    <t>10217フィンランド</t>
  </si>
  <si>
    <t>10218ルーマニア</t>
  </si>
  <si>
    <t>10219アイルランド</t>
  </si>
  <si>
    <t>10220ウクライナ</t>
  </si>
  <si>
    <t>10221ブルガリア</t>
  </si>
  <si>
    <t>10222アルメニア共和国</t>
  </si>
  <si>
    <t>10223ハンガリー</t>
  </si>
  <si>
    <t>10224スロヴァキア</t>
  </si>
  <si>
    <t>10225ジョージア</t>
  </si>
  <si>
    <t>10226スロヴェニア</t>
  </si>
  <si>
    <t>10299ヨーロッパ</t>
  </si>
  <si>
    <t>10301南アフリカ</t>
  </si>
  <si>
    <t>10302エジプト</t>
  </si>
  <si>
    <t>10399アフリカ</t>
  </si>
  <si>
    <t>10499中近東</t>
  </si>
  <si>
    <t>産地国名</t>
    <rPh sb="0" eb="2">
      <t>サンチ</t>
    </rPh>
    <rPh sb="2" eb="3">
      <t>クニ</t>
    </rPh>
    <rPh sb="3" eb="4">
      <t>メイ</t>
    </rPh>
    <phoneticPr fontId="5"/>
  </si>
  <si>
    <t>00001北海道</t>
  </si>
  <si>
    <t>00002青森県</t>
  </si>
  <si>
    <t>00003岩手県</t>
  </si>
  <si>
    <t>00004宮城県</t>
  </si>
  <si>
    <t>00005秋田県</t>
  </si>
  <si>
    <t>00006山形県</t>
  </si>
  <si>
    <t>00007福島県</t>
  </si>
  <si>
    <t>00008茨城県</t>
  </si>
  <si>
    <t>00009栃木県</t>
  </si>
  <si>
    <t>00010群馬県</t>
  </si>
  <si>
    <t>00011埼玉県</t>
  </si>
  <si>
    <t>00012千葉県</t>
  </si>
  <si>
    <t>00013東京都</t>
  </si>
  <si>
    <t>00014神奈川県</t>
  </si>
  <si>
    <t>00015山梨県</t>
  </si>
  <si>
    <t>00016新潟県</t>
  </si>
  <si>
    <t>00017長野県</t>
  </si>
  <si>
    <t>00018富山県</t>
  </si>
  <si>
    <t>00019石川県</t>
  </si>
  <si>
    <t>00020福井県</t>
  </si>
  <si>
    <t>00021岐阜県</t>
  </si>
  <si>
    <t>00022静岡県</t>
  </si>
  <si>
    <t>00023愛知県</t>
  </si>
  <si>
    <t>00024三重県</t>
  </si>
  <si>
    <t>00025滋賀県</t>
  </si>
  <si>
    <t>00026京都府</t>
  </si>
  <si>
    <t>00027大阪府</t>
  </si>
  <si>
    <t>00028兵庫県</t>
  </si>
  <si>
    <t>00029奈良県</t>
  </si>
  <si>
    <t>00030和歌山県</t>
  </si>
  <si>
    <t>00031鳥取県</t>
  </si>
  <si>
    <t>00032島根県</t>
  </si>
  <si>
    <t>00033岡山県</t>
  </si>
  <si>
    <t>00034広島県</t>
  </si>
  <si>
    <t>00035山口県</t>
  </si>
  <si>
    <t>00036高知県</t>
  </si>
  <si>
    <t>00037徳島県</t>
  </si>
  <si>
    <t>00038愛媛県</t>
  </si>
  <si>
    <t>00039香川県</t>
  </si>
  <si>
    <t>00040福岡県</t>
  </si>
  <si>
    <t>00041佐賀県</t>
  </si>
  <si>
    <t>00042長崎県</t>
  </si>
  <si>
    <t>00043熊本県</t>
  </si>
  <si>
    <t>00044大分県</t>
  </si>
  <si>
    <t>00045宮崎県</t>
  </si>
  <si>
    <t>00046鹿児島県</t>
  </si>
  <si>
    <t>00047沖縄県</t>
  </si>
  <si>
    <t>20101ボルドー地方</t>
  </si>
  <si>
    <t>20102ブルゴーニュ地方</t>
  </si>
  <si>
    <t>20103ｼｬﾝﾊﾟｰﾆｭ地方</t>
  </si>
  <si>
    <t>20104ｺｰﾄ ﾃﾞｭ ﾛｰﾇ地方</t>
  </si>
  <si>
    <t>20105アルザス地方</t>
  </si>
  <si>
    <t>20106ジュラ地方</t>
  </si>
  <si>
    <t>20107サヴォワ地方</t>
  </si>
  <si>
    <t>20108コルス</t>
  </si>
  <si>
    <t>20109南西地方</t>
  </si>
  <si>
    <t>20110ロワール地方</t>
  </si>
  <si>
    <t>20111ﾗﾝｸﾞﾄﾞｯｸ ﾙｰｼｮﾝ地方</t>
  </si>
  <si>
    <t>20112プロヴァンス地方</t>
  </si>
  <si>
    <t>20113フランス その他</t>
  </si>
  <si>
    <t>20201ｳﾞｧｯﾚ ﾀﾞｵｽﾀ州</t>
  </si>
  <si>
    <t>20202ピエモンテ州</t>
  </si>
  <si>
    <t>20203リグーリア州</t>
  </si>
  <si>
    <t>20204ロンバルディーア州</t>
  </si>
  <si>
    <t>20205ﾄﾚﾝﾃｨｰﾉｱﾙﾄｱﾃﾞｨｼﾞｪ州</t>
  </si>
  <si>
    <t>20206ヴェネト州</t>
  </si>
  <si>
    <t>20207ﾌﾘｳﾘｳﾞｪﾈﾂｨｱｼﾞｭｰﾘｱ州</t>
  </si>
  <si>
    <t>20208ｴﾐﾘｱ ﾛﾏｰﾆｬ州</t>
  </si>
  <si>
    <t>20209トスカーナ州</t>
  </si>
  <si>
    <t>20210ウンブリア州</t>
  </si>
  <si>
    <t>20211マルケ州</t>
  </si>
  <si>
    <t>20212ラツィオ州</t>
  </si>
  <si>
    <t>20213アブルッツオ州</t>
  </si>
  <si>
    <t>20214モリーゼ州</t>
  </si>
  <si>
    <t>20215カンパーニャ州</t>
  </si>
  <si>
    <t>20216プーリア州</t>
  </si>
  <si>
    <t>20217バジリカータ州</t>
  </si>
  <si>
    <t>20218カラーブリア州</t>
  </si>
  <si>
    <t>20219シチーリア州</t>
  </si>
  <si>
    <t>20220サルディーニャ州</t>
  </si>
  <si>
    <t>20221イタリア その他</t>
  </si>
  <si>
    <t>産地地方名</t>
    <rPh sb="0" eb="2">
      <t>サンチ</t>
    </rPh>
    <rPh sb="2" eb="4">
      <t>チホウ</t>
    </rPh>
    <rPh sb="4" eb="5">
      <t>メイ</t>
    </rPh>
    <phoneticPr fontId="5"/>
  </si>
  <si>
    <t>00設定なし</t>
    <phoneticPr fontId="16"/>
  </si>
  <si>
    <t>01中口</t>
    <phoneticPr fontId="16"/>
  </si>
  <si>
    <t>02やや重口</t>
    <phoneticPr fontId="16"/>
  </si>
  <si>
    <t>03重口</t>
  </si>
  <si>
    <t>03重口</t>
    <phoneticPr fontId="16"/>
  </si>
  <si>
    <t>04やや軽口</t>
    <phoneticPr fontId="16"/>
  </si>
  <si>
    <t>05軽口</t>
    <phoneticPr fontId="16"/>
  </si>
  <si>
    <t>06やや辛口</t>
    <phoneticPr fontId="16"/>
  </si>
  <si>
    <t>07辛口</t>
    <phoneticPr fontId="16"/>
  </si>
  <si>
    <t>08超辛口</t>
    <phoneticPr fontId="16"/>
  </si>
  <si>
    <t>09やや甘口</t>
    <phoneticPr fontId="16"/>
  </si>
  <si>
    <t>10甘口</t>
    <phoneticPr fontId="16"/>
  </si>
  <si>
    <t>11超甘口</t>
    <phoneticPr fontId="16"/>
  </si>
  <si>
    <t>12極甘口</t>
    <phoneticPr fontId="16"/>
  </si>
  <si>
    <t>13旨口</t>
    <phoneticPr fontId="16"/>
  </si>
  <si>
    <t>飲口区分名</t>
    <rPh sb="0" eb="1">
      <t>ノ</t>
    </rPh>
    <rPh sb="1" eb="2">
      <t>クチ</t>
    </rPh>
    <rPh sb="2" eb="4">
      <t>クブン</t>
    </rPh>
    <rPh sb="4" eb="5">
      <t>メイ</t>
    </rPh>
    <phoneticPr fontId="5"/>
  </si>
  <si>
    <t>0通年</t>
  </si>
  <si>
    <t>0通年</t>
    <phoneticPr fontId="3"/>
  </si>
  <si>
    <t>1春季限定</t>
    <phoneticPr fontId="16"/>
  </si>
  <si>
    <t>2夏季限定</t>
    <phoneticPr fontId="3"/>
  </si>
  <si>
    <t>3秋季限定</t>
    <phoneticPr fontId="3"/>
  </si>
  <si>
    <t>4冬季限定</t>
    <phoneticPr fontId="3"/>
  </si>
  <si>
    <t>5期間限定</t>
    <phoneticPr fontId="3"/>
  </si>
  <si>
    <t>6抽選割当</t>
    <rPh sb="1" eb="5">
      <t>チュウセンワリアテ</t>
    </rPh>
    <phoneticPr fontId="16"/>
  </si>
  <si>
    <t>1定番</t>
    <rPh sb="1" eb="3">
      <t>テイバン</t>
    </rPh>
    <phoneticPr fontId="16"/>
  </si>
  <si>
    <t>3業務不可</t>
    <phoneticPr fontId="3"/>
  </si>
  <si>
    <t>2直送</t>
    <rPh sb="1" eb="3">
      <t>チョクソウ</t>
    </rPh>
    <phoneticPr fontId="16"/>
  </si>
  <si>
    <t>4店頭不可</t>
    <phoneticPr fontId="3"/>
  </si>
  <si>
    <t>8業務不可</t>
    <phoneticPr fontId="3"/>
  </si>
  <si>
    <t>9店頭不可</t>
    <phoneticPr fontId="3"/>
  </si>
  <si>
    <t>季節限定区分名</t>
    <rPh sb="0" eb="2">
      <t>キセツ</t>
    </rPh>
    <rPh sb="2" eb="4">
      <t>ゲンテイ</t>
    </rPh>
    <rPh sb="4" eb="6">
      <t>クブン</t>
    </rPh>
    <rPh sb="6" eb="7">
      <t>メイ</t>
    </rPh>
    <phoneticPr fontId="5"/>
  </si>
  <si>
    <t>店舗取扱区分名</t>
    <rPh sb="0" eb="2">
      <t>テンポ</t>
    </rPh>
    <rPh sb="2" eb="4">
      <t>トリアツカイ</t>
    </rPh>
    <rPh sb="4" eb="6">
      <t>クブン</t>
    </rPh>
    <rPh sb="6" eb="7">
      <t>メイ</t>
    </rPh>
    <phoneticPr fontId="5"/>
  </si>
  <si>
    <t>ﾌｪﾘｽﾀｽ ﾙﾐﾅｽ ｽﾊﾟｰｸﾘﾝｸﾞ（金箔入り）</t>
  </si>
  <si>
    <t>DGﾌｪﾘｽﾀｽ ﾙﾐﾅｽ ｽﾊﾟｰｸﾘﾝｸﾞ（金箔入り）</t>
    <phoneticPr fontId="3"/>
  </si>
  <si>
    <t>ﾏﾙｶｲﾌｪﾘｽﾀｽﾙﾐﾅｽｽﾊﾟｰｸﾘﾝｸﾞｷﾝﾊﾟｸｲﾘLEDﾂｷ</t>
  </si>
  <si>
    <t>ﾌｪﾘｽﾀｽｽﾊﾟｰｸﾘﾝｸﾞLED</t>
  </si>
  <si>
    <t>750ML</t>
    <phoneticPr fontId="3"/>
  </si>
  <si>
    <t>04ワイン類</t>
  </si>
  <si>
    <t>011甘味果実酒</t>
  </si>
  <si>
    <t>0601果実酒</t>
  </si>
  <si>
    <t>06やや辛口</t>
  </si>
  <si>
    <t>インストア</t>
    <phoneticPr fontId="3"/>
  </si>
  <si>
    <t>4993199564278</t>
  </si>
  <si>
    <t>750ML</t>
    <phoneticPr fontId="3"/>
  </si>
  <si>
    <t>010果 実 酒</t>
  </si>
  <si>
    <t>4997678153687</t>
  </si>
  <si>
    <t>1下限値</t>
    <rPh sb="1" eb="4">
      <t>カゲンチ</t>
    </rPh>
    <phoneticPr fontId="16"/>
  </si>
  <si>
    <t>N4有</t>
    <phoneticPr fontId="3"/>
  </si>
  <si>
    <t>下限値</t>
    <rPh sb="0" eb="3">
      <t>カゲンチ</t>
    </rPh>
    <phoneticPr fontId="5"/>
  </si>
  <si>
    <t>新単価（ケース）</t>
    <rPh sb="0" eb="1">
      <t>シン</t>
    </rPh>
    <rPh sb="1" eb="3">
      <t>タンカ</t>
    </rPh>
    <phoneticPr fontId="3"/>
  </si>
  <si>
    <t>DGﾎﾞｼﾞｮﾚｰ ｳﾞｨﾗｰｼﾞｭ ﾏﾘﾙｰ 21 赤 / ｷﾞｲﾌﾞﾙﾄﾝ</t>
    <rPh sb="27" eb="28">
      <t>アカ</t>
    </rPh>
    <phoneticPr fontId="3"/>
  </si>
  <si>
    <t>DGﾓﾙｺﾞﾝ ｳﾞｨｴｲﾕ ｳﾞｨｰﾆｭ 20 赤 / ｷﾞｲﾌﾞﾙﾄﾝ</t>
    <rPh sb="25" eb="26">
      <t>アカ</t>
    </rPh>
    <phoneticPr fontId="3"/>
  </si>
  <si>
    <t>DGﾓﾙｺﾞﾝ ﾌﾟﾃｨ ﾏｯｸｽ 20 赤 / ｷﾞｲﾌﾞﾙﾄﾝ</t>
    <rPh sb="21" eb="22">
      <t>アカ</t>
    </rPh>
    <phoneticPr fontId="3"/>
  </si>
  <si>
    <t>DGｼﾙﾌﾞﾙ ｷｭｳﾞｪ ﾚｱ 19 赤 / ｷﾞｲﾌﾞﾙﾄﾝ</t>
    <rPh sb="20" eb="21">
      <t>アカ</t>
    </rPh>
    <phoneticPr fontId="3"/>
  </si>
  <si>
    <t>ﾗｼｰﾇｷﾞｲﾌﾞﾙﾄﾝﾎﾞｼﾞｮﾚｰｳﾞｨﾗｰｼﾞｭﾏﾘﾙｰ21ｱｶ</t>
  </si>
  <si>
    <t>ﾗｼｰﾇｷﾞｲﾌﾞﾙﾄﾝﾓﾙｺﾞﾝｳﾞｨｴｲﾕｳﾞｨｰﾆｭ20ｱｶ</t>
  </si>
  <si>
    <t>ﾗｼｰﾇｷﾞｲﾌﾞﾙﾄﾝﾓﾙｺﾞﾝﾌﾟﾃｨﾏｯｸｽ20ｱｶ</t>
  </si>
  <si>
    <t>ﾗｼｰﾇｷﾞｲﾌﾞﾙﾄﾝｼﾙﾌﾞﾙｷｭｳﾞｪﾚｱ19ｱｶ</t>
  </si>
  <si>
    <t>ｷﾞｲﾌﾞﾙﾄﾝ ﾏﾘﾙｰ21 750</t>
  </si>
  <si>
    <t>Gﾌﾞﾙﾄﾝ ﾓﾙｺﾞﾝVV20 750</t>
  </si>
  <si>
    <t>Gﾌﾞﾙﾄﾝ Mﾏｯｸｽ20 750</t>
  </si>
  <si>
    <t>Gﾌﾞﾙﾄﾝ ｷｭｳﾞｪﾚｱ19 750</t>
  </si>
  <si>
    <t xml:space="preserve">ｷﾞｲﾌﾞﾙﾄﾝ ﾏﾘﾙｰ </t>
  </si>
  <si>
    <t xml:space="preserve">Gﾌﾞﾙﾄﾝ ｷｭｳﾞｪﾚｱ19 </t>
  </si>
  <si>
    <t>750ML</t>
    <phoneticPr fontId="3"/>
  </si>
  <si>
    <t>01中口</t>
  </si>
  <si>
    <t>インストア</t>
    <phoneticPr fontId="3"/>
  </si>
  <si>
    <t>DGｴﾙｳﾞｪ ｳﾞｨﾙﾏｰﾄﾞ / ﾋﾞｭﾙ 19 白泡</t>
    <rPh sb="27" eb="28">
      <t>シロ</t>
    </rPh>
    <rPh sb="28" eb="29">
      <t>アワ</t>
    </rPh>
    <phoneticPr fontId="3"/>
  </si>
  <si>
    <t>DGｴﾙｳﾞｪ ｳﾞｨﾙﾏｰﾄﾞ / ｷｭｳﾞｪ ﾎﾞｳﾞｧﾝ ﾌﾞﾗﾝ 21 白</t>
    <rPh sb="40" eb="41">
      <t>シロ</t>
    </rPh>
    <phoneticPr fontId="3"/>
  </si>
  <si>
    <t>DGｴﾙｳﾞｪ ｳﾞｨﾙﾏｰﾄﾞ / ﾚ ｽｰｼｪｯﾄ 20 白</t>
    <rPh sb="31" eb="32">
      <t>シロ</t>
    </rPh>
    <phoneticPr fontId="3"/>
  </si>
  <si>
    <t>DGｸﾛ ﾄﾞ ﾗ ﾎﾞﾈｯﾄ / ｺﾝﾄﾞﾘｭｰ ﾚｼﾞｮﾝﾄﾞ ﾎﾞﾈｯﾀ 20 白</t>
    <rPh sb="43" eb="44">
      <t>シロ</t>
    </rPh>
    <phoneticPr fontId="3"/>
  </si>
  <si>
    <t>ﾗｼｰﾇｴﾙｳﾞｪｳﾞｨﾙﾏｰﾄﾞﾋﾞｭﾙ19ｼﾛｱﾜ</t>
  </si>
  <si>
    <t>ﾗｼｰﾇｴﾙｳﾞｪｳﾞｨﾙﾏｰﾄﾞｷｭｳﾞｪﾎﾞｳﾞｧﾝﾌﾞﾗﾝ21ｼﾛ</t>
    <phoneticPr fontId="17"/>
  </si>
  <si>
    <t>ﾗｼｰﾇｴﾙｳﾞｪｳﾞｨﾙﾏｰﾄﾞﾚｽｰｼｪｯﾄ20ｼﾛ</t>
  </si>
  <si>
    <t>ﾗｼｰﾇｸﾛﾄﾞﾗﾎﾞﾈｯﾄｺﾝﾄﾞﾘｭｰﾚｼﾞｮﾝﾄﾞﾎﾞﾈｯﾀ20ｼﾛ</t>
  </si>
  <si>
    <t>ｴﾙｳﾞｪV ﾋﾞｭﾙ19 750</t>
  </si>
  <si>
    <t>ｴﾙｳﾞｪVﾎﾞｳﾞｧﾝﾌﾞﾗﾝ1000</t>
  </si>
  <si>
    <t>ｴﾙｳﾞｪV ﾚｽｰｼｪﾄ20 750</t>
  </si>
  <si>
    <t>ﾎﾞﾈｯﾄ ｺﾝﾄﾞﾘｭｰ20 750</t>
  </si>
  <si>
    <t>ｴﾙｳﾞｪｳﾞｨﾙﾏｰﾄﾞ ﾋﾞｭﾙ19</t>
  </si>
  <si>
    <t>ｴﾙｳﾞｪVﾎﾞｳﾞｧﾝﾌﾞﾗﾝ</t>
  </si>
  <si>
    <t xml:space="preserve">ｴﾙｳﾞｪV ﾚｽｰｼｪﾄ20 </t>
  </si>
  <si>
    <t>ﾎﾞﾈｯﾄ ｺﾝﾄﾞﾘｭｰ</t>
  </si>
  <si>
    <t>1L</t>
    <phoneticPr fontId="3"/>
  </si>
  <si>
    <t>07辛口</t>
  </si>
  <si>
    <t>DGｺﾘﾝﾇ ﾛｰﾀﾞﾆｴﾝﾇ ｼﾗｰVV 20 赤 / ｸﾛ ﾄﾞ ﾗ ﾎﾞﾈｯﾄ</t>
    <rPh sb="25" eb="26">
      <t>アカ</t>
    </rPh>
    <phoneticPr fontId="3"/>
  </si>
  <si>
    <t>DGｺｰﾄ ﾛﾃｨ ﾌﾟﾘｭﾈﾙ 19 赤 / ｸﾛ ﾄﾞ ﾗ ﾎﾞﾈｯﾄ</t>
    <rPh sb="20" eb="21">
      <t>アカ</t>
    </rPh>
    <phoneticPr fontId="3"/>
  </si>
  <si>
    <t>ﾗｼｰﾇｸﾛﾄﾞﾗﾎﾞﾈｯﾄｺﾘﾝﾇﾛｰﾀﾞﾆｴﾝﾇｼﾗｰVV20ｱｶ</t>
  </si>
  <si>
    <t>ﾗｼｰﾇｸﾛﾄﾞﾗﾎﾞﾈｯﾄｺｰﾄﾛﾃｨﾌﾟﾘｭﾈﾙ19ｱｶ</t>
  </si>
  <si>
    <t>ﾎﾞﾈｯﾄ ﾛｰﾀﾞﾆｴﾝﾇ20 750</t>
  </si>
  <si>
    <t>ﾎﾞﾈｯﾄ ﾌﾟﾘｭﾈﾙ19 750</t>
  </si>
  <si>
    <t>ﾎﾞﾈｯﾄ ﾛｰﾀﾞﾆｴﾝﾇ</t>
  </si>
  <si>
    <t>ﾎﾞﾈｯﾄ ﾌﾟﾘｭﾈﾙ</t>
  </si>
  <si>
    <t>DGｳﾞｧﾙ ﾉﾜｰﾙ 18 赤 / ｳﾞｨﾆ ｳﾞｨﾃｨ ｳﾞｨﾝﾁ</t>
    <rPh sb="15" eb="16">
      <t>アカ</t>
    </rPh>
    <phoneticPr fontId="3"/>
  </si>
  <si>
    <t>DGｳﾞｧﾙ ﾉﾜｰﾙ ﾏｸﾞﾅﾑ 19 赤 / ｳﾞｨﾆ ｳﾞｨﾃｨ ｳﾞｨﾝﾁ</t>
    <rPh sb="21" eb="22">
      <t>アカ</t>
    </rPh>
    <phoneticPr fontId="3"/>
  </si>
  <si>
    <t>ﾗｼｰﾇｳﾞｨﾆｳﾞｨﾃｨｳﾞｨﾝﾁｳﾞｧﾙﾉﾜｰﾙ18ｱｶ</t>
  </si>
  <si>
    <t>ﾗｼｰﾇｳﾞｨﾆｳﾞｨﾃｨｳﾞｨﾝﾁｳﾞｧﾙﾉﾜｰﾙﾏｸﾞﾅﾑ19ｱｶ</t>
  </si>
  <si>
    <t>VVｳﾞｨﾝﾁ ｳﾞｧﾙﾉﾜｰﾙ 750</t>
  </si>
  <si>
    <t xml:space="preserve">VVｳﾞｨﾝﾁ ｳﾞｧﾙﾉﾜｰﾙ </t>
  </si>
  <si>
    <t>VVｳﾞｨﾝﾁ ｳﾞｧﾙﾉﾜｰﾙ</t>
  </si>
  <si>
    <t>1.5L</t>
    <phoneticPr fontId="3"/>
  </si>
  <si>
    <t>DGｲﾗﾝｼｰ ﾚ ﾛﾝｽﾞﾛ 18 赤 / ｳﾞｨﾆ ｳﾞｨﾃｨ ｳﾞｨﾝﾁ</t>
    <rPh sb="19" eb="20">
      <t>アカ</t>
    </rPh>
    <phoneticPr fontId="3"/>
  </si>
  <si>
    <t>DGｲﾗﾝｼｰ ｵｰ ｼｬﾝﾌﾟﾙｰ 18 赤 / ｳﾞｨﾆ ｳﾞｨﾃｨ ｳﾞｨﾝﾁ</t>
    <rPh sb="22" eb="23">
      <t>アカ</t>
    </rPh>
    <phoneticPr fontId="3"/>
  </si>
  <si>
    <t>DGｲﾗﾝｼｰ ﾚ ﾛﾝｽ 18 赤 / ｳﾞｨﾆ ｳﾞｨﾃｨ ｳﾞｨﾝﾁ</t>
    <rPh sb="17" eb="18">
      <t>アカ</t>
    </rPh>
    <phoneticPr fontId="3"/>
  </si>
  <si>
    <t>DGｲﾗﾝｼｰ ﾚ ﾛﾝｽﾞﾛ ﾏｸﾞﾅﾑ 18 赤 / ｳﾞｨﾆ ｳﾞｨﾃｨ ｳﾞｨﾝﾁ</t>
    <rPh sb="25" eb="26">
      <t>アカ</t>
    </rPh>
    <phoneticPr fontId="3"/>
  </si>
  <si>
    <t>ﾗｼｰﾇｳﾞｨﾆｳﾞｨﾃｨｳﾞｨﾝﾁｲﾗﾝｼｰｵｰｼｬﾝﾌﾟﾙｰ18ｱｶ</t>
  </si>
  <si>
    <t>ﾗｼｰﾇｳﾞｨﾆｳﾞｨﾃｨｳﾞｨﾝﾁｲﾗﾝｼｰﾚﾛﾝｽ18ｱｶ</t>
  </si>
  <si>
    <t>ﾗｼｰﾇｳﾞｨﾆｳﾞｨﾃｨｳﾞｨﾝﾁｲﾗﾝｼｰﾚﾛﾝｽﾞﾛ18ｱｶ</t>
  </si>
  <si>
    <t>ﾗｼｰﾇｳﾞｨﾆｳﾞｨﾃｨｳﾞｨﾝﾁｲﾗﾝｼｰﾚﾛﾝｽﾞﾛﾏｸﾞﾅﾑ18ｱｶ</t>
  </si>
  <si>
    <t>VVｳﾞｨﾝﾁ ｼｬﾝﾌﾟﾙｰ 750</t>
  </si>
  <si>
    <t>VVｳﾞｨﾝﾁ ﾚﾛﾝｽ18 750</t>
  </si>
  <si>
    <t>VVｳﾞｨﾝﾁ ﾚﾛﾝｽﾞﾛ 750</t>
  </si>
  <si>
    <t>VVｳﾞｨﾝﾁ ﾚﾛﾝｽﾞﾛ 1500</t>
  </si>
  <si>
    <t>VVｳﾞｨﾝﾁ ｼｬﾝﾌﾟﾙｰ</t>
  </si>
  <si>
    <t>VVｳﾞｨﾝﾁ ﾚﾛﾝｽ</t>
  </si>
  <si>
    <t>VVｳﾞｨﾝﾁ ﾚﾛﾝｽﾞﾛ</t>
  </si>
  <si>
    <t xml:space="preserve">VVｳﾞｨﾝﾁ ﾚﾛﾝｽﾞﾛ </t>
  </si>
  <si>
    <t>DGｲﾗﾝｼｰ ﾗ ｸﾛﾜ ﾌﾞｭﾃｯｸｽ 19 赤 / ｳﾞｨﾆ ｳﾞｨﾃｨ ｳﾞｨﾝﾁ</t>
    <rPh sb="25" eb="26">
      <t>アカ</t>
    </rPh>
    <phoneticPr fontId="3"/>
  </si>
  <si>
    <t>DGｲﾗﾝｼｰ ﾚ ﾏｽﾞﾛ 18 赤 / ｳﾞｨﾆ ｳﾞｨﾃｨ ｳﾞｨﾝﾁ</t>
    <rPh sb="18" eb="19">
      <t>アカ</t>
    </rPh>
    <phoneticPr fontId="3"/>
  </si>
  <si>
    <t>ﾗｼｰﾇｳﾞｨﾆｳﾞｨﾃｨｳﾞｨﾝﾁｲﾗﾝｼｰﾗｸﾛﾜﾌﾞｭﾃｯｸｽ19ｱｶ</t>
  </si>
  <si>
    <t>ﾗｼｰﾇｳﾞｨﾆｳﾞｨﾃｨｳﾞｨﾝﾁｲﾗﾝｼｰﾚﾏｽﾞﾛ18ｱｶ</t>
  </si>
  <si>
    <t>VVｳﾞｨﾝﾁ ﾌﾞｭﾃｯｸｽ 750</t>
  </si>
  <si>
    <t>VVｳﾞｨﾝﾁ ﾚﾏｽﾞﾛ18 750</t>
  </si>
  <si>
    <t>VVｳﾞｨﾝﾁ ﾌﾞｭﾃｯｸｽ</t>
  </si>
  <si>
    <t>VVｳﾞｨﾝﾁ ﾚﾏｽﾞﾛ</t>
  </si>
  <si>
    <t>DGｼﾞｭﾘｱﾝ ﾍﾟｲﾗｽ ｾﾗﾌｧﾝ 21 赤</t>
    <rPh sb="24" eb="25">
      <t>アカ</t>
    </rPh>
    <phoneticPr fontId="3"/>
  </si>
  <si>
    <t>DGｼﾞｭﾘｱﾝ ﾍﾟｲﾗｽ ｼﾗｰ ﾉｽﾄﾗ 21 赤</t>
    <rPh sb="27" eb="28">
      <t>アカ</t>
    </rPh>
    <phoneticPr fontId="3"/>
  </si>
  <si>
    <t>ﾗﾌｨﾈｼﾞｭﾘｱﾝﾍﾟｲﾗｽｾﾗﾌｧﾝ21ｱｶ</t>
  </si>
  <si>
    <t>ﾗﾌｨﾈｼﾞｭﾘｱﾝﾍﾟｲﾗｽｼﾗｰﾉｽﾄﾗ21ｱｶ</t>
  </si>
  <si>
    <t>ｼﾞｭﾘｱﾝﾍﾟｲﾗｽｾﾗﾌｧﾝ750</t>
  </si>
  <si>
    <t>ｼﾞｭﾘｱﾝﾍﾟｲﾗｽｼﾗｰﾉｽﾄ750</t>
  </si>
  <si>
    <t>DGｼﾞｭﾘｱﾝ ﾍﾟｲﾗｽ ﾚ ﾍﾟﾃｨｱﾝ ﾌﾞﾗﾝ 21 白泡</t>
    <rPh sb="32" eb="33">
      <t>シロ</t>
    </rPh>
    <rPh sb="33" eb="34">
      <t>アワ</t>
    </rPh>
    <phoneticPr fontId="3"/>
  </si>
  <si>
    <t>DGｼﾞｭﾘｱﾝ ﾍﾟｲﾗｽ ﾚ ｺﾊﾟﾝ ﾀﾞﾎﾞｰﾙ 21 白</t>
    <rPh sb="32" eb="33">
      <t>シロ</t>
    </rPh>
    <phoneticPr fontId="3"/>
  </si>
  <si>
    <t>ﾗﾌｨﾈｼﾞｭﾘｱﾝﾍﾟｲﾗｽﾚﾍﾟﾃｨｱﾝﾌﾞﾗﾝ21ｼﾛｱﾜ</t>
  </si>
  <si>
    <t>ﾗﾌｨﾈｼﾞｭﾘｱﾝﾍﾟｲﾗｽﾚｺﾊﾟﾝﾀﾞﾎﾞｰﾙ21ｼﾛ</t>
  </si>
  <si>
    <t>DGｼﾞｭﾘｱﾝﾍﾟｲﾗｽﾛｰｽﾞﾎﾞｴﾑ21ﾛｾﾞ</t>
  </si>
  <si>
    <t>DGｼﾞｭﾘｱﾝ ﾍﾟｲﾗｽ ｸﾞﾙﾏﾝﾃﾞｨｰｽﾞ 21 赤</t>
    <rPh sb="30" eb="31">
      <t>アカ</t>
    </rPh>
    <phoneticPr fontId="3"/>
  </si>
  <si>
    <t>ﾗﾌｨﾈｼﾞｭﾘｱﾝﾍﾟｲﾗｽﾛｰｽﾞﾎﾞｴﾑ21ﾛｾﾞ</t>
  </si>
  <si>
    <t>ﾗﾌｨﾈｼﾞｭﾘｱﾝﾍﾟｲﾗｽｸﾞﾙﾏﾝﾃﾞｨｰｽﾞ21ｱｶ</t>
  </si>
  <si>
    <t>ｼﾞｭﾘｱﾝﾍﾟｲﾗｽﾍﾟﾃｨｱﾝ750</t>
  </si>
  <si>
    <t>ｼﾞｭﾘｱﾝﾍﾟｲﾗｽﾚｺﾊﾟﾝ750</t>
  </si>
  <si>
    <t>ｼﾞｭﾘｱﾝﾍﾟｲﾗｽﾛｰｽﾞ750</t>
  </si>
  <si>
    <t>ｼﾞｭﾘｱﾝﾍﾟｲﾗｽｸﾞﾙﾏﾝ750</t>
  </si>
  <si>
    <t>DGﾄﾞﾒｰﾈ ｺﾞﾍﾞﾙｽﾌﾞﾙｸ ﾘｰｽﾘﾝｸﾞ 21 白 / ｼｭﾛｽ ｺﾞﾍﾞﾙｽﾌﾞﾙｸ</t>
    <rPh sb="30" eb="31">
      <t>シロ</t>
    </rPh>
    <phoneticPr fontId="3"/>
  </si>
  <si>
    <t>ﾄﾞﾒｰﾈ ｺﾞﾍﾞﾙｽﾌﾞﾙｸ ﾘｰｽﾘﾝｸﾞｼﾛ ｼｭﾛｽ ｺﾞﾍﾞﾙｽﾌﾞﾙｸ</t>
  </si>
  <si>
    <t>ﾄﾞﾒｰﾈｺﾞﾍﾞﾙｽﾌﾞﾙｸ ﾘｰｽﾘ</t>
  </si>
  <si>
    <t>4997678179434</t>
  </si>
  <si>
    <t>DGﾏﾝﾁｰﾆ ﾌﾟﾘﾓ ｳﾞｪﾙﾒﾝﾃｨｰﾉ ﾃﾞｨ ｶﾞｯﾙｰﾗ 21 / ﾋﾟｴﾛ ﾏﾝﾁｰﾆ</t>
  </si>
  <si>
    <t>ﾓﾄｯｸｽﾋﾟｴﾛﾏﾝﾁｰﾆﾌﾟﾘﾓｳﾞｪﾙﾒﾝﾃｨｰﾉﾃﾞｨｶﾞｯﾙｰﾗ21ｼﾛ 359174ﾖﾘ</t>
  </si>
  <si>
    <t>ｳﾞｪﾙﾒﾝﾃｨｰﾉ ｶﾞｯﾙｰﾗ21</t>
  </si>
  <si>
    <t>ﾋﾟｴﾛﾏﾝﾁｰﾆ        750</t>
  </si>
  <si>
    <t>4997678177454</t>
  </si>
  <si>
    <t>DGｳﾞｧﾝｻﾝｼﾞﾗﾙﾀﾞﾝ ｻﾝﾄﾈｲﾌﾞﾗﾝVV17  白</t>
  </si>
  <si>
    <t>ｲﾅﾊﾞﾊﾞﾝｻﾝｼﾞﾗﾙﾀﾞﾝｻﾝﾄﾈｲﾌﾞﾗﾝﾋﾞｴｲﾕﾋﾞｰﾆｭ17ｼﾛ 375157ﾖﾘ</t>
  </si>
  <si>
    <t>VｼﾞﾗﾙﾀﾞﾝｻﾝﾄﾈｲVV17 ｼﾛ</t>
  </si>
  <si>
    <t>4935919314817</t>
  </si>
  <si>
    <t>消化器</t>
    <rPh sb="0" eb="2">
      <t>ショウカキ</t>
    </rPh>
    <phoneticPr fontId="5"/>
  </si>
  <si>
    <t>純アルコール量</t>
    <rPh sb="5" eb="6">
      <t>リョウ</t>
    </rPh>
    <phoneticPr fontId="5"/>
  </si>
  <si>
    <t>担当者名：得意先名</t>
    <rPh sb="0" eb="2">
      <t>タントウシャ</t>
    </rPh>
    <rPh sb="2" eb="3">
      <t>メイ</t>
    </rPh>
    <rPh sb="4" eb="8">
      <t>トクイサキメイ</t>
    </rPh>
    <phoneticPr fontId="5"/>
  </si>
  <si>
    <t>00000791：123456789</t>
    <phoneticPr fontId="3"/>
  </si>
  <si>
    <t>商品区分</t>
    <rPh sb="0" eb="1">
      <t>ショウヒン</t>
    </rPh>
    <rPh sb="1" eb="3">
      <t>クブン</t>
    </rPh>
    <phoneticPr fontId="3"/>
  </si>
  <si>
    <t>直送品納品日リードタイム</t>
    <rPh sb="0" eb="1">
      <t>チョクソウ</t>
    </rPh>
    <rPh sb="1" eb="2">
      <t>ヒン</t>
    </rPh>
    <rPh sb="2" eb="4">
      <t>ノウヒン</t>
    </rPh>
    <rPh sb="5" eb="6">
      <t>ヒ</t>
    </rPh>
    <phoneticPr fontId="5"/>
  </si>
  <si>
    <t>0000006204グレープフルーツ（RTD）</t>
  </si>
  <si>
    <t>ギフト直送品</t>
    <rPh sb="3" eb="6">
      <t>チョクソウヒン</t>
    </rPh>
    <phoneticPr fontId="3"/>
  </si>
  <si>
    <t>00001</t>
    <phoneticPr fontId="3"/>
  </si>
  <si>
    <t>0：</t>
  </si>
  <si>
    <t>1：ｵｰｶﾞﾆｯｸ</t>
  </si>
  <si>
    <t>1：ﾉﾝﾌｨﾙﾀｰ</t>
  </si>
  <si>
    <t>2:ﾋﾞｵﾃﾞｨﾅﾐ</t>
  </si>
  <si>
    <t>2：SO2ﾌﾘｰ</t>
  </si>
  <si>
    <t>3：ｳﾞｨｰｶﾞﾝ</t>
  </si>
  <si>
    <t>3：ﾉﾝﾌｨﾙﾀｰ/SO2ﾌﾘｰ</t>
  </si>
  <si>
    <t>4：ｵｰｶﾞﾆｯｸ/ﾋﾞｵﾃﾞｨﾅﾐ/ｳﾞｨｰｶﾞﾝ</t>
  </si>
  <si>
    <t>4：</t>
  </si>
  <si>
    <t>5：ｵｰｶﾞﾆｯｸ/ﾋﾞｵﾃﾞｨﾅﾐ</t>
  </si>
  <si>
    <t>5：</t>
  </si>
  <si>
    <t>6：ｵｰｶﾞﾆｯｸ/ｳﾞｨｰｶﾞﾝ</t>
  </si>
  <si>
    <t>6：</t>
  </si>
  <si>
    <t>7：ﾋﾞｵﾃﾞｨﾅﾐ/ｳﾞｨｰｶﾞﾝ</t>
  </si>
  <si>
    <t>7：</t>
  </si>
  <si>
    <t>8：</t>
  </si>
  <si>
    <t>9：</t>
  </si>
  <si>
    <t>自然派ワイン①名</t>
    <rPh sb="0" eb="3">
      <t>シゼンハ</t>
    </rPh>
    <rPh sb="7" eb="8">
      <t>メイ</t>
    </rPh>
    <phoneticPr fontId="9"/>
  </si>
  <si>
    <t>自然派ワイン②名</t>
    <rPh sb="0" eb="3">
      <t>シゼンハ</t>
    </rPh>
    <rPh sb="7" eb="8">
      <t>メイ</t>
    </rPh>
    <phoneticPr fontId="9"/>
  </si>
  <si>
    <t>自然派ワイン①コード</t>
    <rPh sb="0" eb="3">
      <t>シゼンハ</t>
    </rPh>
    <phoneticPr fontId="9"/>
  </si>
  <si>
    <t>自然派ワイン②コード</t>
    <rPh sb="0" eb="3">
      <t>シゼンハ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</si>
  <si>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5"/>
  </si>
  <si>
    <t>PB区分</t>
    <rPh sb="2" eb="4">
      <t>クブン</t>
    </rPh>
    <phoneticPr fontId="5"/>
  </si>
  <si>
    <t>1N4有り</t>
  </si>
  <si>
    <t>2カクヤスPB</t>
  </si>
  <si>
    <t>3カクヤス専売</t>
    <rPh sb="5" eb="7">
      <t>センバイ</t>
    </rPh>
    <phoneticPr fontId="9"/>
  </si>
  <si>
    <t>7卸PB</t>
    <rPh sb="1" eb="2">
      <t>オロシ</t>
    </rPh>
    <phoneticPr fontId="9"/>
  </si>
  <si>
    <t>8飲食店PB</t>
    <rPh sb="1" eb="4">
      <t>インショクテン</t>
    </rPh>
    <phoneticPr fontId="9"/>
  </si>
  <si>
    <t>9飲食店専用</t>
    <rPh sb="1" eb="4">
      <t>インショクテン</t>
    </rPh>
    <rPh sb="4" eb="6">
      <t>センヨウ</t>
    </rPh>
    <phoneticPr fontId="9"/>
  </si>
  <si>
    <t>PB区分（予備区分4）</t>
    <rPh sb="2" eb="4">
      <t>クブン</t>
    </rPh>
    <rPh sb="5" eb="7">
      <t>ヨビ</t>
    </rPh>
    <rPh sb="7" eb="9">
      <t>クブン</t>
    </rPh>
    <phoneticPr fontId="9"/>
  </si>
  <si>
    <t>PB区分</t>
    <rPh sb="2" eb="4">
      <t>クブン</t>
    </rPh>
    <phoneticPr fontId="3"/>
  </si>
  <si>
    <t>セット商品一括組立</t>
    <rPh sb="2" eb="4">
      <t>ショウヒン</t>
    </rPh>
    <rPh sb="4" eb="6">
      <t>イッカツ</t>
    </rPh>
    <rPh sb="6" eb="8">
      <t>クミタテ</t>
    </rPh>
    <phoneticPr fontId="5"/>
  </si>
  <si>
    <t>特定商品備考コード</t>
    <rPh sb="0" eb="1">
      <t>トクテイ</t>
    </rPh>
    <rPh sb="1" eb="3">
      <t>ショウヒン</t>
    </rPh>
    <rPh sb="3" eb="5">
      <t>ビコウ</t>
    </rPh>
    <phoneticPr fontId="5"/>
  </si>
  <si>
    <t>下限値（予備区分3）</t>
    <rPh sb="0" eb="3">
      <t>カゲンチ</t>
    </rPh>
    <rPh sb="4" eb="8">
      <t>ヨビクブン</t>
    </rPh>
    <phoneticPr fontId="5"/>
  </si>
  <si>
    <t>0000006004:テキーラ</t>
  </si>
  <si>
    <t>0000006090:スピリッツ その他</t>
  </si>
  <si>
    <t>0000006103:梅酒</t>
  </si>
  <si>
    <t>0000006104:輸入 香草・薬草系リキュール</t>
  </si>
  <si>
    <t>0000006105:輸入 果実系リキュール</t>
  </si>
  <si>
    <t>0000006106:輸入 ナッツ・種子系リキュール</t>
  </si>
  <si>
    <t>0000006107:輸入 その他リキュール</t>
  </si>
  <si>
    <t>0000006108:国産 香草・薬草系リキュール</t>
  </si>
  <si>
    <t>0000006109:国産 果実系リキュール</t>
  </si>
  <si>
    <t>0000006110:国産 ナッツ・種子系リキュール</t>
  </si>
  <si>
    <t>0000006111:国産 その他リキュール</t>
  </si>
  <si>
    <t>0000006901:スピリキ ギフト・セット</t>
  </si>
  <si>
    <t>0000006400:微アルコールスピリキテイスト飲料</t>
  </si>
  <si>
    <t>0000006401:スピリキテイスト飲料</t>
  </si>
  <si>
    <t>0000006999:スピリキ その他</t>
  </si>
  <si>
    <t>0000800006:【空容器】スピリキ その他</t>
  </si>
  <si>
    <t>0000007001:白酒</t>
  </si>
  <si>
    <t>0000007002:黄酒(紹興酒）</t>
  </si>
  <si>
    <t>0000007003:中華リキュール</t>
  </si>
  <si>
    <t>0000007090:中華 その他</t>
  </si>
  <si>
    <t>0000007700:微アルコール中華酒テイスト飲料</t>
  </si>
  <si>
    <t>0000007701:中華酒テイスト飲料</t>
  </si>
  <si>
    <t>0000007800:微アルコール雑酒テイスト飲料</t>
  </si>
  <si>
    <t>0000007801:雑酒テイスト飲料</t>
  </si>
  <si>
    <t>0000007901:マッコリ</t>
  </si>
  <si>
    <t>0000007999:雑酒 その他</t>
  </si>
  <si>
    <t>0000800007:【空容器】雑酒 その他</t>
  </si>
  <si>
    <t>0000006203:レモン（RTD）</t>
  </si>
  <si>
    <t>0000006204:グレープフルーツ（RTD）</t>
  </si>
  <si>
    <t>0000006205:その他チューハイ・カクテル･RTD</t>
  </si>
  <si>
    <t>0000006206:ウイスキーハイボール・水割り（RTD）</t>
  </si>
  <si>
    <t>0000006207:ウーロン茶割・緑茶割（RTD）</t>
  </si>
  <si>
    <t>0000006701:チューハイ・ＲＴＤ ギフト・セット</t>
  </si>
  <si>
    <t>0000006800:微アルコールチューハイテイスト飲料</t>
  </si>
  <si>
    <t>0000006801:チューハイテイスト飲料</t>
  </si>
  <si>
    <t>0000008100:原料用アルコール</t>
  </si>
  <si>
    <t>0000001001:純米大吟醸</t>
  </si>
  <si>
    <t>0000001002:純米吟醸</t>
  </si>
  <si>
    <t>0000001003:純米</t>
  </si>
  <si>
    <t>0000001101:大吟醸</t>
  </si>
  <si>
    <t>0000001102:吟醸</t>
  </si>
  <si>
    <t>0000001103:本醸造</t>
  </si>
  <si>
    <t>0000001201:普通経済酒 瓶</t>
  </si>
  <si>
    <t>0000001202:普通経済酒 パック</t>
  </si>
  <si>
    <t>0000001203:普通経済酒 テナー</t>
  </si>
  <si>
    <t>0000001905:清酒 ギフト・セット</t>
  </si>
  <si>
    <t>0000001908:微アルコール清酒テイスト飲料</t>
  </si>
  <si>
    <t>0000001909:清酒テイスト飲料</t>
  </si>
  <si>
    <t>0000001901:生酒・生貯蔵酒</t>
  </si>
  <si>
    <t>0000001902:発泡清酒</t>
  </si>
  <si>
    <t>0000001903:にごりおり</t>
  </si>
  <si>
    <t>0000001904:菰かぶり</t>
  </si>
  <si>
    <t>0000001906:合成酒</t>
  </si>
  <si>
    <t>0000001907:古酒</t>
  </si>
  <si>
    <t>0000001999:清酒 その他</t>
  </si>
  <si>
    <t>0000800001:【空容器】清酒 その他</t>
  </si>
  <si>
    <t>0000002001:甲類 20％ 瓶</t>
  </si>
  <si>
    <t>0000002002:甲類 20％ ペット</t>
  </si>
  <si>
    <t>0000002003:甲類 20％ パック</t>
  </si>
  <si>
    <t>0000002004:甲類 20％ テナー</t>
  </si>
  <si>
    <t>0000002101:甲類 25％ 瓶</t>
  </si>
  <si>
    <t>0000002102:甲類 25％ ペット</t>
  </si>
  <si>
    <t>0000002103:甲類 25％ パック</t>
  </si>
  <si>
    <t>0000002104:甲類 25％ テナー</t>
  </si>
  <si>
    <t>0000002201:甲類その他 瓶</t>
  </si>
  <si>
    <t>0000002202:甲類その他 ペット</t>
  </si>
  <si>
    <t>0000002203:甲類その他 パック</t>
  </si>
  <si>
    <t>0000002204:甲類その他 テナー</t>
  </si>
  <si>
    <t>0000002301:麦</t>
  </si>
  <si>
    <t>0000002302:そば</t>
  </si>
  <si>
    <t>0000002303:米</t>
  </si>
  <si>
    <t>0000002304:芋</t>
  </si>
  <si>
    <t>0000002305:胡麻</t>
  </si>
  <si>
    <t>0000002306:黒糖</t>
  </si>
  <si>
    <t>0000002307:泡盛</t>
  </si>
  <si>
    <t>0000002308:乙類 その他</t>
  </si>
  <si>
    <t>0000002401:甲乙混合 芋</t>
  </si>
  <si>
    <t>0000002402:甲乙混合 麦</t>
  </si>
  <si>
    <t>0000002499:甲乙混合 その他</t>
  </si>
  <si>
    <t>0000002901:焼酎 ギフト・セット</t>
  </si>
  <si>
    <t>0000002979:微アルコール焼酎テイスト飲料</t>
  </si>
  <si>
    <t>0000002980:焼酎テイスト飲料</t>
  </si>
  <si>
    <t>0000800002:【空容器】焼酎 その他</t>
  </si>
  <si>
    <t>0000003001:ビール 瓶</t>
  </si>
  <si>
    <t>0000003002:ビール 缶</t>
  </si>
  <si>
    <t>0000003003:ビール 樽</t>
  </si>
  <si>
    <t>0000003099:ビール その他</t>
  </si>
  <si>
    <t>0000003101:発泡酒 瓶</t>
  </si>
  <si>
    <t>0000003102:発泡酒 缶</t>
  </si>
  <si>
    <t>0000003103:発泡酒 樽</t>
  </si>
  <si>
    <t>0000003199:発泡酒 その他</t>
  </si>
  <si>
    <t>0000003201:新ジャンル</t>
  </si>
  <si>
    <t>0000003202:新ジャンル 樽詰</t>
  </si>
  <si>
    <t>0000003299:新ジャンル その他</t>
  </si>
  <si>
    <t>0000003301:海外ﾌﾞﾗﾝﾄﾞﾋﾞｰﾙ 瓶</t>
  </si>
  <si>
    <t>0000003302:海外ﾌﾞﾗﾝﾄﾞﾋﾞｰﾙ 缶</t>
  </si>
  <si>
    <t>0000003303:海外ﾌﾞﾗﾝﾄﾞﾋﾞｰﾙ 樽</t>
  </si>
  <si>
    <t>0000003901:ビール セット</t>
  </si>
  <si>
    <t>0000003903:ビール ギフト</t>
  </si>
  <si>
    <t>0000008900:微アルコールビールテイスト飲料</t>
  </si>
  <si>
    <t>0000008901:ビールテイスト飲料</t>
  </si>
  <si>
    <t>0000003902:ビール チルド</t>
  </si>
  <si>
    <t>0000003999:ビール その他</t>
  </si>
  <si>
    <t>0000800003:【空容器】ビール その他</t>
  </si>
  <si>
    <t>0000004001:指定 赤ワイン</t>
  </si>
  <si>
    <t>0000004002:指定 白ワイン</t>
  </si>
  <si>
    <t>0000004003:指定 ロゼワイン</t>
  </si>
  <si>
    <t>0000004004:指定 スパークリング</t>
  </si>
  <si>
    <t>0000004005:指定 その他</t>
  </si>
  <si>
    <t>0000004101:赤 フランス</t>
  </si>
  <si>
    <t>0000004102:赤 ドイツ</t>
  </si>
  <si>
    <t>0000004103:赤 イタリア</t>
  </si>
  <si>
    <t>0000004104:赤 スペイン</t>
  </si>
  <si>
    <t>0000004105:赤 ポルトガル</t>
  </si>
  <si>
    <t>0000004106:赤 ギリシャ</t>
  </si>
  <si>
    <t>0000004107:赤 ハンガリー</t>
  </si>
  <si>
    <t>0000004108:赤 オーストリア</t>
  </si>
  <si>
    <t>0000004110:赤 アメリカ</t>
  </si>
  <si>
    <t>0000004111:赤 チリ</t>
  </si>
  <si>
    <t>0000004112:赤 アルゼンチン</t>
  </si>
  <si>
    <t>0000004114:赤 南アフリカ</t>
  </si>
  <si>
    <t>0000004116:赤 オーストラリア</t>
  </si>
  <si>
    <t>0000004117:赤 ニュージーランド</t>
  </si>
  <si>
    <t>0000004120:赤 ブルガリア</t>
  </si>
  <si>
    <t>0000004121:赤 クロアチア</t>
  </si>
  <si>
    <t>0000004122:赤 ジョージア</t>
  </si>
  <si>
    <t>0000004123:赤 ルクセンブルグ</t>
  </si>
  <si>
    <t>0000004124:赤 モルドバ</t>
  </si>
  <si>
    <t>0000004125:赤 ルーマニア</t>
  </si>
  <si>
    <t>0000004126:赤 イギリス</t>
  </si>
  <si>
    <t>0000004127:赤 スロヴェニア</t>
  </si>
  <si>
    <t>0000004128:赤 スイス</t>
  </si>
  <si>
    <t>0000004129:赤 カナダ</t>
  </si>
  <si>
    <t>0000004130:赤 日本ワイン</t>
  </si>
  <si>
    <t>0000004131:赤 日本国内製造ワイン</t>
  </si>
  <si>
    <t>0000004199:赤 その他</t>
  </si>
  <si>
    <t>0000004201:白 フランス</t>
  </si>
  <si>
    <t>0000004202:白 ドイツ</t>
  </si>
  <si>
    <t>0000004203:白 イタリア</t>
  </si>
  <si>
    <t>0000004204:白 スペイン</t>
  </si>
  <si>
    <t>0000004205:白 ポルトガル</t>
  </si>
  <si>
    <t>0000004206:白 ギリシャ</t>
  </si>
  <si>
    <t>0000004207:白 ハンガリー</t>
  </si>
  <si>
    <t>0000004208:白 オーストリア</t>
  </si>
  <si>
    <t>0000004210:白 アメリカ</t>
  </si>
  <si>
    <t>0000004211:白 チリ</t>
  </si>
  <si>
    <t>0000004212:白 アルゼンチン</t>
  </si>
  <si>
    <t>0000004214:白 南アフリカ</t>
  </si>
  <si>
    <t>0000004216:白 オーストラリア</t>
  </si>
  <si>
    <t>0000004217:白 ニュージーランド</t>
  </si>
  <si>
    <t>0000004220:白 ブルガリア</t>
  </si>
  <si>
    <t>0000004221:白 クロアチア</t>
  </si>
  <si>
    <t>0000004222:白 ジョージア</t>
  </si>
  <si>
    <t>0000004223:白 ルクセンブルグ</t>
  </si>
  <si>
    <t>0000004224:白 モルドバ</t>
  </si>
  <si>
    <t>0000004225:白 ルーマニア</t>
  </si>
  <si>
    <t>0000004226:白 イギリス</t>
  </si>
  <si>
    <t>0000004227:白 スロヴェニア</t>
  </si>
  <si>
    <t>0000004228:白 スイス</t>
  </si>
  <si>
    <t>0000004229:白 カナダ</t>
  </si>
  <si>
    <t>0000004230:白 日本ワイン</t>
  </si>
  <si>
    <t>0000004231:白 日本国内製造ワイン</t>
  </si>
  <si>
    <t xml:space="preserve">0000004299:白 その他                               </t>
  </si>
  <si>
    <t>0000004301:ﾛｾﾞ フランス</t>
  </si>
  <si>
    <t>0000004302:ﾛｾﾞ ドイツ</t>
  </si>
  <si>
    <t>0000004303:ﾛｾﾞ イタリア</t>
  </si>
  <si>
    <t>0000004304:ﾛｾﾞ スペイン</t>
  </si>
  <si>
    <t>0000004305:ﾛｾﾞ ポルトガル</t>
  </si>
  <si>
    <t>0000004306:ﾛｾﾞ ギリシャ</t>
  </si>
  <si>
    <t>0000004307:ﾛｾﾞ ハンガリー</t>
  </si>
  <si>
    <t>0000004308:ﾛｾﾞ オーストリア</t>
  </si>
  <si>
    <t>0000004310:ﾛｾﾞ アメリカ</t>
  </si>
  <si>
    <t>0000004311:ﾛｾﾞ チリ</t>
  </si>
  <si>
    <t>0000004312:ﾛｾﾞ アルゼンチン</t>
  </si>
  <si>
    <t>0000004314:ﾛｾﾞ 南アフリカ</t>
  </si>
  <si>
    <t>0000004316:ﾛｾﾞ オーストラリア</t>
  </si>
  <si>
    <t>0000004317:ﾛｾﾞ ニュージーランド</t>
  </si>
  <si>
    <t>0000004320:ﾛｾﾞ ブルガリア</t>
  </si>
  <si>
    <t>0000004321:ﾛｾﾞ クロアチア</t>
  </si>
  <si>
    <t>0000004322:ﾛｾﾞ ジョージア</t>
  </si>
  <si>
    <t>0000004323:ﾛｾﾞ ルクセンブルグ</t>
  </si>
  <si>
    <t>0000004324:ﾛｾﾞ モルドバ</t>
  </si>
  <si>
    <t>0000004325:ﾛｾﾞ ルーマニア</t>
  </si>
  <si>
    <t>0000004326:ﾛｾﾞ イギリス</t>
  </si>
  <si>
    <t>0000004327:ﾛｾﾞ スロヴェニア</t>
  </si>
  <si>
    <t>0000004328:ﾛｾﾞ スイス</t>
  </si>
  <si>
    <t>0000004329:ﾛｾﾞ カナダ</t>
  </si>
  <si>
    <t>0000004330:ﾛｾﾞ 日本ワイン</t>
  </si>
  <si>
    <t>0000004331:ﾛｾﾞ 日本国内製造ワイン</t>
  </si>
  <si>
    <t>0000004399:ﾛｾﾞ その他</t>
  </si>
  <si>
    <t>0000004401:シェリー</t>
  </si>
  <si>
    <t>0000004402:ポートワイン</t>
  </si>
  <si>
    <t>0000004403:マデラ</t>
  </si>
  <si>
    <t>0000004404:マルサラ</t>
  </si>
  <si>
    <t>0000004405:VDN・VDL</t>
  </si>
  <si>
    <t>0000004499:酒精強化ﾜｲﾝ その他</t>
  </si>
  <si>
    <t>0000004501:ヴェルモット</t>
  </si>
  <si>
    <t>0000004502:輸入ﾌﾚｰﾊﾞｰﾄﾞﾜｲﾝ</t>
  </si>
  <si>
    <t>0000004503:国産ﾌﾚｰﾊﾞｰﾄﾞﾜｲﾝ</t>
  </si>
  <si>
    <t>0000004504:輸入ﾌﾚｰﾊﾞｰﾄﾞｽﾊﾟｰｸﾘﾝｸﾞﾜｲﾝ</t>
  </si>
  <si>
    <t>0000004505:国産ﾌﾚｰﾊﾞｰﾄﾞｽﾊﾟｰｸﾘﾝｸﾞﾜｲﾝ</t>
  </si>
  <si>
    <t>0000004599:ﾌﾚｰﾊﾞｰﾄﾞﾜｲﾝ その他</t>
  </si>
  <si>
    <t>0000004608:SP フランス シャンパン</t>
  </si>
  <si>
    <t>0000004609:SP フランス クレマン</t>
  </si>
  <si>
    <t>0000004610:SP フランス ヴァンムスー</t>
  </si>
  <si>
    <t>0000004611:SP フランス ペティヤン</t>
  </si>
  <si>
    <t>0000004612:SP フランス その他</t>
  </si>
  <si>
    <t>0000004613:SP イタリア フランチャコルタ</t>
  </si>
  <si>
    <t>0000004614:SP イタリア スプマンテ</t>
  </si>
  <si>
    <t>0000004615:SP イタリア ランブルスコ</t>
  </si>
  <si>
    <t>0000004616:SP イタリア その他</t>
  </si>
  <si>
    <t>0000004617:SP ドイツ</t>
  </si>
  <si>
    <t>0000004618:SP スペイン カヴァ</t>
  </si>
  <si>
    <t>0000004619:SP スペイン その他</t>
  </si>
  <si>
    <t>0000004620:SP アメリカ</t>
  </si>
  <si>
    <t>0000004621:SP チリ</t>
  </si>
  <si>
    <t>0000004622:SP アルゼンチン</t>
  </si>
  <si>
    <t>0000004623:SP ニュージーランド</t>
  </si>
  <si>
    <t>0000004624:SP オーストラリア</t>
  </si>
  <si>
    <t>0000004625:SP 日本ワイン</t>
  </si>
  <si>
    <t>0000004626:SP 日本国内製造ワイン</t>
  </si>
  <si>
    <t>0000004627:SP その他</t>
  </si>
  <si>
    <t>0000004701:ワイン ギフト･セット 赤</t>
  </si>
  <si>
    <t>0000004702:ワイン ギフト･セット 白</t>
  </si>
  <si>
    <t>0000004703:ワイン ギフト･セット スパークリング</t>
  </si>
  <si>
    <t>0000004704:ワイン ギフト･セット その他</t>
  </si>
  <si>
    <t>0000004899:甘味果実酒 その他</t>
  </si>
  <si>
    <t>0000004902:ワイン その他</t>
  </si>
  <si>
    <t>0000005701:シードル フランス</t>
  </si>
  <si>
    <t>0000005702:シードル 国産</t>
  </si>
  <si>
    <t>0000005703:シードル その他</t>
  </si>
  <si>
    <t>0000005800:微アルコールワインテイスト飲料</t>
  </si>
  <si>
    <t>0000005801:ワインテイスト飲料 赤</t>
  </si>
  <si>
    <t>0000005802:ワインテイスト飲料 白</t>
  </si>
  <si>
    <t>0000005803:ワインテイスト飲料 ロゼ</t>
  </si>
  <si>
    <t>0000005804:ワインテイスト飲料 スパークリング</t>
  </si>
  <si>
    <t>0000005805:ワインテイスト飲料 その他</t>
  </si>
  <si>
    <t>0000006501:ＯＷ フランス</t>
  </si>
  <si>
    <t>0000006502:ＯＷ ドイツ</t>
  </si>
  <si>
    <t>0000006503:ＯＷ イタリア</t>
  </si>
  <si>
    <t>0000006504:ＯＷ スペイン</t>
  </si>
  <si>
    <t>0000006505:ＯＷ ポルトガル</t>
  </si>
  <si>
    <t>0000006506:ＯＷ ギリシャ</t>
  </si>
  <si>
    <t>0000006507:ＯＷ ハンガリー</t>
  </si>
  <si>
    <t>0000006508:ＯＷ オーストリア</t>
  </si>
  <si>
    <t>0000006510:ＯＷ アメリカ</t>
  </si>
  <si>
    <t>0000006511:ＯＷ チリ</t>
  </si>
  <si>
    <t>0000006512:ＯＷ アルゼンチン</t>
  </si>
  <si>
    <t>0000006514:ＯＷ 南アフリカ</t>
  </si>
  <si>
    <t>0000006516:ＯＷ オーストラリア</t>
  </si>
  <si>
    <t>0000006517:ＯＷ ニュージーランド</t>
  </si>
  <si>
    <t>0000006520:ＯＷ ブルガリア</t>
  </si>
  <si>
    <t>0000006521:ＯＷ クロアチア</t>
  </si>
  <si>
    <t>0000006522:ＯＷ ジョージア</t>
  </si>
  <si>
    <t>0000006523:ＯＷ ルクセンブルグ</t>
  </si>
  <si>
    <t>0000006524:ＯＷ モルドバ</t>
  </si>
  <si>
    <t>0000006525:ＯＷ ルーマニア</t>
  </si>
  <si>
    <t>0000006526:ＯＷ イギリス</t>
  </si>
  <si>
    <t>0000006527:ＯＷ スロヴェニア</t>
  </si>
  <si>
    <t>0000006528:ＯＷ スイス</t>
  </si>
  <si>
    <t>0000006529:ＯＷ カナダ</t>
  </si>
  <si>
    <t>0000006530:ＯＷ 日本ワイン</t>
  </si>
  <si>
    <t>0000006531:ＯＷ 日本国内製造ワイン</t>
  </si>
  <si>
    <t>0000006599:ＯＷ その他</t>
  </si>
  <si>
    <t>0000800004:【空容器】ワイン その他</t>
  </si>
  <si>
    <t>0000005001:日本 ブレンデッド</t>
  </si>
  <si>
    <t>0000005002:日本 シングルモルト</t>
  </si>
  <si>
    <t>0000005003:日本 グレーン</t>
  </si>
  <si>
    <t>0000005101:ブレンデッドスコッチ</t>
  </si>
  <si>
    <t>0000005102:モルトスコッチ</t>
  </si>
  <si>
    <t>0000005103:アイリッシュウイスキー</t>
  </si>
  <si>
    <t>0000005104:バーボンウイスキー</t>
  </si>
  <si>
    <t>0000005105:カナディアンウイスキー</t>
  </si>
  <si>
    <t>0000005106:インドウイスキー</t>
  </si>
  <si>
    <t>0000005107:台湾ウイスキー</t>
  </si>
  <si>
    <t>0000005198:輸入グレーン</t>
  </si>
  <si>
    <t>0000005199:輸入ウイスキー その他</t>
  </si>
  <si>
    <t>0000005201:国産ブランデー</t>
  </si>
  <si>
    <t>0000005301:コニャックブランデー</t>
  </si>
  <si>
    <t>0000005302:アルマニャックブランデー</t>
  </si>
  <si>
    <t>0000005303:マール・グラッパ</t>
  </si>
  <si>
    <t>0000005304:カルバドス</t>
  </si>
  <si>
    <t>0000005305:フルーツブランデー</t>
  </si>
  <si>
    <t>0000005399:輸入ﾌﾞﾗﾝﾃﾞｰ その他</t>
  </si>
  <si>
    <t>0000005901:ウイブラ ギフト・セット</t>
  </si>
  <si>
    <t>0000005501:日本国内製造ブレンデッド</t>
  </si>
  <si>
    <t>0000005502:日本国内製造シングルモルト</t>
  </si>
  <si>
    <t>0000005503:日本国内製造グレーン</t>
  </si>
  <si>
    <t>0000005600:微アルコールウイスキーテイスト飲料</t>
  </si>
  <si>
    <t>0000005601:ウイスキーテイスト飲料</t>
  </si>
  <si>
    <t>0000800005:【空容器】輸入ブランデー</t>
  </si>
  <si>
    <t>0000006001:ジン</t>
  </si>
  <si>
    <t>0000006002:ウォッカ</t>
  </si>
  <si>
    <t>0000006003:ラム</t>
  </si>
  <si>
    <t>0000008001:コーヒー類</t>
  </si>
  <si>
    <t>0000008101:非発泡性ミネラル</t>
  </si>
  <si>
    <t>0000008102:発泡性ミネラル・ソーダ</t>
  </si>
  <si>
    <t>0000008201:緑茶</t>
  </si>
  <si>
    <t>0000008202:紅茶</t>
  </si>
  <si>
    <t>0000008203:烏龍茶</t>
  </si>
  <si>
    <t>0000008299:茶類 その他</t>
  </si>
  <si>
    <t>0000008301:果汁・野菜飲料</t>
  </si>
  <si>
    <t>0000008302:低果汁飲料</t>
  </si>
  <si>
    <t>0000008399:果汁野菜飲料 その他</t>
  </si>
  <si>
    <t>0000008401:炭酸飲料</t>
  </si>
  <si>
    <t>0000008499:炭酸飲料 その他</t>
  </si>
  <si>
    <t>0000008501:スポーツ飲料(機能性飲料）</t>
  </si>
  <si>
    <t>0000008502:栄養ドリンク(一般)</t>
  </si>
  <si>
    <t>0000008503:栄養ドリンク(指定医薬部外品)</t>
  </si>
  <si>
    <t>0000008599:機能性飲料 その他</t>
  </si>
  <si>
    <t>0000008601:乳製飲料、豆乳類</t>
  </si>
  <si>
    <t>0000008602:牛乳、乳飲料（届出制）</t>
  </si>
  <si>
    <t>0000008699:乳製その他</t>
  </si>
  <si>
    <t>0000008701:サワー</t>
  </si>
  <si>
    <t>0000008702:コンク類</t>
  </si>
  <si>
    <t>0000008799:割材コンク その他</t>
  </si>
  <si>
    <t>0000008902:飲料 ギフト・セット</t>
  </si>
  <si>
    <t>0000008999:飲料 その他</t>
  </si>
  <si>
    <t>0000800008:【空容器】飲料 その他</t>
  </si>
  <si>
    <t>0000009001:味噌</t>
  </si>
  <si>
    <t>0000009002:醤油</t>
  </si>
  <si>
    <t>0000009003:酢類</t>
  </si>
  <si>
    <t>0000009004:塩類</t>
  </si>
  <si>
    <t>0000009005:砂糖・甘味料</t>
  </si>
  <si>
    <t>0000009006:油類</t>
  </si>
  <si>
    <t>0000009007:みりん</t>
  </si>
  <si>
    <t>0000009008:みりん風調味料･発酵調味料</t>
  </si>
  <si>
    <t>0000009009:ソース・ケチャップ</t>
  </si>
  <si>
    <t>0000009010:マヨネーズ･ドレッシング</t>
  </si>
  <si>
    <t>0000009011:香辛料・香料</t>
  </si>
  <si>
    <t>0000009012:調味料関連 その他</t>
  </si>
  <si>
    <t>0000009013:つゆ</t>
  </si>
  <si>
    <t>0000009014:たれ</t>
  </si>
  <si>
    <t>0000009015:だし</t>
  </si>
  <si>
    <t>0000009016:パスタソース</t>
  </si>
  <si>
    <t>0000009017:クッキングソース</t>
  </si>
  <si>
    <t>0000009018:カレー・シチュー・ハヤシ</t>
  </si>
  <si>
    <t>0000009019:調味料 ギフト･セット</t>
  </si>
  <si>
    <t>0000009211:チルドバター</t>
  </si>
  <si>
    <t>0000009212:チルドマーガリン・ショートニング</t>
  </si>
  <si>
    <t>0000009213:チルドプロセスチーズ</t>
  </si>
  <si>
    <t>0000009214:チルドナチュラルチーズ</t>
  </si>
  <si>
    <t>0000009217:チルドヨーグルト（届出制）</t>
  </si>
  <si>
    <t>0000009218:チルド生クリーム</t>
  </si>
  <si>
    <t>0000009229:チルドその他乳製品</t>
  </si>
  <si>
    <t>0000009231:チルド鮮魚</t>
  </si>
  <si>
    <t>0000009232:チルド水産加工品</t>
  </si>
  <si>
    <t>0000009233:チルド精肉</t>
  </si>
  <si>
    <t>0000009234:チルド畜産加工品</t>
  </si>
  <si>
    <t>0000009235:チルド野菜</t>
  </si>
  <si>
    <t>0000009236:チルド果物</t>
  </si>
  <si>
    <t>0000009237:チルド野菜加工品</t>
  </si>
  <si>
    <t>0000009241:チルドたまご製品</t>
  </si>
  <si>
    <t>0000009251:チルド豆腐</t>
  </si>
  <si>
    <t>0000009252:チルド蒟蒻</t>
  </si>
  <si>
    <t>0000009254:チルド納豆</t>
  </si>
  <si>
    <t>0000009255:チルド練製品</t>
  </si>
  <si>
    <t>0000009256:チルド漬物</t>
  </si>
  <si>
    <t>0000009257:チルド佃煮・煮豆</t>
  </si>
  <si>
    <t>0000009258:チルド麺類</t>
  </si>
  <si>
    <t>0000009259:チルドデザート</t>
  </si>
  <si>
    <t>0000009260:弁当・おにぎり</t>
  </si>
  <si>
    <t>0000009261:チルド調理パン</t>
  </si>
  <si>
    <t>0000009262:チルド惣菜</t>
  </si>
  <si>
    <t>0000009299:チルド食品 その他</t>
  </si>
  <si>
    <t>0000009300:チルド ギフト・セット</t>
  </si>
  <si>
    <t>0000009302:アイスクリーム・氷菓</t>
  </si>
  <si>
    <t>0000009311:冷凍水産原料</t>
  </si>
  <si>
    <t>0000009312:冷凍畜産原料</t>
  </si>
  <si>
    <t>0000009313:冷凍農産原料</t>
  </si>
  <si>
    <t>0000009314:冷凍米飯</t>
  </si>
  <si>
    <t>0000009315:冷凍スナック</t>
  </si>
  <si>
    <t>0000009316:冷凍麺類</t>
  </si>
  <si>
    <t>0000009317:冷凍惣菜・調理加工品</t>
  </si>
  <si>
    <t>0000009318:冷凍調味料類</t>
  </si>
  <si>
    <t>0000009319:冷凍製菓</t>
  </si>
  <si>
    <t>0000009320:冷凍水産加工品</t>
  </si>
  <si>
    <t>0000009321:冷凍畜産加工品</t>
  </si>
  <si>
    <t>0000009322:冷凍農産加工品</t>
  </si>
  <si>
    <t>0000009323:冷凍製パン</t>
  </si>
  <si>
    <t>0000009324:冷凍チーズ・乳製品</t>
  </si>
  <si>
    <t>0000009329:冷凍 ギフト・セット</t>
  </si>
  <si>
    <t>0000009399:冷凍食品 その他</t>
  </si>
  <si>
    <t>0000009106:うるち米</t>
  </si>
  <si>
    <t>0000009800:もち米</t>
  </si>
  <si>
    <t>0000009801:玄米</t>
  </si>
  <si>
    <t>0000009802:麦類</t>
  </si>
  <si>
    <t>0000009803:炊飯用穀類</t>
  </si>
  <si>
    <t>0000009804:その他穀類</t>
  </si>
  <si>
    <t>0000009805:もち類</t>
  </si>
  <si>
    <t>0000009806:即席米飯</t>
  </si>
  <si>
    <t>0000009807:穀物 ギフト・セット</t>
  </si>
  <si>
    <t>0000009303:氷</t>
  </si>
  <si>
    <t>0000800009:【空容器】調味料・食品 ギフト・セット</t>
  </si>
  <si>
    <t>0000008303:スナック菓子</t>
  </si>
  <si>
    <t>0000008304:米菓</t>
  </si>
  <si>
    <t>0000008305:和洋菓子</t>
  </si>
  <si>
    <t>0000008306:チョコレート</t>
  </si>
  <si>
    <t>0000008307:キャンディー</t>
  </si>
  <si>
    <t>0000008308:ガム</t>
  </si>
  <si>
    <t>0000008309:シリアル</t>
  </si>
  <si>
    <t>0000008310:その他菓子</t>
  </si>
  <si>
    <t>0000008311:菓子 ギフト・セット</t>
  </si>
  <si>
    <t>0000008314:ナッツ</t>
  </si>
  <si>
    <t>0000008315:水産珍味</t>
  </si>
  <si>
    <t>0000008316:畜産珍味</t>
  </si>
  <si>
    <t>0000008317:ドライフルーツ</t>
  </si>
  <si>
    <t>0000008318:その他珍味</t>
  </si>
  <si>
    <t>0000008319:珍味 ギフト・セット</t>
  </si>
  <si>
    <t>0000008320:漬物・梅干し</t>
  </si>
  <si>
    <t>0000008321:フルーツ・デザート 瓶・缶詰</t>
  </si>
  <si>
    <t>0000008322:フルーツ・デザート パック</t>
  </si>
  <si>
    <t>0000008323:畜産 瓶・缶詰</t>
  </si>
  <si>
    <t>0000008324:畜産 パック</t>
  </si>
  <si>
    <t>0000008325:農産 瓶・缶詰</t>
  </si>
  <si>
    <t>0000008326:農産 パック</t>
  </si>
  <si>
    <t>0000008327:水産 瓶・缶詰</t>
  </si>
  <si>
    <t>0000008328:水産 パック</t>
  </si>
  <si>
    <t>0000008329:調理 瓶・缶詰</t>
  </si>
  <si>
    <t>0000008330:調理 パック</t>
  </si>
  <si>
    <t>0000008331:その他 瓶・缶詰・パック</t>
  </si>
  <si>
    <t>0000008340:みそ汁・スープ</t>
  </si>
  <si>
    <t>0000008341:カップ麺</t>
  </si>
  <si>
    <t>0000008342:袋麺</t>
  </si>
  <si>
    <t>0000008343:乾麺</t>
  </si>
  <si>
    <t>0000008344:乾パスタ</t>
  </si>
  <si>
    <t>0000008345:レトルトカレー類</t>
  </si>
  <si>
    <t>0000008346:その他即席食品</t>
  </si>
  <si>
    <t>0000008350:乳製品類</t>
  </si>
  <si>
    <t>0000008351:加工食品</t>
  </si>
  <si>
    <t>0000008352:加工食品 その他</t>
  </si>
  <si>
    <t>0000008360:ふりかけ・お茶漬け</t>
  </si>
  <si>
    <t>0000008361:のり</t>
  </si>
  <si>
    <t>0000008362:削り節・煮干し</t>
  </si>
  <si>
    <t>0000008363:水産乾物</t>
  </si>
  <si>
    <t>0000008364:農産乾物</t>
  </si>
  <si>
    <t>0000008365:その他乾物</t>
  </si>
  <si>
    <t>0000008370:粉</t>
  </si>
  <si>
    <t>0000008380:パン</t>
  </si>
  <si>
    <t>0000008390:ジャム・スプレッド</t>
  </si>
  <si>
    <t>0000008402:シロップ</t>
  </si>
  <si>
    <t>0000008403:その他 ホームメイキング材料</t>
  </si>
  <si>
    <t>0000008410:コーヒー豆・粉類</t>
  </si>
  <si>
    <t>0000008411:紅茶 茶葉・粉末類</t>
  </si>
  <si>
    <t xml:space="preserve">0000008412:緑茶 茶葉・粉末類                       </t>
  </si>
  <si>
    <t>0000008413:その他茶 茶葉・粉末類</t>
  </si>
  <si>
    <t>0000008414:粉末ドリンク</t>
  </si>
  <si>
    <t>0000008420:鶏卵</t>
  </si>
  <si>
    <t>0000008430:粉ミルク</t>
  </si>
  <si>
    <t>0000008431:ベビーフード</t>
  </si>
  <si>
    <t>0000008432:その他ベビーフード</t>
  </si>
  <si>
    <t>0000008440:栄養補給錠剤</t>
  </si>
  <si>
    <t>0000008441:栄養補給菓子</t>
  </si>
  <si>
    <t>0000008442:栄養補給類（医薬部外品）</t>
  </si>
  <si>
    <t>0000008443:その他栄養補給食品</t>
  </si>
  <si>
    <t>0000008444:ダイエット食品</t>
  </si>
  <si>
    <t>0000008445:ダイエット食品（錠剤）</t>
  </si>
  <si>
    <t>0000008450:介護・病時食</t>
  </si>
  <si>
    <t>0000008451:その他介護・病時食</t>
  </si>
  <si>
    <t>0000008460:その他食品</t>
  </si>
  <si>
    <t>0000008461:ドライ食品_ギフト・セット</t>
  </si>
  <si>
    <t>0000800090:【空容器】その他</t>
  </si>
  <si>
    <t>0000090007:ガス・容器・保証金</t>
  </si>
  <si>
    <t>0000090101:花類</t>
  </si>
  <si>
    <t>0000090903:ＰＯＳ商品券</t>
  </si>
  <si>
    <t>0000090801:葉巻たばこ（免許制）</t>
  </si>
  <si>
    <t>0000090802:パイプたばこ（免許制）</t>
  </si>
  <si>
    <t>0000090803:刻みたばこ（免許制）</t>
  </si>
  <si>
    <t>0000090804:加熱式たばこ（免許制）</t>
  </si>
  <si>
    <t>0000090904:紙巻たばこ（免許制）</t>
  </si>
  <si>
    <t>0000090911:ﾉﾝﾆｺ・ﾀｰﾙたばこ（免許制）</t>
  </si>
  <si>
    <t>0000090912:電子たばこ本体（免許制）</t>
  </si>
  <si>
    <t>0000090901:ＰＯＳ空容器</t>
  </si>
  <si>
    <t>0000090902:ＰＯＳ内税用</t>
  </si>
  <si>
    <t>0000090905:預かり(ｸﾞﾛｰﾊﾞﾙﾜｲﾝ等)</t>
  </si>
  <si>
    <t>0000090906:請求名称</t>
  </si>
  <si>
    <t>0000090907:名入れサービス</t>
  </si>
  <si>
    <t>0000090910:廃油回収サービス</t>
  </si>
  <si>
    <t>0000090916:消火器</t>
  </si>
  <si>
    <t>0000090999:その他・ＩＮＶ.</t>
  </si>
  <si>
    <t>0000091000:ドライフード（犬）</t>
  </si>
  <si>
    <t>0000091001:ウェットフード（犬）</t>
  </si>
  <si>
    <t>0000091002:スナック（犬）</t>
  </si>
  <si>
    <t>0000091003:トイレタリー（犬）</t>
  </si>
  <si>
    <t>0000091004:デリ＆スイーツ（犬）</t>
  </si>
  <si>
    <t>0000091019:その他（犬）</t>
  </si>
  <si>
    <t>0000091020:ドライフード（猫）</t>
  </si>
  <si>
    <t>0000091021:ウェットフード（猫）</t>
  </si>
  <si>
    <t>0000091022:スナック（猫）</t>
  </si>
  <si>
    <t>0000091023:トイレタリー（猫）</t>
  </si>
  <si>
    <t>0000091024:デリ＆スイーツ（猫）</t>
  </si>
  <si>
    <t>0000091039:その他（猫）</t>
  </si>
  <si>
    <t>0000091040:その他（犬・猫）</t>
  </si>
  <si>
    <t>0000009203:グラス・ジョッキ</t>
  </si>
  <si>
    <t>0000009204:酒器</t>
  </si>
  <si>
    <t>0000009210:カートン・包装紙</t>
  </si>
  <si>
    <t>0000009220:電化製品・什器</t>
  </si>
  <si>
    <t>0000092300:飲食店用資材全般_その他</t>
  </si>
  <si>
    <t>0000092400:レジ袋・ビニール袋</t>
  </si>
  <si>
    <t>0000092500:調理器具・金物（通過販売）</t>
  </si>
  <si>
    <t>0000009290:資材 その他</t>
  </si>
  <si>
    <t>0000009291:資材 ギフト･セット</t>
  </si>
  <si>
    <t>0000009292:販促物・景品</t>
  </si>
  <si>
    <t>0000009293:ガス・容器・保証金</t>
  </si>
  <si>
    <t>0000009304:洗髪剤</t>
  </si>
  <si>
    <t>0000009305:せっけん</t>
  </si>
  <si>
    <t>0000009306:入浴剤</t>
  </si>
  <si>
    <t>0000009307:その他バスボディケア用品</t>
  </si>
  <si>
    <t>0000009325:歯磨き粉</t>
  </si>
  <si>
    <t>0000009326:歯ブラシ類</t>
  </si>
  <si>
    <t>0000009327:口中清涼剤</t>
  </si>
  <si>
    <t>0000009328:その他オーラルケア</t>
  </si>
  <si>
    <t>0000009330:生理用品</t>
  </si>
  <si>
    <t>0000009331:避妊用品</t>
  </si>
  <si>
    <t>0000009332:日用紙製品</t>
  </si>
  <si>
    <t>0000009333:紙おむつ類</t>
  </si>
  <si>
    <t>0000009334:介護・衛生用品</t>
  </si>
  <si>
    <t>0000009335:その他衛生用品</t>
  </si>
  <si>
    <t>0000009336:洗濯用洗剤類</t>
  </si>
  <si>
    <t>0000009337:台所食器洗剤</t>
  </si>
  <si>
    <t>0000009338:住居洗剤（クリーナー）</t>
  </si>
  <si>
    <t>0000009339:その他洗剤</t>
  </si>
  <si>
    <t>0000009340:消臭・芳香・除菌剤</t>
  </si>
  <si>
    <t>0000009341:除湿剤</t>
  </si>
  <si>
    <t>0000009342:防虫剤</t>
  </si>
  <si>
    <t>0000009343:殺虫剤・殺鼠剤</t>
  </si>
  <si>
    <t>0000009350:女性化粧品</t>
  </si>
  <si>
    <t>0000009351:男性化粧品</t>
  </si>
  <si>
    <t>0000009352:女性頭髪化粧品</t>
  </si>
  <si>
    <t>0000009353:男性頭髪化粧品</t>
  </si>
  <si>
    <t>0000009354:フレグランス</t>
  </si>
  <si>
    <t>0000009360:装粧品</t>
  </si>
  <si>
    <t>0000009361:エチケット用品</t>
  </si>
  <si>
    <t>0000009362:かみそり</t>
  </si>
  <si>
    <t>0000009370:救急用品</t>
  </si>
  <si>
    <t>0000009371:その他家庭医療関連品</t>
  </si>
  <si>
    <t>0000009380:清掃手入れ用品</t>
  </si>
  <si>
    <t>0000009381:喫煙関連用品</t>
  </si>
  <si>
    <t>0000009382:その他雑貨</t>
  </si>
  <si>
    <t>0000009383:電池</t>
  </si>
  <si>
    <t>0000009390:調理・キッチン用品</t>
  </si>
  <si>
    <t>0000009391:洗浄・ゴミ用品</t>
  </si>
  <si>
    <t>0000009392:使い切り食器類</t>
  </si>
  <si>
    <t>0000009400:文具紙製品</t>
  </si>
  <si>
    <t>0000009401:日用文具</t>
  </si>
  <si>
    <t>0000009402:筆記用具</t>
  </si>
  <si>
    <t>0000009403:ＯＡサプライ</t>
  </si>
  <si>
    <t>0000009404:その他文具</t>
  </si>
  <si>
    <t>0000009450:その他消耗品</t>
  </si>
  <si>
    <t>0000009451:消耗品 ギフト・セット</t>
  </si>
  <si>
    <t>0000009460:洗面・浴室用品</t>
  </si>
  <si>
    <t>0000009461:洗濯・物干し用品</t>
  </si>
  <si>
    <t>0000009462:その他</t>
  </si>
  <si>
    <t>0000009470:レジャー食事用品</t>
  </si>
  <si>
    <t>0000009471:ベビー食事用品</t>
  </si>
  <si>
    <t>0000009472:その他食事用品</t>
  </si>
  <si>
    <t>0000009473:耐久品 ギフト・セット</t>
  </si>
  <si>
    <t>20301ｶﾘﾌｫﾙﾆｱ州ﾅﾊﾟ</t>
  </si>
  <si>
    <t>20302ｶﾘﾌｫﾙﾆｱ州ｿﾉﾏ</t>
  </si>
  <si>
    <t>20303ｶﾘﾌｫﾙﾆｱ州その他</t>
  </si>
  <si>
    <t>20304オレゴン州</t>
  </si>
  <si>
    <t>20305ワシントン州</t>
  </si>
  <si>
    <t>20306ニューヨーク州</t>
  </si>
  <si>
    <t>20307アメリカ その他</t>
  </si>
  <si>
    <t>自然派ワイン①</t>
    <rPh sb="0" eb="2">
      <t>シゼンハ</t>
    </rPh>
    <phoneticPr fontId="5"/>
  </si>
  <si>
    <t>自然派ワイン②</t>
    <rPh sb="0" eb="2">
      <t>シゼンハ</t>
    </rPh>
    <phoneticPr fontId="5"/>
  </si>
  <si>
    <t>ロボテスト1</t>
    <phoneticPr fontId="3"/>
  </si>
  <si>
    <t>ﾛﾎﾞﾃｽﾄ1</t>
    <phoneticPr fontId="3"/>
  </si>
  <si>
    <t>スクリュー/ラベルレス</t>
    <phoneticPr fontId="5"/>
  </si>
  <si>
    <t>0000099999:クーポン</t>
    <phoneticPr fontId="3"/>
  </si>
  <si>
    <t>0000099999:クーポン</t>
  </si>
  <si>
    <t>2カクヤスPB</t>
    <phoneticPr fontId="3"/>
  </si>
  <si>
    <t>3カクヤス専売</t>
    <rPh sb="5" eb="7">
      <t>センバイ</t>
    </rPh>
    <phoneticPr fontId="3"/>
  </si>
  <si>
    <t>7卸PB</t>
  </si>
  <si>
    <t>8飲食店PB</t>
  </si>
  <si>
    <t>9飲食店専用</t>
  </si>
  <si>
    <t>リベート有（チェック→</t>
    <rPh sb="4" eb="5">
      <t>アリ</t>
    </rPh>
    <phoneticPr fontId="3"/>
  </si>
  <si>
    <t>リベート無（チェック→</t>
    <rPh sb="4" eb="5">
      <t>ナシ</t>
    </rPh>
    <phoneticPr fontId="3"/>
  </si>
  <si>
    <t>①リベート申請確認</t>
    <rPh sb="5" eb="7">
      <t>シンセイ</t>
    </rPh>
    <rPh sb="7" eb="9">
      <t>カクニン</t>
    </rPh>
    <phoneticPr fontId="3"/>
  </si>
  <si>
    <t>発泡酒は麦芽比率を記入、「1：50％以上」、「2：25％～50％」、「3：25％未満」、発泡清酒は「4：発泡清酒」</t>
    <rPh sb="0" eb="3">
      <t>ハッポウシュ</t>
    </rPh>
    <rPh sb="4" eb="8">
      <t>バクガヒリツ</t>
    </rPh>
    <rPh sb="9" eb="11">
      <t>キニュウ</t>
    </rPh>
    <rPh sb="18" eb="20">
      <t>イジョウ</t>
    </rPh>
    <rPh sb="40" eb="42">
      <t>ミマン</t>
    </rPh>
    <rPh sb="44" eb="46">
      <t>ハッポウ</t>
    </rPh>
    <rPh sb="46" eb="48">
      <t>セイシュ</t>
    </rPh>
    <rPh sb="52" eb="54">
      <t>ハッポウ</t>
    </rPh>
    <rPh sb="54" eb="56">
      <t>セイシュ</t>
    </rPh>
    <phoneticPr fontId="3"/>
  </si>
  <si>
    <t>④麦芽比率→CN列</t>
    <rPh sb="1" eb="3">
      <t>バクガ</t>
    </rPh>
    <rPh sb="3" eb="5">
      <t>ヒリツ</t>
    </rPh>
    <rPh sb="8" eb="9">
      <t>レツ</t>
    </rPh>
    <phoneticPr fontId="3"/>
  </si>
  <si>
    <t>⑤依頼者/依頼先（営業コード/得意先コード）→CT列</t>
    <rPh sb="1" eb="4">
      <t>イライシャ</t>
    </rPh>
    <rPh sb="5" eb="8">
      <t>イライサキ</t>
    </rPh>
    <rPh sb="9" eb="11">
      <t>エイギョウ</t>
    </rPh>
    <rPh sb="15" eb="18">
      <t>トクイサキ</t>
    </rPh>
    <rPh sb="25" eb="26">
      <t>レツ</t>
    </rPh>
    <phoneticPr fontId="3"/>
  </si>
  <si>
    <t>③パッケージ構成品確認→構成商品コード記入→AT列</t>
    <rPh sb="6" eb="9">
      <t>コウセイヒン</t>
    </rPh>
    <rPh sb="9" eb="11">
      <t>カクニン</t>
    </rPh>
    <rPh sb="12" eb="14">
      <t>コウセイ</t>
    </rPh>
    <rPh sb="14" eb="16">
      <t>ショウヒン</t>
    </rPh>
    <rPh sb="19" eb="21">
      <t>キニュウ</t>
    </rPh>
    <rPh sb="24" eb="25">
      <t>レツ</t>
    </rPh>
    <phoneticPr fontId="3"/>
  </si>
  <si>
    <t>②【直送】元商品確認→既存商品コード記入→CP列</t>
    <rPh sb="2" eb="4">
      <t>チョクソウ</t>
    </rPh>
    <rPh sb="5" eb="6">
      <t>モト</t>
    </rPh>
    <rPh sb="6" eb="8">
      <t>ショウヒン</t>
    </rPh>
    <rPh sb="8" eb="10">
      <t>カクニン</t>
    </rPh>
    <rPh sb="11" eb="13">
      <t>キゾン</t>
    </rPh>
    <rPh sb="13" eb="15">
      <t>ショウヒン</t>
    </rPh>
    <rPh sb="18" eb="20">
      <t>キニュウ</t>
    </rPh>
    <rPh sb="23" eb="24">
      <t>レツ</t>
    </rPh>
    <phoneticPr fontId="3"/>
  </si>
  <si>
    <t>⑥純アルコール量→容量とアルコール度数を記入すれば自動計算されます。</t>
    <rPh sb="1" eb="2">
      <t>ジュン</t>
    </rPh>
    <rPh sb="7" eb="8">
      <t>リョウ</t>
    </rPh>
    <rPh sb="9" eb="11">
      <t>ヨウリョウ</t>
    </rPh>
    <rPh sb="17" eb="19">
      <t>ドスウ</t>
    </rPh>
    <rPh sb="20" eb="22">
      <t>キニュウ</t>
    </rPh>
    <rPh sb="25" eb="27">
      <t>ジドウ</t>
    </rPh>
    <rPh sb="27" eb="29">
      <t>ケイサン</t>
    </rPh>
    <phoneticPr fontId="3"/>
  </si>
  <si>
    <t>アタック抗菌EXギフト</t>
  </si>
  <si>
    <t>アリエール液体洗剤セット</t>
  </si>
  <si>
    <t>伝承献呈ギフト</t>
  </si>
  <si>
    <t>はかた地どり 水炊きコラーゲンセット</t>
  </si>
  <si>
    <t>お刺身用詰合せ</t>
  </si>
  <si>
    <t>山形牛ユッケ個食パック用</t>
  </si>
  <si>
    <t>ウェルチギフト</t>
  </si>
  <si>
    <t>フルーツジュースギフト</t>
  </si>
  <si>
    <t>オリーブオイル&amp;バラエティオイルギフト</t>
  </si>
  <si>
    <t>さつま揚げ真空詰合せ</t>
  </si>
  <si>
    <t>長崎 角煮卓袱まんじゅう 豚まん詰合せ</t>
  </si>
  <si>
    <t>千房 ミックス焼10枚入</t>
  </si>
  <si>
    <t>昆布じめギフトセット</t>
  </si>
  <si>
    <t>花麩椀 9ケ入</t>
  </si>
  <si>
    <t>永平寺胡麻豆腐詰合せ</t>
  </si>
  <si>
    <t>とんきっき餃子（20個入り）2箱</t>
  </si>
  <si>
    <t>海鮮しゅうまい三昧</t>
  </si>
  <si>
    <t>三國清三推奨品 十勝工場発 北海道産牛ローストビーフ</t>
  </si>
  <si>
    <t>味噌薫る北のちゃんちゃん焼き</t>
  </si>
  <si>
    <t>三ヶ日みかん2.5kg</t>
  </si>
  <si>
    <t>静岡温室クラウンメロン1玉</t>
  </si>
  <si>
    <t>ダイワ果園 紅まどんな</t>
  </si>
  <si>
    <t>インカのめざめ5kg</t>
  </si>
  <si>
    <t>ハーゲンダッツ&amp;苺アイス</t>
  </si>
  <si>
    <t>銀座プレミアムアイス&amp;ソルベ</t>
  </si>
  <si>
    <t>ひとくちアイスセット 33粒</t>
  </si>
  <si>
    <t>那須千本松牧場 ピュアミルクアイス8個セット</t>
  </si>
  <si>
    <t>冬限定プリン6個セット</t>
  </si>
  <si>
    <t>銀座プリン詰合せ6個</t>
  </si>
  <si>
    <t>ベルギーワッフル詰合せ</t>
  </si>
  <si>
    <t>クロワッサンたい焼10匹セット</t>
  </si>
  <si>
    <t>芦屋シェフ・アサヤマ洋菓子工房 芦屋フィナンシェ</t>
  </si>
  <si>
    <t>ウインターギフト</t>
  </si>
  <si>
    <t>クリスマスギフト</t>
  </si>
  <si>
    <t>スイートセレクション</t>
  </si>
  <si>
    <t>ギフトセット16個入</t>
  </si>
  <si>
    <t>北海道クリームブリュレ</t>
  </si>
  <si>
    <t>カフェスマイルセット26個</t>
  </si>
  <si>
    <t>京都 養老軒 京の焼きモンブラン</t>
  </si>
  <si>
    <t>京都 養老軒 京のまるごと栗どら焼き</t>
  </si>
  <si>
    <t>京都 養老軒 博多あまおう ごろっと苺大福</t>
  </si>
  <si>
    <t>横浜元町 香炉庵 彩りフルーツ大福</t>
  </si>
  <si>
    <t>京都 養老軒 香ばし蜜芋ぱふぇ</t>
  </si>
  <si>
    <t>迎春菓詰合せ</t>
  </si>
  <si>
    <t>釜だし甘納豆詰合せ</t>
  </si>
  <si>
    <t>ぜんざい詰合せ</t>
  </si>
  <si>
    <t>釜だし甘納豆・ぜんざい詰合せ</t>
  </si>
  <si>
    <t>京都 養老軒 京のにぎやかあられ</t>
  </si>
  <si>
    <t>いと御菓子</t>
  </si>
  <si>
    <t>おいしさいろいろ</t>
  </si>
  <si>
    <t>匠の庵</t>
  </si>
  <si>
    <t>米沢牛すき焼用</t>
  </si>
  <si>
    <t>山形牛すき焼き用400g</t>
  </si>
  <si>
    <t>鹿児島県産黒豚しゃぶしゃぶ用</t>
  </si>
  <si>
    <t>至福の洋食 田崎真也セレクションギフト</t>
  </si>
  <si>
    <t>ステーキ屋さんの特選牛生ハンバーグ 若草</t>
  </si>
  <si>
    <t xml:space="preserve">ステーキ屋さんのローストビーフ </t>
  </si>
  <si>
    <t>黄木の黒毛和牛入りハンバーグセット</t>
  </si>
  <si>
    <t>本格派ギフトセット</t>
  </si>
  <si>
    <t>特選ハム・やきぶた・ミートローフ3本詰め</t>
  </si>
  <si>
    <t>特選（ロース・もも）ハム・やきぶた3本詰め</t>
  </si>
  <si>
    <t>匠伝説ギフトセット</t>
  </si>
  <si>
    <t>鹿児島紀行ギフトセット</t>
  </si>
  <si>
    <t>鹿児島工場製造ホワイトボンレス</t>
  </si>
  <si>
    <t>爽やか信州軽井沢バラエティセット</t>
  </si>
  <si>
    <t>ハムギフトセット</t>
  </si>
  <si>
    <t>銀河工房ギフトセット</t>
  </si>
  <si>
    <t>塩数の子</t>
  </si>
  <si>
    <t>北海道産紅ずわいがに</t>
  </si>
  <si>
    <t>小樽の小鍋詰合せ4個入</t>
  </si>
  <si>
    <t>ほたて松前600g</t>
  </si>
  <si>
    <t>氷温熟成 簡単便利なお魚惣菜ギフト（和）</t>
  </si>
  <si>
    <t>氷温熟成 西京漬けギフトセット6切</t>
  </si>
  <si>
    <t>近大生まれマダイ惣菜詰合せ</t>
  </si>
  <si>
    <t>無着色明太子</t>
  </si>
  <si>
    <t>北海道 帆立玉冷</t>
  </si>
  <si>
    <t>北のよりどり小鍋</t>
  </si>
  <si>
    <t>そば詰合せ</t>
  </si>
  <si>
    <t>揖保乃糸 手延うどん</t>
  </si>
  <si>
    <t>讃岐うどん 瀬戸の宴</t>
  </si>
  <si>
    <t>茶師六段 米田末弘監修 宇治銘茶詰合せ</t>
  </si>
  <si>
    <t>伊右衛門 宇治茶ティーバッグギフト</t>
  </si>
  <si>
    <t>氷温熟成新潟産コシヒカリごはん</t>
  </si>
  <si>
    <t>雪蔵氷温熟成新潟産こしひかり</t>
  </si>
  <si>
    <t>梅さんさん（桐箱入り）12粒</t>
  </si>
  <si>
    <t>紅ずわいがに缶詰・びん詰ギフト</t>
  </si>
  <si>
    <t>SDGsシーチキンギフト</t>
  </si>
  <si>
    <t>シールド乳酸菌入り味付海苔5種詰合せ</t>
  </si>
  <si>
    <t>舞すがた味のり卓上詰合せ</t>
  </si>
  <si>
    <t>ちょっと贅沢な珈琲店スティック ブラックギフト</t>
  </si>
  <si>
    <t>スティックカフェオレ&amp;ブラックアソートギフト</t>
  </si>
  <si>
    <t>ドリップコーヒーギフト</t>
  </si>
  <si>
    <t>ネスカフェ プレミアム レギュラーソリュブルコーヒーギフト</t>
  </si>
  <si>
    <t>カルピスギフト</t>
  </si>
  <si>
    <t>すこやかファミリーギフト</t>
  </si>
  <si>
    <t>野菜飲料バラエティギフト</t>
  </si>
  <si>
    <t>100％果汁飲料ギフト</t>
  </si>
  <si>
    <t>100％ピュアジュース 飲み比べ（8本）</t>
  </si>
  <si>
    <t>ボスコオリーブオイルギフト</t>
  </si>
  <si>
    <t>ヘルシーオイル&amp;生しょうゆギフト</t>
  </si>
  <si>
    <t>有機栽培エキストラバージンオリーブオイル</t>
  </si>
  <si>
    <t>おみそ汁贅沢ギフト</t>
  </si>
  <si>
    <t>減塩おみそ汁ギフト</t>
  </si>
  <si>
    <t>集金【直送】アタック抗菌EXギフト K・AR-30A</t>
  </si>
  <si>
    <t>集金【直送】アタック抗菌EXギフト K・AR-50A</t>
  </si>
  <si>
    <t>集金【直送】アリエール液体洗剤セット PGLA-30E</t>
  </si>
  <si>
    <t>集金【直送】アリエール液体洗剤セット PGCG-50E</t>
  </si>
  <si>
    <t xml:space="preserve">集金【直送】はかた地どり 水炊きコラーゲンセット </t>
  </si>
  <si>
    <t>集金【直送】お刺身用詰合せ KGC-501</t>
  </si>
  <si>
    <t xml:space="preserve">集金【直送】山形牛ユッケ個食パック用 </t>
  </si>
  <si>
    <t>集金【直送】ウェルチギフト W30S</t>
  </si>
  <si>
    <t>集金【直送】フルーツジュースギフト FB-30G</t>
  </si>
  <si>
    <t>集金【直送】さつま揚げ真空詰合せ E-11</t>
  </si>
  <si>
    <t>集金【直送】千房 ミックス焼10枚入 DK2</t>
  </si>
  <si>
    <t>集金【直送】昆布じめギフトセット G-04C</t>
  </si>
  <si>
    <t xml:space="preserve">集金【直送】花麩椀 9ケ入 </t>
  </si>
  <si>
    <t>集金【直送】永平寺胡麻豆腐詰合せ G-10F</t>
  </si>
  <si>
    <t>集金【直送】とんきっき餃子（20個入り）2箱 Y-03</t>
  </si>
  <si>
    <t>集金【直送】海鮮しゅうまい三昧 49701</t>
  </si>
  <si>
    <t>集金【直送】味噌薫る北のちゃんちゃん焼き 430199</t>
  </si>
  <si>
    <t xml:space="preserve">集金【直送】三ヶ日みかん2.5kg </t>
  </si>
  <si>
    <t xml:space="preserve">集金【直送】静岡温室クラウンメロン1玉 </t>
  </si>
  <si>
    <t>集金【直送】ダイワ果園 紅まどんな MDO-60C</t>
  </si>
  <si>
    <t>集金【直送】インカのめざめ5kg 0000-034002</t>
  </si>
  <si>
    <t>集金【直送】ハーゲンダッツ&amp;苺アイス A-HGRW</t>
  </si>
  <si>
    <t>集金【直送】銀座プレミアムアイス&amp;ソルベ PGS-139N</t>
  </si>
  <si>
    <t>集金【直送】ひとくちアイスセット 33粒 611N</t>
  </si>
  <si>
    <t>集金【直送】冬限定プリン6個セット NP-32</t>
  </si>
  <si>
    <t>集金【直送】銀座プリン詰合せ6個 PGS-411</t>
  </si>
  <si>
    <t>集金【直送】ベルギーワッフル詰合せ R14-PCG</t>
  </si>
  <si>
    <t>集金【直送】クロワッサンたい焼10匹セット CW-10</t>
  </si>
  <si>
    <t>集金【直送】ウインターギフト WS-G</t>
  </si>
  <si>
    <t>集金【直送】クリスマスギフト MXG-S</t>
  </si>
  <si>
    <t>集金【直送】スイートセレクション SWC-G</t>
  </si>
  <si>
    <t>集金【直送】ギフトセット16個入 GFT-C</t>
  </si>
  <si>
    <t>集金【直送】北海道クリームブリュレ CB-9</t>
  </si>
  <si>
    <t>集金【直送】カフェスマイルセット26個 CSS-30</t>
  </si>
  <si>
    <t>集金【直送】京都 養老軒 京の焼きモンブラン YJ-KMW12</t>
  </si>
  <si>
    <t>集金【直送】京都 養老軒 香ばし蜜芋ぱふぇ YF-SHT12</t>
  </si>
  <si>
    <t>集金【直送】迎春菓詰合せ IS-245</t>
  </si>
  <si>
    <t>集金【直送】迎春菓詰合せ IS-246</t>
  </si>
  <si>
    <t>集金【直送】釜だし甘納豆詰合せ NKD-30</t>
  </si>
  <si>
    <t>集金【直送】ぜんざい詰合せ NWZ-45</t>
  </si>
  <si>
    <t>集金【直送】釜だし甘納豆・ぜんざい詰合せ KDW-52</t>
  </si>
  <si>
    <t>集金【直送】京都 養老軒 京のにぎやかあられ YJ-NNB12</t>
  </si>
  <si>
    <t>集金【直送】いと御菓子 IOB-D0</t>
  </si>
  <si>
    <t>集金【直送】おいしさいろいろ RGN-40</t>
  </si>
  <si>
    <t>集金【直送】匠の庵 TI-30</t>
  </si>
  <si>
    <t>集金【直送】米沢牛すき焼用 YKMS80</t>
  </si>
  <si>
    <t xml:space="preserve">集金【直送】山形牛すき焼き用400g </t>
  </si>
  <si>
    <t>集金【直送】鹿児島県産黒豚しゃぶしゃぶ用 IT-50</t>
  </si>
  <si>
    <t xml:space="preserve">集金【直送】ステーキ屋さんのローストビーフ  </t>
  </si>
  <si>
    <t>集金【直送】黄木の黒毛和牛入りハンバーグセット KH40</t>
  </si>
  <si>
    <t>集金【直送】本格派ギフトセット NH-549</t>
  </si>
  <si>
    <t>集金【直送】本格派ギフトセット NRB-54</t>
  </si>
  <si>
    <t>集金【直送】本格派ギフトセット NH-337</t>
  </si>
  <si>
    <t>集金【直送】匠伝説ギフトセット TL-340</t>
  </si>
  <si>
    <t>集金【直送】鹿児島紀行ギフトセット H-720S</t>
  </si>
  <si>
    <t>集金【直送】鹿児島工場製造ホワイトボンレス WBO-N</t>
  </si>
  <si>
    <t>集金【直送】爽やか信州軽井沢バラエティセット SK-360</t>
  </si>
  <si>
    <t>集金【直送】爽やか信州軽井沢バラエティセット SK-480</t>
  </si>
  <si>
    <t>集金【直送】ハムギフトセット RW-50</t>
  </si>
  <si>
    <t>集金【直送】銀河工房ギフトセット GFI-460</t>
  </si>
  <si>
    <t>集金【直送】塩数の子 630003</t>
  </si>
  <si>
    <t>集金【直送】北海道産紅ずわいがに 2011-050054</t>
  </si>
  <si>
    <t>集金【直送】小樽の小鍋詰合せ4個入 A27</t>
  </si>
  <si>
    <t>集金【直送】ほたて松前600g HM-600G</t>
  </si>
  <si>
    <t>集金【直送】氷温熟成 西京漬けギフトセット6切 SSK-30</t>
  </si>
  <si>
    <t>集金【直送】近大生まれマダイ惣菜詰合せ Ude9</t>
  </si>
  <si>
    <t xml:space="preserve">集金【直送】北海道 帆立玉冷 </t>
  </si>
  <si>
    <t>集金【直送】北のよりどり小鍋 KYDK-4</t>
  </si>
  <si>
    <t>集金【直送】そば詰合せ KJ30A</t>
  </si>
  <si>
    <t>集金【直送】揖保乃糸 手延うどん TU-30B</t>
  </si>
  <si>
    <t>集金【直送】讃岐うどん 瀬戸の宴 AUW-30</t>
  </si>
  <si>
    <t>集金【直送】伊右衛門 宇治茶ティーバッグギフト EH-3A</t>
  </si>
  <si>
    <t xml:space="preserve">集金【直送】梅さんさん（桐箱入り）12粒 </t>
  </si>
  <si>
    <t>集金【直送】紅ずわいがに缶詰・びん詰ギフト BK-30C</t>
  </si>
  <si>
    <t>集金【直送】SDGsシーチキンギフト SDGsー30</t>
  </si>
  <si>
    <t>集金【直送】舞すがた味のり卓上詰合せ NA-30F</t>
  </si>
  <si>
    <t>集金【直送】ドリップコーヒーギフト MCS-50D</t>
  </si>
  <si>
    <t>集金【直送】ウェルチギフト W35S</t>
  </si>
  <si>
    <t>集金【直送】ウェルチギフト W50S</t>
  </si>
  <si>
    <t>集金【直送】カルピスギフト CVW30</t>
  </si>
  <si>
    <t>集金【直送】すこやかファミリーギフト KSR-30G</t>
  </si>
  <si>
    <t>集金【直送】野菜飲料バラエティギフト KYJ-30G</t>
  </si>
  <si>
    <t>集金【直送】100％果汁飲料ギフト DSF-30R</t>
  </si>
  <si>
    <t>集金【直送】ボスコオリーブオイルギフト BG-30</t>
  </si>
  <si>
    <t>集金【直送】ヘルシーオイル&amp;生しょうゆギフト NK-30A</t>
  </si>
  <si>
    <t>集金【直送】おみそ汁贅沢ギフト 300Z</t>
  </si>
  <si>
    <t>集金【直送】減塩おみそ汁ギフト 300G</t>
  </si>
  <si>
    <t>集金【直送】オリーブオイル&amp;バラエティオイル OV-30A</t>
    <phoneticPr fontId="3"/>
  </si>
  <si>
    <t>集金【直送】角煮卓袱まんじゅう豚まん詰合せ FMB-30NF</t>
    <phoneticPr fontId="3"/>
  </si>
  <si>
    <t>集金【直送】北海道産牛ローストビーフ 4205-070001</t>
    <phoneticPr fontId="3"/>
  </si>
  <si>
    <t>集金【直送】千本松牧場 ピュアミルクアイス P108011</t>
    <phoneticPr fontId="3"/>
  </si>
  <si>
    <t>集金【直送】アサヤマ洋菓子芦屋フィナンシェ YJ-FAR12</t>
    <phoneticPr fontId="3"/>
  </si>
  <si>
    <t>集金【直送】養老軒 京のまるごと栗どら焼き YJ-MRW12</t>
    <phoneticPr fontId="3"/>
  </si>
  <si>
    <t>集金【直送】養老軒 あまおう ごろっと苺大福 YF-LAW12</t>
    <phoneticPr fontId="3"/>
  </si>
  <si>
    <t>集金【直送】香炉庵 彩りフルーツ大福 YF-AR12</t>
    <phoneticPr fontId="3"/>
  </si>
  <si>
    <t>集金【直送】至福洋食 田崎セレクションギフト YOP-48</t>
    <phoneticPr fontId="3"/>
  </si>
  <si>
    <t xml:space="preserve">集金【直送】ステーキ屋さん特選牛生ハンバーグ若草 </t>
    <phoneticPr fontId="3"/>
  </si>
  <si>
    <t>集金【直送】特選ハムやきぶたミートローフ3本 KN-423</t>
    <phoneticPr fontId="3"/>
  </si>
  <si>
    <t>集金【直送】特選ロースももハムやきぶた3本 KN-526</t>
    <phoneticPr fontId="3"/>
  </si>
  <si>
    <t>集金【直送】簡単便利なお魚惣菜ギフト（和） GOS-50S</t>
    <phoneticPr fontId="3"/>
  </si>
  <si>
    <t>集金【直送】茶師六段 宇治銘茶詰合せ MRY-503</t>
    <phoneticPr fontId="3"/>
  </si>
  <si>
    <t>集金【直送】味付海苔5種詰合せ TR-300</t>
    <phoneticPr fontId="3"/>
  </si>
  <si>
    <t>集金【直送】贅沢な珈琲店スティックブラック ZST-30Y</t>
    <phoneticPr fontId="3"/>
  </si>
  <si>
    <t>集金【直送】カフェオレブラックアソート BZT-50</t>
    <phoneticPr fontId="3"/>
  </si>
  <si>
    <t>集金【直送】ネスカフェレギュラーコーヒー N50-AS</t>
    <phoneticPr fontId="3"/>
  </si>
  <si>
    <t xml:space="preserve">集金【直送】100％ピュアジュース 飲み比べ8本 </t>
    <phoneticPr fontId="3"/>
  </si>
  <si>
    <t>集金【直送】有機バージンオリーブオイル S130-496</t>
    <phoneticPr fontId="3"/>
  </si>
  <si>
    <t>集金【直送】無着色明太子 106803</t>
    <phoneticPr fontId="3"/>
  </si>
  <si>
    <t>ﾁｮｸｿｳｱﾀｯｸｺｳｷﾝEXｷﾞﾌﾄK・AR-30A</t>
  </si>
  <si>
    <t>ﾁｮｸｿｳｱﾀｯｸｺｳｷﾝEXｷﾞﾌﾄK・AR-50A</t>
  </si>
  <si>
    <t>ﾁｮｸｿｳｱﾘｴｰﾙｴｷﾀｲｾﾝｻﾞｲｾｯﾄPGLA-30E</t>
  </si>
  <si>
    <t>ﾁｮｸｿｳｱﾘｴｰﾙｴｷﾀｲｾﾝｻﾞｲｾｯﾄPGCG-50E</t>
  </si>
  <si>
    <t>ﾁｮｸｿｳﾃﾞﾝｼｮｳｹﾝﾃｲｷﾞﾌﾄGMF-50</t>
  </si>
  <si>
    <t>ﾁｮｸｿｳﾊｶﾀｼﾞﾄﾞﾘ ﾐｽﾞﾀｷｺﾗｰｹﾞﾝｾｯﾄ</t>
  </si>
  <si>
    <t>ﾁｮｸｿｳｵｻｼﾐﾖｳﾂﾒｱﾜｾKGC-501</t>
  </si>
  <si>
    <t>ﾁｮｸｿｳﾔﾏｶﾞﾀｳｼﾕｯｹｺｼｮｸﾊﾟｯｸﾖｳ</t>
  </si>
  <si>
    <t>ﾁｮｸｿｳｳｪﾙﾁｷﾞﾌﾄW30S</t>
  </si>
  <si>
    <t>ﾁｮｸｿｳﾌﾙｰﾂｼﾞｭｰｽｷﾞﾌﾄFB-30G</t>
  </si>
  <si>
    <t>ﾁｮｸｿｳｵﾘｰﾌﾞｵｲﾙ&amp;ﾊﾞﾗｴﾃｨｵｲﾙｷﾞﾌﾄOV-30A</t>
  </si>
  <si>
    <t>ﾁｮｸｿｳｻﾂﾏｱｹﾞｼﾝｸｳﾂﾒｱﾜｾE-11</t>
  </si>
  <si>
    <t>ﾁｮｸｿｳﾅｶﾞｻｷ ｶｸﾆｼｯﾎﾟｸﾏﾝｼﾞｭｳ ﾌﾞﾀﾏﾝﾂﾒｱﾜｾFMB-30NF</t>
  </si>
  <si>
    <t>ﾁｮｸｿｳｾﾝﾌｻ ﾐｯｸｽﾔｷ10ﾏｲﾆｭｳDK2</t>
  </si>
  <si>
    <t>ﾁｮｸｿｳｺﾝﾌﾞｼﾞﾒｷﾞﾌﾄｾｯﾄG-04C</t>
  </si>
  <si>
    <t>ﾁｮｸｿｳﾊﾅﾌﾜﾝ 9ｹﾆｭｳ</t>
  </si>
  <si>
    <t>ﾁｮｸｿｳｴｲﾍｲｼﾞｺﾞﾏﾄｳﾌﾂﾒｱﾜｾG-10F</t>
  </si>
  <si>
    <t>ﾁｮｸｿｳﾄﾝｷｯｷｷﾞｮｳｻﾞ(20ｺｲﾘ)2ﾊｺY-03</t>
  </si>
  <si>
    <t>ﾁｮｸｿｳｶｲｾﾝｼｭｳﾏｲｻﾞﾝﾏｲ49701</t>
  </si>
  <si>
    <t>ﾁｮｸｿｳﾐｿｶｵﾙｷﾀﾉﾁｬﾝﾁｬﾝﾔｷ430199</t>
  </si>
  <si>
    <t>ﾁｮｸｿｳｼｽﾞｵｶｵﾝｼﾂｸﾗｳﾝﾒﾛﾝ1ﾀﾏ</t>
  </si>
  <si>
    <t>ﾁｮｸｿｳﾀﾞｲﾜｶｴﾝ ﾍﾞﾆﾏﾄﾞﾝﾅMDO-60C</t>
  </si>
  <si>
    <t>ﾁｮｸｿｳｲﾝｶﾉﾒｻﾞﾒ5kg0000-034002</t>
  </si>
  <si>
    <t>ﾁｮｸｿｳﾊｰｹﾞﾝﾀﾞｯﾂ&amp;ｲﾁｺﾞｱｲｽA-HGRW</t>
  </si>
  <si>
    <t>ﾁｮｸｿｳｷﾞﾝｻﾞﾌﾟﾚﾐｱﾑｱｲｽ&amp;ｿﾙﾍﾞPGS-139N</t>
  </si>
  <si>
    <t>ﾁｮｸｿｳﾋﾄｸﾁｱｲｽｾｯﾄ 33ﾂﾌﾞ611N</t>
  </si>
  <si>
    <t>ﾁｮｸｿｳﾅｽﾁﾓﾄﾏﾂﾎﾞｸｼﾞｮｳ ﾋﾟｭｱﾐﾙｸｱｲｽ8ｺｾｯﾄP108011</t>
  </si>
  <si>
    <t>ﾁｮｸｿｳﾌﾕｹﾞﾝﾃｲﾌﾟﾘﾝ6ｺｾｯﾄNP-32</t>
  </si>
  <si>
    <t>ﾁｮｸｿｳｷﾞﾝｻﾞﾌﾟﾘﾝﾂﾒｱﾜｾ6ｺPGS-411</t>
  </si>
  <si>
    <t>ﾁｮｸｿｳﾍﾞﾙｷﾞｰﾜｯﾌﾙﾂﾒｱﾜｾR14-PCG</t>
  </si>
  <si>
    <t>ﾁｮｸｿｳｸﾛﾜｯｻﾝﾀｲﾔｷ10ﾋｷｾｯﾄCW-10</t>
  </si>
  <si>
    <t>ﾁｮｸｿｳｱｼﾔｼｪﾌ･ｱｻﾔﾏﾖｳｶﾞｼｺｳﾎﾞｳ ｱｼﾔﾌｨﾅﾝｼｪYJ-FAR12</t>
  </si>
  <si>
    <t>ﾁｮｸｿｳｳｲﾝﾀｰｷﾞﾌﾄWS-S</t>
  </si>
  <si>
    <t>ﾁｮｸｿｳｳｲﾝﾀｰｷﾞﾌﾄWS-G</t>
  </si>
  <si>
    <t>ﾁｮｸｿｳｸﾘｽﾏｽｷﾞﾌﾄMXG-S</t>
  </si>
  <si>
    <t>ﾁｮｸｿｳｽｲｰﾄｾﾚｸｼｮﾝSWC-G</t>
  </si>
  <si>
    <t>ﾁｮｸｿｳｷﾞﾌﾄｾｯﾄ16ｺｲﾘGFT-C</t>
  </si>
  <si>
    <t>ﾁｮｸｿｳﾎｯｶｲﾄﾞｳｸﾘｰﾑﾌﾞﾘｭﾚCB-9</t>
  </si>
  <si>
    <t>ﾁｮｸｿｳｶﾌｪｽﾏｲﾙｾｯﾄ26ｺCSS-30</t>
  </si>
  <si>
    <t>ﾁｮｸｿｳｷｮｳﾄ ﾖｳﾛｳﾉｷ ｷｮｳﾉﾔｷﾓﾝﾌﾞﾗﾝYJ-KMW12</t>
  </si>
  <si>
    <t>ﾁｮｸｿｳｷｮｳﾄ ﾖｳﾛｳﾉｷ ｷｮｳﾉﾏﾙｺﾞﾄｸﾘﾄﾞﾗﾔｷYJ-MRW12</t>
  </si>
  <si>
    <t>ﾁｮｸｿｳｷｮｳﾄ ﾖｳﾛｳﾉｷ ﾊｶﾀｱﾏｵｳ ｺﾞﾛｯﾄｲﾁｺﾞﾀﾞｲﾌｸYF-LAW12</t>
  </si>
  <si>
    <t>ﾁｮｸｿｳﾖｺﾊﾏﾓﾄﾏﾁ ｺｳﾛｲｵﾘ ｲﾛﾄﾞﾘﾌﾙｰﾂﾀﾞｲﾌｸYF-AR12</t>
  </si>
  <si>
    <t>ﾁｮｸｿｳｷｮｳﾄ ﾖｳﾛｳﾉｷ ｺｳﾊﾞｼﾐﾂｲﾓﾊﾟﾌｪYF-SHT12</t>
  </si>
  <si>
    <t>ﾁｮｸｿｳｹﾞｲｼｭﾝｶﾂﾒｱﾜｾIS-245</t>
  </si>
  <si>
    <t>ﾁｮｸｿｳｹﾞｲｼｭﾝｶﾂﾒｱﾜｾIS-246</t>
  </si>
  <si>
    <t>ﾁｮｸｿｳｶﾏﾀﾞｼｱﾏﾅｯﾄｳﾂﾒｱﾜｾNKD-30</t>
  </si>
  <si>
    <t>ﾁｮｸｿｳｾﾞﾝｻﾞｲﾂﾒｱﾜｾNWZ-45</t>
  </si>
  <si>
    <t>ﾁｮｸｿｳｶﾏﾀﾞｼｱﾏﾅｯﾄｳ･ｾﾞﾝｻﾞｲﾂﾒｱﾜｾKDW-52</t>
  </si>
  <si>
    <t>ﾁｮｸｿｳｷｮｳﾄ ﾖｳﾛｳﾉｷ ｷｮｳﾉﾆｷﾞﾔｶｱﾗﾚYJ-NNB12</t>
  </si>
  <si>
    <t>ﾁｮｸｿｳｲﾄｵｶｼIOB-D0</t>
  </si>
  <si>
    <t>ﾁｮｸｿｳｵｲｼｻｲﾛｲﾛRGN-40</t>
  </si>
  <si>
    <t>ﾁｮｸｿｳﾀｸﾐﾉｱﾝTI-30</t>
  </si>
  <si>
    <t>ﾁｮｸｿｳﾖﾈｻﾞﾜｷﾞｭｳｽｷﾔｷﾖｳYKMS80</t>
  </si>
  <si>
    <t>ﾁｮｸｿｳｶｺﾞｼﾏｹﾝｻﾝｸﾛﾌﾞﾀｼｬﾌﾞｼｬﾌﾞﾖｳIT-50</t>
  </si>
  <si>
    <t>ﾁｮｸｿｳｼﾌｸﾉﾖｳｼｮｸ ﾀｻﾞｷｼﾝﾔｾﾚｸｼｮﾝｷﾞﾌﾄYOP-48</t>
  </si>
  <si>
    <t>ﾁｮｸｿｳｽﾃｰｷﾔｻﾝﾉﾄｸｾﾝｳｼｾｲﾊﾝﾊﾞｰｸﾞ ﾜｶｸｻ</t>
  </si>
  <si>
    <t xml:space="preserve">ﾁｮｸｿｳｽﾃｰｷﾔｻﾝﾉﾛｰｽﾄﾋﾞｰﾌ  </t>
  </si>
  <si>
    <t>ﾁｮｸｿｳｷｷﾉｸﾛｹﾞﾜｷﾞｭｳｲﾘﾊﾝﾊﾞｰｸﾞｾｯﾄKH40</t>
  </si>
  <si>
    <t>ﾁｮｸｿｳﾎﾝｶｸﾊｷﾞﾌﾄｾｯﾄNH-349</t>
  </si>
  <si>
    <t>ﾁｮｸｿｳﾎﾝｶｸﾊｷﾞﾌﾄｾｯﾄNH-549</t>
  </si>
  <si>
    <t>ﾁｮｸｿｳﾎﾝｶｸﾊｷﾞﾌﾄｾｯﾄNRB-54</t>
  </si>
  <si>
    <t>ﾁｮｸｿｳﾎﾝｶｸﾊｷﾞﾌﾄｾｯﾄNH-337</t>
  </si>
  <si>
    <t>ﾁｮｸｿｳﾄｸｾﾝﾊﾑ･ﾔｷﾌﾞﾀ･ﾐｰﾄﾛｰﾌ3ﾎﾞﾝﾂﾞﾒKN-423</t>
  </si>
  <si>
    <t>ﾁｮｸｿｳﾄｸｾﾝ(ﾛｰｽ･ﾓﾓ)ﾊﾑ･ﾔｷﾌﾞﾀ3ﾎﾞﾝﾂﾞﾒKN-526</t>
  </si>
  <si>
    <t>ﾁｮｸｿｳﾀｸﾐﾃﾞﾝｾﾂｷﾞﾌﾄｾｯﾄTL-340</t>
  </si>
  <si>
    <t>ﾁｮｸｿｳｶｺﾞｼﾏﾉﾘﾕｷｷﾞﾌﾄｾｯﾄH-720S</t>
  </si>
  <si>
    <t>ﾁｮｸｿｳｶｺﾞｼﾏｺｳｼﾞｮｳｾｲｿﾞｳﾎﾜｲﾄﾎﾞﾝﾚｽWBO-N</t>
  </si>
  <si>
    <t>ﾁｮｸｿｳｻﾜﾔｶｼﾝｼｭｳｶﾙｲｻﾞﾜﾊﾞﾗｴﾃｨｾｯﾄSK-360</t>
  </si>
  <si>
    <t>ﾁｮｸｿｳｻﾜﾔｶｼﾝｼｭｳｶﾙｲｻﾞﾜﾊﾞﾗｴﾃｨｾｯﾄSK-480</t>
  </si>
  <si>
    <t>ﾁｮｸｿｳﾊﾑｷﾞﾌﾄｾｯﾄRW-50</t>
  </si>
  <si>
    <t>ﾁｮｸｿｳｷﾞﾝｶﾞｺｳﾎﾞｳｷﾞﾌﾄｾｯﾄGFI-460</t>
  </si>
  <si>
    <t>ﾁｮｸｿｳｼｵｶｽﾞﾉｺ630003</t>
  </si>
  <si>
    <t>ﾁｮｸｿｳﾎｯｶｲﾄﾞｳｻﾝﾍﾞﾆｽﾞﾜｲｶﾞﾆ2011-050054</t>
  </si>
  <si>
    <t>ﾁｮｸｿｳｵﾀﾙﾉｺﾅﾍﾞﾂﾒｱﾜｾ4ｺｲﾘA27</t>
  </si>
  <si>
    <t>ﾁｮｸｿｳﾎﾀﾃﾏﾂﾏｴ600gHM-600G</t>
  </si>
  <si>
    <t>ﾁｮｸｿｳﾋｮｳｵﾝｼﾞｭｸｾｲ ｶﾝﾀﾝﾍﾞﾝﾘﾅｵｻｶﾅｿｳｻﾞｲｷﾞﾌﾄ(ﾜ)GOS-50S</t>
  </si>
  <si>
    <t>ﾁｮｸｿｳﾋｮｳｵﾝｼﾞｭｸｾｲ ｻｲｷｮｳﾂｹｷﾞﾌﾄｾｯﾄ6ｷﾘSSK-30</t>
  </si>
  <si>
    <t>ﾁｮｸｿｳｷﾝﾀﾞｲｳﾏﾚﾏﾀﾞｲｿｳｻﾞｲﾂﾒｱﾜｾUde9</t>
  </si>
  <si>
    <t>ﾁｮｸｿｳﾑﾁｬｸｼｮｸﾒﾝﾀｲｺ106803</t>
  </si>
  <si>
    <t>ﾁｮｸｿｳﾎｯｶｲﾄﾞｳ ﾎﾀﾃﾀﾞﾏﾚｲ</t>
  </si>
  <si>
    <t>ﾁｮｸｿｳｷﾀﾉﾖﾘﾄﾞﾘｺﾅﾍﾞKYDK-4</t>
  </si>
  <si>
    <t>ﾁｮｸｿｳｿﾊﾞﾂﾒｱﾜｾKJ30A</t>
  </si>
  <si>
    <t>ﾁｮｸｿｳｲﾎﾞﾉｲﾄ ﾃﾉﾌﾞｳﾄﾞﾝTU-30B</t>
  </si>
  <si>
    <t>ﾁｮｸｿｳｻﾇｷｳﾄﾞﾝ ｾﾄﾉｴﾝAUW-30</t>
  </si>
  <si>
    <t>ﾁｮｸｿｳﾁｬｼﾛｸﾀﾞﾝ ﾖﾈﾀﾞｽｴﾋﾛｶﾝｼｭｳ ｳｼﾞﾒｲﾁｬﾂﾒｱﾜｾMRY-503</t>
  </si>
  <si>
    <t>ﾁｮｸｿｳｲｴﾓﾝ ｳｼﾞﾁｬﾃｨｰﾊﾞｯｸﾞｷﾞﾌﾄEH-3A</t>
  </si>
  <si>
    <t>ﾁｮｸｿｳｳﾒｻﾝｻﾝ(ｷﾘﾊｺｲﾘ)12ﾂﾌﾞ</t>
  </si>
  <si>
    <t>ﾁｮｸｿｳﾍﾞﾆｽﾞﾜｲｶﾞﾆｶﾝﾂﾞﾒ･ﾋﾞﾝﾂﾞﾒｷﾞﾌﾄBK-30C</t>
  </si>
  <si>
    <t>ﾁｮｸｿｳSDGsｼｰﾁｷﾝｷﾞﾌﾄSDGsー30</t>
  </si>
  <si>
    <t>ﾁｮｸｿｳｼｰﾙﾄﾞﾆｭｳｻﾝｷﾝｲﾘｱｼﾞﾂｹﾉﾘ5ｼｭﾂﾒｱﾜｾTR-300</t>
  </si>
  <si>
    <t>ﾁｮｸｿｳﾏｲｽｶﾞﾀｱｼﾞﾉﾘﾀｸｼﾞｮｳﾂﾒｱﾜｾNA-30F</t>
  </si>
  <si>
    <t>ﾁｮｸｿｳﾁｮｯﾄｾﾞｲﾀｸﾅｺｰﾋｰﾃﾝｽﾃｨｯｸ ﾌﾞﾗｯｸｷﾞﾌﾄZST-30Y</t>
  </si>
  <si>
    <t>ﾁｮｸｿｳｽﾃｨｯｸｶﾌｪｵﾚ&amp;ﾌﾞﾗｯｸｱｿｰﾄｷﾞﾌﾄBZT-50</t>
  </si>
  <si>
    <t>ﾁｮｸｿｳﾄﾞﾘｯﾌﾟｺｰﾋｰｷﾞﾌﾄMCS-50D</t>
  </si>
  <si>
    <t>ﾁｮｸｿｳﾈｽｶﾌｪ ﾌﾟﾚﾐｱﾑ ﾚｷﾞｭﾗｰｿﾘｭﾌﾞﾙｺｰﾋｰｷﾞﾌﾄN50-AS</t>
  </si>
  <si>
    <t>ﾁｮｸｿｳｳｪﾙﾁｷﾞﾌﾄW35S</t>
  </si>
  <si>
    <t>ﾁｮｸｿｳｳｪﾙﾁｷﾞﾌﾄW50S</t>
  </si>
  <si>
    <t>ﾁｮｸｿｳｶﾙﾋﾟｽｷﾞﾌﾄCVW30</t>
  </si>
  <si>
    <t>ﾁｮｸｿｳｽｺﾔｶﾌｧﾐﾘｰｷﾞﾌﾄKSR-30G</t>
  </si>
  <si>
    <t>ﾁｮｸｿｳﾔｻｲｲﾝﾘｮｳﾊﾞﾗｴﾃｨｷﾞﾌﾄKYJ-30G</t>
  </si>
  <si>
    <t>ﾁｮｸｿｳ100%ｶｼﾞｭｳｲﾝﾘｮｳｷﾞﾌﾄDSF-30R</t>
  </si>
  <si>
    <t>ﾁｮｸｿｳﾎﾞｽｺｵﾘｰﾌﾞｵｲﾙｷﾞﾌﾄBG-30</t>
  </si>
  <si>
    <t>ﾁｮｸｿｳﾍﾙｼｰｵｲﾙ&amp;ﾅﾏｼｮｳﾕｷﾞﾌﾄNK-30A</t>
  </si>
  <si>
    <t>ﾁｮｸｿｳﾕｳｷｻｲﾊﾞｲｴｷｽﾄﾗﾊﾞｰｼﾞﾝｵﾘｰﾌﾞｵｲﾙS130-496</t>
  </si>
  <si>
    <t>ﾁｮｸｿｳｵﾐｿｼﾙｾﾞｲﾀｸｷﾞﾌﾄ300Z</t>
  </si>
  <si>
    <t>ﾁｮｸｿｳｹﾞﾝｴﾝｵﾐｿｼﾙｷﾞﾌﾄ300G</t>
  </si>
  <si>
    <t>ﾁｮｸｿｳﾎｯｶｲﾄﾞｳｻﾝｳｼﾛｰｽﾄﾋﾞｰﾌ4205-070001</t>
    <phoneticPr fontId="3"/>
  </si>
  <si>
    <t>ﾁｮｸｿｳ100%ﾋﾟｭｱｼﾞｭｰｽ ﾉﾐｸﾗﾍﾞ8ﾎﾝ</t>
    <phoneticPr fontId="3"/>
  </si>
  <si>
    <t>集金【直送】氷温熟成新潟産コシヒカリごはん 013426-1</t>
    <phoneticPr fontId="3"/>
  </si>
  <si>
    <t>集金【直送】雪蔵氷温熟成新潟産こしひかり 150220-2</t>
    <phoneticPr fontId="3"/>
  </si>
  <si>
    <t>ﾁｮｸｿｳﾋｮｳｵﾝｼﾞｭｸｾｲﾆｲｶﾞﾀｻﾝｺｼﾋｶﾘｺﾞﾊﾝ013426-1</t>
    <phoneticPr fontId="3"/>
  </si>
  <si>
    <t>ﾁｮｸｿｳﾕｷｸﾗﾋｮｳｵﾝｼﾞｭｸｾｲﾆｲｶﾞﾀｻﾝｺｼﾋｶﾘ150220-2</t>
    <phoneticPr fontId="3"/>
  </si>
  <si>
    <t>ﾁｮｸｿｳﾔﾏｶﾞﾀｳｼｽｷﾔｷﾖｳ400g</t>
    <phoneticPr fontId="3"/>
  </si>
  <si>
    <t>ﾁｮｸｿｳﾐｯｶﾋﾞﾐｶﾝ</t>
    <phoneticPr fontId="3"/>
  </si>
  <si>
    <t>ｱﾀｯｸｺｳｷﾝEXｷﾞﾌﾄ</t>
  </si>
  <si>
    <t>ｱﾘｴｰﾙｴｷﾀｲｾﾝｻﾞｲｾｯﾄ</t>
  </si>
  <si>
    <t>ﾃﾞﾝｼｮｳｹﾝﾃｲｷﾞﾌﾄ</t>
  </si>
  <si>
    <t>ｵｻｼﾐﾖｳﾂﾒｱﾜｾ</t>
  </si>
  <si>
    <t>ﾔﾏｶﾞﾀｳｼﾕｯｹｺｼｮｸﾊﾟｯｸﾖｳ</t>
  </si>
  <si>
    <t>ｳｪﾙﾁｷﾞﾌﾄ</t>
  </si>
  <si>
    <t>ﾌﾙｰﾂｼﾞｭｰｽｷﾞﾌﾄ</t>
  </si>
  <si>
    <t>ｻﾂﾏｱｹﾞｼﾝｸｳﾂﾒｱﾜｾ</t>
  </si>
  <si>
    <t>ｾﾝﾌｻ ﾐｯｸｽﾔｷ10ﾏｲﾆｭｳ</t>
  </si>
  <si>
    <t>ｺﾝﾌﾞｼﾞﾒｷﾞﾌﾄｾｯﾄ</t>
  </si>
  <si>
    <t>ﾊﾅﾌﾜﾝ 9ｹﾆｭｳ</t>
  </si>
  <si>
    <t>ｴｲﾍｲｼﾞｺﾞﾏﾄｳﾌﾂﾒｱﾜｾ</t>
  </si>
  <si>
    <t>ｶｲｾﾝｼｭｳﾏｲｻﾞﾝﾏｲ</t>
  </si>
  <si>
    <t>ﾐｿｶｵﾙｷﾀﾉﾁｬﾝﾁｬﾝﾔｷ</t>
  </si>
  <si>
    <t>ﾐｯｶﾋﾞﾐｶﾝ2.5kg</t>
  </si>
  <si>
    <t>ｼｽﾞｵｶｵﾝｼﾂｸﾗｳﾝﾒﾛﾝ1ﾀﾏ</t>
  </si>
  <si>
    <t>ﾀﾞｲﾜｶｴﾝ ﾍﾞﾆﾏﾄﾞﾝﾅ</t>
  </si>
  <si>
    <t>ｲﾝｶﾉﾒｻﾞﾒ5kg</t>
  </si>
  <si>
    <t>ﾊｰｹﾞﾝﾀﾞｯﾂ&amp;ｲﾁｺﾞｱｲｽ</t>
  </si>
  <si>
    <t>ｷﾞﾝｻﾞﾌﾟﾚﾐｱﾑｱｲｽ&amp;ｿﾙﾍﾞ</t>
  </si>
  <si>
    <t>ﾋﾄｸﾁｱｲｽｾｯﾄ 33ﾂﾌﾞ</t>
  </si>
  <si>
    <t>ﾌﾕｹﾞﾝﾃｲﾌﾟﾘﾝ6ｺｾｯﾄ</t>
  </si>
  <si>
    <t>ｷﾞﾝｻﾞﾌﾟﾘﾝﾂﾒｱﾜｾ6ｺ</t>
  </si>
  <si>
    <t>ﾍﾞﾙｷﾞｰﾜｯﾌﾙﾂﾒｱﾜｾ</t>
  </si>
  <si>
    <t>ｸﾛﾜｯｻﾝﾀｲﾔｷ10ﾋｷｾｯﾄ</t>
  </si>
  <si>
    <t>ｳｲﾝﾀｰｷﾞﾌﾄ</t>
  </si>
  <si>
    <t>ｸﾘｽﾏｽｷﾞﾌﾄ</t>
  </si>
  <si>
    <t>ｽｲｰﾄｾﾚｸｼｮﾝ</t>
  </si>
  <si>
    <t>ｷﾞﾌﾄｾｯﾄ16ｺｲﾘ</t>
  </si>
  <si>
    <t>ﾎｯｶｲﾄﾞｳｸﾘｰﾑﾌﾞﾘｭﾚ</t>
  </si>
  <si>
    <t>ｶﾌｪｽﾏｲﾙｾｯﾄ26ｺ</t>
  </si>
  <si>
    <t>ｹﾞｲｼｭﾝｶﾂﾒｱﾜｾ</t>
  </si>
  <si>
    <t>ｶﾏﾀﾞｼｱﾏﾅｯﾄｳﾂﾒｱﾜｾ</t>
  </si>
  <si>
    <t>ｾﾞﾝｻﾞｲﾂﾒｱﾜｾ</t>
  </si>
  <si>
    <t>ｲﾄｵｶｼ</t>
  </si>
  <si>
    <t>ｵｲｼｻｲﾛｲﾛ</t>
  </si>
  <si>
    <t>ﾀｸﾐﾉｱﾝ</t>
  </si>
  <si>
    <t>ﾖﾈｻﾞﾜｷﾞｭｳｽｷﾔｷﾖｳ</t>
  </si>
  <si>
    <t>ﾔﾏｶﾞﾀｳｼｽｷﾔｷﾖｳ400g</t>
  </si>
  <si>
    <t xml:space="preserve">ｽﾃｰｷﾔｻﾝﾉﾛｰｽﾄﾋﾞｰﾌ  </t>
  </si>
  <si>
    <t>ﾎﾝｶｸﾊｷﾞﾌﾄｾｯﾄ</t>
  </si>
  <si>
    <t>ﾀｸﾐﾃﾞﾝｾﾂｷﾞﾌﾄｾｯﾄ</t>
  </si>
  <si>
    <t>ｶｺﾞｼﾏﾉﾘﾕｷｷﾞﾌﾄｾｯﾄ</t>
  </si>
  <si>
    <t>ﾊﾑｷﾞﾌﾄｾｯﾄ</t>
  </si>
  <si>
    <t>ｷﾞﾝｶﾞｺｳﾎﾞｳｷﾞﾌﾄｾｯﾄ</t>
  </si>
  <si>
    <t>ｼｵｶｽﾞﾉｺ</t>
  </si>
  <si>
    <t>ﾎｯｶｲﾄﾞｳｻﾝﾍﾞﾆｽﾞﾜｲｶﾞﾆ</t>
  </si>
  <si>
    <t>ｵﾀﾙﾉｺﾅﾍﾞﾂﾒｱﾜｾ4ｺｲﾘ</t>
  </si>
  <si>
    <t>ﾎﾀﾃﾏﾂﾏｴ600g</t>
  </si>
  <si>
    <t>ﾑﾁｬｸｼｮｸﾒﾝﾀｲｺ</t>
  </si>
  <si>
    <t>ﾎｯｶｲﾄﾞｳ ﾎﾀﾃﾀﾞﾏﾚｲ</t>
  </si>
  <si>
    <t>ｷﾀﾉﾖﾘﾄﾞﾘｺﾅﾍﾞ</t>
  </si>
  <si>
    <t>ｿﾊﾞﾂﾒｱﾜｾ</t>
  </si>
  <si>
    <t>ｲﾎﾞﾉｲﾄ ﾃﾉﾌﾞｳﾄﾞﾝ</t>
  </si>
  <si>
    <t>ｻﾇｷｳﾄﾞﾝ ｾﾄﾉｴﾝ</t>
  </si>
  <si>
    <t>ｳﾒｻﾝｻﾝ(ｷﾘﾊｺｲﾘ)12ﾂﾌﾞ</t>
  </si>
  <si>
    <t>SDGsｼｰﾁｷﾝｷﾞﾌﾄ</t>
  </si>
  <si>
    <t>ﾄﾞﾘｯﾌﾟｺｰﾋｰｷﾞﾌﾄ</t>
  </si>
  <si>
    <t>ｶﾙﾋﾟｽｷﾞﾌﾄ</t>
  </si>
  <si>
    <t>ｽｺﾔｶﾌｧﾐﾘｰｷﾞﾌﾄ</t>
  </si>
  <si>
    <t>ﾔｻｲｲﾝﾘｮｳﾊﾞﾗｴﾃｨｷﾞﾌﾄ</t>
  </si>
  <si>
    <t>100%ｶｼﾞｭｳｲﾝﾘｮｳｷﾞﾌﾄ</t>
  </si>
  <si>
    <t>ﾎﾞｽｺｵﾘｰﾌﾞｵｲﾙｷﾞﾌﾄ</t>
  </si>
  <si>
    <t>ﾍﾙｼｰｵｲﾙ&amp;ﾅﾏｼｮｳﾕｷﾞﾌﾄ</t>
  </si>
  <si>
    <t>ｵﾐｿｼﾙｾﾞｲﾀｸｷﾞﾌﾄ</t>
  </si>
  <si>
    <t>ｹﾞﾝｴﾝｵﾐｿｼﾙｷﾞﾌﾄ</t>
  </si>
  <si>
    <t>K・AR-30A</t>
  </si>
  <si>
    <t>K・AR-50A</t>
  </si>
  <si>
    <t>PGLA-30E</t>
  </si>
  <si>
    <t>PGCG-50E</t>
  </si>
  <si>
    <t>GMF-50</t>
  </si>
  <si>
    <t>KGC-501</t>
  </si>
  <si>
    <t>W30S</t>
  </si>
  <si>
    <t>FB-30G</t>
  </si>
  <si>
    <t>OV-30A</t>
  </si>
  <si>
    <t>E-11</t>
  </si>
  <si>
    <t>FMB-30NF</t>
  </si>
  <si>
    <t>DK2</t>
  </si>
  <si>
    <t>G-04C</t>
  </si>
  <si>
    <t>G-10F</t>
  </si>
  <si>
    <t>Y-03</t>
  </si>
  <si>
    <t>4205-070001</t>
  </si>
  <si>
    <t>MDO-60C</t>
  </si>
  <si>
    <t>0000-034002</t>
  </si>
  <si>
    <t>A-HGRW</t>
  </si>
  <si>
    <t>PGS-139N</t>
  </si>
  <si>
    <t>611N</t>
  </si>
  <si>
    <t>P108011</t>
  </si>
  <si>
    <t>NP-32</t>
  </si>
  <si>
    <t>PGS-411</t>
  </si>
  <si>
    <t>R14-PCG</t>
  </si>
  <si>
    <t>CW-10</t>
  </si>
  <si>
    <t>YJ-FAR12</t>
  </si>
  <si>
    <t>WS-S</t>
  </si>
  <si>
    <t>WS-G</t>
  </si>
  <si>
    <t>MXG-S</t>
  </si>
  <si>
    <t>SWC-G</t>
  </si>
  <si>
    <t>GFT-C</t>
  </si>
  <si>
    <t>CB-9</t>
  </si>
  <si>
    <t>CSS-30</t>
  </si>
  <si>
    <t>YJ-KMW12</t>
  </si>
  <si>
    <t>YJ-MRW12</t>
  </si>
  <si>
    <t>YF-LAW12</t>
  </si>
  <si>
    <t>YF-AR12</t>
  </si>
  <si>
    <t>YF-SHT12</t>
  </si>
  <si>
    <t>IS-245</t>
  </si>
  <si>
    <t>IS-246</t>
  </si>
  <si>
    <t>NKD-30</t>
  </si>
  <si>
    <t>NWZ-45</t>
  </si>
  <si>
    <t>KDW-52</t>
  </si>
  <si>
    <t>YJ-NNB12</t>
  </si>
  <si>
    <t>IOB-D0</t>
  </si>
  <si>
    <t>RGN-40</t>
  </si>
  <si>
    <t>TI-30</t>
  </si>
  <si>
    <t>YKMS80</t>
  </si>
  <si>
    <t>IT-50</t>
  </si>
  <si>
    <t>YOP-48</t>
  </si>
  <si>
    <t>KH40</t>
  </si>
  <si>
    <t>NH-349</t>
  </si>
  <si>
    <t>NH-549</t>
  </si>
  <si>
    <t>NRB-54</t>
  </si>
  <si>
    <t>NH-337</t>
  </si>
  <si>
    <t>KN-423</t>
  </si>
  <si>
    <t>KN-526</t>
  </si>
  <si>
    <t>TL-340</t>
  </si>
  <si>
    <t>H-720S</t>
  </si>
  <si>
    <t>WBO-N</t>
  </si>
  <si>
    <t>SK-360</t>
  </si>
  <si>
    <t>SK-480</t>
  </si>
  <si>
    <t>RW-50</t>
  </si>
  <si>
    <t>GFI-460</t>
  </si>
  <si>
    <t>2011-050054</t>
  </si>
  <si>
    <t>A27</t>
  </si>
  <si>
    <t>HM-600G</t>
  </si>
  <si>
    <t>GOS-50S</t>
  </si>
  <si>
    <t>SSK-30</t>
  </si>
  <si>
    <t>Ude9</t>
  </si>
  <si>
    <t>KYDK-4</t>
  </si>
  <si>
    <t>KJ30A</t>
  </si>
  <si>
    <t>TU-30B</t>
  </si>
  <si>
    <t>AUW-30</t>
  </si>
  <si>
    <t>MRY-503</t>
  </si>
  <si>
    <t>EH-3A</t>
  </si>
  <si>
    <t>013426*1</t>
  </si>
  <si>
    <t>150220*2</t>
  </si>
  <si>
    <t>BK-30C</t>
  </si>
  <si>
    <t>SDGsー30</t>
  </si>
  <si>
    <t>TR-300</t>
  </si>
  <si>
    <t>NA-30F</t>
  </si>
  <si>
    <t>ZST-30Y</t>
  </si>
  <si>
    <t>BZT-50</t>
  </si>
  <si>
    <t>MCS-50D</t>
  </si>
  <si>
    <t>N50-AS</t>
  </si>
  <si>
    <t>W35S</t>
  </si>
  <si>
    <t>W50S</t>
  </si>
  <si>
    <t>CVW30</t>
  </si>
  <si>
    <t>KSR-30G</t>
  </si>
  <si>
    <t>KYJ-30G</t>
  </si>
  <si>
    <t>DSF-30R</t>
  </si>
  <si>
    <t>50708g</t>
  </si>
  <si>
    <t>BG-30</t>
  </si>
  <si>
    <t>NK-30A</t>
  </si>
  <si>
    <t>S130-496</t>
  </si>
  <si>
    <t>300Z</t>
  </si>
  <si>
    <t>300G</t>
  </si>
  <si>
    <t>14セット</t>
  </si>
  <si>
    <t>1しない</t>
  </si>
  <si>
    <t>00001</t>
  </si>
  <si>
    <t>（株）カクヤス　卸直送ギフト</t>
    <rPh sb="1" eb="2">
      <t>カブ</t>
    </rPh>
    <rPh sb="8" eb="9">
      <t>オロシ</t>
    </rPh>
    <rPh sb="9" eb="11">
      <t>チョクソウ</t>
    </rPh>
    <phoneticPr fontId="3"/>
  </si>
  <si>
    <t>ﾊｶﾀｼﾞﾄﾞﾘ ﾐｽﾞﾀｷｺﾗｰｹﾞﾝ</t>
    <phoneticPr fontId="3"/>
  </si>
  <si>
    <t>ｵﾘｰﾌﾞｵｲﾙ&amp;ﾊﾞﾗｴﾃｨｵｲﾙｷﾞ</t>
    <phoneticPr fontId="3"/>
  </si>
  <si>
    <t>ﾐｸﾆｾｲｿﾞｳｽｲｼｮｳﾋﾝ ﾄｶﾁｺ</t>
    <phoneticPr fontId="3"/>
  </si>
  <si>
    <t>ﾅｽﾁﾓﾄﾏﾂﾎﾞｸｼﾞｮｳ ﾋﾟｭｱﾐ</t>
    <phoneticPr fontId="3"/>
  </si>
  <si>
    <t>ｱｼﾔｼｪﾌ･ｱｻﾔﾏﾖｳｶﾞｼｺｳﾎ</t>
    <phoneticPr fontId="3"/>
  </si>
  <si>
    <t>ｷｮｳﾄ ﾖｳﾛｳﾉｷ ｷｮｳﾉﾔｷﾓﾝ</t>
    <phoneticPr fontId="3"/>
  </si>
  <si>
    <t>ｷｮｳﾄ ﾖｳﾛｳﾉｷ ｷｮｳﾉﾏﾙｺﾞ</t>
    <phoneticPr fontId="3"/>
  </si>
  <si>
    <t xml:space="preserve">ｷｮｳﾄ ﾖｳﾛｳﾉｷ ﾊｶﾀｱﾏｵｳ </t>
    <phoneticPr fontId="3"/>
  </si>
  <si>
    <t>ﾖｺﾊﾏﾓﾄﾏﾁ ｺｳﾛｲｵﾘ ｲﾛﾄﾞ</t>
    <phoneticPr fontId="3"/>
  </si>
  <si>
    <t>ｷｮｳﾄ ﾖｳﾛｳﾉｷ ｺｳﾊﾞｼﾐﾂｲ</t>
    <phoneticPr fontId="3"/>
  </si>
  <si>
    <t>ｶﾏﾀﾞｼｱﾏﾅｯﾄｳ･ｾﾞﾝｻﾞｲﾂﾒ</t>
    <phoneticPr fontId="3"/>
  </si>
  <si>
    <t>ｷｮｳﾄ ﾖｳﾛｳﾉｷ ｷｮｳﾉﾆｷﾞﾔ</t>
    <phoneticPr fontId="3"/>
  </si>
  <si>
    <t>ｶｺﾞｼﾏｹﾝｻﾝｸﾛﾌﾞﾀｼｬﾌﾞｼｬ</t>
    <phoneticPr fontId="3"/>
  </si>
  <si>
    <t>ｼﾌｸﾉﾖｳｼｮｸ ﾀｻﾞｷｼﾝﾔｾﾚｸ</t>
    <phoneticPr fontId="3"/>
  </si>
  <si>
    <t>ｽﾃｰｷﾔｻﾝﾉﾄｸｾﾝｳｼｾｲﾊﾝﾊﾞ</t>
    <phoneticPr fontId="3"/>
  </si>
  <si>
    <t>ｷｷﾉｸﾛｹﾞﾜｷﾞｭｳｲﾘﾊﾝﾊﾞｰｸ</t>
    <phoneticPr fontId="3"/>
  </si>
  <si>
    <t>ﾄｸｾﾝﾊﾑ･ﾔｷﾌﾞﾀ･ﾐｰﾄﾛｰﾌ3</t>
    <phoneticPr fontId="3"/>
  </si>
  <si>
    <t>ﾄｸｾﾝ(ﾛｰｽ･ﾓﾓ)ﾊﾑ･ﾔｷﾌﾞﾀ</t>
    <phoneticPr fontId="3"/>
  </si>
  <si>
    <t>ｶｺﾞｼﾏｺｳｼﾞｮｳｾｲｿﾞｳﾎﾜｲﾄ</t>
    <phoneticPr fontId="3"/>
  </si>
  <si>
    <t>ｻﾜﾔｶｼﾝｼｭｳｶﾙｲｻﾞﾜﾊﾞﾗｴﾃ</t>
    <phoneticPr fontId="3"/>
  </si>
  <si>
    <t>ｻﾜﾔｶｼﾝｼｭｳｶﾙｲｻﾞﾜﾊﾞﾗｴﾃ</t>
    <phoneticPr fontId="3"/>
  </si>
  <si>
    <t>ﾋｮｳｵﾝｼﾞｭｸｾｲ ｶﾝﾀﾝﾍﾞﾝﾘ</t>
    <phoneticPr fontId="3"/>
  </si>
  <si>
    <t>ﾋｮｳｵﾝｼﾞｭｸｾｲ ｻｲｷｮｳﾂｹｷ</t>
    <phoneticPr fontId="3"/>
  </si>
  <si>
    <t>ｷﾝﾀﾞｲｳﾏﾚﾏﾀﾞｲｿｳｻﾞｲﾂﾒｱ</t>
    <phoneticPr fontId="3"/>
  </si>
  <si>
    <t>ﾁｬｼﾛｸﾀﾞﾝ ﾖﾈﾀﾞｽｴﾋﾛｶﾝｼ</t>
    <phoneticPr fontId="3"/>
  </si>
  <si>
    <t>ｲｴﾓﾝ ｳｼﾞﾁｬﾃｨｰﾊﾞｯｸﾞｷﾞ</t>
    <phoneticPr fontId="3"/>
  </si>
  <si>
    <t>ﾋｮｳｵﾝｼﾞｭｸｾｲﾆｲｶﾞﾀｻﾝｺｼ</t>
    <phoneticPr fontId="3"/>
  </si>
  <si>
    <t>ﾕｷｸﾗﾋｮｳｵﾝｼﾞｭｸｾｲﾆｲｶﾞﾀ</t>
    <phoneticPr fontId="3"/>
  </si>
  <si>
    <t>ﾍﾞﾆｽﾞﾜｲｶﾞﾆｶﾝﾂﾞﾒ･ﾋﾞﾝﾂ</t>
    <phoneticPr fontId="3"/>
  </si>
  <si>
    <t>ｼｰﾙﾄﾞﾆｭｳｻﾝｷﾝｲﾘｱｼﾞﾂｹﾉ</t>
    <phoneticPr fontId="3"/>
  </si>
  <si>
    <t>ﾏｲｽｶﾞﾀｱｼﾞﾉﾘﾀｸｼﾞｮｳﾂﾒｱ</t>
    <phoneticPr fontId="3"/>
  </si>
  <si>
    <t>ﾁｮｯﾄｾﾞｲﾀｸﾅｺｰﾋｰﾃﾝｽﾃｨｯ</t>
    <phoneticPr fontId="3"/>
  </si>
  <si>
    <t>ｽﾃｨｯｸｶﾌｪｵﾚ&amp;ﾌﾞﾗｯｸｱｿｰﾄ</t>
    <phoneticPr fontId="3"/>
  </si>
  <si>
    <t>ﾈｽｶﾌｪ ﾌﾟﾚﾐｱﾑ ﾚｷﾞｭﾗｰｿ</t>
    <phoneticPr fontId="3"/>
  </si>
  <si>
    <t>ﾕｳｷｻｲﾊﾞｲｴｷｽﾄﾗﾊﾞｰｼﾞﾝｵ</t>
    <phoneticPr fontId="3"/>
  </si>
  <si>
    <t>ﾄﾝｷｯｷｷﾞｮｳｻﾞ(20ｺｲﾘ)2ﾊ</t>
    <phoneticPr fontId="3"/>
  </si>
  <si>
    <t>2直送</t>
    <rPh sb="1" eb="3">
      <t>チョクソウ</t>
    </rPh>
    <phoneticPr fontId="0"/>
  </si>
  <si>
    <t>インストア</t>
  </si>
  <si>
    <t>集金【直送】伝承献呈ギフト GMF-50</t>
    <phoneticPr fontId="3"/>
  </si>
  <si>
    <t>集金【直送】ウインターギフト WS-S</t>
    <phoneticPr fontId="3"/>
  </si>
  <si>
    <t>集金【直送】本格派ギフトセット NH-349</t>
    <phoneticPr fontId="3"/>
  </si>
  <si>
    <t>集金【直送】伝承献呈ギフト GMF-50</t>
  </si>
  <si>
    <t>集金【直送】オリーブオイル&amp;バラエティオイル OV-30A</t>
  </si>
  <si>
    <t>集金【直送】角煮卓袱まんじゅう豚まん詰合せ FMB-30NF</t>
  </si>
  <si>
    <t>集金【直送】北海道産牛ローストビーフ 4205-070001</t>
  </si>
  <si>
    <t>集金【直送】千本松牧場 ピュアミルクアイス P108011</t>
  </si>
  <si>
    <t>集金【直送】アサヤマ洋菓子芦屋フィナンシェ YJ-FAR12</t>
  </si>
  <si>
    <t>集金【直送】ウインターギフト WS-S</t>
  </si>
  <si>
    <t>集金【直送】養老軒 京のまるごと栗どら焼き YJ-MRW12</t>
  </si>
  <si>
    <t>集金【直送】養老軒 あまおう ごろっと苺大福 YF-LAW12</t>
  </si>
  <si>
    <t>集金【直送】香炉庵 彩りフルーツ大福 YF-AR12</t>
  </si>
  <si>
    <t>集金【直送】至福洋食 田崎セレクションギフト YOP-48</t>
  </si>
  <si>
    <t xml:space="preserve">集金【直送】ステーキ屋さん特選牛生ハンバーグ若草 </t>
  </si>
  <si>
    <t>集金【直送】本格派ギフトセット NH-349</t>
  </si>
  <si>
    <t>集金【直送】特選ハムやきぶたミートローフ3本 KN-423</t>
  </si>
  <si>
    <t>集金【直送】特選ロースももハムやきぶた3本 KN-526</t>
  </si>
  <si>
    <t>集金【直送】簡単便利なお魚惣菜ギフト（和） GOS-50S</t>
  </si>
  <si>
    <t>集金【直送】無着色明太子 106803</t>
  </si>
  <si>
    <t>集金【直送】茶師六段 宇治銘茶詰合せ MRY-503</t>
  </si>
  <si>
    <t>集金【直送】氷温熟成新潟産コシヒカリごはん 013426-1</t>
  </si>
  <si>
    <t>集金【直送】雪蔵氷温熟成新潟産こしひかり 150220-2</t>
  </si>
  <si>
    <t>集金【直送】味付海苔5種詰合せ TR-300</t>
  </si>
  <si>
    <t>集金【直送】贅沢な珈琲店スティックブラック ZST-30Y</t>
  </si>
  <si>
    <t>集金【直送】カフェオレブラックアソート BZT-50</t>
  </si>
  <si>
    <t>集金【直送】ネスカフェレギュラーコーヒー N50-AS</t>
  </si>
  <si>
    <t xml:space="preserve">集金【直送】100％ピュアジュース 飲み比べ8本 </t>
  </si>
  <si>
    <t>集金【直送】有機バージンオリーブオイル S130-496</t>
  </si>
  <si>
    <t>共通(直送)</t>
  </si>
  <si>
    <t>伊藤忠食品株式会社 ｷﾞﾌﾄ</t>
  </si>
  <si>
    <t>伊藤忠食品株式会社</t>
  </si>
  <si>
    <t>ﾁｮｸｿｳﾊｶﾀｼﾞﾄﾞﾘﾐｽﾞﾀｷｺﾗｰｹﾞﾝｾｯﾄ</t>
  </si>
  <si>
    <t>ﾁｮｸｿｳﾅｶﾞｻｷｶｸﾆｼｯﾎﾟｸﾏﾝｼﾞｭｳﾌﾞﾀﾏﾝﾂﾒｱﾜｾFMB-30NF</t>
  </si>
  <si>
    <t>ﾁｮｸｿｳｾﾝﾌｻﾐｯｸｽﾔｷ10ﾏｲﾆｭｳDK2</t>
  </si>
  <si>
    <t>ﾁｮｸｿｳﾊﾅﾌﾜﾝ9ｹﾆｭｳ</t>
  </si>
  <si>
    <t>ﾁｮｸｿｳﾀﾞｲﾜｶｴﾝﾍﾞﾆﾏﾄﾞﾝﾅMDO-60C</t>
  </si>
  <si>
    <t>ﾁｮｸｿｳﾋﾄｸﾁｱｲｽｾｯﾄ33ﾂﾌﾞ611N</t>
  </si>
  <si>
    <t>ﾁｮｸｿｳﾅｽﾁﾓﾄﾏﾂﾎﾞｸｼﾞｮｳﾋﾟｭｱﾐﾙｸｱｲｽ8ｺｾｯﾄP108011</t>
  </si>
  <si>
    <t>ﾁｮｸｿｳｱｼﾔｼｪﾌ･ｱｻﾔﾏﾖｳｶﾞｼｺｳﾎﾞｳｱｼﾔﾌｨﾅﾝｼｪYJ-FAR12</t>
  </si>
  <si>
    <t>ﾁｮｸｿｳｷｮｳﾄﾖｳﾛｳﾉｷｷｮｳﾉﾔｷﾓﾝﾌﾞﾗﾝYJ-KMW12</t>
  </si>
  <si>
    <t>ﾁｮｸｿｳｷｮｳﾄﾖｳﾛｳﾉｷｷｮｳﾉﾏﾙｺﾞﾄｸﾘﾄﾞﾗﾔｷYJ-MRW12</t>
  </si>
  <si>
    <t>ﾁｮｸｿｳｷｮｳﾄﾖｳﾛｳﾉｷﾊｶﾀｱﾏｵｳｺﾞﾛｯﾄｲﾁｺﾞﾀﾞｲﾌｸYF-LAW12</t>
  </si>
  <si>
    <t>ﾁｮｸｿｳﾖｺﾊﾏﾓﾄﾏﾁｺｳﾛｲｵﾘｲﾛﾄﾞﾘﾌﾙｰﾂﾀﾞｲﾌｸYF-AR12</t>
  </si>
  <si>
    <t>ﾁｮｸｿｳｷｮｳﾄﾖｳﾛｳﾉｷｺｳﾊﾞｼﾐﾂｲﾓﾊﾟﾌｪYF-SHT12</t>
  </si>
  <si>
    <t>ﾁｮｸｿｳｷｮｳﾄﾖｳﾛｳﾉｷｷｮｳﾉﾆｷﾞﾔｶｱﾗﾚYJ-NNB12</t>
  </si>
  <si>
    <t>ﾁｮｸｿｳｼﾌｸﾉﾖｳｼｮｸﾀｻﾞｷｼﾝﾔｾﾚｸｼｮﾝｷﾞﾌﾄYOP-48</t>
  </si>
  <si>
    <t>ﾁｮｸｿｳｽﾃｰｷﾔｻﾝﾉﾄｸｾﾝｳｼｾｲﾊﾝﾊﾞｰｸﾞﾜｶｸｻ</t>
  </si>
  <si>
    <t>ﾁｮｸｿｳｽﾃｰｷﾔｻﾝﾉﾛｰｽﾄﾋﾞｰﾌ</t>
  </si>
  <si>
    <t>ﾁｮｸｿｳﾋｮｳｵﾝｼﾞｭｸｾｲｶﾝﾀﾝﾍﾞﾝﾘﾅｵｻｶﾅｿｳｻﾞｲｷﾞﾌﾄ(ﾜ)GOS-50S</t>
  </si>
  <si>
    <t>ﾁｮｸｿｳﾋｮｳｵﾝｼﾞｭｸｾｲｻｲｷｮｳﾂｹｷﾞﾌﾄｾｯﾄ6ｷﾘSSK-30</t>
  </si>
  <si>
    <t>ﾁｮｸｿｳﾎｯｶｲﾄﾞｳﾎﾀﾃﾀﾞﾏﾚｲ</t>
  </si>
  <si>
    <t>ﾁｮｸｿｳｲﾎﾞﾉｲﾄﾃﾉﾌﾞｳﾄﾞﾝTU-30B</t>
  </si>
  <si>
    <t>ﾁｮｸｿｳｻﾇｷｳﾄﾞﾝｾﾄﾉｴﾝAUW-30</t>
  </si>
  <si>
    <t>ﾁｮｸｿｳﾁｬｼﾛｸﾀﾞﾝﾖﾈﾀﾞｽｴﾋﾛｶﾝｼｭｳｳｼﾞﾒｲﾁｬﾂﾒｱﾜｾMRY-503</t>
  </si>
  <si>
    <t>ﾁｮｸｿｳｲｴﾓﾝｳｼﾞﾁｬﾃｨｰﾊﾞｯｸﾞｷﾞﾌﾄEH-3A</t>
  </si>
  <si>
    <t>ﾁｮｸｿｳﾁｮｯﾄｾﾞｲﾀｸﾅｺｰﾋｰﾃﾝｽﾃｨｯｸﾌﾞﾗｯｸｷﾞﾌﾄZST-30Y</t>
  </si>
  <si>
    <t>ﾁｮｸｿｳﾈｽｶﾌｪﾌﾟﾚﾐｱﾑﾚｷﾞｭﾗｰｿﾘｭﾌﾞﾙｺｰﾋｰｷﾞﾌﾄN50-AS</t>
  </si>
  <si>
    <t>ﾁｮｸｿｳ100%ﾋﾟｭｱｼﾞｭｰｽﾉﾐｸﾗﾍﾞ8ﾎﾝ</t>
  </si>
  <si>
    <t>ﾊｶﾀｼﾞﾄﾞﾘﾐｽﾞﾀｷｺﾗｰｹﾞﾝ</t>
  </si>
  <si>
    <t>ｾﾝﾌｻﾐｯｸｽﾔｷ10ﾏｲﾆｭｳ</t>
  </si>
  <si>
    <t>花麩椀9ケ入</t>
  </si>
  <si>
    <t>ﾐｸﾆｾｲｿﾞｳｽｲｼｮｳﾋﾝﾄｶﾁｺ</t>
  </si>
  <si>
    <t>ﾀﾞｲﾜｶｴﾝﾍﾞﾆﾏﾄﾞﾝﾅ</t>
  </si>
  <si>
    <t>ﾋﾄｸﾁｱｲｽｾｯﾄ33ﾂﾌﾞ</t>
  </si>
  <si>
    <t>ﾅｽﾁﾓﾄﾏﾂﾎﾞｸｼﾞｮｳﾋﾟｭｱﾐ</t>
  </si>
  <si>
    <t>ｷｮｳﾄﾖｳﾛｳﾉｷｷｮｳﾉﾔｷﾓﾝ</t>
  </si>
  <si>
    <t>ｷｮｳﾄﾖｳﾛｳﾉｷｷｮｳﾉﾏﾙｺﾞ</t>
  </si>
  <si>
    <t>ｷｮｳﾄﾖｳﾛｳﾉｷﾊｶﾀｱﾏｵｳ</t>
  </si>
  <si>
    <t>ﾖｺﾊﾏﾓﾄﾏﾁｺｳﾛｲｵﾘｲﾛﾄﾞ</t>
  </si>
  <si>
    <t>ｷｮｳﾄﾖｳﾛｳﾉｷｺｳﾊﾞｼﾐﾂｲ</t>
  </si>
  <si>
    <t>ｷｮｳﾄﾖｳﾛｳﾉｷｷｮｳﾉﾆｷﾞﾔ</t>
  </si>
  <si>
    <t>ｼﾌｸﾉﾖｳｼｮｸﾀｻﾞｷｼﾝﾔｾﾚｸ</t>
  </si>
  <si>
    <t>ｽﾃｰｷﾔｻﾝﾉﾛｰｽﾄﾋﾞｰﾌ</t>
  </si>
  <si>
    <t>ﾋｮｳｵﾝｼﾞｭｸｾｲｶﾝﾀﾝﾍﾞﾝﾘ</t>
  </si>
  <si>
    <t>ﾋｮｳｵﾝｼﾞｭｸｾｲｻｲｷｮｳﾂｹｷ</t>
  </si>
  <si>
    <t>北海道帆立玉冷</t>
  </si>
  <si>
    <t>揖保乃糸手延うどん</t>
  </si>
  <si>
    <t>讃岐うどん瀬戸の宴</t>
  </si>
  <si>
    <t>ﾁｬｼﾛｸﾀﾞﾝﾖﾈﾀﾞｽｴﾋﾛｶﾝｼ</t>
  </si>
  <si>
    <t>ｲｴﾓﾝｳｼﾞﾁｬﾃｨｰﾊﾞｯｸﾞｷﾞ</t>
  </si>
  <si>
    <t>ﾈｽｶﾌｪﾌﾟﾚﾐｱﾑﾚｷﾞｭﾗｰｿ</t>
  </si>
  <si>
    <t>ﾊﾅﾌﾜﾝ9ｹﾆｭｳ</t>
  </si>
  <si>
    <t>ﾎｯｶｲﾄﾞｳﾎﾀﾃﾀﾞﾏﾚｲ</t>
  </si>
  <si>
    <t>ｲﾎﾞﾉｲﾄﾃﾉﾌﾞｳﾄﾞﾝ</t>
  </si>
  <si>
    <t>ｻﾇｷｳﾄﾞﾝｾﾄﾉｴﾝ</t>
  </si>
  <si>
    <t>商品コード</t>
  </si>
  <si>
    <t>部署コード</t>
  </si>
  <si>
    <t>仕入先コード</t>
  </si>
  <si>
    <t>単価（バラ）</t>
  </si>
  <si>
    <t>変更日</t>
  </si>
  <si>
    <t>帳合先コード</t>
  </si>
  <si>
    <t>発注先コード</t>
  </si>
  <si>
    <t>ロット区分</t>
  </si>
  <si>
    <t>適用期間FROM</t>
  </si>
  <si>
    <t>適用期間TO</t>
  </si>
  <si>
    <t>発注単位</t>
  </si>
  <si>
    <t>発注停止</t>
  </si>
  <si>
    <t>基本区分</t>
  </si>
  <si>
    <t>生販（バラ）</t>
  </si>
  <si>
    <t>卸（バラ）</t>
  </si>
  <si>
    <t>小売（バラ）</t>
  </si>
  <si>
    <t>R1（バラ）</t>
  </si>
  <si>
    <t>R2（バラ）</t>
  </si>
  <si>
    <t>R3（バラ）</t>
  </si>
  <si>
    <t>N1（バラ）</t>
  </si>
  <si>
    <t>問屋リベート（バラ）</t>
  </si>
  <si>
    <t>メーカーリベート（バラ）</t>
  </si>
  <si>
    <t>寄贈品（バラ）</t>
  </si>
  <si>
    <t>不良品（バラ）</t>
  </si>
  <si>
    <t>変更日付</t>
  </si>
  <si>
    <t>2024年お歳暮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</si>
</sst>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;[Red]\-#,##0\ "/>
    <numFmt numFmtId="177" formatCode="yyyy/m/d;@"/>
    <numFmt numFmtId="178" formatCode="000000000"/>
    <numFmt numFmtId="179" formatCode="0_ "/>
    <numFmt numFmtId="180" formatCode="0.00_ "/>
  </numFmts>
  <fonts count="2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6"/>
      <name val="游ゴシック"/>
      <family val="3"/>
      <charset val="128"/>
    </font>
    <font>
      <b/>
      <sz val="11"/>
      <color indexed="54"/>
      <name val="游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70C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6"/>
      <color indexed="81"/>
      <name val="MS P ゴシック"/>
      <family val="3"/>
      <charset val="128"/>
    </font>
    <font>
      <b/>
      <sz val="12"/>
      <color indexed="81"/>
      <name val="MS P 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7" fillId="0" borderId="0"/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/>
  </cellStyleXfs>
  <cellXfs count="14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shrinkToFit="1"/>
    </xf>
    <xf numFmtId="176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/>
    <xf numFmtId="176" fontId="4" fillId="0" borderId="1" xfId="0" applyNumberFormat="1" applyFont="1" applyBorder="1">
      <alignment vertical="center"/>
    </xf>
    <xf numFmtId="0" fontId="4" fillId="2" borderId="1" xfId="0" applyFont="1" applyFill="1" applyBorder="1" applyAlignment="1"/>
    <xf numFmtId="0" fontId="4" fillId="2" borderId="0" xfId="0" applyFont="1" applyFill="1">
      <alignment vertical="center"/>
    </xf>
    <xf numFmtId="176" fontId="4" fillId="2" borderId="1" xfId="0" applyNumberFormat="1" applyFont="1" applyFill="1" applyBorder="1">
      <alignment vertical="center"/>
    </xf>
    <xf numFmtId="0" fontId="4" fillId="0" borderId="2" xfId="0" applyFont="1" applyBorder="1" applyAlignment="1">
      <alignment horizontal="center" vertical="center" wrapText="1"/>
    </xf>
    <xf numFmtId="0" fontId="7" fillId="0" borderId="2" xfId="1" quotePrefix="1" applyBorder="1" applyAlignment="1">
      <alignment horizontal="center" vertical="center" wrapText="1"/>
    </xf>
    <xf numFmtId="176" fontId="7" fillId="0" borderId="2" xfId="1" quotePrefix="1" applyNumberForma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/>
    <xf numFmtId="176" fontId="11" fillId="4" borderId="2" xfId="1" quotePrefix="1" applyNumberFormat="1" applyFont="1" applyFill="1" applyBorder="1" applyAlignment="1">
      <alignment horizontal="center" vertical="center" wrapText="1"/>
    </xf>
    <xf numFmtId="176" fontId="10" fillId="4" borderId="2" xfId="1" quotePrefix="1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/>
    <xf numFmtId="0" fontId="10" fillId="4" borderId="1" xfId="0" applyFont="1" applyFill="1" applyBorder="1" applyAlignment="1"/>
    <xf numFmtId="176" fontId="12" fillId="4" borderId="2" xfId="1" quotePrefix="1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/>
    <xf numFmtId="0" fontId="7" fillId="5" borderId="2" xfId="1" quotePrefix="1" applyFill="1" applyBorder="1" applyAlignment="1">
      <alignment horizontal="center" vertical="center" wrapText="1"/>
    </xf>
    <xf numFmtId="0" fontId="4" fillId="5" borderId="1" xfId="0" applyFont="1" applyFill="1" applyBorder="1" applyAlignment="1"/>
    <xf numFmtId="14" fontId="4" fillId="0" borderId="1" xfId="0" applyNumberFormat="1" applyFont="1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4" fillId="0" borderId="2" xfId="0" applyFont="1" applyBorder="1" applyAlignment="1">
      <alignment vertical="center" wrapText="1"/>
    </xf>
    <xf numFmtId="0" fontId="2" fillId="0" borderId="0" xfId="2" applyFont="1">
      <alignment vertical="center"/>
    </xf>
    <xf numFmtId="0" fontId="4" fillId="0" borderId="0" xfId="2" applyFo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0" borderId="1" xfId="1" quotePrefix="1" applyBorder="1" applyAlignment="1">
      <alignment horizontal="center" vertical="center" wrapText="1"/>
    </xf>
    <xf numFmtId="0" fontId="7" fillId="5" borderId="1" xfId="1" quotePrefix="1" applyFill="1" applyBorder="1" applyAlignment="1">
      <alignment horizontal="center" vertical="center" wrapText="1"/>
    </xf>
    <xf numFmtId="176" fontId="10" fillId="3" borderId="1" xfId="1" quotePrefix="1" applyNumberFormat="1" applyFont="1" applyFill="1" applyBorder="1" applyAlignment="1">
      <alignment horizontal="center" vertical="center" wrapText="1"/>
    </xf>
    <xf numFmtId="176" fontId="12" fillId="4" borderId="1" xfId="1" quotePrefix="1" applyNumberFormat="1" applyFont="1" applyFill="1" applyBorder="1" applyAlignment="1">
      <alignment horizontal="center" vertical="center" wrapText="1"/>
    </xf>
    <xf numFmtId="176" fontId="11" fillId="4" borderId="1" xfId="1" quotePrefix="1" applyNumberFormat="1" applyFont="1" applyFill="1" applyBorder="1" applyAlignment="1">
      <alignment horizontal="center" vertical="center" wrapText="1"/>
    </xf>
    <xf numFmtId="176" fontId="10" fillId="4" borderId="1" xfId="1" quotePrefix="1" applyNumberFormat="1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14" fontId="2" fillId="0" borderId="0" xfId="2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2" fillId="0" borderId="0" xfId="0" applyNumberFormat="1" applyFont="1">
      <alignment vertical="center"/>
    </xf>
    <xf numFmtId="176" fontId="4" fillId="0" borderId="2" xfId="0" applyNumberFormat="1" applyFont="1" applyBorder="1" applyAlignment="1">
      <alignment horizontal="center" vertical="center" wrapText="1"/>
    </xf>
    <xf numFmtId="176" fontId="4" fillId="0" borderId="2" xfId="2" applyNumberFormat="1" applyFont="1" applyBorder="1" applyAlignment="1">
      <alignment horizontal="center" vertical="center" wrapText="1"/>
    </xf>
    <xf numFmtId="0" fontId="10" fillId="0" borderId="1" xfId="0" applyFont="1" applyBorder="1" applyAlignment="1"/>
    <xf numFmtId="0" fontId="4" fillId="5" borderId="1" xfId="0" applyFont="1" applyFill="1" applyBorder="1" applyAlignment="1">
      <alignment horizontal="center" vertical="center" wrapText="1"/>
    </xf>
    <xf numFmtId="0" fontId="7" fillId="3" borderId="1" xfId="1" quotePrefix="1" applyFill="1" applyBorder="1" applyAlignment="1">
      <alignment horizontal="center" vertical="center" wrapText="1"/>
    </xf>
    <xf numFmtId="0" fontId="7" fillId="3" borderId="2" xfId="1" quotePrefix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179" fontId="4" fillId="0" borderId="1" xfId="0" applyNumberFormat="1" applyFont="1" applyBorder="1" applyAlignment="1"/>
    <xf numFmtId="49" fontId="4" fillId="0" borderId="0" xfId="0" applyNumberFormat="1" applyFont="1" applyAlignment="1">
      <alignment vertical="center" wrapText="1"/>
    </xf>
    <xf numFmtId="0" fontId="7" fillId="0" borderId="0" xfId="0" applyFont="1">
      <alignment vertical="center"/>
    </xf>
    <xf numFmtId="49" fontId="7" fillId="0" borderId="0" xfId="0" applyNumberFormat="1" applyFont="1" applyAlignment="1">
      <alignment vertical="center" wrapText="1"/>
    </xf>
    <xf numFmtId="0" fontId="7" fillId="0" borderId="1" xfId="0" applyFont="1" applyBorder="1" applyAlignment="1"/>
    <xf numFmtId="0" fontId="2" fillId="4" borderId="0" xfId="0" applyFont="1" applyFill="1">
      <alignment vertical="center"/>
    </xf>
    <xf numFmtId="0" fontId="4" fillId="4" borderId="0" xfId="0" applyFont="1" applyFill="1">
      <alignment vertical="center"/>
    </xf>
    <xf numFmtId="49" fontId="4" fillId="4" borderId="0" xfId="0" applyNumberFormat="1" applyFont="1" applyFill="1" applyAlignment="1">
      <alignment vertical="center" wrapText="1"/>
    </xf>
    <xf numFmtId="0" fontId="2" fillId="3" borderId="0" xfId="0" applyFont="1" applyFill="1">
      <alignment vertical="center"/>
    </xf>
    <xf numFmtId="0" fontId="4" fillId="3" borderId="0" xfId="0" applyFont="1" applyFill="1">
      <alignment vertical="center"/>
    </xf>
    <xf numFmtId="49" fontId="4" fillId="3" borderId="0" xfId="0" applyNumberFormat="1" applyFont="1" applyFill="1" applyAlignment="1">
      <alignment vertical="center" wrapText="1"/>
    </xf>
    <xf numFmtId="0" fontId="2" fillId="6" borderId="0" xfId="0" applyFont="1" applyFill="1">
      <alignment vertical="center"/>
    </xf>
    <xf numFmtId="0" fontId="2" fillId="6" borderId="0" xfId="2" applyFont="1" applyFill="1">
      <alignment vertical="center"/>
    </xf>
    <xf numFmtId="0" fontId="4" fillId="6" borderId="0" xfId="0" applyFont="1" applyFill="1">
      <alignment vertical="center"/>
    </xf>
    <xf numFmtId="49" fontId="4" fillId="6" borderId="0" xfId="0" applyNumberFormat="1" applyFont="1" applyFill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4" fillId="6" borderId="1" xfId="2" applyFont="1" applyFill="1" applyBorder="1" applyAlignment="1">
      <alignment vertical="center" wrapText="1"/>
    </xf>
    <xf numFmtId="0" fontId="4" fillId="6" borderId="1" xfId="0" applyFont="1" applyFill="1" applyBorder="1">
      <alignment vertical="center"/>
    </xf>
    <xf numFmtId="0" fontId="4" fillId="6" borderId="1" xfId="2" applyFont="1" applyFill="1" applyBorder="1">
      <alignment vertical="center"/>
    </xf>
    <xf numFmtId="176" fontId="7" fillId="6" borderId="1" xfId="1" quotePrefix="1" applyNumberFormat="1" applyFill="1" applyBorder="1" applyAlignment="1">
      <alignment horizontal="center" vertical="center" wrapText="1"/>
    </xf>
    <xf numFmtId="14" fontId="4" fillId="6" borderId="1" xfId="0" applyNumberFormat="1" applyFont="1" applyFill="1" applyBorder="1" applyAlignment="1">
      <alignment vertical="center" wrapText="1"/>
    </xf>
    <xf numFmtId="176" fontId="7" fillId="6" borderId="2" xfId="1" quotePrefix="1" applyNumberFormat="1" applyFill="1" applyBorder="1" applyAlignment="1">
      <alignment horizontal="center" vertical="center" wrapText="1"/>
    </xf>
    <xf numFmtId="0" fontId="4" fillId="6" borderId="1" xfId="0" applyFont="1" applyFill="1" applyBorder="1" applyAlignment="1"/>
    <xf numFmtId="0" fontId="4" fillId="0" borderId="2" xfId="2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2" xfId="2" applyFont="1" applyBorder="1" applyAlignment="1">
      <alignment horizontal="center" vertical="center" wrapText="1"/>
    </xf>
    <xf numFmtId="0" fontId="12" fillId="0" borderId="0" xfId="2" applyFont="1">
      <alignment vertical="center"/>
    </xf>
    <xf numFmtId="0" fontId="12" fillId="0" borderId="0" xfId="0" applyFont="1">
      <alignment vertical="center"/>
    </xf>
    <xf numFmtId="0" fontId="12" fillId="0" borderId="1" xfId="0" applyFont="1" applyBorder="1" applyAlignment="1"/>
    <xf numFmtId="0" fontId="2" fillId="7" borderId="0" xfId="0" applyFont="1" applyFill="1">
      <alignment vertical="center"/>
    </xf>
    <xf numFmtId="177" fontId="2" fillId="7" borderId="0" xfId="0" applyNumberFormat="1" applyFont="1" applyFill="1">
      <alignment vertical="center"/>
    </xf>
    <xf numFmtId="0" fontId="9" fillId="7" borderId="0" xfId="0" applyFont="1" applyFill="1">
      <alignment vertical="center"/>
    </xf>
    <xf numFmtId="177" fontId="9" fillId="7" borderId="0" xfId="0" applyNumberFormat="1" applyFont="1" applyFill="1">
      <alignment vertical="center"/>
    </xf>
    <xf numFmtId="178" fontId="9" fillId="7" borderId="0" xfId="0" applyNumberFormat="1" applyFont="1" applyFill="1">
      <alignment vertical="center"/>
    </xf>
    <xf numFmtId="0" fontId="4" fillId="7" borderId="0" xfId="0" applyFont="1" applyFill="1">
      <alignment vertical="center"/>
    </xf>
    <xf numFmtId="49" fontId="4" fillId="7" borderId="0" xfId="0" applyNumberFormat="1" applyFont="1" applyFill="1" applyAlignment="1">
      <alignment vertical="center" wrapText="1"/>
    </xf>
    <xf numFmtId="0" fontId="4" fillId="7" borderId="1" xfId="0" applyFont="1" applyFill="1" applyBorder="1" applyAlignment="1">
      <alignment horizontal="center" vertical="center" wrapText="1"/>
    </xf>
    <xf numFmtId="178" fontId="7" fillId="7" borderId="1" xfId="1" quotePrefix="1" applyNumberFormat="1" applyFill="1" applyBorder="1" applyAlignment="1">
      <alignment horizontal="center" vertical="center" wrapText="1"/>
    </xf>
    <xf numFmtId="177" fontId="7" fillId="7" borderId="1" xfId="1" quotePrefix="1" applyNumberFormat="1" applyFill="1" applyBorder="1" applyAlignment="1">
      <alignment horizontal="center" vertical="center" wrapText="1"/>
    </xf>
    <xf numFmtId="0" fontId="7" fillId="7" borderId="1" xfId="1" quotePrefix="1" applyFill="1" applyBorder="1" applyAlignment="1">
      <alignment horizontal="center" vertical="center" wrapText="1"/>
    </xf>
    <xf numFmtId="0" fontId="7" fillId="7" borderId="2" xfId="1" quotePrefix="1" applyFill="1" applyBorder="1" applyAlignment="1">
      <alignment horizontal="center" vertical="center" wrapText="1"/>
    </xf>
    <xf numFmtId="177" fontId="7" fillId="7" borderId="2" xfId="1" quotePrefix="1" applyNumberFormat="1" applyFill="1" applyBorder="1" applyAlignment="1">
      <alignment horizontal="center" vertical="center" wrapText="1"/>
    </xf>
    <xf numFmtId="178" fontId="7" fillId="7" borderId="2" xfId="1" quotePrefix="1" applyNumberFormat="1" applyFill="1" applyBorder="1" applyAlignment="1">
      <alignment horizontal="center" vertical="center" wrapText="1"/>
    </xf>
    <xf numFmtId="0" fontId="4" fillId="7" borderId="1" xfId="0" applyFont="1" applyFill="1" applyBorder="1" applyAlignment="1"/>
    <xf numFmtId="177" fontId="4" fillId="7" borderId="1" xfId="0" applyNumberFormat="1" applyFont="1" applyFill="1" applyBorder="1" applyAlignment="1"/>
    <xf numFmtId="178" fontId="4" fillId="7" borderId="1" xfId="0" applyNumberFormat="1" applyFont="1" applyFill="1" applyBorder="1" applyAlignment="1"/>
    <xf numFmtId="177" fontId="4" fillId="7" borderId="0" xfId="0" applyNumberFormat="1" applyFont="1" applyFill="1">
      <alignment vertical="center"/>
    </xf>
    <xf numFmtId="178" fontId="4" fillId="7" borderId="0" xfId="0" applyNumberFormat="1" applyFont="1" applyFill="1">
      <alignment vertical="center"/>
    </xf>
    <xf numFmtId="14" fontId="10" fillId="0" borderId="0" xfId="0" applyNumberFormat="1" applyFont="1" applyAlignment="1">
      <alignment horizontal="left" vertical="center"/>
    </xf>
    <xf numFmtId="14" fontId="4" fillId="7" borderId="1" xfId="0" applyNumberFormat="1" applyFont="1" applyFill="1" applyBorder="1" applyAlignment="1"/>
    <xf numFmtId="0" fontId="4" fillId="7" borderId="0" xfId="0" applyFont="1" applyFill="1" applyAlignment="1">
      <alignment vertical="center" shrinkToFit="1"/>
    </xf>
    <xf numFmtId="0" fontId="2" fillId="7" borderId="0" xfId="2" applyFont="1" applyFill="1">
      <alignment vertical="center"/>
    </xf>
    <xf numFmtId="0" fontId="18" fillId="0" borderId="0" xfId="3" applyFont="1" applyAlignment="1">
      <alignment vertical="center" wrapText="1"/>
    </xf>
    <xf numFmtId="0" fontId="18" fillId="0" borderId="0" xfId="4" applyFont="1" applyAlignment="1">
      <alignment vertical="center" wrapText="1"/>
    </xf>
    <xf numFmtId="0" fontId="18" fillId="0" borderId="0" xfId="3" applyFont="1">
      <alignment vertical="center"/>
    </xf>
    <xf numFmtId="0" fontId="18" fillId="0" borderId="0" xfId="4" applyFont="1">
      <alignment vertical="center"/>
    </xf>
    <xf numFmtId="0" fontId="18" fillId="0" borderId="0" xfId="4" quotePrefix="1" applyFont="1">
      <alignment vertical="center"/>
    </xf>
    <xf numFmtId="0" fontId="18" fillId="0" borderId="0" xfId="5" applyFont="1">
      <alignment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2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>
      <alignment horizontal="center" vertical="center" wrapText="1"/>
    </xf>
    <xf numFmtId="0" fontId="4" fillId="8" borderId="0" xfId="0" applyFont="1" applyFill="1">
      <alignment vertical="center"/>
    </xf>
    <xf numFmtId="14" fontId="4" fillId="0" borderId="0" xfId="0" applyNumberFormat="1" applyFont="1">
      <alignment vertical="center"/>
    </xf>
    <xf numFmtId="0" fontId="4" fillId="5" borderId="2" xfId="0" applyFont="1" applyFill="1" applyBorder="1" applyAlignment="1">
      <alignment horizontal="center" vertical="center" wrapText="1"/>
    </xf>
    <xf numFmtId="0" fontId="18" fillId="5" borderId="0" xfId="3" applyFont="1" applyFill="1" applyAlignment="1">
      <alignment vertical="center" wrapText="1"/>
    </xf>
    <xf numFmtId="0" fontId="9" fillId="3" borderId="0" xfId="0" applyFont="1" applyFill="1">
      <alignment vertical="center"/>
    </xf>
    <xf numFmtId="0" fontId="18" fillId="7" borderId="0" xfId="3" applyFont="1" applyFill="1">
      <alignment vertical="center"/>
    </xf>
    <xf numFmtId="14" fontId="4" fillId="0" borderId="1" xfId="0" applyNumberFormat="1" applyFont="1" applyBorder="1">
      <alignment vertical="center"/>
    </xf>
    <xf numFmtId="14" fontId="12" fillId="0" borderId="1" xfId="0" applyNumberFormat="1" applyFont="1" applyBorder="1" applyAlignment="1"/>
    <xf numFmtId="0" fontId="7" fillId="0" borderId="1" xfId="6" applyBorder="1" applyAlignment="1" applyProtection="1">
      <alignment vertical="center"/>
      <protection locked="0"/>
    </xf>
    <xf numFmtId="180" fontId="4" fillId="0" borderId="1" xfId="0" applyNumberFormat="1" applyFont="1" applyBorder="1" applyAlignment="1"/>
    <xf numFmtId="49" fontId="18" fillId="0" borderId="0" xfId="3" applyNumberFormat="1" applyFont="1">
      <alignment vertical="center"/>
    </xf>
    <xf numFmtId="0" fontId="18" fillId="6" borderId="0" xfId="3" applyFont="1" applyFill="1">
      <alignment vertical="center"/>
    </xf>
    <xf numFmtId="14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0" fontId="4" fillId="7" borderId="0" xfId="2" applyFont="1" applyFill="1">
      <alignment vertical="center"/>
    </xf>
    <xf numFmtId="0" fontId="4" fillId="7" borderId="0" xfId="2" applyFont="1" applyFill="1" applyAlignment="1">
      <alignment horizontal="center" vertical="center"/>
    </xf>
    <xf numFmtId="0" fontId="4" fillId="6" borderId="0" xfId="2" applyFont="1" applyFill="1">
      <alignment vertical="center"/>
    </xf>
    <xf numFmtId="0" fontId="9" fillId="0" borderId="0" xfId="0" applyFont="1">
      <alignment vertical="center"/>
    </xf>
    <xf numFmtId="0" fontId="7" fillId="0" borderId="0" xfId="2" applyFont="1">
      <alignment vertical="center"/>
    </xf>
    <xf numFmtId="0" fontId="4" fillId="3" borderId="0" xfId="2" applyFont="1" applyFill="1">
      <alignment vertical="center"/>
    </xf>
    <xf numFmtId="56" fontId="4" fillId="0" borderId="1" xfId="0" applyNumberFormat="1" applyFont="1" applyBorder="1">
      <alignment vertical="center"/>
    </xf>
    <xf numFmtId="0" fontId="7" fillId="0" borderId="0" xfId="1" quotePrefix="1" applyAlignment="1">
      <alignment horizontal="center" vertical="center"/>
    </xf>
    <xf numFmtId="0" fontId="4" fillId="0" borderId="0" xfId="0" applyFont="1" applyAlignment="1"/>
    <xf numFmtId="0" fontId="7" fillId="0" borderId="0" xfId="1" quotePrefix="1" applyAlignment="1">
      <alignment vertical="center"/>
    </xf>
    <xf numFmtId="0" fontId="7" fillId="0" borderId="0" xfId="0" applyFont="1" applyAlignment="1"/>
    <xf numFmtId="0" fontId="10" fillId="0" borderId="0" xfId="0" applyFont="1" applyAlignment="1"/>
    <xf numFmtId="14" fontId="4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7">
    <cellStyle name="0,0_x000d__x000a_NA_x000d__x000a_" xfId="1" xr:uid="{00000000-0005-0000-0000-000000000000}"/>
    <cellStyle name="標準" xfId="0" builtinId="0"/>
    <cellStyle name="標準 2" xfId="4" xr:uid="{00000000-0005-0000-0000-000002000000}"/>
    <cellStyle name="標準 3" xfId="2" xr:uid="{00000000-0005-0000-0000-000003000000}"/>
    <cellStyle name="標準_★浅野井さんへ＿商品マスタメンテナンス登録申請書_20160422" xfId="6" xr:uid="{00000000-0005-0000-0000-000004000000}"/>
    <cellStyle name="標準_改定中＿商品マスタメンテナンス登録申請書_20160325_ｖ1.2" xfId="3" xr:uid="{00000000-0005-0000-0000-000005000000}"/>
    <cellStyle name="標準_改定中＿商品マスタメンテナンス登録申請書_20160325_ｖ1.2_【酒】商品マスタ登録申請書_ｖ1.0 ﾜｲﾝ" xfId="5" xr:uid="{00000000-0005-0000-0000-000006000000}"/>
  </cellStyles>
  <dxfs count="7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1033922</xdr:colOff>
      <xdr:row>1</xdr:row>
      <xdr:rowOff>76944</xdr:rowOff>
    </xdr:from>
    <xdr:ext cx="3647152" cy="1251048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24985" y="243632"/>
          <a:ext cx="3647152" cy="125104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※</a:t>
          </a:r>
          <a:r>
            <a:rPr lang="ja-JP" altLang="en-US" sz="54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サンプル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38100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0</xdr:rowOff>
        </xdr:from>
        <xdr:to>
          <xdr:col>6</xdr:col>
          <xdr:colOff>419100</xdr:colOff>
          <xdr:row>2</xdr:row>
          <xdr:rowOff>38100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0</xdr:rowOff>
        </xdr:from>
        <xdr:to>
          <xdr:col>6</xdr:col>
          <xdr:colOff>419100</xdr:colOff>
          <xdr:row>3</xdr:row>
          <xdr:rowOff>38100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2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2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3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3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419100</xdr:colOff>
          <xdr:row>1</xdr:row>
          <xdr:rowOff>38100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4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8</xdr:col>
          <xdr:colOff>419100</xdr:colOff>
          <xdr:row>1</xdr:row>
          <xdr:rowOff>30480</xdr:rowOff>
        </xdr:to>
        <xdr:sp macro="" textlink="">
          <xdr:nvSpPr>
            <xdr:cNvPr id="43059" name="Check Box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4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2</xdr:col>
          <xdr:colOff>304800</xdr:colOff>
          <xdr:row>0</xdr:row>
          <xdr:rowOff>213360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3</xdr:col>
          <xdr:colOff>304800</xdr:colOff>
          <xdr:row>0</xdr:row>
          <xdr:rowOff>213360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NANDEMOKUN_M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NANDEMOKUN_MT"/>
    </sheetNames>
    <definedNames>
      <definedName name="POS_BT"/>
      <definedName name="sBtoCキャッチコピー"/>
      <definedName name="sBtoCひとこと"/>
      <definedName name="sBtoC商品説明"/>
      <definedName name="sITFコード"/>
      <definedName name="s商品名"/>
      <definedName name="s直送品納品リードタイム"/>
      <definedName name="s容量"/>
      <definedName name="tメーカー名"/>
      <definedName name="t仕入先名"/>
      <definedName name="T担当者"/>
      <definedName name="t発注先名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G165"/>
  <sheetViews>
    <sheetView zoomScale="80" zoomScaleNormal="80" workbookViewId="0">
      <selection activeCell="AV23" sqref="AV23"/>
    </sheetView>
  </sheetViews>
  <sheetFormatPr defaultColWidth="9" defaultRowHeight="13.2"/>
  <cols>
    <col min="1" max="4" width="5.6640625" style="2" customWidth="1"/>
    <col min="5" max="5" width="9.6640625" style="2" customWidth="1"/>
    <col min="6" max="6" width="5.6640625" style="2" customWidth="1"/>
    <col min="7" max="7" width="9.6640625" style="5" customWidth="1"/>
    <col min="8" max="8" width="9" style="5"/>
    <col min="9" max="9" width="5" style="2" customWidth="1"/>
    <col min="10" max="10" width="84.21875" style="2" customWidth="1"/>
    <col min="11" max="11" width="5.6640625" style="3" customWidth="1"/>
    <col min="12" max="12" width="50.6640625" style="2" customWidth="1"/>
    <col min="13" max="13" width="5.6640625" style="3" customWidth="1"/>
    <col min="14" max="14" width="50.6640625" style="2" customWidth="1"/>
    <col min="15" max="15" width="5.6640625" style="3" customWidth="1"/>
    <col min="16" max="16" width="25.6640625" style="2" customWidth="1"/>
    <col min="17" max="17" width="5.6640625" style="3" customWidth="1"/>
    <col min="18" max="18" width="25.6640625" style="2" customWidth="1"/>
    <col min="19" max="19" width="6.6640625" style="2" customWidth="1"/>
    <col min="20" max="20" width="10.109375" style="2" bestFit="1" customWidth="1"/>
    <col min="21" max="44" width="6.6640625" style="2" customWidth="1"/>
    <col min="45" max="45" width="9" style="2" customWidth="1"/>
    <col min="46" max="46" width="6.6640625" style="2" customWidth="1"/>
    <col min="47" max="47" width="8.88671875" style="5" customWidth="1"/>
    <col min="48" max="48" width="16.77734375" style="5" bestFit="1" customWidth="1"/>
    <col min="49" max="52" width="5.6640625" style="2" customWidth="1"/>
    <col min="53" max="53" width="8.88671875" style="5" customWidth="1"/>
    <col min="54" max="54" width="16.77734375" style="5" bestFit="1" customWidth="1"/>
    <col min="55" max="64" width="5.6640625" style="2" customWidth="1"/>
    <col min="65" max="65" width="10" style="2" bestFit="1" customWidth="1"/>
    <col min="66" max="69" width="5.6640625" style="2" customWidth="1"/>
    <col min="70" max="70" width="8.44140625" style="2" customWidth="1"/>
    <col min="71" max="73" width="13.6640625" style="2" customWidth="1"/>
    <col min="74" max="74" width="5.6640625" style="2" customWidth="1"/>
    <col min="75" max="76" width="11.21875" style="2" bestFit="1" customWidth="1"/>
    <col min="77" max="85" width="5.6640625" style="2" customWidth="1"/>
    <col min="86" max="86" width="8.6640625" style="2" customWidth="1"/>
    <col min="87" max="87" width="22.109375" style="2" bestFit="1" customWidth="1"/>
    <col min="88" max="99" width="5.6640625" style="2" customWidth="1"/>
    <col min="100" max="101" width="15" style="2" customWidth="1"/>
    <col min="102" max="133" width="5.6640625" style="2" customWidth="1"/>
    <col min="134" max="134" width="10.6640625" style="2" customWidth="1"/>
    <col min="135" max="135" width="20.44140625" style="2" bestFit="1" customWidth="1"/>
    <col min="136" max="136" width="5.6640625" style="2" customWidth="1"/>
    <col min="137" max="137" width="16.109375" style="2" customWidth="1"/>
    <col min="138" max="16384" width="9" style="2"/>
  </cols>
  <sheetData>
    <row r="2" spans="1:137"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</row>
    <row r="3" spans="1:137"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</row>
    <row r="4" spans="1:137"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</row>
    <row r="5" spans="1:137"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</row>
    <row r="6" spans="1:137"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</row>
    <row r="7" spans="1:137"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</row>
    <row r="8" spans="1:137"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</row>
    <row r="9" spans="1:137"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</row>
    <row r="10" spans="1:137">
      <c r="A10" s="2" t="s">
        <v>2231</v>
      </c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</row>
    <row r="11" spans="1:137" s="15" customFormat="1">
      <c r="A11" s="35"/>
      <c r="B11" s="35"/>
      <c r="C11" s="35"/>
      <c r="D11" s="35"/>
      <c r="E11" s="35"/>
      <c r="F11" s="35"/>
      <c r="G11" s="34"/>
      <c r="H11" s="34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6"/>
      <c r="V11" s="35"/>
      <c r="W11" s="35"/>
      <c r="X11" s="36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4"/>
      <c r="AV11" s="34"/>
      <c r="AW11" s="35"/>
      <c r="AX11" s="35"/>
      <c r="AY11" s="35"/>
      <c r="AZ11" s="35"/>
      <c r="BA11" s="34"/>
      <c r="BB11" s="34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</row>
    <row r="12" spans="1:137" s="113" customFormat="1" ht="79.2">
      <c r="A12" s="13" t="s">
        <v>1431</v>
      </c>
      <c r="B12" s="13" t="s">
        <v>1410</v>
      </c>
      <c r="C12" s="13" t="s">
        <v>1403</v>
      </c>
      <c r="D12" s="13" t="s">
        <v>1402</v>
      </c>
      <c r="E12" s="13" t="s">
        <v>1433</v>
      </c>
      <c r="F12" s="13" t="s">
        <v>1430</v>
      </c>
      <c r="G12" s="12" t="s">
        <v>1</v>
      </c>
      <c r="H12" s="12" t="s">
        <v>478</v>
      </c>
      <c r="I12" s="13" t="s">
        <v>479</v>
      </c>
      <c r="J12" s="13" t="s">
        <v>484</v>
      </c>
      <c r="K12" s="13" t="s">
        <v>479</v>
      </c>
      <c r="L12" s="13" t="s">
        <v>2011</v>
      </c>
      <c r="M12" s="13" t="s">
        <v>479</v>
      </c>
      <c r="N12" s="13" t="s">
        <v>481</v>
      </c>
      <c r="O12" s="13" t="s">
        <v>479</v>
      </c>
      <c r="P12" s="13" t="s">
        <v>482</v>
      </c>
      <c r="Q12" s="13" t="s">
        <v>479</v>
      </c>
      <c r="R12" s="13" t="s">
        <v>483</v>
      </c>
      <c r="S12" s="13" t="s">
        <v>485</v>
      </c>
      <c r="T12" s="13" t="s">
        <v>4</v>
      </c>
      <c r="U12" s="27" t="s">
        <v>1413</v>
      </c>
      <c r="V12" s="13" t="s">
        <v>486</v>
      </c>
      <c r="W12" s="13" t="s">
        <v>487</v>
      </c>
      <c r="X12" s="27" t="s">
        <v>1411</v>
      </c>
      <c r="Y12" s="13" t="s">
        <v>488</v>
      </c>
      <c r="Z12" s="13" t="s">
        <v>489</v>
      </c>
      <c r="AA12" s="13" t="s">
        <v>490</v>
      </c>
      <c r="AB12" s="13" t="s">
        <v>491</v>
      </c>
      <c r="AC12" s="13" t="s">
        <v>492</v>
      </c>
      <c r="AD12" s="13" t="s">
        <v>493</v>
      </c>
      <c r="AE12" s="13" t="s">
        <v>494</v>
      </c>
      <c r="AF12" s="13" t="s">
        <v>495</v>
      </c>
      <c r="AG12" s="13" t="s">
        <v>496</v>
      </c>
      <c r="AH12" s="13" t="s">
        <v>497</v>
      </c>
      <c r="AI12" s="13" t="s">
        <v>498</v>
      </c>
      <c r="AJ12" s="13" t="s">
        <v>499</v>
      </c>
      <c r="AK12" s="13" t="s">
        <v>500</v>
      </c>
      <c r="AL12" s="13" t="s">
        <v>501</v>
      </c>
      <c r="AM12" s="13" t="s">
        <v>502</v>
      </c>
      <c r="AN12" s="13" t="s">
        <v>503</v>
      </c>
      <c r="AO12" s="13" t="s">
        <v>504</v>
      </c>
      <c r="AP12" s="13" t="s">
        <v>505</v>
      </c>
      <c r="AQ12" s="13" t="s">
        <v>506</v>
      </c>
      <c r="AR12" s="13" t="s">
        <v>507</v>
      </c>
      <c r="AS12" s="13" t="s">
        <v>508</v>
      </c>
      <c r="AT12" s="13" t="s">
        <v>509</v>
      </c>
      <c r="AU12" s="12" t="s">
        <v>0</v>
      </c>
      <c r="AV12" s="12" t="s">
        <v>1397</v>
      </c>
      <c r="AW12" s="13" t="s">
        <v>510</v>
      </c>
      <c r="AX12" s="13" t="s">
        <v>511</v>
      </c>
      <c r="AY12" s="13" t="s">
        <v>512</v>
      </c>
      <c r="AZ12" s="13" t="s">
        <v>513</v>
      </c>
      <c r="BA12" s="12" t="s">
        <v>1396</v>
      </c>
      <c r="BB12" s="12" t="s">
        <v>1395</v>
      </c>
      <c r="BC12" s="13" t="s">
        <v>514</v>
      </c>
      <c r="BD12" s="13" t="s">
        <v>515</v>
      </c>
      <c r="BE12" s="13" t="s">
        <v>516</v>
      </c>
      <c r="BF12" s="13" t="s">
        <v>517</v>
      </c>
      <c r="BG12" s="13" t="s">
        <v>518</v>
      </c>
      <c r="BH12" s="13" t="s">
        <v>519</v>
      </c>
      <c r="BI12" s="13" t="s">
        <v>520</v>
      </c>
      <c r="BJ12" s="13" t="s">
        <v>521</v>
      </c>
      <c r="BK12" s="13" t="s">
        <v>522</v>
      </c>
      <c r="BL12" s="13" t="s">
        <v>523</v>
      </c>
      <c r="BM12" s="13" t="s">
        <v>524</v>
      </c>
      <c r="BN12" s="13" t="s">
        <v>525</v>
      </c>
      <c r="BO12" s="13" t="s">
        <v>526</v>
      </c>
      <c r="BP12" s="13" t="s">
        <v>527</v>
      </c>
      <c r="BQ12" s="13" t="s">
        <v>528</v>
      </c>
      <c r="BR12" s="13" t="s">
        <v>529</v>
      </c>
      <c r="BS12" s="13" t="s">
        <v>530</v>
      </c>
      <c r="BT12" s="13" t="s">
        <v>531</v>
      </c>
      <c r="BU12" s="13" t="s">
        <v>532</v>
      </c>
      <c r="BV12" s="13" t="s">
        <v>533</v>
      </c>
      <c r="BW12" s="13" t="s">
        <v>2000</v>
      </c>
      <c r="BX12" s="13" t="s">
        <v>2001</v>
      </c>
      <c r="BY12" s="13" t="s">
        <v>534</v>
      </c>
      <c r="BZ12" s="13" t="s">
        <v>535</v>
      </c>
      <c r="CA12" s="13" t="s">
        <v>536</v>
      </c>
      <c r="CB12" s="13" t="s">
        <v>537</v>
      </c>
      <c r="CC12" s="13" t="s">
        <v>538</v>
      </c>
      <c r="CD12" s="13" t="s">
        <v>539</v>
      </c>
      <c r="CE12" s="13" t="s">
        <v>540</v>
      </c>
      <c r="CF12" s="13" t="s">
        <v>541</v>
      </c>
      <c r="CG12" s="13" t="s">
        <v>542</v>
      </c>
      <c r="CH12" s="13" t="s">
        <v>543</v>
      </c>
      <c r="CI12" s="13" t="s">
        <v>2</v>
      </c>
      <c r="CJ12" s="13" t="s">
        <v>544</v>
      </c>
      <c r="CK12" s="13" t="s">
        <v>545</v>
      </c>
      <c r="CL12" s="13" t="s">
        <v>546</v>
      </c>
      <c r="CM12" s="13" t="s">
        <v>547</v>
      </c>
      <c r="CN12" s="13" t="s">
        <v>548</v>
      </c>
      <c r="CO12" s="13" t="s">
        <v>549</v>
      </c>
      <c r="CP12" s="13" t="s">
        <v>550</v>
      </c>
      <c r="CQ12" s="13" t="s">
        <v>551</v>
      </c>
      <c r="CR12" s="13" t="s">
        <v>552</v>
      </c>
      <c r="CS12" s="13" t="s">
        <v>553</v>
      </c>
      <c r="CT12" s="13" t="s">
        <v>554</v>
      </c>
      <c r="CU12" s="13" t="s">
        <v>555</v>
      </c>
      <c r="CV12" s="13" t="s">
        <v>1398</v>
      </c>
      <c r="CW12" s="13" t="s">
        <v>1399</v>
      </c>
      <c r="CX12" s="13" t="s">
        <v>556</v>
      </c>
      <c r="CY12" s="13" t="s">
        <v>557</v>
      </c>
      <c r="CZ12" s="13" t="s">
        <v>558</v>
      </c>
      <c r="DA12" s="13" t="s">
        <v>559</v>
      </c>
      <c r="DB12" s="13" t="s">
        <v>560</v>
      </c>
      <c r="DC12" s="13" t="s">
        <v>561</v>
      </c>
      <c r="DD12" s="13" t="s">
        <v>562</v>
      </c>
      <c r="DE12" s="13" t="s">
        <v>563</v>
      </c>
      <c r="DF12" s="13" t="s">
        <v>564</v>
      </c>
      <c r="DG12" s="13" t="s">
        <v>565</v>
      </c>
      <c r="DH12" s="13" t="s">
        <v>556</v>
      </c>
      <c r="DI12" s="13" t="s">
        <v>566</v>
      </c>
      <c r="DJ12" s="13" t="s">
        <v>567</v>
      </c>
      <c r="DK12" s="13" t="s">
        <v>568</v>
      </c>
      <c r="DL12" s="13" t="s">
        <v>1892</v>
      </c>
      <c r="DM12" s="13" t="s">
        <v>1415</v>
      </c>
      <c r="DN12" s="13" t="s">
        <v>569</v>
      </c>
      <c r="DO12" s="13" t="s">
        <v>570</v>
      </c>
      <c r="DP12" s="13" t="s">
        <v>2781</v>
      </c>
      <c r="DQ12" s="13" t="s">
        <v>571</v>
      </c>
      <c r="DR12" s="13" t="s">
        <v>572</v>
      </c>
      <c r="DS12" s="13" t="s">
        <v>573</v>
      </c>
      <c r="DT12" s="13" t="s">
        <v>574</v>
      </c>
      <c r="DU12" s="13" t="s">
        <v>575</v>
      </c>
      <c r="DV12" s="13" t="s">
        <v>576</v>
      </c>
      <c r="DW12" s="13" t="s">
        <v>577</v>
      </c>
      <c r="DX12" s="13" t="s">
        <v>578</v>
      </c>
      <c r="DY12" s="13" t="s">
        <v>579</v>
      </c>
      <c r="DZ12" s="13" t="s">
        <v>580</v>
      </c>
      <c r="EA12" s="13" t="s">
        <v>581</v>
      </c>
      <c r="EB12" s="13" t="s">
        <v>582</v>
      </c>
      <c r="EC12" s="13" t="s">
        <v>583</v>
      </c>
      <c r="ED12" s="13" t="s">
        <v>2782</v>
      </c>
      <c r="EE12" s="13" t="s">
        <v>2783</v>
      </c>
      <c r="EF12" s="13" t="s">
        <v>584</v>
      </c>
      <c r="EG12" s="13" t="s">
        <v>585</v>
      </c>
    </row>
    <row r="13" spans="1:137" ht="13.5" customHeight="1">
      <c r="A13" s="7">
        <v>1</v>
      </c>
      <c r="B13" s="7"/>
      <c r="C13" s="7"/>
      <c r="D13" s="7"/>
      <c r="E13" s="7" t="s">
        <v>6</v>
      </c>
      <c r="F13" s="7"/>
      <c r="G13" s="7">
        <v>353000</v>
      </c>
      <c r="H13" s="7" t="s">
        <v>613</v>
      </c>
      <c r="I13" s="7">
        <v>50</v>
      </c>
      <c r="J13" s="7" t="s">
        <v>7</v>
      </c>
      <c r="K13" s="7">
        <v>49</v>
      </c>
      <c r="L13" s="7" t="s">
        <v>2232</v>
      </c>
      <c r="M13" s="7">
        <v>38</v>
      </c>
      <c r="N13" s="7" t="s">
        <v>2233</v>
      </c>
      <c r="O13" s="7">
        <v>20</v>
      </c>
      <c r="P13" s="7" t="s">
        <v>2234</v>
      </c>
      <c r="Q13" s="7">
        <v>20</v>
      </c>
      <c r="R13" s="7" t="s">
        <v>2234</v>
      </c>
      <c r="S13" s="7" t="s">
        <v>617</v>
      </c>
      <c r="T13" s="7" t="s">
        <v>2235</v>
      </c>
      <c r="U13" s="28"/>
      <c r="V13" s="7">
        <v>6</v>
      </c>
      <c r="W13" s="7" t="s">
        <v>2236</v>
      </c>
      <c r="X13" s="28"/>
      <c r="Y13" s="7" t="s">
        <v>952</v>
      </c>
      <c r="Z13" s="7" t="s">
        <v>621</v>
      </c>
      <c r="AA13" s="7" t="s">
        <v>622</v>
      </c>
      <c r="AB13" s="7" t="s">
        <v>610</v>
      </c>
      <c r="AC13" s="7"/>
      <c r="AD13" s="7"/>
      <c r="AE13" s="7"/>
      <c r="AF13" s="7"/>
      <c r="AG13" s="7"/>
      <c r="AH13" s="7"/>
      <c r="AI13" s="7" t="s">
        <v>611</v>
      </c>
      <c r="AJ13" s="7" t="s">
        <v>623</v>
      </c>
      <c r="AK13" s="7">
        <v>10</v>
      </c>
      <c r="AL13" s="7">
        <v>9</v>
      </c>
      <c r="AM13" s="7" t="s">
        <v>624</v>
      </c>
      <c r="AN13" s="7" t="s">
        <v>625</v>
      </c>
      <c r="AO13" s="7" t="s">
        <v>626</v>
      </c>
      <c r="AP13" s="7" t="s">
        <v>627</v>
      </c>
      <c r="AQ13" s="7" t="s">
        <v>617</v>
      </c>
      <c r="AR13" s="7"/>
      <c r="AS13" s="7"/>
      <c r="AT13" s="7"/>
      <c r="AU13" s="6">
        <v>91003</v>
      </c>
      <c r="AV13" s="6" t="s">
        <v>5</v>
      </c>
      <c r="AW13" s="7"/>
      <c r="AX13" s="7"/>
      <c r="AY13" s="7"/>
      <c r="AZ13" s="7"/>
      <c r="BA13" s="6">
        <v>1214</v>
      </c>
      <c r="BB13" s="6" t="s">
        <v>2237</v>
      </c>
      <c r="BC13" s="7"/>
      <c r="BD13" s="7"/>
      <c r="BE13" s="7"/>
      <c r="BF13" s="7"/>
      <c r="BG13" s="7">
        <v>0</v>
      </c>
      <c r="BH13" s="7">
        <v>0</v>
      </c>
      <c r="BI13" s="7">
        <v>0</v>
      </c>
      <c r="BJ13" s="7">
        <v>10</v>
      </c>
      <c r="BK13" s="7">
        <v>0</v>
      </c>
      <c r="BL13" s="7">
        <v>10</v>
      </c>
      <c r="BM13" s="7" t="s">
        <v>2238</v>
      </c>
      <c r="BN13" s="7">
        <v>0</v>
      </c>
      <c r="BO13" s="7"/>
      <c r="BP13" s="7"/>
      <c r="BQ13" s="7">
        <v>0</v>
      </c>
      <c r="BR13" s="7">
        <v>380</v>
      </c>
      <c r="BS13" s="7" t="s">
        <v>629</v>
      </c>
      <c r="BT13" s="7" t="s">
        <v>2238</v>
      </c>
      <c r="BU13" s="7" t="s">
        <v>2239</v>
      </c>
      <c r="BV13" s="7">
        <v>0</v>
      </c>
      <c r="BW13" s="7" t="s">
        <v>2238</v>
      </c>
      <c r="BX13" s="7"/>
      <c r="BY13" s="7">
        <v>10001</v>
      </c>
      <c r="BZ13" s="7" t="s">
        <v>1414</v>
      </c>
      <c r="CA13" s="7" t="s">
        <v>2238</v>
      </c>
      <c r="CB13" s="7" t="s">
        <v>2239</v>
      </c>
      <c r="CC13" s="7"/>
      <c r="CD13" s="7"/>
      <c r="CE13" s="7"/>
      <c r="CF13" s="7" t="s">
        <v>2238</v>
      </c>
      <c r="CG13" s="7" t="s">
        <v>2239</v>
      </c>
      <c r="CH13" s="7">
        <v>3563</v>
      </c>
      <c r="CI13" s="7" t="s">
        <v>630</v>
      </c>
      <c r="CJ13" s="7"/>
      <c r="CK13" s="7"/>
      <c r="CL13" s="7"/>
      <c r="CM13" s="7"/>
      <c r="CN13" s="7">
        <v>0</v>
      </c>
      <c r="CO13" s="7"/>
      <c r="CP13" s="7"/>
      <c r="CQ13" s="7"/>
      <c r="CR13" s="7"/>
      <c r="CS13" s="7">
        <v>0</v>
      </c>
      <c r="CT13" s="7"/>
      <c r="CU13" s="7"/>
      <c r="CV13" s="7" t="s">
        <v>2240</v>
      </c>
      <c r="CW13" s="7" t="s">
        <v>2241</v>
      </c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126" t="e">
        <f>H13*(BT13/100)*0.8</f>
        <v>#VALUE!</v>
      </c>
      <c r="EE13" s="7" t="s">
        <v>2784</v>
      </c>
      <c r="EF13" s="7"/>
      <c r="EG13" s="7" t="e">
        <f ca="1">[1]!sITFコード(#REF!)</f>
        <v>#NAME?</v>
      </c>
    </row>
    <row r="14" spans="1:137" ht="13.5" customHeight="1">
      <c r="A14" s="7">
        <v>2</v>
      </c>
      <c r="B14" s="7"/>
      <c r="C14" s="7"/>
      <c r="D14" s="7"/>
      <c r="E14" s="7" t="s">
        <v>8</v>
      </c>
      <c r="F14" s="7"/>
      <c r="G14" s="7">
        <v>353001</v>
      </c>
      <c r="H14" s="7" t="s">
        <v>613</v>
      </c>
      <c r="I14" s="7">
        <v>46</v>
      </c>
      <c r="J14" s="7" t="s">
        <v>10</v>
      </c>
      <c r="K14" s="7">
        <v>47</v>
      </c>
      <c r="L14" s="7" t="s">
        <v>614</v>
      </c>
      <c r="M14" s="7">
        <v>36</v>
      </c>
      <c r="N14" s="7" t="s">
        <v>615</v>
      </c>
      <c r="O14" s="7">
        <v>18</v>
      </c>
      <c r="P14" s="7" t="s">
        <v>616</v>
      </c>
      <c r="Q14" s="7">
        <v>18</v>
      </c>
      <c r="R14" s="7" t="s">
        <v>616</v>
      </c>
      <c r="S14" s="7" t="s">
        <v>617</v>
      </c>
      <c r="T14" s="7" t="s">
        <v>618</v>
      </c>
      <c r="U14" s="28"/>
      <c r="V14" s="7">
        <v>6</v>
      </c>
      <c r="W14" s="7" t="s">
        <v>619</v>
      </c>
      <c r="X14" s="28"/>
      <c r="Y14" s="7" t="s">
        <v>620</v>
      </c>
      <c r="Z14" s="7" t="s">
        <v>621</v>
      </c>
      <c r="AA14" s="7" t="s">
        <v>622</v>
      </c>
      <c r="AB14" s="7" t="s">
        <v>610</v>
      </c>
      <c r="AC14" s="7"/>
      <c r="AD14" s="7"/>
      <c r="AE14" s="7"/>
      <c r="AF14" s="7"/>
      <c r="AG14" s="7"/>
      <c r="AH14" s="7"/>
      <c r="AI14" s="7" t="s">
        <v>611</v>
      </c>
      <c r="AJ14" s="7" t="s">
        <v>623</v>
      </c>
      <c r="AK14" s="7">
        <v>10</v>
      </c>
      <c r="AL14" s="7">
        <v>9</v>
      </c>
      <c r="AM14" s="7" t="s">
        <v>624</v>
      </c>
      <c r="AN14" s="7" t="s">
        <v>625</v>
      </c>
      <c r="AO14" s="7" t="s">
        <v>626</v>
      </c>
      <c r="AP14" s="7" t="s">
        <v>627</v>
      </c>
      <c r="AQ14" s="7" t="s">
        <v>617</v>
      </c>
      <c r="AR14" s="7"/>
      <c r="AS14" s="7"/>
      <c r="AT14" s="7"/>
      <c r="AU14" s="6">
        <v>91003</v>
      </c>
      <c r="AV14" s="6" t="s">
        <v>5</v>
      </c>
      <c r="AW14" s="7"/>
      <c r="AX14" s="7"/>
      <c r="AY14" s="7"/>
      <c r="AZ14" s="7"/>
      <c r="BA14" s="6">
        <v>1214</v>
      </c>
      <c r="BB14" s="6" t="s">
        <v>628</v>
      </c>
      <c r="BC14" s="7"/>
      <c r="BD14" s="7"/>
      <c r="BE14" s="7"/>
      <c r="BF14" s="7"/>
      <c r="BG14" s="7">
        <v>0</v>
      </c>
      <c r="BH14" s="7">
        <v>0</v>
      </c>
      <c r="BI14" s="7">
        <v>0</v>
      </c>
      <c r="BJ14" s="7">
        <v>10</v>
      </c>
      <c r="BK14" s="7">
        <v>0</v>
      </c>
      <c r="BL14" s="7">
        <v>10</v>
      </c>
      <c r="BM14" s="7"/>
      <c r="BN14" s="7">
        <v>0</v>
      </c>
      <c r="BO14" s="7"/>
      <c r="BP14" s="7"/>
      <c r="BQ14" s="7">
        <v>0</v>
      </c>
      <c r="BR14" s="7">
        <v>380</v>
      </c>
      <c r="BS14" s="7" t="s">
        <v>629</v>
      </c>
      <c r="BT14" s="7"/>
      <c r="BU14" s="7"/>
      <c r="BV14" s="7">
        <v>0</v>
      </c>
      <c r="BW14" s="7"/>
      <c r="BX14" s="7"/>
      <c r="BY14" s="7">
        <v>10001</v>
      </c>
      <c r="BZ14" s="7" t="s">
        <v>1414</v>
      </c>
      <c r="CA14" s="7"/>
      <c r="CB14" s="7"/>
      <c r="CC14" s="7"/>
      <c r="CD14" s="7"/>
      <c r="CE14" s="7"/>
      <c r="CF14" s="7"/>
      <c r="CG14" s="7"/>
      <c r="CH14" s="7">
        <v>3563</v>
      </c>
      <c r="CI14" s="7" t="s">
        <v>630</v>
      </c>
      <c r="CJ14" s="7"/>
      <c r="CK14" s="7"/>
      <c r="CL14" s="7"/>
      <c r="CM14" s="7"/>
      <c r="CN14" s="7">
        <v>0</v>
      </c>
      <c r="CO14" s="7"/>
      <c r="CP14" s="7"/>
      <c r="CQ14" s="7"/>
      <c r="CR14" s="7"/>
      <c r="CS14" s="7">
        <v>0</v>
      </c>
      <c r="CT14" s="7"/>
      <c r="CU14" s="7"/>
      <c r="CV14" s="7" t="s">
        <v>631</v>
      </c>
      <c r="CW14" s="7" t="s">
        <v>9</v>
      </c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126"/>
      <c r="EE14" s="7"/>
      <c r="EF14" s="7"/>
      <c r="EG14" s="7"/>
    </row>
    <row r="15" spans="1:137" ht="13.5" customHeight="1">
      <c r="A15" s="7">
        <v>3</v>
      </c>
      <c r="B15" s="7"/>
      <c r="C15" s="7"/>
      <c r="D15" s="7"/>
      <c r="E15" s="7" t="s">
        <v>11</v>
      </c>
      <c r="F15" s="7"/>
      <c r="G15" s="7">
        <v>353002</v>
      </c>
      <c r="H15" s="7" t="s">
        <v>613</v>
      </c>
      <c r="I15" s="7">
        <v>54</v>
      </c>
      <c r="J15" s="7" t="s">
        <v>13</v>
      </c>
      <c r="K15" s="7">
        <v>48</v>
      </c>
      <c r="L15" s="7" t="s">
        <v>632</v>
      </c>
      <c r="M15" s="7">
        <v>41</v>
      </c>
      <c r="N15" s="7" t="s">
        <v>633</v>
      </c>
      <c r="O15" s="7">
        <v>20</v>
      </c>
      <c r="P15" s="7" t="s">
        <v>634</v>
      </c>
      <c r="Q15" s="7">
        <v>20</v>
      </c>
      <c r="R15" s="7" t="s">
        <v>634</v>
      </c>
      <c r="S15" s="7" t="s">
        <v>617</v>
      </c>
      <c r="T15" s="7" t="s">
        <v>635</v>
      </c>
      <c r="U15" s="28"/>
      <c r="V15" s="7">
        <v>4</v>
      </c>
      <c r="W15" s="7" t="s">
        <v>636</v>
      </c>
      <c r="X15" s="28"/>
      <c r="Y15" s="7" t="s">
        <v>637</v>
      </c>
      <c r="Z15" s="7" t="s">
        <v>621</v>
      </c>
      <c r="AA15" s="7" t="s">
        <v>622</v>
      </c>
      <c r="AB15" s="7" t="s">
        <v>638</v>
      </c>
      <c r="AC15" s="7"/>
      <c r="AD15" s="7"/>
      <c r="AE15" s="7"/>
      <c r="AF15" s="7"/>
      <c r="AG15" s="7"/>
      <c r="AH15" s="7"/>
      <c r="AI15" s="7" t="s">
        <v>611</v>
      </c>
      <c r="AJ15" s="7" t="s">
        <v>623</v>
      </c>
      <c r="AK15" s="7">
        <v>10</v>
      </c>
      <c r="AL15" s="7">
        <v>9</v>
      </c>
      <c r="AM15" s="7" t="s">
        <v>624</v>
      </c>
      <c r="AN15" s="7" t="s">
        <v>625</v>
      </c>
      <c r="AO15" s="7" t="s">
        <v>626</v>
      </c>
      <c r="AP15" s="7" t="s">
        <v>627</v>
      </c>
      <c r="AQ15" s="7" t="s">
        <v>617</v>
      </c>
      <c r="AR15" s="7"/>
      <c r="AS15" s="7"/>
      <c r="AT15" s="7"/>
      <c r="AU15" s="6">
        <v>91003</v>
      </c>
      <c r="AV15" s="6" t="s">
        <v>5</v>
      </c>
      <c r="AW15" s="7"/>
      <c r="AX15" s="7"/>
      <c r="AY15" s="7"/>
      <c r="AZ15" s="7"/>
      <c r="BA15" s="6">
        <v>1214</v>
      </c>
      <c r="BB15" s="6" t="s">
        <v>628</v>
      </c>
      <c r="BC15" s="7"/>
      <c r="BD15" s="7"/>
      <c r="BE15" s="7"/>
      <c r="BF15" s="7"/>
      <c r="BG15" s="7">
        <v>0</v>
      </c>
      <c r="BH15" s="7">
        <v>0</v>
      </c>
      <c r="BI15" s="7">
        <v>0</v>
      </c>
      <c r="BJ15" s="7">
        <v>10</v>
      </c>
      <c r="BK15" s="7">
        <v>0</v>
      </c>
      <c r="BL15" s="7">
        <v>10</v>
      </c>
      <c r="BM15" s="7"/>
      <c r="BN15" s="7">
        <v>0</v>
      </c>
      <c r="BO15" s="7"/>
      <c r="BP15" s="7"/>
      <c r="BQ15" s="7">
        <v>0</v>
      </c>
      <c r="BR15" s="7">
        <v>380</v>
      </c>
      <c r="BS15" s="7" t="s">
        <v>629</v>
      </c>
      <c r="BT15" s="7"/>
      <c r="BU15" s="7"/>
      <c r="BV15" s="7">
        <v>0</v>
      </c>
      <c r="BW15" s="7"/>
      <c r="BX15" s="7"/>
      <c r="BY15" s="7">
        <v>10001</v>
      </c>
      <c r="BZ15" s="7" t="s">
        <v>1414</v>
      </c>
      <c r="CA15" s="7"/>
      <c r="CB15" s="7"/>
      <c r="CC15" s="7"/>
      <c r="CD15" s="7"/>
      <c r="CE15" s="7"/>
      <c r="CF15" s="7"/>
      <c r="CG15" s="7"/>
      <c r="CH15" s="7">
        <v>3563</v>
      </c>
      <c r="CI15" s="7" t="s">
        <v>630</v>
      </c>
      <c r="CJ15" s="7"/>
      <c r="CK15" s="7"/>
      <c r="CL15" s="7"/>
      <c r="CM15" s="7"/>
      <c r="CN15" s="7">
        <v>0</v>
      </c>
      <c r="CO15" s="7"/>
      <c r="CP15" s="7"/>
      <c r="CQ15" s="7"/>
      <c r="CR15" s="7"/>
      <c r="CS15" s="7">
        <v>0</v>
      </c>
      <c r="CT15" s="7"/>
      <c r="CU15" s="7"/>
      <c r="CV15" s="7" t="s">
        <v>639</v>
      </c>
      <c r="CW15" s="7" t="s">
        <v>12</v>
      </c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126"/>
      <c r="EE15" s="7"/>
      <c r="EF15" s="7"/>
      <c r="EG15" s="7"/>
    </row>
    <row r="16" spans="1:137" ht="13.5" customHeight="1">
      <c r="A16" s="7">
        <v>4</v>
      </c>
      <c r="B16" s="7"/>
      <c r="C16" s="7"/>
      <c r="D16" s="7"/>
      <c r="E16" s="7" t="s">
        <v>14</v>
      </c>
      <c r="F16" s="7"/>
      <c r="G16" s="7">
        <v>353003</v>
      </c>
      <c r="H16" s="7" t="s">
        <v>613</v>
      </c>
      <c r="I16" s="7">
        <v>66</v>
      </c>
      <c r="J16" s="7" t="s">
        <v>16</v>
      </c>
      <c r="K16" s="7">
        <v>50</v>
      </c>
      <c r="L16" s="7" t="s">
        <v>640</v>
      </c>
      <c r="M16" s="7">
        <v>43</v>
      </c>
      <c r="N16" s="7" t="s">
        <v>641</v>
      </c>
      <c r="O16" s="7">
        <v>19</v>
      </c>
      <c r="P16" s="7" t="s">
        <v>642</v>
      </c>
      <c r="Q16" s="7">
        <v>19</v>
      </c>
      <c r="R16" s="7" t="s">
        <v>642</v>
      </c>
      <c r="S16" s="7" t="s">
        <v>617</v>
      </c>
      <c r="T16" s="7" t="s">
        <v>643</v>
      </c>
      <c r="U16" s="28"/>
      <c r="V16" s="7">
        <v>6</v>
      </c>
      <c r="W16" s="7" t="s">
        <v>644</v>
      </c>
      <c r="X16" s="28"/>
      <c r="Y16" s="7" t="s">
        <v>645</v>
      </c>
      <c r="Z16" s="7" t="s">
        <v>621</v>
      </c>
      <c r="AA16" s="7" t="s">
        <v>622</v>
      </c>
      <c r="AB16" s="7" t="s">
        <v>638</v>
      </c>
      <c r="AC16" s="7"/>
      <c r="AD16" s="7"/>
      <c r="AE16" s="7"/>
      <c r="AF16" s="7"/>
      <c r="AG16" s="7"/>
      <c r="AH16" s="7"/>
      <c r="AI16" s="7" t="s">
        <v>611</v>
      </c>
      <c r="AJ16" s="7" t="s">
        <v>623</v>
      </c>
      <c r="AK16" s="7">
        <v>10</v>
      </c>
      <c r="AL16" s="7">
        <v>9</v>
      </c>
      <c r="AM16" s="7" t="s">
        <v>624</v>
      </c>
      <c r="AN16" s="7" t="s">
        <v>625</v>
      </c>
      <c r="AO16" s="7" t="s">
        <v>626</v>
      </c>
      <c r="AP16" s="7" t="s">
        <v>627</v>
      </c>
      <c r="AQ16" s="7" t="s">
        <v>617</v>
      </c>
      <c r="AR16" s="7"/>
      <c r="AS16" s="7"/>
      <c r="AT16" s="7"/>
      <c r="AU16" s="6">
        <v>91003</v>
      </c>
      <c r="AV16" s="6" t="s">
        <v>5</v>
      </c>
      <c r="AW16" s="7"/>
      <c r="AX16" s="7"/>
      <c r="AY16" s="7"/>
      <c r="AZ16" s="7"/>
      <c r="BA16" s="6">
        <v>1214</v>
      </c>
      <c r="BB16" s="6" t="s">
        <v>628</v>
      </c>
      <c r="BC16" s="7"/>
      <c r="BD16" s="7"/>
      <c r="BE16" s="7"/>
      <c r="BF16" s="7"/>
      <c r="BG16" s="7">
        <v>0</v>
      </c>
      <c r="BH16" s="7">
        <v>0</v>
      </c>
      <c r="BI16" s="7">
        <v>0</v>
      </c>
      <c r="BJ16" s="7">
        <v>10</v>
      </c>
      <c r="BK16" s="7">
        <v>0</v>
      </c>
      <c r="BL16" s="7">
        <v>10</v>
      </c>
      <c r="BM16" s="7"/>
      <c r="BN16" s="7">
        <v>0</v>
      </c>
      <c r="BO16" s="7"/>
      <c r="BP16" s="7"/>
      <c r="BQ16" s="7">
        <v>0</v>
      </c>
      <c r="BR16" s="7">
        <v>380</v>
      </c>
      <c r="BS16" s="7" t="s">
        <v>629</v>
      </c>
      <c r="BT16" s="7"/>
      <c r="BU16" s="7"/>
      <c r="BV16" s="7">
        <v>0</v>
      </c>
      <c r="BW16" s="7"/>
      <c r="BX16" s="7"/>
      <c r="BY16" s="7">
        <v>10001</v>
      </c>
      <c r="BZ16" s="7" t="s">
        <v>1414</v>
      </c>
      <c r="CA16" s="7"/>
      <c r="CB16" s="7"/>
      <c r="CC16" s="7"/>
      <c r="CD16" s="7"/>
      <c r="CE16" s="7"/>
      <c r="CF16" s="7"/>
      <c r="CG16" s="7"/>
      <c r="CH16" s="7">
        <v>3563</v>
      </c>
      <c r="CI16" s="7" t="s">
        <v>630</v>
      </c>
      <c r="CJ16" s="7"/>
      <c r="CK16" s="7"/>
      <c r="CL16" s="7"/>
      <c r="CM16" s="7"/>
      <c r="CN16" s="7">
        <v>0</v>
      </c>
      <c r="CO16" s="7"/>
      <c r="CP16" s="7"/>
      <c r="CQ16" s="7"/>
      <c r="CR16" s="7"/>
      <c r="CS16" s="7">
        <v>0</v>
      </c>
      <c r="CT16" s="7"/>
      <c r="CU16" s="7"/>
      <c r="CV16" s="7" t="s">
        <v>646</v>
      </c>
      <c r="CW16" s="7" t="s">
        <v>15</v>
      </c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126"/>
      <c r="EE16" s="7"/>
      <c r="EF16" s="7"/>
      <c r="EG16" s="7"/>
    </row>
    <row r="17" spans="1:137" ht="13.5" customHeight="1">
      <c r="A17" s="7">
        <v>5</v>
      </c>
      <c r="B17" s="7"/>
      <c r="C17" s="7"/>
      <c r="D17" s="7"/>
      <c r="E17" s="7">
        <v>696136</v>
      </c>
      <c r="F17" s="7"/>
      <c r="G17" s="7">
        <v>353004</v>
      </c>
      <c r="H17" s="7" t="s">
        <v>613</v>
      </c>
      <c r="I17" s="7">
        <v>62</v>
      </c>
      <c r="J17" s="7" t="s">
        <v>18</v>
      </c>
      <c r="K17" s="7">
        <v>50</v>
      </c>
      <c r="L17" s="7" t="s">
        <v>647</v>
      </c>
      <c r="M17" s="7">
        <v>41</v>
      </c>
      <c r="N17" s="7" t="s">
        <v>648</v>
      </c>
      <c r="O17" s="7">
        <v>17</v>
      </c>
      <c r="P17" s="7" t="s">
        <v>649</v>
      </c>
      <c r="Q17" s="7">
        <v>17</v>
      </c>
      <c r="R17" s="7" t="s">
        <v>649</v>
      </c>
      <c r="S17" s="7" t="s">
        <v>617</v>
      </c>
      <c r="T17" s="7" t="s">
        <v>650</v>
      </c>
      <c r="U17" s="28"/>
      <c r="V17" s="7">
        <v>6</v>
      </c>
      <c r="W17" s="7" t="s">
        <v>651</v>
      </c>
      <c r="X17" s="28"/>
      <c r="Y17" s="7" t="s">
        <v>652</v>
      </c>
      <c r="Z17" s="7" t="s">
        <v>621</v>
      </c>
      <c r="AA17" s="7" t="s">
        <v>622</v>
      </c>
      <c r="AB17" s="7" t="s">
        <v>638</v>
      </c>
      <c r="AC17" s="7"/>
      <c r="AD17" s="7"/>
      <c r="AE17" s="7"/>
      <c r="AF17" s="7"/>
      <c r="AG17" s="7"/>
      <c r="AH17" s="7"/>
      <c r="AI17" s="7" t="s">
        <v>611</v>
      </c>
      <c r="AJ17" s="7" t="s">
        <v>623</v>
      </c>
      <c r="AK17" s="7">
        <v>10</v>
      </c>
      <c r="AL17" s="7">
        <v>9</v>
      </c>
      <c r="AM17" s="7" t="s">
        <v>624</v>
      </c>
      <c r="AN17" s="7" t="s">
        <v>625</v>
      </c>
      <c r="AO17" s="7" t="s">
        <v>626</v>
      </c>
      <c r="AP17" s="7" t="s">
        <v>627</v>
      </c>
      <c r="AQ17" s="7" t="s">
        <v>617</v>
      </c>
      <c r="AR17" s="7"/>
      <c r="AS17" s="7"/>
      <c r="AT17" s="7"/>
      <c r="AU17" s="6">
        <v>91003</v>
      </c>
      <c r="AV17" s="6" t="s">
        <v>5</v>
      </c>
      <c r="AW17" s="7"/>
      <c r="AX17" s="7"/>
      <c r="AY17" s="7"/>
      <c r="AZ17" s="7"/>
      <c r="BA17" s="6">
        <v>1214</v>
      </c>
      <c r="BB17" s="6" t="s">
        <v>628</v>
      </c>
      <c r="BC17" s="7"/>
      <c r="BD17" s="7"/>
      <c r="BE17" s="7"/>
      <c r="BF17" s="7"/>
      <c r="BG17" s="7">
        <v>0</v>
      </c>
      <c r="BH17" s="7">
        <v>0</v>
      </c>
      <c r="BI17" s="7">
        <v>0</v>
      </c>
      <c r="BJ17" s="7">
        <v>10</v>
      </c>
      <c r="BK17" s="7">
        <v>0</v>
      </c>
      <c r="BL17" s="7">
        <v>10</v>
      </c>
      <c r="BM17" s="7"/>
      <c r="BN17" s="7">
        <v>0</v>
      </c>
      <c r="BO17" s="7"/>
      <c r="BP17" s="7"/>
      <c r="BQ17" s="7">
        <v>0</v>
      </c>
      <c r="BR17" s="7">
        <v>380</v>
      </c>
      <c r="BS17" s="7" t="s">
        <v>629</v>
      </c>
      <c r="BT17" s="7"/>
      <c r="BU17" s="7"/>
      <c r="BV17" s="7">
        <v>0</v>
      </c>
      <c r="BW17" s="7"/>
      <c r="BX17" s="7"/>
      <c r="BY17" s="7">
        <v>10001</v>
      </c>
      <c r="BZ17" s="7" t="s">
        <v>1414</v>
      </c>
      <c r="CA17" s="7"/>
      <c r="CB17" s="7"/>
      <c r="CC17" s="7"/>
      <c r="CD17" s="7"/>
      <c r="CE17" s="7"/>
      <c r="CF17" s="7"/>
      <c r="CG17" s="7"/>
      <c r="CH17" s="7">
        <v>3563</v>
      </c>
      <c r="CI17" s="7" t="s">
        <v>630</v>
      </c>
      <c r="CJ17" s="7"/>
      <c r="CK17" s="7"/>
      <c r="CL17" s="7"/>
      <c r="CM17" s="7"/>
      <c r="CN17" s="7">
        <v>0</v>
      </c>
      <c r="CO17" s="7"/>
      <c r="CP17" s="7"/>
      <c r="CQ17" s="7"/>
      <c r="CR17" s="7"/>
      <c r="CS17" s="7">
        <v>0</v>
      </c>
      <c r="CT17" s="7"/>
      <c r="CU17" s="7"/>
      <c r="CV17" s="7" t="s">
        <v>653</v>
      </c>
      <c r="CW17" s="7" t="s">
        <v>17</v>
      </c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126"/>
      <c r="EE17" s="7"/>
      <c r="EF17" s="7"/>
      <c r="EG17" s="7"/>
    </row>
    <row r="18" spans="1:137" ht="13.5" customHeight="1">
      <c r="A18" s="7">
        <v>6</v>
      </c>
      <c r="B18" s="7"/>
      <c r="C18" s="7"/>
      <c r="D18" s="7"/>
      <c r="E18" s="7" t="s">
        <v>19</v>
      </c>
      <c r="F18" s="7"/>
      <c r="G18" s="7">
        <v>353005</v>
      </c>
      <c r="H18" s="7" t="s">
        <v>613</v>
      </c>
      <c r="I18" s="7">
        <v>52</v>
      </c>
      <c r="J18" s="7" t="s">
        <v>21</v>
      </c>
      <c r="K18" s="7">
        <v>42</v>
      </c>
      <c r="L18" s="7" t="s">
        <v>654</v>
      </c>
      <c r="M18" s="7">
        <v>28</v>
      </c>
      <c r="N18" s="7" t="s">
        <v>655</v>
      </c>
      <c r="O18" s="7">
        <v>19</v>
      </c>
      <c r="P18" s="7" t="s">
        <v>656</v>
      </c>
      <c r="Q18" s="7">
        <v>19</v>
      </c>
      <c r="R18" s="7" t="s">
        <v>656</v>
      </c>
      <c r="S18" s="7" t="s">
        <v>617</v>
      </c>
      <c r="T18" s="7" t="s">
        <v>657</v>
      </c>
      <c r="U18" s="28"/>
      <c r="V18" s="7">
        <v>8</v>
      </c>
      <c r="W18" s="7" t="s">
        <v>658</v>
      </c>
      <c r="X18" s="28"/>
      <c r="Y18" s="7" t="s">
        <v>659</v>
      </c>
      <c r="Z18" s="7" t="s">
        <v>621</v>
      </c>
      <c r="AA18" s="7" t="s">
        <v>622</v>
      </c>
      <c r="AB18" s="7" t="s">
        <v>638</v>
      </c>
      <c r="AC18" s="7"/>
      <c r="AD18" s="7"/>
      <c r="AE18" s="7"/>
      <c r="AF18" s="7"/>
      <c r="AG18" s="7"/>
      <c r="AH18" s="7"/>
      <c r="AI18" s="7" t="s">
        <v>611</v>
      </c>
      <c r="AJ18" s="7" t="s">
        <v>623</v>
      </c>
      <c r="AK18" s="7">
        <v>10</v>
      </c>
      <c r="AL18" s="7">
        <v>9</v>
      </c>
      <c r="AM18" s="7" t="s">
        <v>624</v>
      </c>
      <c r="AN18" s="7" t="s">
        <v>625</v>
      </c>
      <c r="AO18" s="7" t="s">
        <v>626</v>
      </c>
      <c r="AP18" s="7" t="s">
        <v>627</v>
      </c>
      <c r="AQ18" s="7" t="s">
        <v>617</v>
      </c>
      <c r="AR18" s="7"/>
      <c r="AS18" s="7"/>
      <c r="AT18" s="7"/>
      <c r="AU18" s="6">
        <v>91003</v>
      </c>
      <c r="AV18" s="6" t="s">
        <v>5</v>
      </c>
      <c r="AW18" s="7"/>
      <c r="AX18" s="7"/>
      <c r="AY18" s="7"/>
      <c r="AZ18" s="7"/>
      <c r="BA18" s="6">
        <v>1214</v>
      </c>
      <c r="BB18" s="6" t="s">
        <v>628</v>
      </c>
      <c r="BC18" s="7"/>
      <c r="BD18" s="7"/>
      <c r="BE18" s="7"/>
      <c r="BF18" s="7"/>
      <c r="BG18" s="7">
        <v>0</v>
      </c>
      <c r="BH18" s="7">
        <v>0</v>
      </c>
      <c r="BI18" s="7">
        <v>0</v>
      </c>
      <c r="BJ18" s="7">
        <v>10</v>
      </c>
      <c r="BK18" s="7">
        <v>0</v>
      </c>
      <c r="BL18" s="7">
        <v>10</v>
      </c>
      <c r="BM18" s="7"/>
      <c r="BN18" s="7">
        <v>0</v>
      </c>
      <c r="BO18" s="7"/>
      <c r="BP18" s="7"/>
      <c r="BQ18" s="7">
        <v>0</v>
      </c>
      <c r="BR18" s="7">
        <v>380</v>
      </c>
      <c r="BS18" s="7" t="s">
        <v>629</v>
      </c>
      <c r="BT18" s="7"/>
      <c r="BU18" s="7"/>
      <c r="BV18" s="7">
        <v>0</v>
      </c>
      <c r="BW18" s="7"/>
      <c r="BX18" s="7"/>
      <c r="BY18" s="7">
        <v>10001</v>
      </c>
      <c r="BZ18" s="7" t="s">
        <v>1414</v>
      </c>
      <c r="CA18" s="7"/>
      <c r="CB18" s="7"/>
      <c r="CC18" s="7"/>
      <c r="CD18" s="7"/>
      <c r="CE18" s="7"/>
      <c r="CF18" s="7"/>
      <c r="CG18" s="7"/>
      <c r="CH18" s="7">
        <v>3563</v>
      </c>
      <c r="CI18" s="7" t="s">
        <v>630</v>
      </c>
      <c r="CJ18" s="7"/>
      <c r="CK18" s="7"/>
      <c r="CL18" s="7"/>
      <c r="CM18" s="7"/>
      <c r="CN18" s="7">
        <v>0</v>
      </c>
      <c r="CO18" s="7"/>
      <c r="CP18" s="7"/>
      <c r="CQ18" s="7"/>
      <c r="CR18" s="7"/>
      <c r="CS18" s="7">
        <v>0</v>
      </c>
      <c r="CT18" s="7"/>
      <c r="CU18" s="7"/>
      <c r="CV18" s="7" t="s">
        <v>660</v>
      </c>
      <c r="CW18" s="7" t="s">
        <v>20</v>
      </c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126"/>
      <c r="EE18" s="7"/>
      <c r="EF18" s="7"/>
      <c r="EG18" s="7"/>
    </row>
    <row r="19" spans="1:137" ht="13.5" customHeight="1">
      <c r="A19" s="7">
        <v>7</v>
      </c>
      <c r="B19" s="7"/>
      <c r="C19" s="7"/>
      <c r="D19" s="7"/>
      <c r="E19" s="7" t="s">
        <v>22</v>
      </c>
      <c r="F19" s="7"/>
      <c r="G19" s="7">
        <v>353006</v>
      </c>
      <c r="H19" s="7" t="s">
        <v>613</v>
      </c>
      <c r="I19" s="7">
        <v>50</v>
      </c>
      <c r="J19" s="7" t="s">
        <v>24</v>
      </c>
      <c r="K19" s="7">
        <v>41</v>
      </c>
      <c r="L19" s="7" t="s">
        <v>661</v>
      </c>
      <c r="M19" s="7">
        <v>27</v>
      </c>
      <c r="N19" s="7" t="s">
        <v>662</v>
      </c>
      <c r="O19" s="7">
        <v>18</v>
      </c>
      <c r="P19" s="7" t="s">
        <v>663</v>
      </c>
      <c r="Q19" s="7">
        <v>18</v>
      </c>
      <c r="R19" s="7" t="s">
        <v>663</v>
      </c>
      <c r="S19" s="7" t="s">
        <v>617</v>
      </c>
      <c r="T19" s="7" t="s">
        <v>664</v>
      </c>
      <c r="U19" s="28"/>
      <c r="V19" s="7">
        <v>8</v>
      </c>
      <c r="W19" s="7" t="s">
        <v>665</v>
      </c>
      <c r="X19" s="28"/>
      <c r="Y19" s="7" t="s">
        <v>666</v>
      </c>
      <c r="Z19" s="7" t="s">
        <v>621</v>
      </c>
      <c r="AA19" s="7" t="s">
        <v>622</v>
      </c>
      <c r="AB19" s="7" t="s">
        <v>638</v>
      </c>
      <c r="AC19" s="7"/>
      <c r="AD19" s="7"/>
      <c r="AE19" s="7"/>
      <c r="AF19" s="7"/>
      <c r="AG19" s="7"/>
      <c r="AH19" s="7"/>
      <c r="AI19" s="7" t="s">
        <v>611</v>
      </c>
      <c r="AJ19" s="7" t="s">
        <v>623</v>
      </c>
      <c r="AK19" s="7">
        <v>10</v>
      </c>
      <c r="AL19" s="7">
        <v>9</v>
      </c>
      <c r="AM19" s="7" t="s">
        <v>624</v>
      </c>
      <c r="AN19" s="7" t="s">
        <v>625</v>
      </c>
      <c r="AO19" s="7" t="s">
        <v>626</v>
      </c>
      <c r="AP19" s="7" t="s">
        <v>627</v>
      </c>
      <c r="AQ19" s="7" t="s">
        <v>617</v>
      </c>
      <c r="AR19" s="7"/>
      <c r="AS19" s="7"/>
      <c r="AT19" s="7"/>
      <c r="AU19" s="6">
        <v>91003</v>
      </c>
      <c r="AV19" s="6" t="s">
        <v>5</v>
      </c>
      <c r="AW19" s="7"/>
      <c r="AX19" s="7"/>
      <c r="AY19" s="7"/>
      <c r="AZ19" s="7"/>
      <c r="BA19" s="6">
        <v>1214</v>
      </c>
      <c r="BB19" s="6" t="s">
        <v>628</v>
      </c>
      <c r="BC19" s="7"/>
      <c r="BD19" s="7"/>
      <c r="BE19" s="7"/>
      <c r="BF19" s="7"/>
      <c r="BG19" s="7">
        <v>0</v>
      </c>
      <c r="BH19" s="7">
        <v>0</v>
      </c>
      <c r="BI19" s="7">
        <v>0</v>
      </c>
      <c r="BJ19" s="7">
        <v>10</v>
      </c>
      <c r="BK19" s="7">
        <v>0</v>
      </c>
      <c r="BL19" s="7">
        <v>10</v>
      </c>
      <c r="BM19" s="7"/>
      <c r="BN19" s="7">
        <v>0</v>
      </c>
      <c r="BO19" s="7"/>
      <c r="BP19" s="7"/>
      <c r="BQ19" s="7">
        <v>0</v>
      </c>
      <c r="BR19" s="7">
        <v>380</v>
      </c>
      <c r="BS19" s="7" t="s">
        <v>629</v>
      </c>
      <c r="BT19" s="7"/>
      <c r="BU19" s="7"/>
      <c r="BV19" s="7">
        <v>0</v>
      </c>
      <c r="BW19" s="7"/>
      <c r="BX19" s="7"/>
      <c r="BY19" s="7">
        <v>10001</v>
      </c>
      <c r="BZ19" s="7" t="s">
        <v>1414</v>
      </c>
      <c r="CA19" s="7"/>
      <c r="CB19" s="7"/>
      <c r="CC19" s="7"/>
      <c r="CD19" s="7"/>
      <c r="CE19" s="7"/>
      <c r="CF19" s="7"/>
      <c r="CG19" s="7"/>
      <c r="CH19" s="7">
        <v>3563</v>
      </c>
      <c r="CI19" s="7" t="s">
        <v>630</v>
      </c>
      <c r="CJ19" s="7"/>
      <c r="CK19" s="7"/>
      <c r="CL19" s="7"/>
      <c r="CM19" s="7"/>
      <c r="CN19" s="7">
        <v>0</v>
      </c>
      <c r="CO19" s="7"/>
      <c r="CP19" s="7"/>
      <c r="CQ19" s="7"/>
      <c r="CR19" s="7"/>
      <c r="CS19" s="7">
        <v>0</v>
      </c>
      <c r="CT19" s="7"/>
      <c r="CU19" s="7"/>
      <c r="CV19" s="7" t="s">
        <v>667</v>
      </c>
      <c r="CW19" s="7" t="s">
        <v>23</v>
      </c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126"/>
      <c r="EE19" s="7"/>
      <c r="EF19" s="7"/>
      <c r="EG19" s="7"/>
    </row>
    <row r="20" spans="1:137" ht="13.5" customHeight="1">
      <c r="A20" s="7">
        <v>8</v>
      </c>
      <c r="B20" s="7"/>
      <c r="C20" s="7"/>
      <c r="D20" s="7"/>
      <c r="E20" s="7" t="s">
        <v>25</v>
      </c>
      <c r="F20" s="7"/>
      <c r="G20" s="7">
        <v>353007</v>
      </c>
      <c r="H20" s="7" t="s">
        <v>613</v>
      </c>
      <c r="I20" s="7">
        <v>48</v>
      </c>
      <c r="J20" s="7" t="s">
        <v>27</v>
      </c>
      <c r="K20" s="7">
        <v>40</v>
      </c>
      <c r="L20" s="7" t="s">
        <v>668</v>
      </c>
      <c r="M20" s="7">
        <v>26</v>
      </c>
      <c r="N20" s="7" t="s">
        <v>669</v>
      </c>
      <c r="O20" s="7">
        <v>17</v>
      </c>
      <c r="P20" s="7" t="s">
        <v>670</v>
      </c>
      <c r="Q20" s="7">
        <v>17</v>
      </c>
      <c r="R20" s="7" t="s">
        <v>670</v>
      </c>
      <c r="S20" s="7" t="s">
        <v>617</v>
      </c>
      <c r="T20" s="7" t="s">
        <v>671</v>
      </c>
      <c r="U20" s="28"/>
      <c r="V20" s="7">
        <v>8</v>
      </c>
      <c r="W20" s="7" t="s">
        <v>672</v>
      </c>
      <c r="X20" s="28"/>
      <c r="Y20" s="7" t="s">
        <v>673</v>
      </c>
      <c r="Z20" s="7" t="s">
        <v>621</v>
      </c>
      <c r="AA20" s="7" t="s">
        <v>622</v>
      </c>
      <c r="AB20" s="7" t="s">
        <v>638</v>
      </c>
      <c r="AC20" s="7"/>
      <c r="AD20" s="7"/>
      <c r="AE20" s="7"/>
      <c r="AF20" s="7"/>
      <c r="AG20" s="7"/>
      <c r="AH20" s="7"/>
      <c r="AI20" s="7" t="s">
        <v>611</v>
      </c>
      <c r="AJ20" s="7" t="s">
        <v>623</v>
      </c>
      <c r="AK20" s="7">
        <v>10</v>
      </c>
      <c r="AL20" s="7">
        <v>9</v>
      </c>
      <c r="AM20" s="7" t="s">
        <v>624</v>
      </c>
      <c r="AN20" s="7" t="s">
        <v>625</v>
      </c>
      <c r="AO20" s="7" t="s">
        <v>626</v>
      </c>
      <c r="AP20" s="7" t="s">
        <v>627</v>
      </c>
      <c r="AQ20" s="7" t="s">
        <v>617</v>
      </c>
      <c r="AR20" s="7"/>
      <c r="AS20" s="7"/>
      <c r="AT20" s="7"/>
      <c r="AU20" s="6">
        <v>91003</v>
      </c>
      <c r="AV20" s="6" t="s">
        <v>5</v>
      </c>
      <c r="AW20" s="7"/>
      <c r="AX20" s="7"/>
      <c r="AY20" s="7"/>
      <c r="AZ20" s="7"/>
      <c r="BA20" s="6">
        <v>1214</v>
      </c>
      <c r="BB20" s="6" t="s">
        <v>628</v>
      </c>
      <c r="BC20" s="7"/>
      <c r="BD20" s="7"/>
      <c r="BE20" s="7"/>
      <c r="BF20" s="7"/>
      <c r="BG20" s="7">
        <v>0</v>
      </c>
      <c r="BH20" s="7">
        <v>0</v>
      </c>
      <c r="BI20" s="7">
        <v>0</v>
      </c>
      <c r="BJ20" s="7">
        <v>10</v>
      </c>
      <c r="BK20" s="7">
        <v>0</v>
      </c>
      <c r="BL20" s="7">
        <v>10</v>
      </c>
      <c r="BM20" s="7"/>
      <c r="BN20" s="7">
        <v>0</v>
      </c>
      <c r="BO20" s="7"/>
      <c r="BP20" s="7"/>
      <c r="BQ20" s="7">
        <v>0</v>
      </c>
      <c r="BR20" s="7">
        <v>380</v>
      </c>
      <c r="BS20" s="7" t="s">
        <v>629</v>
      </c>
      <c r="BT20" s="7"/>
      <c r="BU20" s="7"/>
      <c r="BV20" s="7">
        <v>0</v>
      </c>
      <c r="BW20" s="7"/>
      <c r="BX20" s="7"/>
      <c r="BY20" s="7">
        <v>10001</v>
      </c>
      <c r="BZ20" s="7" t="s">
        <v>1414</v>
      </c>
      <c r="CA20" s="7"/>
      <c r="CB20" s="7"/>
      <c r="CC20" s="7"/>
      <c r="CD20" s="7"/>
      <c r="CE20" s="7"/>
      <c r="CF20" s="7"/>
      <c r="CG20" s="7"/>
      <c r="CH20" s="7">
        <v>3563</v>
      </c>
      <c r="CI20" s="7" t="s">
        <v>630</v>
      </c>
      <c r="CJ20" s="7"/>
      <c r="CK20" s="7"/>
      <c r="CL20" s="7"/>
      <c r="CM20" s="7"/>
      <c r="CN20" s="7">
        <v>0</v>
      </c>
      <c r="CO20" s="7"/>
      <c r="CP20" s="7"/>
      <c r="CQ20" s="7"/>
      <c r="CR20" s="7"/>
      <c r="CS20" s="7">
        <v>0</v>
      </c>
      <c r="CT20" s="7"/>
      <c r="CU20" s="7"/>
      <c r="CV20" s="7" t="s">
        <v>674</v>
      </c>
      <c r="CW20" s="7" t="s">
        <v>26</v>
      </c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126"/>
      <c r="EE20" s="7"/>
      <c r="EF20" s="7"/>
      <c r="EG20" s="7"/>
    </row>
    <row r="21" spans="1:137" ht="13.5" customHeight="1">
      <c r="A21" s="7">
        <v>9</v>
      </c>
      <c r="B21" s="7"/>
      <c r="C21" s="7"/>
      <c r="D21" s="7"/>
      <c r="E21" s="7" t="s">
        <v>28</v>
      </c>
      <c r="F21" s="7"/>
      <c r="G21" s="7">
        <v>353008</v>
      </c>
      <c r="H21" s="7" t="s">
        <v>613</v>
      </c>
      <c r="I21" s="7">
        <v>48</v>
      </c>
      <c r="J21" s="7" t="s">
        <v>30</v>
      </c>
      <c r="K21" s="7">
        <v>40</v>
      </c>
      <c r="L21" s="7" t="s">
        <v>675</v>
      </c>
      <c r="M21" s="7">
        <v>26</v>
      </c>
      <c r="N21" s="7" t="s">
        <v>676</v>
      </c>
      <c r="O21" s="7">
        <v>17</v>
      </c>
      <c r="P21" s="7" t="s">
        <v>677</v>
      </c>
      <c r="Q21" s="7">
        <v>17</v>
      </c>
      <c r="R21" s="7" t="s">
        <v>677</v>
      </c>
      <c r="S21" s="7" t="s">
        <v>617</v>
      </c>
      <c r="T21" s="7" t="s">
        <v>650</v>
      </c>
      <c r="U21" s="28"/>
      <c r="V21" s="7">
        <v>8</v>
      </c>
      <c r="W21" s="7" t="s">
        <v>678</v>
      </c>
      <c r="X21" s="28"/>
      <c r="Y21" s="7" t="s">
        <v>679</v>
      </c>
      <c r="Z21" s="7" t="s">
        <v>621</v>
      </c>
      <c r="AA21" s="7" t="s">
        <v>622</v>
      </c>
      <c r="AB21" s="7" t="s">
        <v>638</v>
      </c>
      <c r="AC21" s="7"/>
      <c r="AD21" s="7"/>
      <c r="AE21" s="7"/>
      <c r="AF21" s="7"/>
      <c r="AG21" s="7"/>
      <c r="AH21" s="7"/>
      <c r="AI21" s="7" t="s">
        <v>611</v>
      </c>
      <c r="AJ21" s="7" t="s">
        <v>623</v>
      </c>
      <c r="AK21" s="7">
        <v>10</v>
      </c>
      <c r="AL21" s="7">
        <v>9</v>
      </c>
      <c r="AM21" s="7" t="s">
        <v>624</v>
      </c>
      <c r="AN21" s="7" t="s">
        <v>625</v>
      </c>
      <c r="AO21" s="7" t="s">
        <v>626</v>
      </c>
      <c r="AP21" s="7" t="s">
        <v>627</v>
      </c>
      <c r="AQ21" s="7" t="s">
        <v>617</v>
      </c>
      <c r="AR21" s="7"/>
      <c r="AS21" s="7"/>
      <c r="AT21" s="7"/>
      <c r="AU21" s="6">
        <v>91003</v>
      </c>
      <c r="AV21" s="6" t="s">
        <v>5</v>
      </c>
      <c r="AW21" s="7"/>
      <c r="AX21" s="7"/>
      <c r="AY21" s="7"/>
      <c r="AZ21" s="7"/>
      <c r="BA21" s="6">
        <v>1214</v>
      </c>
      <c r="BB21" s="6" t="s">
        <v>628</v>
      </c>
      <c r="BC21" s="7"/>
      <c r="BD21" s="7"/>
      <c r="BE21" s="7"/>
      <c r="BF21" s="7"/>
      <c r="BG21" s="7">
        <v>0</v>
      </c>
      <c r="BH21" s="7">
        <v>0</v>
      </c>
      <c r="BI21" s="7">
        <v>0</v>
      </c>
      <c r="BJ21" s="7">
        <v>10</v>
      </c>
      <c r="BK21" s="7">
        <v>0</v>
      </c>
      <c r="BL21" s="7">
        <v>10</v>
      </c>
      <c r="BM21" s="7"/>
      <c r="BN21" s="7">
        <v>0</v>
      </c>
      <c r="BO21" s="7"/>
      <c r="BP21" s="7"/>
      <c r="BQ21" s="7">
        <v>0</v>
      </c>
      <c r="BR21" s="7">
        <v>380</v>
      </c>
      <c r="BS21" s="7" t="s">
        <v>629</v>
      </c>
      <c r="BT21" s="7"/>
      <c r="BU21" s="7"/>
      <c r="BV21" s="7">
        <v>0</v>
      </c>
      <c r="BW21" s="7"/>
      <c r="BX21" s="7"/>
      <c r="BY21" s="7">
        <v>10001</v>
      </c>
      <c r="BZ21" s="7" t="s">
        <v>1414</v>
      </c>
      <c r="CA21" s="7"/>
      <c r="CB21" s="7"/>
      <c r="CC21" s="7"/>
      <c r="CD21" s="7"/>
      <c r="CE21" s="7"/>
      <c r="CF21" s="7"/>
      <c r="CG21" s="7"/>
      <c r="CH21" s="7">
        <v>3563</v>
      </c>
      <c r="CI21" s="7" t="s">
        <v>630</v>
      </c>
      <c r="CJ21" s="7"/>
      <c r="CK21" s="7"/>
      <c r="CL21" s="7"/>
      <c r="CM21" s="7"/>
      <c r="CN21" s="7">
        <v>0</v>
      </c>
      <c r="CO21" s="7"/>
      <c r="CP21" s="7"/>
      <c r="CQ21" s="7"/>
      <c r="CR21" s="7"/>
      <c r="CS21" s="7">
        <v>0</v>
      </c>
      <c r="CT21" s="7"/>
      <c r="CU21" s="7"/>
      <c r="CV21" s="7" t="s">
        <v>680</v>
      </c>
      <c r="CW21" s="7" t="s">
        <v>29</v>
      </c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126"/>
      <c r="EE21" s="7"/>
      <c r="EF21" s="7"/>
      <c r="EG21" s="7"/>
    </row>
    <row r="22" spans="1:137" ht="13.5" customHeight="1">
      <c r="A22" s="7">
        <v>10</v>
      </c>
      <c r="B22" s="7"/>
      <c r="C22" s="7"/>
      <c r="D22" s="7"/>
      <c r="E22" s="7" t="s">
        <v>31</v>
      </c>
      <c r="F22" s="7"/>
      <c r="G22" s="7">
        <v>353009</v>
      </c>
      <c r="H22" s="7" t="s">
        <v>613</v>
      </c>
      <c r="I22" s="7">
        <v>48</v>
      </c>
      <c r="J22" s="7" t="s">
        <v>33</v>
      </c>
      <c r="K22" s="7">
        <v>40</v>
      </c>
      <c r="L22" s="7" t="s">
        <v>681</v>
      </c>
      <c r="M22" s="7">
        <v>26</v>
      </c>
      <c r="N22" s="7" t="s">
        <v>682</v>
      </c>
      <c r="O22" s="7">
        <v>17</v>
      </c>
      <c r="P22" s="7" t="s">
        <v>683</v>
      </c>
      <c r="Q22" s="7">
        <v>17</v>
      </c>
      <c r="R22" s="7" t="s">
        <v>683</v>
      </c>
      <c r="S22" s="7" t="s">
        <v>617</v>
      </c>
      <c r="T22" s="7" t="s">
        <v>684</v>
      </c>
      <c r="U22" s="28"/>
      <c r="V22" s="7">
        <v>8</v>
      </c>
      <c r="W22" s="7" t="s">
        <v>685</v>
      </c>
      <c r="X22" s="28"/>
      <c r="Y22" s="7" t="s">
        <v>686</v>
      </c>
      <c r="Z22" s="7" t="s">
        <v>621</v>
      </c>
      <c r="AA22" s="7" t="s">
        <v>622</v>
      </c>
      <c r="AB22" s="7" t="s">
        <v>638</v>
      </c>
      <c r="AC22" s="7"/>
      <c r="AD22" s="7"/>
      <c r="AE22" s="7"/>
      <c r="AF22" s="7"/>
      <c r="AG22" s="7"/>
      <c r="AH22" s="7"/>
      <c r="AI22" s="7" t="s">
        <v>611</v>
      </c>
      <c r="AJ22" s="7" t="s">
        <v>623</v>
      </c>
      <c r="AK22" s="7">
        <v>10</v>
      </c>
      <c r="AL22" s="7">
        <v>9</v>
      </c>
      <c r="AM22" s="7" t="s">
        <v>624</v>
      </c>
      <c r="AN22" s="7" t="s">
        <v>625</v>
      </c>
      <c r="AO22" s="7" t="s">
        <v>626</v>
      </c>
      <c r="AP22" s="7" t="s">
        <v>627</v>
      </c>
      <c r="AQ22" s="7" t="s">
        <v>617</v>
      </c>
      <c r="AR22" s="7"/>
      <c r="AS22" s="7"/>
      <c r="AT22" s="7"/>
      <c r="AU22" s="6">
        <v>91003</v>
      </c>
      <c r="AV22" s="6" t="s">
        <v>5</v>
      </c>
      <c r="AW22" s="7"/>
      <c r="AX22" s="7"/>
      <c r="AY22" s="7"/>
      <c r="AZ22" s="7"/>
      <c r="BA22" s="6">
        <v>1214</v>
      </c>
      <c r="BB22" s="6" t="s">
        <v>628</v>
      </c>
      <c r="BC22" s="7"/>
      <c r="BD22" s="7"/>
      <c r="BE22" s="7"/>
      <c r="BF22" s="7"/>
      <c r="BG22" s="7">
        <v>0</v>
      </c>
      <c r="BH22" s="7">
        <v>0</v>
      </c>
      <c r="BI22" s="7">
        <v>0</v>
      </c>
      <c r="BJ22" s="7">
        <v>10</v>
      </c>
      <c r="BK22" s="7">
        <v>0</v>
      </c>
      <c r="BL22" s="7">
        <v>10</v>
      </c>
      <c r="BM22" s="7"/>
      <c r="BN22" s="7">
        <v>0</v>
      </c>
      <c r="BO22" s="7"/>
      <c r="BP22" s="7"/>
      <c r="BQ22" s="7">
        <v>0</v>
      </c>
      <c r="BR22" s="7">
        <v>380</v>
      </c>
      <c r="BS22" s="7" t="s">
        <v>629</v>
      </c>
      <c r="BT22" s="7"/>
      <c r="BU22" s="7"/>
      <c r="BV22" s="7">
        <v>0</v>
      </c>
      <c r="BW22" s="7"/>
      <c r="BX22" s="7"/>
      <c r="BY22" s="7">
        <v>10001</v>
      </c>
      <c r="BZ22" s="7" t="s">
        <v>1414</v>
      </c>
      <c r="CA22" s="7"/>
      <c r="CB22" s="7"/>
      <c r="CC22" s="7"/>
      <c r="CD22" s="7"/>
      <c r="CE22" s="7"/>
      <c r="CF22" s="7"/>
      <c r="CG22" s="7"/>
      <c r="CH22" s="7">
        <v>3563</v>
      </c>
      <c r="CI22" s="7" t="s">
        <v>630</v>
      </c>
      <c r="CJ22" s="7"/>
      <c r="CK22" s="7"/>
      <c r="CL22" s="7"/>
      <c r="CM22" s="7"/>
      <c r="CN22" s="7">
        <v>0</v>
      </c>
      <c r="CO22" s="7"/>
      <c r="CP22" s="7"/>
      <c r="CQ22" s="7"/>
      <c r="CR22" s="7"/>
      <c r="CS22" s="7">
        <v>0</v>
      </c>
      <c r="CT22" s="7"/>
      <c r="CU22" s="7"/>
      <c r="CV22" s="7" t="s">
        <v>687</v>
      </c>
      <c r="CW22" s="7" t="s">
        <v>32</v>
      </c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126"/>
      <c r="EE22" s="7"/>
      <c r="EF22" s="7"/>
      <c r="EG22" s="7"/>
    </row>
    <row r="23" spans="1:137" ht="13.5" customHeight="1">
      <c r="A23" s="7">
        <v>11</v>
      </c>
      <c r="B23" s="7"/>
      <c r="C23" s="7"/>
      <c r="D23" s="7"/>
      <c r="E23" s="7" t="s">
        <v>34</v>
      </c>
      <c r="F23" s="7"/>
      <c r="G23" s="7">
        <v>353010</v>
      </c>
      <c r="H23" s="7" t="s">
        <v>613</v>
      </c>
      <c r="I23" s="7">
        <v>50</v>
      </c>
      <c r="J23" s="7" t="s">
        <v>36</v>
      </c>
      <c r="K23" s="7">
        <v>41</v>
      </c>
      <c r="L23" s="7" t="s">
        <v>688</v>
      </c>
      <c r="M23" s="7">
        <v>27</v>
      </c>
      <c r="N23" s="7" t="s">
        <v>689</v>
      </c>
      <c r="O23" s="7">
        <v>18</v>
      </c>
      <c r="P23" s="7" t="s">
        <v>690</v>
      </c>
      <c r="Q23" s="7">
        <v>18</v>
      </c>
      <c r="R23" s="7" t="s">
        <v>690</v>
      </c>
      <c r="S23" s="7" t="s">
        <v>617</v>
      </c>
      <c r="T23" s="7" t="s">
        <v>691</v>
      </c>
      <c r="U23" s="28"/>
      <c r="V23" s="7">
        <v>8</v>
      </c>
      <c r="W23" s="7" t="s">
        <v>644</v>
      </c>
      <c r="X23" s="28"/>
      <c r="Y23" s="7" t="s">
        <v>692</v>
      </c>
      <c r="Z23" s="7" t="s">
        <v>621</v>
      </c>
      <c r="AA23" s="7" t="s">
        <v>622</v>
      </c>
      <c r="AB23" s="7" t="s">
        <v>638</v>
      </c>
      <c r="AC23" s="7"/>
      <c r="AD23" s="7"/>
      <c r="AE23" s="7"/>
      <c r="AF23" s="7"/>
      <c r="AG23" s="7"/>
      <c r="AH23" s="7"/>
      <c r="AI23" s="7" t="s">
        <v>611</v>
      </c>
      <c r="AJ23" s="7" t="s">
        <v>623</v>
      </c>
      <c r="AK23" s="7">
        <v>10</v>
      </c>
      <c r="AL23" s="7">
        <v>9</v>
      </c>
      <c r="AM23" s="7" t="s">
        <v>624</v>
      </c>
      <c r="AN23" s="7" t="s">
        <v>625</v>
      </c>
      <c r="AO23" s="7" t="s">
        <v>626</v>
      </c>
      <c r="AP23" s="7" t="s">
        <v>627</v>
      </c>
      <c r="AQ23" s="7" t="s">
        <v>617</v>
      </c>
      <c r="AR23" s="7"/>
      <c r="AS23" s="7"/>
      <c r="AT23" s="7"/>
      <c r="AU23" s="6">
        <v>91003</v>
      </c>
      <c r="AV23" s="6" t="s">
        <v>5</v>
      </c>
      <c r="AW23" s="7"/>
      <c r="AX23" s="7"/>
      <c r="AY23" s="7"/>
      <c r="AZ23" s="7"/>
      <c r="BA23" s="6">
        <v>1214</v>
      </c>
      <c r="BB23" s="6" t="s">
        <v>628</v>
      </c>
      <c r="BC23" s="7"/>
      <c r="BD23" s="7"/>
      <c r="BE23" s="7"/>
      <c r="BF23" s="7"/>
      <c r="BG23" s="7">
        <v>0</v>
      </c>
      <c r="BH23" s="7">
        <v>0</v>
      </c>
      <c r="BI23" s="7">
        <v>0</v>
      </c>
      <c r="BJ23" s="7">
        <v>10</v>
      </c>
      <c r="BK23" s="7">
        <v>0</v>
      </c>
      <c r="BL23" s="7">
        <v>10</v>
      </c>
      <c r="BM23" s="7"/>
      <c r="BN23" s="7">
        <v>0</v>
      </c>
      <c r="BO23" s="7"/>
      <c r="BP23" s="7"/>
      <c r="BQ23" s="7">
        <v>0</v>
      </c>
      <c r="BR23" s="7">
        <v>380</v>
      </c>
      <c r="BS23" s="7" t="s">
        <v>629</v>
      </c>
      <c r="BT23" s="7"/>
      <c r="BU23" s="7"/>
      <c r="BV23" s="7">
        <v>0</v>
      </c>
      <c r="BW23" s="7"/>
      <c r="BX23" s="7"/>
      <c r="BY23" s="7">
        <v>10001</v>
      </c>
      <c r="BZ23" s="7" t="s">
        <v>1414</v>
      </c>
      <c r="CA23" s="7"/>
      <c r="CB23" s="7"/>
      <c r="CC23" s="7"/>
      <c r="CD23" s="7"/>
      <c r="CE23" s="7"/>
      <c r="CF23" s="7"/>
      <c r="CG23" s="7"/>
      <c r="CH23" s="7">
        <v>3563</v>
      </c>
      <c r="CI23" s="7" t="s">
        <v>630</v>
      </c>
      <c r="CJ23" s="7"/>
      <c r="CK23" s="7"/>
      <c r="CL23" s="7"/>
      <c r="CM23" s="7"/>
      <c r="CN23" s="7">
        <v>0</v>
      </c>
      <c r="CO23" s="7"/>
      <c r="CP23" s="7"/>
      <c r="CQ23" s="7"/>
      <c r="CR23" s="7"/>
      <c r="CS23" s="7">
        <v>0</v>
      </c>
      <c r="CT23" s="7"/>
      <c r="CU23" s="7"/>
      <c r="CV23" s="7" t="s">
        <v>693</v>
      </c>
      <c r="CW23" s="7" t="s">
        <v>35</v>
      </c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126"/>
      <c r="EE23" s="7"/>
      <c r="EF23" s="7"/>
      <c r="EG23" s="7"/>
    </row>
    <row r="24" spans="1:137" ht="13.5" customHeight="1">
      <c r="A24" s="7">
        <v>12</v>
      </c>
      <c r="B24" s="7"/>
      <c r="C24" s="7"/>
      <c r="D24" s="7"/>
      <c r="E24" s="7" t="s">
        <v>37</v>
      </c>
      <c r="F24" s="7"/>
      <c r="G24" s="7">
        <v>353011</v>
      </c>
      <c r="H24" s="7" t="s">
        <v>613</v>
      </c>
      <c r="I24" s="7">
        <v>52</v>
      </c>
      <c r="J24" s="7" t="s">
        <v>39</v>
      </c>
      <c r="K24" s="7">
        <v>44</v>
      </c>
      <c r="L24" s="7" t="s">
        <v>694</v>
      </c>
      <c r="M24" s="7">
        <v>30</v>
      </c>
      <c r="N24" s="7" t="s">
        <v>695</v>
      </c>
      <c r="O24" s="7">
        <v>18</v>
      </c>
      <c r="P24" s="7" t="s">
        <v>696</v>
      </c>
      <c r="Q24" s="7">
        <v>18</v>
      </c>
      <c r="R24" s="7" t="s">
        <v>696</v>
      </c>
      <c r="S24" s="7" t="s">
        <v>617</v>
      </c>
      <c r="T24" s="7" t="s">
        <v>650</v>
      </c>
      <c r="U24" s="28"/>
      <c r="V24" s="7">
        <v>12</v>
      </c>
      <c r="W24" s="7" t="s">
        <v>697</v>
      </c>
      <c r="X24" s="28"/>
      <c r="Y24" s="7" t="s">
        <v>698</v>
      </c>
      <c r="Z24" s="7" t="s">
        <v>621</v>
      </c>
      <c r="AA24" s="7" t="s">
        <v>622</v>
      </c>
      <c r="AB24" s="7" t="s">
        <v>638</v>
      </c>
      <c r="AC24" s="7"/>
      <c r="AD24" s="7"/>
      <c r="AE24" s="7"/>
      <c r="AF24" s="7"/>
      <c r="AG24" s="7"/>
      <c r="AH24" s="7"/>
      <c r="AI24" s="7" t="s">
        <v>611</v>
      </c>
      <c r="AJ24" s="7" t="s">
        <v>623</v>
      </c>
      <c r="AK24" s="7">
        <v>10</v>
      </c>
      <c r="AL24" s="7">
        <v>9</v>
      </c>
      <c r="AM24" s="7" t="s">
        <v>624</v>
      </c>
      <c r="AN24" s="7" t="s">
        <v>625</v>
      </c>
      <c r="AO24" s="7" t="s">
        <v>626</v>
      </c>
      <c r="AP24" s="7" t="s">
        <v>627</v>
      </c>
      <c r="AQ24" s="7" t="s">
        <v>617</v>
      </c>
      <c r="AR24" s="7"/>
      <c r="AS24" s="7"/>
      <c r="AT24" s="7"/>
      <c r="AU24" s="6">
        <v>91003</v>
      </c>
      <c r="AV24" s="6" t="s">
        <v>5</v>
      </c>
      <c r="AW24" s="7"/>
      <c r="AX24" s="7"/>
      <c r="AY24" s="7"/>
      <c r="AZ24" s="7"/>
      <c r="BA24" s="6">
        <v>1214</v>
      </c>
      <c r="BB24" s="6" t="s">
        <v>628</v>
      </c>
      <c r="BC24" s="7"/>
      <c r="BD24" s="7"/>
      <c r="BE24" s="7"/>
      <c r="BF24" s="7"/>
      <c r="BG24" s="7">
        <v>0</v>
      </c>
      <c r="BH24" s="7">
        <v>0</v>
      </c>
      <c r="BI24" s="7">
        <v>0</v>
      </c>
      <c r="BJ24" s="7">
        <v>10</v>
      </c>
      <c r="BK24" s="7">
        <v>0</v>
      </c>
      <c r="BL24" s="7">
        <v>10</v>
      </c>
      <c r="BM24" s="7"/>
      <c r="BN24" s="7">
        <v>0</v>
      </c>
      <c r="BO24" s="7"/>
      <c r="BP24" s="7"/>
      <c r="BQ24" s="7">
        <v>0</v>
      </c>
      <c r="BR24" s="7">
        <v>380</v>
      </c>
      <c r="BS24" s="7" t="s">
        <v>629</v>
      </c>
      <c r="BT24" s="7"/>
      <c r="BU24" s="7"/>
      <c r="BV24" s="7">
        <v>0</v>
      </c>
      <c r="BW24" s="7"/>
      <c r="BX24" s="7"/>
      <c r="BY24" s="7">
        <v>10001</v>
      </c>
      <c r="BZ24" s="7" t="s">
        <v>1414</v>
      </c>
      <c r="CA24" s="7"/>
      <c r="CB24" s="7"/>
      <c r="CC24" s="7"/>
      <c r="CD24" s="7"/>
      <c r="CE24" s="7"/>
      <c r="CF24" s="7"/>
      <c r="CG24" s="7"/>
      <c r="CH24" s="7">
        <v>3563</v>
      </c>
      <c r="CI24" s="7" t="s">
        <v>630</v>
      </c>
      <c r="CJ24" s="7"/>
      <c r="CK24" s="7"/>
      <c r="CL24" s="7"/>
      <c r="CM24" s="7"/>
      <c r="CN24" s="7">
        <v>0</v>
      </c>
      <c r="CO24" s="7"/>
      <c r="CP24" s="7"/>
      <c r="CQ24" s="7"/>
      <c r="CR24" s="7"/>
      <c r="CS24" s="7">
        <v>0</v>
      </c>
      <c r="CT24" s="7"/>
      <c r="CU24" s="7"/>
      <c r="CV24" s="7" t="s">
        <v>699</v>
      </c>
      <c r="CW24" s="7" t="s">
        <v>38</v>
      </c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126"/>
      <c r="EE24" s="7"/>
      <c r="EF24" s="7"/>
      <c r="EG24" s="7"/>
    </row>
    <row r="25" spans="1:137" ht="13.5" customHeight="1">
      <c r="A25" s="7">
        <v>13</v>
      </c>
      <c r="B25" s="7"/>
      <c r="C25" s="7"/>
      <c r="D25" s="7"/>
      <c r="E25" s="7" t="s">
        <v>40</v>
      </c>
      <c r="F25" s="7"/>
      <c r="G25" s="7">
        <v>353012</v>
      </c>
      <c r="H25" s="7" t="s">
        <v>613</v>
      </c>
      <c r="I25" s="7">
        <v>50</v>
      </c>
      <c r="J25" s="7" t="s">
        <v>42</v>
      </c>
      <c r="K25" s="7">
        <v>43</v>
      </c>
      <c r="L25" s="7" t="s">
        <v>700</v>
      </c>
      <c r="M25" s="7">
        <v>29</v>
      </c>
      <c r="N25" s="7" t="s">
        <v>701</v>
      </c>
      <c r="O25" s="7">
        <v>17</v>
      </c>
      <c r="P25" s="7" t="s">
        <v>702</v>
      </c>
      <c r="Q25" s="7">
        <v>17</v>
      </c>
      <c r="R25" s="7" t="s">
        <v>702</v>
      </c>
      <c r="S25" s="7" t="s">
        <v>617</v>
      </c>
      <c r="T25" s="7" t="s">
        <v>703</v>
      </c>
      <c r="U25" s="28"/>
      <c r="V25" s="7">
        <v>8</v>
      </c>
      <c r="W25" s="7" t="s">
        <v>704</v>
      </c>
      <c r="X25" s="28"/>
      <c r="Y25" s="7" t="s">
        <v>705</v>
      </c>
      <c r="Z25" s="7" t="s">
        <v>621</v>
      </c>
      <c r="AA25" s="7" t="s">
        <v>622</v>
      </c>
      <c r="AB25" s="7" t="s">
        <v>638</v>
      </c>
      <c r="AC25" s="7"/>
      <c r="AD25" s="7"/>
      <c r="AE25" s="7"/>
      <c r="AF25" s="7"/>
      <c r="AG25" s="7"/>
      <c r="AH25" s="7"/>
      <c r="AI25" s="7" t="s">
        <v>611</v>
      </c>
      <c r="AJ25" s="7" t="s">
        <v>623</v>
      </c>
      <c r="AK25" s="7">
        <v>10</v>
      </c>
      <c r="AL25" s="7">
        <v>9</v>
      </c>
      <c r="AM25" s="7" t="s">
        <v>624</v>
      </c>
      <c r="AN25" s="7" t="s">
        <v>625</v>
      </c>
      <c r="AO25" s="7" t="s">
        <v>626</v>
      </c>
      <c r="AP25" s="7" t="s">
        <v>627</v>
      </c>
      <c r="AQ25" s="7" t="s">
        <v>617</v>
      </c>
      <c r="AR25" s="7"/>
      <c r="AS25" s="7"/>
      <c r="AT25" s="7"/>
      <c r="AU25" s="6">
        <v>91003</v>
      </c>
      <c r="AV25" s="6" t="s">
        <v>5</v>
      </c>
      <c r="AW25" s="7"/>
      <c r="AX25" s="7"/>
      <c r="AY25" s="7"/>
      <c r="AZ25" s="7"/>
      <c r="BA25" s="6">
        <v>1214</v>
      </c>
      <c r="BB25" s="6" t="s">
        <v>628</v>
      </c>
      <c r="BC25" s="7"/>
      <c r="BD25" s="7"/>
      <c r="BE25" s="7"/>
      <c r="BF25" s="7"/>
      <c r="BG25" s="7">
        <v>0</v>
      </c>
      <c r="BH25" s="7">
        <v>0</v>
      </c>
      <c r="BI25" s="7">
        <v>0</v>
      </c>
      <c r="BJ25" s="7">
        <v>10</v>
      </c>
      <c r="BK25" s="7">
        <v>0</v>
      </c>
      <c r="BL25" s="7">
        <v>10</v>
      </c>
      <c r="BM25" s="7"/>
      <c r="BN25" s="7">
        <v>0</v>
      </c>
      <c r="BO25" s="7"/>
      <c r="BP25" s="7"/>
      <c r="BQ25" s="7">
        <v>0</v>
      </c>
      <c r="BR25" s="7">
        <v>380</v>
      </c>
      <c r="BS25" s="7" t="s">
        <v>629</v>
      </c>
      <c r="BT25" s="7"/>
      <c r="BU25" s="7"/>
      <c r="BV25" s="7">
        <v>0</v>
      </c>
      <c r="BW25" s="7"/>
      <c r="BX25" s="7"/>
      <c r="BY25" s="7">
        <v>10001</v>
      </c>
      <c r="BZ25" s="7" t="s">
        <v>1414</v>
      </c>
      <c r="CA25" s="7"/>
      <c r="CB25" s="7"/>
      <c r="CC25" s="7"/>
      <c r="CD25" s="7"/>
      <c r="CE25" s="7"/>
      <c r="CF25" s="7"/>
      <c r="CG25" s="7"/>
      <c r="CH25" s="7">
        <v>3563</v>
      </c>
      <c r="CI25" s="7" t="s">
        <v>630</v>
      </c>
      <c r="CJ25" s="7"/>
      <c r="CK25" s="7"/>
      <c r="CL25" s="7"/>
      <c r="CM25" s="7"/>
      <c r="CN25" s="7">
        <v>0</v>
      </c>
      <c r="CO25" s="7"/>
      <c r="CP25" s="7"/>
      <c r="CQ25" s="7"/>
      <c r="CR25" s="7"/>
      <c r="CS25" s="7">
        <v>0</v>
      </c>
      <c r="CT25" s="7"/>
      <c r="CU25" s="7"/>
      <c r="CV25" s="7" t="s">
        <v>706</v>
      </c>
      <c r="CW25" s="7" t="s">
        <v>41</v>
      </c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126"/>
      <c r="EE25" s="7"/>
      <c r="EF25" s="7"/>
      <c r="EG25" s="7"/>
    </row>
    <row r="26" spans="1:137" ht="13.5" customHeight="1">
      <c r="A26" s="7">
        <v>14</v>
      </c>
      <c r="B26" s="7"/>
      <c r="C26" s="7"/>
      <c r="D26" s="7"/>
      <c r="E26" s="7" t="s">
        <v>43</v>
      </c>
      <c r="F26" s="7"/>
      <c r="G26" s="7">
        <v>353013</v>
      </c>
      <c r="H26" s="7" t="s">
        <v>613</v>
      </c>
      <c r="I26" s="7">
        <v>48</v>
      </c>
      <c r="J26" s="7" t="s">
        <v>45</v>
      </c>
      <c r="K26" s="7">
        <v>42</v>
      </c>
      <c r="L26" s="7" t="s">
        <v>707</v>
      </c>
      <c r="M26" s="7">
        <v>28</v>
      </c>
      <c r="N26" s="7" t="s">
        <v>708</v>
      </c>
      <c r="O26" s="7">
        <v>16</v>
      </c>
      <c r="P26" s="7" t="s">
        <v>709</v>
      </c>
      <c r="Q26" s="7">
        <v>16</v>
      </c>
      <c r="R26" s="7" t="s">
        <v>709</v>
      </c>
      <c r="S26" s="7" t="s">
        <v>617</v>
      </c>
      <c r="T26" s="7" t="s">
        <v>618</v>
      </c>
      <c r="U26" s="28"/>
      <c r="V26" s="7">
        <v>8</v>
      </c>
      <c r="W26" s="7" t="s">
        <v>710</v>
      </c>
      <c r="X26" s="28"/>
      <c r="Y26" s="7" t="s">
        <v>711</v>
      </c>
      <c r="Z26" s="7" t="s">
        <v>621</v>
      </c>
      <c r="AA26" s="7" t="s">
        <v>622</v>
      </c>
      <c r="AB26" s="7" t="s">
        <v>638</v>
      </c>
      <c r="AC26" s="7"/>
      <c r="AD26" s="7"/>
      <c r="AE26" s="7"/>
      <c r="AF26" s="7"/>
      <c r="AG26" s="7"/>
      <c r="AH26" s="7"/>
      <c r="AI26" s="7" t="s">
        <v>611</v>
      </c>
      <c r="AJ26" s="7" t="s">
        <v>623</v>
      </c>
      <c r="AK26" s="7">
        <v>10</v>
      </c>
      <c r="AL26" s="7">
        <v>9</v>
      </c>
      <c r="AM26" s="7" t="s">
        <v>624</v>
      </c>
      <c r="AN26" s="7" t="s">
        <v>625</v>
      </c>
      <c r="AO26" s="7" t="s">
        <v>626</v>
      </c>
      <c r="AP26" s="7" t="s">
        <v>627</v>
      </c>
      <c r="AQ26" s="7" t="s">
        <v>617</v>
      </c>
      <c r="AR26" s="7"/>
      <c r="AS26" s="7"/>
      <c r="AT26" s="7"/>
      <c r="AU26" s="6">
        <v>91003</v>
      </c>
      <c r="AV26" s="6" t="s">
        <v>5</v>
      </c>
      <c r="AW26" s="7"/>
      <c r="AX26" s="7"/>
      <c r="AY26" s="7"/>
      <c r="AZ26" s="7"/>
      <c r="BA26" s="6">
        <v>1214</v>
      </c>
      <c r="BB26" s="6" t="s">
        <v>628</v>
      </c>
      <c r="BC26" s="7"/>
      <c r="BD26" s="7"/>
      <c r="BE26" s="7"/>
      <c r="BF26" s="7"/>
      <c r="BG26" s="7">
        <v>0</v>
      </c>
      <c r="BH26" s="7">
        <v>0</v>
      </c>
      <c r="BI26" s="7">
        <v>0</v>
      </c>
      <c r="BJ26" s="7">
        <v>10</v>
      </c>
      <c r="BK26" s="7">
        <v>0</v>
      </c>
      <c r="BL26" s="7">
        <v>10</v>
      </c>
      <c r="BM26" s="7"/>
      <c r="BN26" s="7">
        <v>0</v>
      </c>
      <c r="BO26" s="7"/>
      <c r="BP26" s="7"/>
      <c r="BQ26" s="7">
        <v>0</v>
      </c>
      <c r="BR26" s="7">
        <v>380</v>
      </c>
      <c r="BS26" s="7" t="s">
        <v>629</v>
      </c>
      <c r="BT26" s="7"/>
      <c r="BU26" s="7"/>
      <c r="BV26" s="7">
        <v>0</v>
      </c>
      <c r="BW26" s="7"/>
      <c r="BX26" s="7"/>
      <c r="BY26" s="7">
        <v>10001</v>
      </c>
      <c r="BZ26" s="7" t="s">
        <v>1414</v>
      </c>
      <c r="CA26" s="7"/>
      <c r="CB26" s="7"/>
      <c r="CC26" s="7"/>
      <c r="CD26" s="7"/>
      <c r="CE26" s="7"/>
      <c r="CF26" s="7"/>
      <c r="CG26" s="7"/>
      <c r="CH26" s="7">
        <v>3563</v>
      </c>
      <c r="CI26" s="7" t="s">
        <v>630</v>
      </c>
      <c r="CJ26" s="7"/>
      <c r="CK26" s="7"/>
      <c r="CL26" s="7"/>
      <c r="CM26" s="7"/>
      <c r="CN26" s="7">
        <v>0</v>
      </c>
      <c r="CO26" s="7"/>
      <c r="CP26" s="7"/>
      <c r="CQ26" s="7"/>
      <c r="CR26" s="7"/>
      <c r="CS26" s="7">
        <v>0</v>
      </c>
      <c r="CT26" s="7"/>
      <c r="CU26" s="7"/>
      <c r="CV26" s="7" t="s">
        <v>712</v>
      </c>
      <c r="CW26" s="7" t="s">
        <v>44</v>
      </c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126"/>
      <c r="EE26" s="7"/>
      <c r="EF26" s="7"/>
      <c r="EG26" s="7"/>
    </row>
    <row r="27" spans="1:137" ht="13.5" customHeight="1">
      <c r="A27" s="7">
        <v>15</v>
      </c>
      <c r="B27" s="7"/>
      <c r="C27" s="7"/>
      <c r="D27" s="7"/>
      <c r="E27" s="7" t="s">
        <v>46</v>
      </c>
      <c r="F27" s="7"/>
      <c r="G27" s="7">
        <v>353014</v>
      </c>
      <c r="H27" s="7" t="s">
        <v>613</v>
      </c>
      <c r="I27" s="7">
        <v>48</v>
      </c>
      <c r="J27" s="7" t="s">
        <v>48</v>
      </c>
      <c r="K27" s="7">
        <v>42</v>
      </c>
      <c r="L27" s="7" t="s">
        <v>713</v>
      </c>
      <c r="M27" s="7">
        <v>28</v>
      </c>
      <c r="N27" s="7" t="s">
        <v>714</v>
      </c>
      <c r="O27" s="7">
        <v>16</v>
      </c>
      <c r="P27" s="7" t="s">
        <v>715</v>
      </c>
      <c r="Q27" s="7">
        <v>16</v>
      </c>
      <c r="R27" s="7" t="s">
        <v>715</v>
      </c>
      <c r="S27" s="7" t="s">
        <v>617</v>
      </c>
      <c r="T27" s="7" t="s">
        <v>716</v>
      </c>
      <c r="U27" s="28"/>
      <c r="V27" s="7">
        <v>8</v>
      </c>
      <c r="W27" s="7" t="s">
        <v>717</v>
      </c>
      <c r="X27" s="28"/>
      <c r="Y27" s="7" t="s">
        <v>718</v>
      </c>
      <c r="Z27" s="7" t="s">
        <v>621</v>
      </c>
      <c r="AA27" s="7" t="s">
        <v>622</v>
      </c>
      <c r="AB27" s="7" t="s">
        <v>638</v>
      </c>
      <c r="AC27" s="7"/>
      <c r="AD27" s="7"/>
      <c r="AE27" s="7"/>
      <c r="AF27" s="7"/>
      <c r="AG27" s="7"/>
      <c r="AH27" s="7"/>
      <c r="AI27" s="7" t="s">
        <v>611</v>
      </c>
      <c r="AJ27" s="7" t="s">
        <v>623</v>
      </c>
      <c r="AK27" s="7">
        <v>10</v>
      </c>
      <c r="AL27" s="7">
        <v>9</v>
      </c>
      <c r="AM27" s="7" t="s">
        <v>624</v>
      </c>
      <c r="AN27" s="7" t="s">
        <v>625</v>
      </c>
      <c r="AO27" s="7" t="s">
        <v>626</v>
      </c>
      <c r="AP27" s="7" t="s">
        <v>627</v>
      </c>
      <c r="AQ27" s="7" t="s">
        <v>617</v>
      </c>
      <c r="AR27" s="7"/>
      <c r="AS27" s="7"/>
      <c r="AT27" s="7"/>
      <c r="AU27" s="6">
        <v>91003</v>
      </c>
      <c r="AV27" s="6" t="s">
        <v>5</v>
      </c>
      <c r="AW27" s="7"/>
      <c r="AX27" s="7"/>
      <c r="AY27" s="7"/>
      <c r="AZ27" s="7"/>
      <c r="BA27" s="6">
        <v>1214</v>
      </c>
      <c r="BB27" s="6" t="s">
        <v>628</v>
      </c>
      <c r="BC27" s="7"/>
      <c r="BD27" s="7"/>
      <c r="BE27" s="7"/>
      <c r="BF27" s="7"/>
      <c r="BG27" s="7">
        <v>0</v>
      </c>
      <c r="BH27" s="7">
        <v>0</v>
      </c>
      <c r="BI27" s="7">
        <v>0</v>
      </c>
      <c r="BJ27" s="7">
        <v>10</v>
      </c>
      <c r="BK27" s="7">
        <v>0</v>
      </c>
      <c r="BL27" s="7">
        <v>10</v>
      </c>
      <c r="BM27" s="7"/>
      <c r="BN27" s="7">
        <v>0</v>
      </c>
      <c r="BO27" s="7"/>
      <c r="BP27" s="7"/>
      <c r="BQ27" s="7">
        <v>0</v>
      </c>
      <c r="BR27" s="7">
        <v>380</v>
      </c>
      <c r="BS27" s="7" t="s">
        <v>629</v>
      </c>
      <c r="BT27" s="7"/>
      <c r="BU27" s="7"/>
      <c r="BV27" s="7">
        <v>0</v>
      </c>
      <c r="BW27" s="7"/>
      <c r="BX27" s="7"/>
      <c r="BY27" s="7">
        <v>10001</v>
      </c>
      <c r="BZ27" s="7" t="s">
        <v>1414</v>
      </c>
      <c r="CA27" s="7"/>
      <c r="CB27" s="7"/>
      <c r="CC27" s="7"/>
      <c r="CD27" s="7"/>
      <c r="CE27" s="7"/>
      <c r="CF27" s="7"/>
      <c r="CG27" s="7"/>
      <c r="CH27" s="7">
        <v>3563</v>
      </c>
      <c r="CI27" s="7" t="s">
        <v>630</v>
      </c>
      <c r="CJ27" s="7"/>
      <c r="CK27" s="7"/>
      <c r="CL27" s="7"/>
      <c r="CM27" s="7"/>
      <c r="CN27" s="7">
        <v>0</v>
      </c>
      <c r="CO27" s="7"/>
      <c r="CP27" s="7"/>
      <c r="CQ27" s="7"/>
      <c r="CR27" s="7"/>
      <c r="CS27" s="7">
        <v>0</v>
      </c>
      <c r="CT27" s="7"/>
      <c r="CU27" s="7"/>
      <c r="CV27" s="7" t="s">
        <v>719</v>
      </c>
      <c r="CW27" s="7" t="s">
        <v>47</v>
      </c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126"/>
      <c r="EE27" s="7"/>
      <c r="EF27" s="7"/>
      <c r="EG27" s="7"/>
    </row>
    <row r="28" spans="1:137" ht="13.5" customHeight="1">
      <c r="A28" s="7">
        <v>16</v>
      </c>
      <c r="B28" s="7"/>
      <c r="C28" s="7"/>
      <c r="D28" s="7"/>
      <c r="E28" s="7" t="s">
        <v>49</v>
      </c>
      <c r="F28" s="7"/>
      <c r="G28" s="7">
        <v>353015</v>
      </c>
      <c r="H28" s="7" t="s">
        <v>613</v>
      </c>
      <c r="I28" s="7">
        <v>48</v>
      </c>
      <c r="J28" s="7" t="s">
        <v>51</v>
      </c>
      <c r="K28" s="7">
        <v>42</v>
      </c>
      <c r="L28" s="7" t="s">
        <v>720</v>
      </c>
      <c r="M28" s="7">
        <v>28</v>
      </c>
      <c r="N28" s="7" t="s">
        <v>721</v>
      </c>
      <c r="O28" s="7">
        <v>16</v>
      </c>
      <c r="P28" s="7" t="s">
        <v>722</v>
      </c>
      <c r="Q28" s="7">
        <v>16</v>
      </c>
      <c r="R28" s="7" t="s">
        <v>722</v>
      </c>
      <c r="S28" s="7" t="s">
        <v>617</v>
      </c>
      <c r="T28" s="7" t="s">
        <v>691</v>
      </c>
      <c r="U28" s="28"/>
      <c r="V28" s="7">
        <v>8</v>
      </c>
      <c r="W28" s="7" t="s">
        <v>723</v>
      </c>
      <c r="X28" s="28"/>
      <c r="Y28" s="7" t="s">
        <v>724</v>
      </c>
      <c r="Z28" s="7" t="s">
        <v>621</v>
      </c>
      <c r="AA28" s="7" t="s">
        <v>622</v>
      </c>
      <c r="AB28" s="7" t="s">
        <v>638</v>
      </c>
      <c r="AC28" s="7"/>
      <c r="AD28" s="7"/>
      <c r="AE28" s="7"/>
      <c r="AF28" s="7"/>
      <c r="AG28" s="7"/>
      <c r="AH28" s="7"/>
      <c r="AI28" s="7" t="s">
        <v>611</v>
      </c>
      <c r="AJ28" s="7" t="s">
        <v>623</v>
      </c>
      <c r="AK28" s="7">
        <v>10</v>
      </c>
      <c r="AL28" s="7">
        <v>9</v>
      </c>
      <c r="AM28" s="7" t="s">
        <v>624</v>
      </c>
      <c r="AN28" s="7" t="s">
        <v>625</v>
      </c>
      <c r="AO28" s="7" t="s">
        <v>626</v>
      </c>
      <c r="AP28" s="7" t="s">
        <v>627</v>
      </c>
      <c r="AQ28" s="7" t="s">
        <v>617</v>
      </c>
      <c r="AR28" s="7"/>
      <c r="AS28" s="7"/>
      <c r="AT28" s="7"/>
      <c r="AU28" s="6">
        <v>91003</v>
      </c>
      <c r="AV28" s="6" t="s">
        <v>5</v>
      </c>
      <c r="AW28" s="7"/>
      <c r="AX28" s="7"/>
      <c r="AY28" s="7"/>
      <c r="AZ28" s="7"/>
      <c r="BA28" s="6">
        <v>1214</v>
      </c>
      <c r="BB28" s="6" t="s">
        <v>628</v>
      </c>
      <c r="BC28" s="7"/>
      <c r="BD28" s="7"/>
      <c r="BE28" s="7"/>
      <c r="BF28" s="7"/>
      <c r="BG28" s="7">
        <v>0</v>
      </c>
      <c r="BH28" s="7">
        <v>0</v>
      </c>
      <c r="BI28" s="7">
        <v>0</v>
      </c>
      <c r="BJ28" s="7">
        <v>10</v>
      </c>
      <c r="BK28" s="7">
        <v>0</v>
      </c>
      <c r="BL28" s="7">
        <v>10</v>
      </c>
      <c r="BM28" s="7"/>
      <c r="BN28" s="7">
        <v>0</v>
      </c>
      <c r="BO28" s="7"/>
      <c r="BP28" s="7"/>
      <c r="BQ28" s="7">
        <v>0</v>
      </c>
      <c r="BR28" s="7">
        <v>380</v>
      </c>
      <c r="BS28" s="7" t="s">
        <v>629</v>
      </c>
      <c r="BT28" s="7"/>
      <c r="BU28" s="7"/>
      <c r="BV28" s="7">
        <v>0</v>
      </c>
      <c r="BW28" s="7"/>
      <c r="BX28" s="7"/>
      <c r="BY28" s="7">
        <v>10001</v>
      </c>
      <c r="BZ28" s="7" t="s">
        <v>1414</v>
      </c>
      <c r="CA28" s="7"/>
      <c r="CB28" s="7"/>
      <c r="CC28" s="7"/>
      <c r="CD28" s="7"/>
      <c r="CE28" s="7"/>
      <c r="CF28" s="7"/>
      <c r="CG28" s="7"/>
      <c r="CH28" s="7">
        <v>3563</v>
      </c>
      <c r="CI28" s="7" t="s">
        <v>630</v>
      </c>
      <c r="CJ28" s="7"/>
      <c r="CK28" s="7"/>
      <c r="CL28" s="7"/>
      <c r="CM28" s="7"/>
      <c r="CN28" s="7">
        <v>0</v>
      </c>
      <c r="CO28" s="7"/>
      <c r="CP28" s="7"/>
      <c r="CQ28" s="7"/>
      <c r="CR28" s="7"/>
      <c r="CS28" s="7">
        <v>0</v>
      </c>
      <c r="CT28" s="7"/>
      <c r="CU28" s="7"/>
      <c r="CV28" s="7" t="s">
        <v>725</v>
      </c>
      <c r="CW28" s="7" t="s">
        <v>50</v>
      </c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126"/>
      <c r="EE28" s="7"/>
      <c r="EF28" s="7"/>
      <c r="EG28" s="7"/>
    </row>
    <row r="29" spans="1:137" ht="13.5" customHeight="1">
      <c r="A29" s="7">
        <v>17</v>
      </c>
      <c r="B29" s="7"/>
      <c r="C29" s="7"/>
      <c r="D29" s="7"/>
      <c r="E29" s="7" t="s">
        <v>52</v>
      </c>
      <c r="F29" s="7"/>
      <c r="G29" s="7">
        <v>353016</v>
      </c>
      <c r="H29" s="7" t="s">
        <v>613</v>
      </c>
      <c r="I29" s="7">
        <v>34</v>
      </c>
      <c r="J29" s="7" t="s">
        <v>54</v>
      </c>
      <c r="K29" s="7">
        <v>29</v>
      </c>
      <c r="L29" s="7" t="s">
        <v>726</v>
      </c>
      <c r="M29" s="7">
        <v>19</v>
      </c>
      <c r="N29" s="7" t="s">
        <v>727</v>
      </c>
      <c r="O29" s="7">
        <v>19</v>
      </c>
      <c r="P29" s="7" t="s">
        <v>727</v>
      </c>
      <c r="Q29" s="7">
        <v>19</v>
      </c>
      <c r="R29" s="7" t="s">
        <v>727</v>
      </c>
      <c r="S29" s="7" t="s">
        <v>617</v>
      </c>
      <c r="T29" s="7" t="s">
        <v>618</v>
      </c>
      <c r="U29" s="28"/>
      <c r="V29" s="7">
        <v>12</v>
      </c>
      <c r="W29" s="7" t="s">
        <v>710</v>
      </c>
      <c r="X29" s="28"/>
      <c r="Y29" s="7" t="s">
        <v>728</v>
      </c>
      <c r="Z29" s="7" t="s">
        <v>621</v>
      </c>
      <c r="AA29" s="7" t="s">
        <v>622</v>
      </c>
      <c r="AB29" s="7" t="s">
        <v>638</v>
      </c>
      <c r="AC29" s="7"/>
      <c r="AD29" s="7"/>
      <c r="AE29" s="7"/>
      <c r="AF29" s="7"/>
      <c r="AG29" s="7"/>
      <c r="AH29" s="7"/>
      <c r="AI29" s="7" t="s">
        <v>611</v>
      </c>
      <c r="AJ29" s="7" t="s">
        <v>623</v>
      </c>
      <c r="AK29" s="7">
        <v>10</v>
      </c>
      <c r="AL29" s="7">
        <v>9</v>
      </c>
      <c r="AM29" s="7" t="s">
        <v>624</v>
      </c>
      <c r="AN29" s="7" t="s">
        <v>625</v>
      </c>
      <c r="AO29" s="7" t="s">
        <v>626</v>
      </c>
      <c r="AP29" s="7" t="s">
        <v>627</v>
      </c>
      <c r="AQ29" s="7" t="s">
        <v>617</v>
      </c>
      <c r="AR29" s="7"/>
      <c r="AS29" s="7"/>
      <c r="AT29" s="7"/>
      <c r="AU29" s="6">
        <v>91003</v>
      </c>
      <c r="AV29" s="6" t="s">
        <v>5</v>
      </c>
      <c r="AW29" s="7"/>
      <c r="AX29" s="7"/>
      <c r="AY29" s="7"/>
      <c r="AZ29" s="7"/>
      <c r="BA29" s="6">
        <v>1214</v>
      </c>
      <c r="BB29" s="6" t="s">
        <v>628</v>
      </c>
      <c r="BC29" s="7"/>
      <c r="BD29" s="7"/>
      <c r="BE29" s="7"/>
      <c r="BF29" s="7"/>
      <c r="BG29" s="7">
        <v>0</v>
      </c>
      <c r="BH29" s="7">
        <v>0</v>
      </c>
      <c r="BI29" s="7">
        <v>0</v>
      </c>
      <c r="BJ29" s="7">
        <v>10</v>
      </c>
      <c r="BK29" s="7">
        <v>0</v>
      </c>
      <c r="BL29" s="7">
        <v>10</v>
      </c>
      <c r="BM29" s="7"/>
      <c r="BN29" s="7">
        <v>0</v>
      </c>
      <c r="BO29" s="7"/>
      <c r="BP29" s="7"/>
      <c r="BQ29" s="7">
        <v>0</v>
      </c>
      <c r="BR29" s="7">
        <v>380</v>
      </c>
      <c r="BS29" s="7" t="s">
        <v>629</v>
      </c>
      <c r="BT29" s="7"/>
      <c r="BU29" s="7"/>
      <c r="BV29" s="7">
        <v>0</v>
      </c>
      <c r="BW29" s="7"/>
      <c r="BX29" s="7"/>
      <c r="BY29" s="7">
        <v>10001</v>
      </c>
      <c r="BZ29" s="7" t="s">
        <v>1414</v>
      </c>
      <c r="CA29" s="7"/>
      <c r="CB29" s="7"/>
      <c r="CC29" s="7"/>
      <c r="CD29" s="7"/>
      <c r="CE29" s="7"/>
      <c r="CF29" s="7"/>
      <c r="CG29" s="7"/>
      <c r="CH29" s="7">
        <v>3563</v>
      </c>
      <c r="CI29" s="7" t="s">
        <v>630</v>
      </c>
      <c r="CJ29" s="7"/>
      <c r="CK29" s="7"/>
      <c r="CL29" s="7"/>
      <c r="CM29" s="7"/>
      <c r="CN29" s="7">
        <v>0</v>
      </c>
      <c r="CO29" s="7"/>
      <c r="CP29" s="7"/>
      <c r="CQ29" s="7"/>
      <c r="CR29" s="7"/>
      <c r="CS29" s="7">
        <v>0</v>
      </c>
      <c r="CT29" s="7"/>
      <c r="CU29" s="7"/>
      <c r="CV29" s="7" t="s">
        <v>729</v>
      </c>
      <c r="CW29" s="7" t="s">
        <v>53</v>
      </c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126"/>
      <c r="EE29" s="7"/>
      <c r="EF29" s="7"/>
      <c r="EG29" s="7"/>
    </row>
    <row r="30" spans="1:137" ht="13.5" customHeight="1">
      <c r="A30" s="7">
        <v>18</v>
      </c>
      <c r="B30" s="7"/>
      <c r="C30" s="7"/>
      <c r="D30" s="7"/>
      <c r="E30" s="7" t="s">
        <v>55</v>
      </c>
      <c r="F30" s="7"/>
      <c r="G30" s="7">
        <v>353017</v>
      </c>
      <c r="H30" s="7" t="s">
        <v>613</v>
      </c>
      <c r="I30" s="7">
        <v>32</v>
      </c>
      <c r="J30" s="7" t="s">
        <v>57</v>
      </c>
      <c r="K30" s="7">
        <v>28</v>
      </c>
      <c r="L30" s="7" t="s">
        <v>730</v>
      </c>
      <c r="M30" s="7">
        <v>18</v>
      </c>
      <c r="N30" s="7" t="s">
        <v>731</v>
      </c>
      <c r="O30" s="7">
        <v>18</v>
      </c>
      <c r="P30" s="7" t="s">
        <v>731</v>
      </c>
      <c r="Q30" s="7">
        <v>18</v>
      </c>
      <c r="R30" s="7" t="s">
        <v>731</v>
      </c>
      <c r="S30" s="7" t="s">
        <v>617</v>
      </c>
      <c r="T30" s="7" t="s">
        <v>732</v>
      </c>
      <c r="U30" s="28"/>
      <c r="V30" s="7">
        <v>8</v>
      </c>
      <c r="W30" s="7" t="s">
        <v>733</v>
      </c>
      <c r="X30" s="28"/>
      <c r="Y30" s="7" t="s">
        <v>734</v>
      </c>
      <c r="Z30" s="7" t="s">
        <v>621</v>
      </c>
      <c r="AA30" s="7" t="s">
        <v>622</v>
      </c>
      <c r="AB30" s="7" t="s">
        <v>638</v>
      </c>
      <c r="AC30" s="7"/>
      <c r="AD30" s="7"/>
      <c r="AE30" s="7"/>
      <c r="AF30" s="7"/>
      <c r="AG30" s="7"/>
      <c r="AH30" s="7"/>
      <c r="AI30" s="7" t="s">
        <v>611</v>
      </c>
      <c r="AJ30" s="7" t="s">
        <v>623</v>
      </c>
      <c r="AK30" s="7">
        <v>10</v>
      </c>
      <c r="AL30" s="7">
        <v>9</v>
      </c>
      <c r="AM30" s="7" t="s">
        <v>624</v>
      </c>
      <c r="AN30" s="7" t="s">
        <v>625</v>
      </c>
      <c r="AO30" s="7" t="s">
        <v>626</v>
      </c>
      <c r="AP30" s="7" t="s">
        <v>627</v>
      </c>
      <c r="AQ30" s="7" t="s">
        <v>617</v>
      </c>
      <c r="AR30" s="7"/>
      <c r="AS30" s="7"/>
      <c r="AT30" s="7"/>
      <c r="AU30" s="6">
        <v>91003</v>
      </c>
      <c r="AV30" s="6" t="s">
        <v>5</v>
      </c>
      <c r="AW30" s="7"/>
      <c r="AX30" s="7"/>
      <c r="AY30" s="7"/>
      <c r="AZ30" s="7"/>
      <c r="BA30" s="6">
        <v>1214</v>
      </c>
      <c r="BB30" s="6" t="s">
        <v>628</v>
      </c>
      <c r="BC30" s="7"/>
      <c r="BD30" s="7"/>
      <c r="BE30" s="7"/>
      <c r="BF30" s="7"/>
      <c r="BG30" s="7">
        <v>0</v>
      </c>
      <c r="BH30" s="7">
        <v>0</v>
      </c>
      <c r="BI30" s="7">
        <v>0</v>
      </c>
      <c r="BJ30" s="7">
        <v>10</v>
      </c>
      <c r="BK30" s="7">
        <v>0</v>
      </c>
      <c r="BL30" s="7">
        <v>10</v>
      </c>
      <c r="BM30" s="7"/>
      <c r="BN30" s="7">
        <v>0</v>
      </c>
      <c r="BO30" s="7"/>
      <c r="BP30" s="7"/>
      <c r="BQ30" s="7">
        <v>0</v>
      </c>
      <c r="BR30" s="7">
        <v>380</v>
      </c>
      <c r="BS30" s="7" t="s">
        <v>629</v>
      </c>
      <c r="BT30" s="7"/>
      <c r="BU30" s="7"/>
      <c r="BV30" s="7">
        <v>0</v>
      </c>
      <c r="BW30" s="7"/>
      <c r="BX30" s="7"/>
      <c r="BY30" s="7">
        <v>10001</v>
      </c>
      <c r="BZ30" s="7" t="s">
        <v>1414</v>
      </c>
      <c r="CA30" s="7"/>
      <c r="CB30" s="7"/>
      <c r="CC30" s="7"/>
      <c r="CD30" s="7"/>
      <c r="CE30" s="7"/>
      <c r="CF30" s="7"/>
      <c r="CG30" s="7"/>
      <c r="CH30" s="7">
        <v>3563</v>
      </c>
      <c r="CI30" s="7" t="s">
        <v>630</v>
      </c>
      <c r="CJ30" s="7"/>
      <c r="CK30" s="7"/>
      <c r="CL30" s="7"/>
      <c r="CM30" s="7"/>
      <c r="CN30" s="7">
        <v>0</v>
      </c>
      <c r="CO30" s="7"/>
      <c r="CP30" s="7"/>
      <c r="CQ30" s="7"/>
      <c r="CR30" s="7"/>
      <c r="CS30" s="7">
        <v>0</v>
      </c>
      <c r="CT30" s="7"/>
      <c r="CU30" s="7"/>
      <c r="CV30" s="7" t="s">
        <v>735</v>
      </c>
      <c r="CW30" s="7" t="s">
        <v>56</v>
      </c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126"/>
      <c r="EE30" s="7"/>
      <c r="EF30" s="7"/>
      <c r="EG30" s="7"/>
    </row>
    <row r="31" spans="1:137" ht="13.5" customHeight="1">
      <c r="A31" s="7">
        <v>19</v>
      </c>
      <c r="B31" s="7"/>
      <c r="C31" s="7"/>
      <c r="D31" s="7"/>
      <c r="E31" s="7" t="s">
        <v>58</v>
      </c>
      <c r="F31" s="7"/>
      <c r="G31" s="7">
        <v>353018</v>
      </c>
      <c r="H31" s="7" t="s">
        <v>613</v>
      </c>
      <c r="I31" s="7">
        <v>30</v>
      </c>
      <c r="J31" s="7" t="s">
        <v>60</v>
      </c>
      <c r="K31" s="7">
        <v>27</v>
      </c>
      <c r="L31" s="7" t="s">
        <v>736</v>
      </c>
      <c r="M31" s="7">
        <v>17</v>
      </c>
      <c r="N31" s="7" t="s">
        <v>737</v>
      </c>
      <c r="O31" s="7">
        <v>17</v>
      </c>
      <c r="P31" s="7" t="s">
        <v>737</v>
      </c>
      <c r="Q31" s="7">
        <v>17</v>
      </c>
      <c r="R31" s="7" t="s">
        <v>737</v>
      </c>
      <c r="S31" s="7" t="s">
        <v>617</v>
      </c>
      <c r="T31" s="7" t="s">
        <v>732</v>
      </c>
      <c r="U31" s="28"/>
      <c r="V31" s="7">
        <v>8</v>
      </c>
      <c r="W31" s="7" t="s">
        <v>738</v>
      </c>
      <c r="X31" s="28"/>
      <c r="Y31" s="7" t="s">
        <v>739</v>
      </c>
      <c r="Z31" s="7" t="s">
        <v>621</v>
      </c>
      <c r="AA31" s="7" t="s">
        <v>622</v>
      </c>
      <c r="AB31" s="7" t="s">
        <v>638</v>
      </c>
      <c r="AC31" s="7"/>
      <c r="AD31" s="7"/>
      <c r="AE31" s="7"/>
      <c r="AF31" s="7"/>
      <c r="AG31" s="7"/>
      <c r="AH31" s="7"/>
      <c r="AI31" s="7" t="s">
        <v>611</v>
      </c>
      <c r="AJ31" s="7" t="s">
        <v>623</v>
      </c>
      <c r="AK31" s="7">
        <v>10</v>
      </c>
      <c r="AL31" s="7">
        <v>9</v>
      </c>
      <c r="AM31" s="7" t="s">
        <v>624</v>
      </c>
      <c r="AN31" s="7" t="s">
        <v>625</v>
      </c>
      <c r="AO31" s="7" t="s">
        <v>626</v>
      </c>
      <c r="AP31" s="7" t="s">
        <v>627</v>
      </c>
      <c r="AQ31" s="7" t="s">
        <v>617</v>
      </c>
      <c r="AR31" s="7"/>
      <c r="AS31" s="7"/>
      <c r="AT31" s="7"/>
      <c r="AU31" s="6">
        <v>91003</v>
      </c>
      <c r="AV31" s="6" t="s">
        <v>5</v>
      </c>
      <c r="AW31" s="7"/>
      <c r="AX31" s="7"/>
      <c r="AY31" s="7"/>
      <c r="AZ31" s="7"/>
      <c r="BA31" s="6">
        <v>1214</v>
      </c>
      <c r="BB31" s="6" t="s">
        <v>628</v>
      </c>
      <c r="BC31" s="7"/>
      <c r="BD31" s="7"/>
      <c r="BE31" s="7"/>
      <c r="BF31" s="7"/>
      <c r="BG31" s="7">
        <v>0</v>
      </c>
      <c r="BH31" s="7">
        <v>0</v>
      </c>
      <c r="BI31" s="7">
        <v>0</v>
      </c>
      <c r="BJ31" s="7">
        <v>10</v>
      </c>
      <c r="BK31" s="7">
        <v>0</v>
      </c>
      <c r="BL31" s="7">
        <v>10</v>
      </c>
      <c r="BM31" s="7"/>
      <c r="BN31" s="7">
        <v>0</v>
      </c>
      <c r="BO31" s="7"/>
      <c r="BP31" s="7"/>
      <c r="BQ31" s="7">
        <v>0</v>
      </c>
      <c r="BR31" s="7">
        <v>380</v>
      </c>
      <c r="BS31" s="7" t="s">
        <v>629</v>
      </c>
      <c r="BT31" s="7"/>
      <c r="BU31" s="7"/>
      <c r="BV31" s="7">
        <v>0</v>
      </c>
      <c r="BW31" s="7"/>
      <c r="BX31" s="7"/>
      <c r="BY31" s="7">
        <v>10001</v>
      </c>
      <c r="BZ31" s="7" t="s">
        <v>1414</v>
      </c>
      <c r="CA31" s="7"/>
      <c r="CB31" s="7"/>
      <c r="CC31" s="7"/>
      <c r="CD31" s="7"/>
      <c r="CE31" s="7"/>
      <c r="CF31" s="7"/>
      <c r="CG31" s="7"/>
      <c r="CH31" s="7">
        <v>3563</v>
      </c>
      <c r="CI31" s="7" t="s">
        <v>630</v>
      </c>
      <c r="CJ31" s="7"/>
      <c r="CK31" s="7"/>
      <c r="CL31" s="7"/>
      <c r="CM31" s="7"/>
      <c r="CN31" s="7">
        <v>0</v>
      </c>
      <c r="CO31" s="7"/>
      <c r="CP31" s="7"/>
      <c r="CQ31" s="7"/>
      <c r="CR31" s="7"/>
      <c r="CS31" s="7">
        <v>0</v>
      </c>
      <c r="CT31" s="7"/>
      <c r="CU31" s="7"/>
      <c r="CV31" s="7" t="s">
        <v>740</v>
      </c>
      <c r="CW31" s="7" t="s">
        <v>59</v>
      </c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126"/>
      <c r="EE31" s="7"/>
      <c r="EF31" s="7"/>
      <c r="EG31" s="7"/>
    </row>
    <row r="32" spans="1:137" ht="13.5" customHeight="1">
      <c r="A32" s="7">
        <v>20</v>
      </c>
      <c r="B32" s="7"/>
      <c r="C32" s="7"/>
      <c r="D32" s="7"/>
      <c r="E32" s="7" t="s">
        <v>61</v>
      </c>
      <c r="F32" s="7"/>
      <c r="G32" s="7">
        <v>353019</v>
      </c>
      <c r="H32" s="7" t="s">
        <v>613</v>
      </c>
      <c r="I32" s="7">
        <v>30</v>
      </c>
      <c r="J32" s="7" t="s">
        <v>63</v>
      </c>
      <c r="K32" s="7">
        <v>27</v>
      </c>
      <c r="L32" s="7" t="s">
        <v>741</v>
      </c>
      <c r="M32" s="7">
        <v>17</v>
      </c>
      <c r="N32" s="7" t="s">
        <v>742</v>
      </c>
      <c r="O32" s="7">
        <v>17</v>
      </c>
      <c r="P32" s="7" t="s">
        <v>742</v>
      </c>
      <c r="Q32" s="7">
        <v>17</v>
      </c>
      <c r="R32" s="7" t="s">
        <v>742</v>
      </c>
      <c r="S32" s="7" t="s">
        <v>617</v>
      </c>
      <c r="T32" s="7" t="s">
        <v>743</v>
      </c>
      <c r="U32" s="28"/>
      <c r="V32" s="7">
        <v>8</v>
      </c>
      <c r="W32" s="7" t="s">
        <v>672</v>
      </c>
      <c r="X32" s="28"/>
      <c r="Y32" s="7" t="s">
        <v>744</v>
      </c>
      <c r="Z32" s="7" t="s">
        <v>621</v>
      </c>
      <c r="AA32" s="7" t="s">
        <v>622</v>
      </c>
      <c r="AB32" s="7" t="s">
        <v>638</v>
      </c>
      <c r="AC32" s="7"/>
      <c r="AD32" s="7"/>
      <c r="AE32" s="7"/>
      <c r="AF32" s="7"/>
      <c r="AG32" s="7"/>
      <c r="AH32" s="7"/>
      <c r="AI32" s="7" t="s">
        <v>611</v>
      </c>
      <c r="AJ32" s="7" t="s">
        <v>623</v>
      </c>
      <c r="AK32" s="7">
        <v>10</v>
      </c>
      <c r="AL32" s="7">
        <v>9</v>
      </c>
      <c r="AM32" s="7" t="s">
        <v>624</v>
      </c>
      <c r="AN32" s="7" t="s">
        <v>625</v>
      </c>
      <c r="AO32" s="7" t="s">
        <v>626</v>
      </c>
      <c r="AP32" s="7" t="s">
        <v>627</v>
      </c>
      <c r="AQ32" s="7" t="s">
        <v>617</v>
      </c>
      <c r="AR32" s="7"/>
      <c r="AS32" s="7"/>
      <c r="AT32" s="7"/>
      <c r="AU32" s="6">
        <v>91003</v>
      </c>
      <c r="AV32" s="6" t="s">
        <v>5</v>
      </c>
      <c r="AW32" s="7"/>
      <c r="AX32" s="7"/>
      <c r="AY32" s="7"/>
      <c r="AZ32" s="7"/>
      <c r="BA32" s="6">
        <v>1214</v>
      </c>
      <c r="BB32" s="6" t="s">
        <v>628</v>
      </c>
      <c r="BC32" s="7"/>
      <c r="BD32" s="7"/>
      <c r="BE32" s="7"/>
      <c r="BF32" s="7"/>
      <c r="BG32" s="7">
        <v>0</v>
      </c>
      <c r="BH32" s="7">
        <v>0</v>
      </c>
      <c r="BI32" s="7">
        <v>0</v>
      </c>
      <c r="BJ32" s="7">
        <v>10</v>
      </c>
      <c r="BK32" s="7">
        <v>0</v>
      </c>
      <c r="BL32" s="7">
        <v>10</v>
      </c>
      <c r="BM32" s="7"/>
      <c r="BN32" s="7">
        <v>0</v>
      </c>
      <c r="BO32" s="7"/>
      <c r="BP32" s="7"/>
      <c r="BQ32" s="7">
        <v>0</v>
      </c>
      <c r="BR32" s="7">
        <v>380</v>
      </c>
      <c r="BS32" s="7" t="s">
        <v>629</v>
      </c>
      <c r="BT32" s="7"/>
      <c r="BU32" s="7"/>
      <c r="BV32" s="7">
        <v>0</v>
      </c>
      <c r="BW32" s="7"/>
      <c r="BX32" s="7"/>
      <c r="BY32" s="7">
        <v>10001</v>
      </c>
      <c r="BZ32" s="7" t="s">
        <v>1414</v>
      </c>
      <c r="CA32" s="7"/>
      <c r="CB32" s="7"/>
      <c r="CC32" s="7"/>
      <c r="CD32" s="7"/>
      <c r="CE32" s="7"/>
      <c r="CF32" s="7"/>
      <c r="CG32" s="7"/>
      <c r="CH32" s="7">
        <v>3563</v>
      </c>
      <c r="CI32" s="7" t="s">
        <v>630</v>
      </c>
      <c r="CJ32" s="7"/>
      <c r="CK32" s="7"/>
      <c r="CL32" s="7"/>
      <c r="CM32" s="7"/>
      <c r="CN32" s="7">
        <v>0</v>
      </c>
      <c r="CO32" s="7"/>
      <c r="CP32" s="7"/>
      <c r="CQ32" s="7"/>
      <c r="CR32" s="7"/>
      <c r="CS32" s="7">
        <v>0</v>
      </c>
      <c r="CT32" s="7"/>
      <c r="CU32" s="7"/>
      <c r="CV32" s="7" t="s">
        <v>745</v>
      </c>
      <c r="CW32" s="7" t="s">
        <v>62</v>
      </c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126"/>
      <c r="EE32" s="7"/>
      <c r="EF32" s="7"/>
      <c r="EG32" s="7"/>
    </row>
    <row r="33" spans="1:137" ht="13.5" customHeight="1">
      <c r="A33" s="7">
        <v>21</v>
      </c>
      <c r="B33" s="7"/>
      <c r="C33" s="7"/>
      <c r="D33" s="7"/>
      <c r="E33" s="7" t="s">
        <v>64</v>
      </c>
      <c r="F33" s="7"/>
      <c r="G33" s="7">
        <v>353020</v>
      </c>
      <c r="H33" s="7" t="s">
        <v>613</v>
      </c>
      <c r="I33" s="7">
        <v>30</v>
      </c>
      <c r="J33" s="7" t="s">
        <v>66</v>
      </c>
      <c r="K33" s="7">
        <v>27</v>
      </c>
      <c r="L33" s="7" t="s">
        <v>746</v>
      </c>
      <c r="M33" s="7">
        <v>17</v>
      </c>
      <c r="N33" s="7" t="s">
        <v>747</v>
      </c>
      <c r="O33" s="7">
        <v>17</v>
      </c>
      <c r="P33" s="7" t="s">
        <v>748</v>
      </c>
      <c r="Q33" s="7">
        <v>17</v>
      </c>
      <c r="R33" s="7" t="s">
        <v>748</v>
      </c>
      <c r="S33" s="7" t="s">
        <v>617</v>
      </c>
      <c r="T33" s="7" t="s">
        <v>749</v>
      </c>
      <c r="U33" s="28"/>
      <c r="V33" s="7">
        <v>8</v>
      </c>
      <c r="W33" s="7" t="s">
        <v>750</v>
      </c>
      <c r="X33" s="28"/>
      <c r="Y33" s="7" t="s">
        <v>751</v>
      </c>
      <c r="Z33" s="7" t="s">
        <v>621</v>
      </c>
      <c r="AA33" s="7" t="s">
        <v>622</v>
      </c>
      <c r="AB33" s="7" t="s">
        <v>638</v>
      </c>
      <c r="AC33" s="7"/>
      <c r="AD33" s="7"/>
      <c r="AE33" s="7"/>
      <c r="AF33" s="7"/>
      <c r="AG33" s="7"/>
      <c r="AH33" s="7"/>
      <c r="AI33" s="7" t="s">
        <v>611</v>
      </c>
      <c r="AJ33" s="7" t="s">
        <v>623</v>
      </c>
      <c r="AK33" s="7">
        <v>10</v>
      </c>
      <c r="AL33" s="7">
        <v>9</v>
      </c>
      <c r="AM33" s="7" t="s">
        <v>624</v>
      </c>
      <c r="AN33" s="7" t="s">
        <v>625</v>
      </c>
      <c r="AO33" s="7" t="s">
        <v>626</v>
      </c>
      <c r="AP33" s="7" t="s">
        <v>627</v>
      </c>
      <c r="AQ33" s="7" t="s">
        <v>617</v>
      </c>
      <c r="AR33" s="7"/>
      <c r="AS33" s="7"/>
      <c r="AT33" s="7"/>
      <c r="AU33" s="6">
        <v>91003</v>
      </c>
      <c r="AV33" s="6" t="s">
        <v>5</v>
      </c>
      <c r="AW33" s="7"/>
      <c r="AX33" s="7"/>
      <c r="AY33" s="7"/>
      <c r="AZ33" s="7"/>
      <c r="BA33" s="6">
        <v>1214</v>
      </c>
      <c r="BB33" s="6" t="s">
        <v>628</v>
      </c>
      <c r="BC33" s="7"/>
      <c r="BD33" s="7"/>
      <c r="BE33" s="7"/>
      <c r="BF33" s="7"/>
      <c r="BG33" s="7">
        <v>0</v>
      </c>
      <c r="BH33" s="7">
        <v>0</v>
      </c>
      <c r="BI33" s="7">
        <v>0</v>
      </c>
      <c r="BJ33" s="7">
        <v>10</v>
      </c>
      <c r="BK33" s="7">
        <v>0</v>
      </c>
      <c r="BL33" s="7">
        <v>10</v>
      </c>
      <c r="BM33" s="7"/>
      <c r="BN33" s="7">
        <v>0</v>
      </c>
      <c r="BO33" s="7"/>
      <c r="BP33" s="7"/>
      <c r="BQ33" s="7">
        <v>0</v>
      </c>
      <c r="BR33" s="7">
        <v>380</v>
      </c>
      <c r="BS33" s="7" t="s">
        <v>629</v>
      </c>
      <c r="BT33" s="7"/>
      <c r="BU33" s="7"/>
      <c r="BV33" s="7">
        <v>0</v>
      </c>
      <c r="BW33" s="7"/>
      <c r="BX33" s="7"/>
      <c r="BY33" s="7">
        <v>10001</v>
      </c>
      <c r="BZ33" s="7" t="s">
        <v>1414</v>
      </c>
      <c r="CA33" s="7"/>
      <c r="CB33" s="7"/>
      <c r="CC33" s="7"/>
      <c r="CD33" s="7"/>
      <c r="CE33" s="7"/>
      <c r="CF33" s="7"/>
      <c r="CG33" s="7"/>
      <c r="CH33" s="7">
        <v>3563</v>
      </c>
      <c r="CI33" s="7" t="s">
        <v>630</v>
      </c>
      <c r="CJ33" s="7"/>
      <c r="CK33" s="7"/>
      <c r="CL33" s="7"/>
      <c r="CM33" s="7"/>
      <c r="CN33" s="7">
        <v>0</v>
      </c>
      <c r="CO33" s="7"/>
      <c r="CP33" s="7"/>
      <c r="CQ33" s="7"/>
      <c r="CR33" s="7"/>
      <c r="CS33" s="7">
        <v>0</v>
      </c>
      <c r="CT33" s="7"/>
      <c r="CU33" s="7"/>
      <c r="CV33" s="7" t="s">
        <v>752</v>
      </c>
      <c r="CW33" s="7" t="s">
        <v>65</v>
      </c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126"/>
      <c r="EE33" s="7"/>
      <c r="EF33" s="7"/>
      <c r="EG33" s="7"/>
    </row>
    <row r="34" spans="1:137" ht="13.5" customHeight="1">
      <c r="A34" s="7">
        <v>22</v>
      </c>
      <c r="B34" s="7"/>
      <c r="C34" s="7"/>
      <c r="D34" s="7"/>
      <c r="E34" s="7" t="s">
        <v>68</v>
      </c>
      <c r="F34" s="7"/>
      <c r="G34" s="7">
        <v>353021</v>
      </c>
      <c r="H34" s="7" t="s">
        <v>613</v>
      </c>
      <c r="I34" s="7">
        <v>40</v>
      </c>
      <c r="J34" s="7" t="s">
        <v>70</v>
      </c>
      <c r="K34" s="7">
        <v>41</v>
      </c>
      <c r="L34" s="7" t="s">
        <v>753</v>
      </c>
      <c r="M34" s="7">
        <v>27</v>
      </c>
      <c r="N34" s="7" t="s">
        <v>754</v>
      </c>
      <c r="O34" s="7">
        <v>19</v>
      </c>
      <c r="P34" s="7" t="s">
        <v>755</v>
      </c>
      <c r="Q34" s="7">
        <v>19</v>
      </c>
      <c r="R34" s="7" t="s">
        <v>755</v>
      </c>
      <c r="S34" s="7" t="s">
        <v>617</v>
      </c>
      <c r="T34" s="7" t="s">
        <v>756</v>
      </c>
      <c r="U34" s="28"/>
      <c r="V34" s="7">
        <v>4</v>
      </c>
      <c r="W34" s="7" t="s">
        <v>757</v>
      </c>
      <c r="X34" s="28"/>
      <c r="Y34" s="7" t="s">
        <v>758</v>
      </c>
      <c r="Z34" s="7" t="s">
        <v>621</v>
      </c>
      <c r="AA34" s="7" t="s">
        <v>622</v>
      </c>
      <c r="AB34" s="7" t="s">
        <v>638</v>
      </c>
      <c r="AC34" s="7"/>
      <c r="AD34" s="7"/>
      <c r="AE34" s="7"/>
      <c r="AF34" s="7"/>
      <c r="AG34" s="7"/>
      <c r="AH34" s="7"/>
      <c r="AI34" s="7" t="s">
        <v>611</v>
      </c>
      <c r="AJ34" s="7" t="s">
        <v>623</v>
      </c>
      <c r="AK34" s="7">
        <v>10</v>
      </c>
      <c r="AL34" s="7">
        <v>9</v>
      </c>
      <c r="AM34" s="7" t="s">
        <v>624</v>
      </c>
      <c r="AN34" s="7" t="s">
        <v>625</v>
      </c>
      <c r="AO34" s="7" t="s">
        <v>626</v>
      </c>
      <c r="AP34" s="7" t="s">
        <v>627</v>
      </c>
      <c r="AQ34" s="7" t="s">
        <v>617</v>
      </c>
      <c r="AR34" s="7"/>
      <c r="AS34" s="7"/>
      <c r="AT34" s="7"/>
      <c r="AU34" s="6">
        <v>91023</v>
      </c>
      <c r="AV34" s="6" t="s">
        <v>67</v>
      </c>
      <c r="AW34" s="7"/>
      <c r="AX34" s="7"/>
      <c r="AY34" s="7"/>
      <c r="AZ34" s="7"/>
      <c r="BA34" s="6">
        <v>1214</v>
      </c>
      <c r="BB34" s="6" t="s">
        <v>628</v>
      </c>
      <c r="BC34" s="7"/>
      <c r="BD34" s="7"/>
      <c r="BE34" s="7"/>
      <c r="BF34" s="7"/>
      <c r="BG34" s="7">
        <v>0</v>
      </c>
      <c r="BH34" s="7">
        <v>0</v>
      </c>
      <c r="BI34" s="7">
        <v>0</v>
      </c>
      <c r="BJ34" s="7">
        <v>10</v>
      </c>
      <c r="BK34" s="7">
        <v>0</v>
      </c>
      <c r="BL34" s="7">
        <v>10</v>
      </c>
      <c r="BM34" s="7"/>
      <c r="BN34" s="7">
        <v>0</v>
      </c>
      <c r="BO34" s="7"/>
      <c r="BP34" s="7"/>
      <c r="BQ34" s="7">
        <v>0</v>
      </c>
      <c r="BR34" s="7">
        <v>380</v>
      </c>
      <c r="BS34" s="7" t="s">
        <v>629</v>
      </c>
      <c r="BT34" s="7"/>
      <c r="BU34" s="7"/>
      <c r="BV34" s="7">
        <v>0</v>
      </c>
      <c r="BW34" s="7"/>
      <c r="BX34" s="7"/>
      <c r="BY34" s="7">
        <v>10001</v>
      </c>
      <c r="BZ34" s="7" t="s">
        <v>1414</v>
      </c>
      <c r="CA34" s="7"/>
      <c r="CB34" s="7"/>
      <c r="CC34" s="7"/>
      <c r="CD34" s="7"/>
      <c r="CE34" s="7"/>
      <c r="CF34" s="7"/>
      <c r="CG34" s="7"/>
      <c r="CH34" s="7">
        <v>3563</v>
      </c>
      <c r="CI34" s="7" t="s">
        <v>630</v>
      </c>
      <c r="CJ34" s="7"/>
      <c r="CK34" s="7"/>
      <c r="CL34" s="7"/>
      <c r="CM34" s="7"/>
      <c r="CN34" s="7">
        <v>0</v>
      </c>
      <c r="CO34" s="7"/>
      <c r="CP34" s="7"/>
      <c r="CQ34" s="7"/>
      <c r="CR34" s="7"/>
      <c r="CS34" s="7">
        <v>0</v>
      </c>
      <c r="CT34" s="7"/>
      <c r="CU34" s="7"/>
      <c r="CV34" s="7" t="s">
        <v>759</v>
      </c>
      <c r="CW34" s="7" t="s">
        <v>69</v>
      </c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126"/>
      <c r="EE34" s="7"/>
      <c r="EF34" s="7"/>
      <c r="EG34" s="7"/>
    </row>
    <row r="35" spans="1:137" ht="13.5" customHeight="1">
      <c r="A35" s="7">
        <v>23</v>
      </c>
      <c r="B35" s="7"/>
      <c r="C35" s="7"/>
      <c r="D35" s="7"/>
      <c r="E35" s="7" t="s">
        <v>71</v>
      </c>
      <c r="F35" s="7"/>
      <c r="G35" s="7">
        <v>353022</v>
      </c>
      <c r="H35" s="7" t="s">
        <v>613</v>
      </c>
      <c r="I35" s="7">
        <v>46</v>
      </c>
      <c r="J35" s="7" t="s">
        <v>73</v>
      </c>
      <c r="K35" s="7">
        <v>46</v>
      </c>
      <c r="L35" s="7" t="s">
        <v>760</v>
      </c>
      <c r="M35" s="7">
        <v>35</v>
      </c>
      <c r="N35" s="7" t="s">
        <v>761</v>
      </c>
      <c r="O35" s="7">
        <v>18</v>
      </c>
      <c r="P35" s="7" t="s">
        <v>762</v>
      </c>
      <c r="Q35" s="7">
        <v>18</v>
      </c>
      <c r="R35" s="7" t="s">
        <v>762</v>
      </c>
      <c r="S35" s="7" t="s">
        <v>617</v>
      </c>
      <c r="T35" s="7" t="s">
        <v>756</v>
      </c>
      <c r="U35" s="28"/>
      <c r="V35" s="7">
        <v>8</v>
      </c>
      <c r="W35" s="7" t="s">
        <v>763</v>
      </c>
      <c r="X35" s="28"/>
      <c r="Y35" s="7" t="s">
        <v>764</v>
      </c>
      <c r="Z35" s="7" t="s">
        <v>621</v>
      </c>
      <c r="AA35" s="7" t="s">
        <v>622</v>
      </c>
      <c r="AB35" s="7" t="s">
        <v>638</v>
      </c>
      <c r="AC35" s="7"/>
      <c r="AD35" s="7"/>
      <c r="AE35" s="7"/>
      <c r="AF35" s="7"/>
      <c r="AG35" s="7"/>
      <c r="AH35" s="7"/>
      <c r="AI35" s="7" t="s">
        <v>611</v>
      </c>
      <c r="AJ35" s="7" t="s">
        <v>623</v>
      </c>
      <c r="AK35" s="7">
        <v>10</v>
      </c>
      <c r="AL35" s="7">
        <v>9</v>
      </c>
      <c r="AM35" s="7" t="s">
        <v>624</v>
      </c>
      <c r="AN35" s="7" t="s">
        <v>625</v>
      </c>
      <c r="AO35" s="7" t="s">
        <v>626</v>
      </c>
      <c r="AP35" s="7" t="s">
        <v>627</v>
      </c>
      <c r="AQ35" s="7" t="s">
        <v>617</v>
      </c>
      <c r="AR35" s="7"/>
      <c r="AS35" s="7"/>
      <c r="AT35" s="7"/>
      <c r="AU35" s="6">
        <v>91023</v>
      </c>
      <c r="AV35" s="6" t="s">
        <v>67</v>
      </c>
      <c r="AW35" s="7"/>
      <c r="AX35" s="7"/>
      <c r="AY35" s="7"/>
      <c r="AZ35" s="7"/>
      <c r="BA35" s="6">
        <v>1214</v>
      </c>
      <c r="BB35" s="6" t="s">
        <v>628</v>
      </c>
      <c r="BC35" s="7"/>
      <c r="BD35" s="7"/>
      <c r="BE35" s="7"/>
      <c r="BF35" s="7"/>
      <c r="BG35" s="7">
        <v>0</v>
      </c>
      <c r="BH35" s="7">
        <v>0</v>
      </c>
      <c r="BI35" s="7">
        <v>0</v>
      </c>
      <c r="BJ35" s="7">
        <v>10</v>
      </c>
      <c r="BK35" s="7">
        <v>0</v>
      </c>
      <c r="BL35" s="7">
        <v>10</v>
      </c>
      <c r="BM35" s="7"/>
      <c r="BN35" s="7">
        <v>0</v>
      </c>
      <c r="BO35" s="7"/>
      <c r="BP35" s="7"/>
      <c r="BQ35" s="7">
        <v>0</v>
      </c>
      <c r="BR35" s="7">
        <v>380</v>
      </c>
      <c r="BS35" s="7" t="s">
        <v>629</v>
      </c>
      <c r="BT35" s="7"/>
      <c r="BU35" s="7"/>
      <c r="BV35" s="7">
        <v>0</v>
      </c>
      <c r="BW35" s="7"/>
      <c r="BX35" s="7"/>
      <c r="BY35" s="7">
        <v>10001</v>
      </c>
      <c r="BZ35" s="7" t="s">
        <v>1414</v>
      </c>
      <c r="CA35" s="7"/>
      <c r="CB35" s="7"/>
      <c r="CC35" s="7"/>
      <c r="CD35" s="7"/>
      <c r="CE35" s="7"/>
      <c r="CF35" s="7"/>
      <c r="CG35" s="7"/>
      <c r="CH35" s="7">
        <v>3563</v>
      </c>
      <c r="CI35" s="7" t="s">
        <v>630</v>
      </c>
      <c r="CJ35" s="7"/>
      <c r="CK35" s="7"/>
      <c r="CL35" s="7"/>
      <c r="CM35" s="7"/>
      <c r="CN35" s="7">
        <v>0</v>
      </c>
      <c r="CO35" s="7"/>
      <c r="CP35" s="7"/>
      <c r="CQ35" s="7"/>
      <c r="CR35" s="7"/>
      <c r="CS35" s="7">
        <v>0</v>
      </c>
      <c r="CT35" s="7"/>
      <c r="CU35" s="7"/>
      <c r="CV35" s="7" t="s">
        <v>765</v>
      </c>
      <c r="CW35" s="7" t="s">
        <v>72</v>
      </c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126"/>
      <c r="EE35" s="7"/>
      <c r="EF35" s="7"/>
      <c r="EG35" s="7"/>
    </row>
    <row r="36" spans="1:137" ht="13.5" customHeight="1">
      <c r="A36" s="7">
        <v>24</v>
      </c>
      <c r="B36" s="7"/>
      <c r="C36" s="7"/>
      <c r="D36" s="7"/>
      <c r="E36" s="7" t="s">
        <v>74</v>
      </c>
      <c r="F36" s="7"/>
      <c r="G36" s="7">
        <v>353023</v>
      </c>
      <c r="H36" s="7" t="s">
        <v>613</v>
      </c>
      <c r="I36" s="7">
        <v>66</v>
      </c>
      <c r="J36" s="7" t="s">
        <v>76</v>
      </c>
      <c r="K36" s="7">
        <v>50</v>
      </c>
      <c r="L36" s="7" t="s">
        <v>766</v>
      </c>
      <c r="M36" s="7">
        <v>36</v>
      </c>
      <c r="N36" s="7" t="s">
        <v>767</v>
      </c>
      <c r="O36" s="7">
        <v>18</v>
      </c>
      <c r="P36" s="7" t="s">
        <v>768</v>
      </c>
      <c r="Q36" s="7">
        <v>18</v>
      </c>
      <c r="R36" s="7" t="s">
        <v>768</v>
      </c>
      <c r="S36" s="7" t="s">
        <v>617</v>
      </c>
      <c r="T36" s="7" t="s">
        <v>769</v>
      </c>
      <c r="U36" s="28"/>
      <c r="V36" s="7">
        <v>4</v>
      </c>
      <c r="W36" s="7" t="s">
        <v>770</v>
      </c>
      <c r="X36" s="28"/>
      <c r="Y36" s="7" t="s">
        <v>771</v>
      </c>
      <c r="Z36" s="7" t="s">
        <v>621</v>
      </c>
      <c r="AA36" s="7" t="s">
        <v>622</v>
      </c>
      <c r="AB36" s="7" t="s">
        <v>638</v>
      </c>
      <c r="AC36" s="7"/>
      <c r="AD36" s="7"/>
      <c r="AE36" s="7"/>
      <c r="AF36" s="7"/>
      <c r="AG36" s="7"/>
      <c r="AH36" s="7"/>
      <c r="AI36" s="7" t="s">
        <v>611</v>
      </c>
      <c r="AJ36" s="7" t="s">
        <v>623</v>
      </c>
      <c r="AK36" s="7">
        <v>10</v>
      </c>
      <c r="AL36" s="7">
        <v>9</v>
      </c>
      <c r="AM36" s="7" t="s">
        <v>624</v>
      </c>
      <c r="AN36" s="7" t="s">
        <v>625</v>
      </c>
      <c r="AO36" s="7" t="s">
        <v>626</v>
      </c>
      <c r="AP36" s="7" t="s">
        <v>627</v>
      </c>
      <c r="AQ36" s="7" t="s">
        <v>617</v>
      </c>
      <c r="AR36" s="7"/>
      <c r="AS36" s="7"/>
      <c r="AT36" s="7"/>
      <c r="AU36" s="6">
        <v>91023</v>
      </c>
      <c r="AV36" s="6" t="s">
        <v>67</v>
      </c>
      <c r="AW36" s="7"/>
      <c r="AX36" s="7"/>
      <c r="AY36" s="7"/>
      <c r="AZ36" s="7"/>
      <c r="BA36" s="6">
        <v>1214</v>
      </c>
      <c r="BB36" s="6" t="s">
        <v>628</v>
      </c>
      <c r="BC36" s="7"/>
      <c r="BD36" s="7"/>
      <c r="BE36" s="7"/>
      <c r="BF36" s="7"/>
      <c r="BG36" s="7">
        <v>0</v>
      </c>
      <c r="BH36" s="7">
        <v>0</v>
      </c>
      <c r="BI36" s="7">
        <v>0</v>
      </c>
      <c r="BJ36" s="7">
        <v>10</v>
      </c>
      <c r="BK36" s="7">
        <v>0</v>
      </c>
      <c r="BL36" s="7">
        <v>10</v>
      </c>
      <c r="BM36" s="7"/>
      <c r="BN36" s="7">
        <v>0</v>
      </c>
      <c r="BO36" s="7"/>
      <c r="BP36" s="7"/>
      <c r="BQ36" s="7">
        <v>0</v>
      </c>
      <c r="BR36" s="7">
        <v>380</v>
      </c>
      <c r="BS36" s="7" t="s">
        <v>629</v>
      </c>
      <c r="BT36" s="7"/>
      <c r="BU36" s="7"/>
      <c r="BV36" s="7">
        <v>0</v>
      </c>
      <c r="BW36" s="7"/>
      <c r="BX36" s="7"/>
      <c r="BY36" s="7">
        <v>10001</v>
      </c>
      <c r="BZ36" s="7" t="s">
        <v>1414</v>
      </c>
      <c r="CA36" s="7"/>
      <c r="CB36" s="7"/>
      <c r="CC36" s="7"/>
      <c r="CD36" s="7"/>
      <c r="CE36" s="7"/>
      <c r="CF36" s="7"/>
      <c r="CG36" s="7"/>
      <c r="CH36" s="7">
        <v>3563</v>
      </c>
      <c r="CI36" s="7" t="s">
        <v>630</v>
      </c>
      <c r="CJ36" s="7"/>
      <c r="CK36" s="7"/>
      <c r="CL36" s="7"/>
      <c r="CM36" s="7"/>
      <c r="CN36" s="7">
        <v>0</v>
      </c>
      <c r="CO36" s="7"/>
      <c r="CP36" s="7"/>
      <c r="CQ36" s="7"/>
      <c r="CR36" s="7"/>
      <c r="CS36" s="7">
        <v>0</v>
      </c>
      <c r="CT36" s="7"/>
      <c r="CU36" s="7"/>
      <c r="CV36" s="7" t="s">
        <v>772</v>
      </c>
      <c r="CW36" s="7" t="s">
        <v>75</v>
      </c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126"/>
      <c r="EE36" s="7"/>
      <c r="EF36" s="7"/>
      <c r="EG36" s="7"/>
    </row>
    <row r="37" spans="1:137" ht="13.5" customHeight="1">
      <c r="A37" s="7">
        <v>25</v>
      </c>
      <c r="B37" s="7"/>
      <c r="C37" s="7"/>
      <c r="D37" s="7"/>
      <c r="E37" s="7" t="s">
        <v>77</v>
      </c>
      <c r="F37" s="7"/>
      <c r="G37" s="7">
        <v>353024</v>
      </c>
      <c r="H37" s="7" t="s">
        <v>613</v>
      </c>
      <c r="I37" s="7">
        <v>66</v>
      </c>
      <c r="J37" s="7" t="s">
        <v>79</v>
      </c>
      <c r="K37" s="7">
        <v>50</v>
      </c>
      <c r="L37" s="7" t="s">
        <v>773</v>
      </c>
      <c r="M37" s="7">
        <v>37</v>
      </c>
      <c r="N37" s="7" t="s">
        <v>774</v>
      </c>
      <c r="O37" s="7">
        <v>19</v>
      </c>
      <c r="P37" s="7" t="s">
        <v>775</v>
      </c>
      <c r="Q37" s="7">
        <v>19</v>
      </c>
      <c r="R37" s="7" t="s">
        <v>775</v>
      </c>
      <c r="S37" s="7" t="s">
        <v>617</v>
      </c>
      <c r="T37" s="7" t="s">
        <v>769</v>
      </c>
      <c r="U37" s="28"/>
      <c r="V37" s="7">
        <v>4</v>
      </c>
      <c r="W37" s="7" t="s">
        <v>770</v>
      </c>
      <c r="X37" s="28"/>
      <c r="Y37" s="7" t="s">
        <v>771</v>
      </c>
      <c r="Z37" s="7" t="s">
        <v>621</v>
      </c>
      <c r="AA37" s="7" t="s">
        <v>622</v>
      </c>
      <c r="AB37" s="7" t="s">
        <v>638</v>
      </c>
      <c r="AC37" s="7"/>
      <c r="AD37" s="7"/>
      <c r="AE37" s="7"/>
      <c r="AF37" s="7"/>
      <c r="AG37" s="7"/>
      <c r="AH37" s="7"/>
      <c r="AI37" s="7" t="s">
        <v>611</v>
      </c>
      <c r="AJ37" s="7" t="s">
        <v>623</v>
      </c>
      <c r="AK37" s="7">
        <v>10</v>
      </c>
      <c r="AL37" s="7">
        <v>9</v>
      </c>
      <c r="AM37" s="7" t="s">
        <v>624</v>
      </c>
      <c r="AN37" s="7" t="s">
        <v>625</v>
      </c>
      <c r="AO37" s="7" t="s">
        <v>626</v>
      </c>
      <c r="AP37" s="7" t="s">
        <v>627</v>
      </c>
      <c r="AQ37" s="7" t="s">
        <v>617</v>
      </c>
      <c r="AR37" s="7"/>
      <c r="AS37" s="7"/>
      <c r="AT37" s="7"/>
      <c r="AU37" s="6">
        <v>91023</v>
      </c>
      <c r="AV37" s="6" t="s">
        <v>67</v>
      </c>
      <c r="AW37" s="7"/>
      <c r="AX37" s="7"/>
      <c r="AY37" s="7"/>
      <c r="AZ37" s="7"/>
      <c r="BA37" s="6">
        <v>1214</v>
      </c>
      <c r="BB37" s="6" t="s">
        <v>628</v>
      </c>
      <c r="BC37" s="7"/>
      <c r="BD37" s="7"/>
      <c r="BE37" s="7"/>
      <c r="BF37" s="7"/>
      <c r="BG37" s="7">
        <v>0</v>
      </c>
      <c r="BH37" s="7">
        <v>0</v>
      </c>
      <c r="BI37" s="7">
        <v>0</v>
      </c>
      <c r="BJ37" s="7">
        <v>10</v>
      </c>
      <c r="BK37" s="7">
        <v>0</v>
      </c>
      <c r="BL37" s="7">
        <v>10</v>
      </c>
      <c r="BM37" s="7"/>
      <c r="BN37" s="7">
        <v>0</v>
      </c>
      <c r="BO37" s="7"/>
      <c r="BP37" s="7"/>
      <c r="BQ37" s="7">
        <v>0</v>
      </c>
      <c r="BR37" s="7">
        <v>380</v>
      </c>
      <c r="BS37" s="7" t="s">
        <v>629</v>
      </c>
      <c r="BT37" s="7"/>
      <c r="BU37" s="7"/>
      <c r="BV37" s="7">
        <v>0</v>
      </c>
      <c r="BW37" s="7"/>
      <c r="BX37" s="7"/>
      <c r="BY37" s="7">
        <v>10001</v>
      </c>
      <c r="BZ37" s="7" t="s">
        <v>1414</v>
      </c>
      <c r="CA37" s="7"/>
      <c r="CB37" s="7"/>
      <c r="CC37" s="7"/>
      <c r="CD37" s="7"/>
      <c r="CE37" s="7"/>
      <c r="CF37" s="7"/>
      <c r="CG37" s="7"/>
      <c r="CH37" s="7">
        <v>3563</v>
      </c>
      <c r="CI37" s="7" t="s">
        <v>630</v>
      </c>
      <c r="CJ37" s="7"/>
      <c r="CK37" s="7"/>
      <c r="CL37" s="7"/>
      <c r="CM37" s="7"/>
      <c r="CN37" s="7">
        <v>0</v>
      </c>
      <c r="CO37" s="7"/>
      <c r="CP37" s="7"/>
      <c r="CQ37" s="7"/>
      <c r="CR37" s="7"/>
      <c r="CS37" s="7">
        <v>0</v>
      </c>
      <c r="CT37" s="7"/>
      <c r="CU37" s="7"/>
      <c r="CV37" s="7" t="s">
        <v>776</v>
      </c>
      <c r="CW37" s="7" t="s">
        <v>78</v>
      </c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126"/>
      <c r="EE37" s="7"/>
      <c r="EF37" s="7"/>
      <c r="EG37" s="7"/>
    </row>
    <row r="38" spans="1:137" ht="13.5" customHeight="1">
      <c r="A38" s="7">
        <v>26</v>
      </c>
      <c r="B38" s="7"/>
      <c r="C38" s="7"/>
      <c r="D38" s="7"/>
      <c r="E38" s="6" t="s">
        <v>80</v>
      </c>
      <c r="F38" s="6"/>
      <c r="G38" s="7">
        <v>353025</v>
      </c>
      <c r="H38" s="7" t="s">
        <v>613</v>
      </c>
      <c r="I38" s="7">
        <v>28</v>
      </c>
      <c r="J38" s="6" t="s">
        <v>82</v>
      </c>
      <c r="K38" s="7">
        <v>28</v>
      </c>
      <c r="L38" s="7" t="s">
        <v>777</v>
      </c>
      <c r="M38" s="7">
        <v>19</v>
      </c>
      <c r="N38" s="7" t="s">
        <v>778</v>
      </c>
      <c r="O38" s="7">
        <v>15</v>
      </c>
      <c r="P38" s="7" t="s">
        <v>779</v>
      </c>
      <c r="Q38" s="7">
        <v>15</v>
      </c>
      <c r="R38" s="7" t="s">
        <v>779</v>
      </c>
      <c r="S38" s="7" t="s">
        <v>617</v>
      </c>
      <c r="T38" s="7" t="s">
        <v>780</v>
      </c>
      <c r="U38" s="28"/>
      <c r="V38" s="7">
        <v>24</v>
      </c>
      <c r="W38" s="7" t="s">
        <v>781</v>
      </c>
      <c r="X38" s="28"/>
      <c r="Y38" s="7" t="s">
        <v>782</v>
      </c>
      <c r="Z38" s="7" t="s">
        <v>621</v>
      </c>
      <c r="AA38" s="7" t="s">
        <v>622</v>
      </c>
      <c r="AB38" s="7" t="s">
        <v>638</v>
      </c>
      <c r="AC38" s="7"/>
      <c r="AD38" s="7"/>
      <c r="AE38" s="7"/>
      <c r="AF38" s="7"/>
      <c r="AG38" s="7"/>
      <c r="AH38" s="7"/>
      <c r="AI38" s="7" t="s">
        <v>611</v>
      </c>
      <c r="AJ38" s="7" t="s">
        <v>623</v>
      </c>
      <c r="AK38" s="7">
        <v>10</v>
      </c>
      <c r="AL38" s="7">
        <v>9</v>
      </c>
      <c r="AM38" s="7" t="s">
        <v>624</v>
      </c>
      <c r="AN38" s="7" t="s">
        <v>625</v>
      </c>
      <c r="AO38" s="7" t="s">
        <v>626</v>
      </c>
      <c r="AP38" s="7" t="s">
        <v>627</v>
      </c>
      <c r="AQ38" s="7" t="s">
        <v>617</v>
      </c>
      <c r="AR38" s="7"/>
      <c r="AS38" s="7"/>
      <c r="AT38" s="7"/>
      <c r="AU38" s="6">
        <v>91023</v>
      </c>
      <c r="AV38" s="6" t="s">
        <v>67</v>
      </c>
      <c r="AW38" s="7"/>
      <c r="AX38" s="7"/>
      <c r="AY38" s="7"/>
      <c r="AZ38" s="7"/>
      <c r="BA38" s="6">
        <v>1214</v>
      </c>
      <c r="BB38" s="6" t="s">
        <v>628</v>
      </c>
      <c r="BC38" s="7"/>
      <c r="BD38" s="7"/>
      <c r="BE38" s="7"/>
      <c r="BF38" s="7"/>
      <c r="BG38" s="7">
        <v>0</v>
      </c>
      <c r="BH38" s="7">
        <v>0</v>
      </c>
      <c r="BI38" s="7">
        <v>0</v>
      </c>
      <c r="BJ38" s="7">
        <v>10</v>
      </c>
      <c r="BK38" s="7">
        <v>0</v>
      </c>
      <c r="BL38" s="7">
        <v>10</v>
      </c>
      <c r="BM38" s="7"/>
      <c r="BN38" s="7">
        <v>0</v>
      </c>
      <c r="BO38" s="7"/>
      <c r="BP38" s="7"/>
      <c r="BQ38" s="7">
        <v>0</v>
      </c>
      <c r="BR38" s="7">
        <v>380</v>
      </c>
      <c r="BS38" s="7" t="s">
        <v>629</v>
      </c>
      <c r="BT38" s="7"/>
      <c r="BU38" s="7"/>
      <c r="BV38" s="7">
        <v>0</v>
      </c>
      <c r="BW38" s="7"/>
      <c r="BX38" s="7"/>
      <c r="BY38" s="7">
        <v>10001</v>
      </c>
      <c r="BZ38" s="7" t="s">
        <v>1414</v>
      </c>
      <c r="CA38" s="7"/>
      <c r="CB38" s="7"/>
      <c r="CC38" s="7"/>
      <c r="CD38" s="7"/>
      <c r="CE38" s="7"/>
      <c r="CF38" s="7"/>
      <c r="CG38" s="7"/>
      <c r="CH38" s="7">
        <v>3563</v>
      </c>
      <c r="CI38" s="7" t="s">
        <v>630</v>
      </c>
      <c r="CJ38" s="7"/>
      <c r="CK38" s="7"/>
      <c r="CL38" s="7"/>
      <c r="CM38" s="7"/>
      <c r="CN38" s="7">
        <v>0</v>
      </c>
      <c r="CO38" s="7"/>
      <c r="CP38" s="7"/>
      <c r="CQ38" s="7"/>
      <c r="CR38" s="7"/>
      <c r="CS38" s="7">
        <v>0</v>
      </c>
      <c r="CT38" s="7"/>
      <c r="CU38" s="7"/>
      <c r="CV38" s="7" t="s">
        <v>783</v>
      </c>
      <c r="CW38" s="7" t="s">
        <v>81</v>
      </c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126"/>
      <c r="EE38" s="7"/>
      <c r="EF38" s="7"/>
      <c r="EG38" s="7"/>
    </row>
    <row r="39" spans="1:137" ht="13.5" customHeight="1">
      <c r="A39" s="7">
        <v>27</v>
      </c>
      <c r="B39" s="7"/>
      <c r="C39" s="7"/>
      <c r="D39" s="7"/>
      <c r="E39" s="6" t="s">
        <v>83</v>
      </c>
      <c r="F39" s="6"/>
      <c r="G39" s="7">
        <v>353026</v>
      </c>
      <c r="H39" s="7" t="s">
        <v>613</v>
      </c>
      <c r="I39" s="7">
        <v>66</v>
      </c>
      <c r="J39" s="6" t="s">
        <v>85</v>
      </c>
      <c r="K39" s="7">
        <v>50</v>
      </c>
      <c r="L39" s="7" t="s">
        <v>784</v>
      </c>
      <c r="M39" s="7">
        <v>37</v>
      </c>
      <c r="N39" s="7" t="s">
        <v>785</v>
      </c>
      <c r="O39" s="7">
        <v>19</v>
      </c>
      <c r="P39" s="7" t="s">
        <v>786</v>
      </c>
      <c r="Q39" s="7">
        <v>19</v>
      </c>
      <c r="R39" s="7" t="s">
        <v>786</v>
      </c>
      <c r="S39" s="7" t="s">
        <v>617</v>
      </c>
      <c r="T39" s="7" t="s">
        <v>780</v>
      </c>
      <c r="U39" s="28"/>
      <c r="V39" s="7">
        <v>24</v>
      </c>
      <c r="W39" s="7" t="s">
        <v>781</v>
      </c>
      <c r="X39" s="28"/>
      <c r="Y39" s="7" t="s">
        <v>782</v>
      </c>
      <c r="Z39" s="7" t="s">
        <v>621</v>
      </c>
      <c r="AA39" s="7" t="s">
        <v>622</v>
      </c>
      <c r="AB39" s="7" t="s">
        <v>638</v>
      </c>
      <c r="AC39" s="7"/>
      <c r="AD39" s="7"/>
      <c r="AE39" s="7"/>
      <c r="AF39" s="7"/>
      <c r="AG39" s="7"/>
      <c r="AH39" s="7"/>
      <c r="AI39" s="7" t="s">
        <v>611</v>
      </c>
      <c r="AJ39" s="7" t="s">
        <v>623</v>
      </c>
      <c r="AK39" s="7">
        <v>10</v>
      </c>
      <c r="AL39" s="7">
        <v>9</v>
      </c>
      <c r="AM39" s="7" t="s">
        <v>624</v>
      </c>
      <c r="AN39" s="7" t="s">
        <v>625</v>
      </c>
      <c r="AO39" s="7" t="s">
        <v>626</v>
      </c>
      <c r="AP39" s="7" t="s">
        <v>627</v>
      </c>
      <c r="AQ39" s="7" t="s">
        <v>617</v>
      </c>
      <c r="AR39" s="7"/>
      <c r="AS39" s="7"/>
      <c r="AT39" s="7"/>
      <c r="AU39" s="6">
        <v>91023</v>
      </c>
      <c r="AV39" s="6" t="s">
        <v>67</v>
      </c>
      <c r="AW39" s="7"/>
      <c r="AX39" s="7"/>
      <c r="AY39" s="7"/>
      <c r="AZ39" s="7"/>
      <c r="BA39" s="6">
        <v>1214</v>
      </c>
      <c r="BB39" s="6" t="s">
        <v>628</v>
      </c>
      <c r="BC39" s="7"/>
      <c r="BD39" s="7"/>
      <c r="BE39" s="7"/>
      <c r="BF39" s="7"/>
      <c r="BG39" s="7">
        <v>0</v>
      </c>
      <c r="BH39" s="7">
        <v>0</v>
      </c>
      <c r="BI39" s="7">
        <v>0</v>
      </c>
      <c r="BJ39" s="7">
        <v>10</v>
      </c>
      <c r="BK39" s="7">
        <v>0</v>
      </c>
      <c r="BL39" s="7">
        <v>10</v>
      </c>
      <c r="BM39" s="7"/>
      <c r="BN39" s="7">
        <v>0</v>
      </c>
      <c r="BO39" s="7"/>
      <c r="BP39" s="7"/>
      <c r="BQ39" s="7">
        <v>0</v>
      </c>
      <c r="BR39" s="7">
        <v>380</v>
      </c>
      <c r="BS39" s="7" t="s">
        <v>629</v>
      </c>
      <c r="BT39" s="7"/>
      <c r="BU39" s="7"/>
      <c r="BV39" s="7">
        <v>0</v>
      </c>
      <c r="BW39" s="7"/>
      <c r="BX39" s="7"/>
      <c r="BY39" s="7">
        <v>10001</v>
      </c>
      <c r="BZ39" s="7" t="s">
        <v>1414</v>
      </c>
      <c r="CA39" s="7"/>
      <c r="CB39" s="7"/>
      <c r="CC39" s="7"/>
      <c r="CD39" s="7"/>
      <c r="CE39" s="7"/>
      <c r="CF39" s="7"/>
      <c r="CG39" s="7"/>
      <c r="CH39" s="7">
        <v>3563</v>
      </c>
      <c r="CI39" s="7" t="s">
        <v>630</v>
      </c>
      <c r="CJ39" s="7"/>
      <c r="CK39" s="7"/>
      <c r="CL39" s="7"/>
      <c r="CM39" s="7"/>
      <c r="CN39" s="7">
        <v>0</v>
      </c>
      <c r="CO39" s="7"/>
      <c r="CP39" s="7"/>
      <c r="CQ39" s="7"/>
      <c r="CR39" s="7"/>
      <c r="CS39" s="7">
        <v>0</v>
      </c>
      <c r="CT39" s="7"/>
      <c r="CU39" s="7"/>
      <c r="CV39" s="7" t="s">
        <v>787</v>
      </c>
      <c r="CW39" s="7" t="s">
        <v>84</v>
      </c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126"/>
      <c r="EE39" s="7"/>
      <c r="EF39" s="7"/>
      <c r="EG39" s="7"/>
    </row>
    <row r="40" spans="1:137" ht="13.5" customHeight="1">
      <c r="A40" s="7">
        <v>28</v>
      </c>
      <c r="B40" s="7"/>
      <c r="C40" s="7"/>
      <c r="D40" s="7"/>
      <c r="E40" s="6" t="s">
        <v>86</v>
      </c>
      <c r="F40" s="6"/>
      <c r="G40" s="7">
        <v>353027</v>
      </c>
      <c r="H40" s="7" t="s">
        <v>613</v>
      </c>
      <c r="I40" s="7">
        <v>64</v>
      </c>
      <c r="J40" s="6" t="s">
        <v>88</v>
      </c>
      <c r="K40" s="7">
        <v>49</v>
      </c>
      <c r="L40" s="7" t="s">
        <v>788</v>
      </c>
      <c r="M40" s="7">
        <v>35</v>
      </c>
      <c r="N40" s="7" t="s">
        <v>789</v>
      </c>
      <c r="O40" s="7">
        <v>17</v>
      </c>
      <c r="P40" s="7" t="s">
        <v>790</v>
      </c>
      <c r="Q40" s="7">
        <v>17</v>
      </c>
      <c r="R40" s="7" t="s">
        <v>790</v>
      </c>
      <c r="S40" s="7" t="s">
        <v>617</v>
      </c>
      <c r="T40" s="7" t="s">
        <v>780</v>
      </c>
      <c r="U40" s="28"/>
      <c r="V40" s="7">
        <v>24</v>
      </c>
      <c r="W40" s="7" t="s">
        <v>781</v>
      </c>
      <c r="X40" s="28"/>
      <c r="Y40" s="7" t="s">
        <v>782</v>
      </c>
      <c r="Z40" s="7" t="s">
        <v>621</v>
      </c>
      <c r="AA40" s="7" t="s">
        <v>622</v>
      </c>
      <c r="AB40" s="7" t="s">
        <v>638</v>
      </c>
      <c r="AC40" s="7"/>
      <c r="AD40" s="7"/>
      <c r="AE40" s="7"/>
      <c r="AF40" s="7"/>
      <c r="AG40" s="7"/>
      <c r="AH40" s="7"/>
      <c r="AI40" s="7" t="s">
        <v>611</v>
      </c>
      <c r="AJ40" s="7" t="s">
        <v>623</v>
      </c>
      <c r="AK40" s="7">
        <v>10</v>
      </c>
      <c r="AL40" s="7">
        <v>9</v>
      </c>
      <c r="AM40" s="7" t="s">
        <v>624</v>
      </c>
      <c r="AN40" s="7" t="s">
        <v>625</v>
      </c>
      <c r="AO40" s="7" t="s">
        <v>626</v>
      </c>
      <c r="AP40" s="7" t="s">
        <v>627</v>
      </c>
      <c r="AQ40" s="7" t="s">
        <v>617</v>
      </c>
      <c r="AR40" s="7"/>
      <c r="AS40" s="7"/>
      <c r="AT40" s="7"/>
      <c r="AU40" s="6">
        <v>91023</v>
      </c>
      <c r="AV40" s="6" t="s">
        <v>67</v>
      </c>
      <c r="AW40" s="7"/>
      <c r="AX40" s="7"/>
      <c r="AY40" s="7"/>
      <c r="AZ40" s="7"/>
      <c r="BA40" s="6">
        <v>1214</v>
      </c>
      <c r="BB40" s="6" t="s">
        <v>628</v>
      </c>
      <c r="BC40" s="7"/>
      <c r="BD40" s="7"/>
      <c r="BE40" s="7"/>
      <c r="BF40" s="7"/>
      <c r="BG40" s="7">
        <v>0</v>
      </c>
      <c r="BH40" s="7">
        <v>0</v>
      </c>
      <c r="BI40" s="7">
        <v>0</v>
      </c>
      <c r="BJ40" s="7">
        <v>10</v>
      </c>
      <c r="BK40" s="7">
        <v>0</v>
      </c>
      <c r="BL40" s="7">
        <v>10</v>
      </c>
      <c r="BM40" s="7"/>
      <c r="BN40" s="7">
        <v>0</v>
      </c>
      <c r="BO40" s="7"/>
      <c r="BP40" s="7"/>
      <c r="BQ40" s="7">
        <v>0</v>
      </c>
      <c r="BR40" s="7">
        <v>380</v>
      </c>
      <c r="BS40" s="7" t="s">
        <v>629</v>
      </c>
      <c r="BT40" s="7"/>
      <c r="BU40" s="7"/>
      <c r="BV40" s="7">
        <v>0</v>
      </c>
      <c r="BW40" s="7"/>
      <c r="BX40" s="7"/>
      <c r="BY40" s="7">
        <v>10001</v>
      </c>
      <c r="BZ40" s="7" t="s">
        <v>1414</v>
      </c>
      <c r="CA40" s="7"/>
      <c r="CB40" s="7"/>
      <c r="CC40" s="7"/>
      <c r="CD40" s="7"/>
      <c r="CE40" s="7"/>
      <c r="CF40" s="7"/>
      <c r="CG40" s="7"/>
      <c r="CH40" s="7">
        <v>3563</v>
      </c>
      <c r="CI40" s="7" t="s">
        <v>630</v>
      </c>
      <c r="CJ40" s="7"/>
      <c r="CK40" s="7"/>
      <c r="CL40" s="7"/>
      <c r="CM40" s="7"/>
      <c r="CN40" s="7">
        <v>0</v>
      </c>
      <c r="CO40" s="7"/>
      <c r="CP40" s="7"/>
      <c r="CQ40" s="7"/>
      <c r="CR40" s="7"/>
      <c r="CS40" s="7">
        <v>0</v>
      </c>
      <c r="CT40" s="7"/>
      <c r="CU40" s="7"/>
      <c r="CV40" s="7" t="s">
        <v>791</v>
      </c>
      <c r="CW40" s="7" t="s">
        <v>87</v>
      </c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126"/>
      <c r="EE40" s="7"/>
      <c r="EF40" s="7"/>
      <c r="EG40" s="7"/>
    </row>
    <row r="41" spans="1:137" ht="13.5" customHeight="1">
      <c r="A41" s="7">
        <v>29</v>
      </c>
      <c r="B41" s="7"/>
      <c r="C41" s="7"/>
      <c r="D41" s="7"/>
      <c r="E41" s="6" t="s">
        <v>89</v>
      </c>
      <c r="F41" s="6"/>
      <c r="G41" s="7">
        <v>353028</v>
      </c>
      <c r="H41" s="7" t="s">
        <v>613</v>
      </c>
      <c r="I41" s="7">
        <v>40</v>
      </c>
      <c r="J41" s="6" t="s">
        <v>91</v>
      </c>
      <c r="K41" s="7">
        <v>39</v>
      </c>
      <c r="L41" s="7" t="s">
        <v>792</v>
      </c>
      <c r="M41" s="7">
        <v>27</v>
      </c>
      <c r="N41" s="7" t="s">
        <v>793</v>
      </c>
      <c r="O41" s="7">
        <v>19</v>
      </c>
      <c r="P41" s="7" t="s">
        <v>794</v>
      </c>
      <c r="Q41" s="7">
        <v>19</v>
      </c>
      <c r="R41" s="7" t="s">
        <v>794</v>
      </c>
      <c r="S41" s="7" t="s">
        <v>617</v>
      </c>
      <c r="T41" s="7" t="s">
        <v>795</v>
      </c>
      <c r="U41" s="28"/>
      <c r="V41" s="7">
        <v>24</v>
      </c>
      <c r="W41" s="7" t="s">
        <v>796</v>
      </c>
      <c r="X41" s="28"/>
      <c r="Y41" s="7" t="s">
        <v>797</v>
      </c>
      <c r="Z41" s="7" t="s">
        <v>621</v>
      </c>
      <c r="AA41" s="7" t="s">
        <v>622</v>
      </c>
      <c r="AB41" s="7" t="s">
        <v>638</v>
      </c>
      <c r="AC41" s="7"/>
      <c r="AD41" s="7"/>
      <c r="AE41" s="7"/>
      <c r="AF41" s="7"/>
      <c r="AG41" s="7"/>
      <c r="AH41" s="7"/>
      <c r="AI41" s="7" t="s">
        <v>611</v>
      </c>
      <c r="AJ41" s="7" t="s">
        <v>623</v>
      </c>
      <c r="AK41" s="7">
        <v>10</v>
      </c>
      <c r="AL41" s="7">
        <v>9</v>
      </c>
      <c r="AM41" s="7" t="s">
        <v>624</v>
      </c>
      <c r="AN41" s="7" t="s">
        <v>625</v>
      </c>
      <c r="AO41" s="7" t="s">
        <v>626</v>
      </c>
      <c r="AP41" s="7" t="s">
        <v>627</v>
      </c>
      <c r="AQ41" s="7" t="s">
        <v>617</v>
      </c>
      <c r="AR41" s="7"/>
      <c r="AS41" s="7"/>
      <c r="AT41" s="7"/>
      <c r="AU41" s="6">
        <v>91023</v>
      </c>
      <c r="AV41" s="6" t="s">
        <v>67</v>
      </c>
      <c r="AW41" s="7"/>
      <c r="AX41" s="7"/>
      <c r="AY41" s="7"/>
      <c r="AZ41" s="7"/>
      <c r="BA41" s="6">
        <v>1214</v>
      </c>
      <c r="BB41" s="6" t="s">
        <v>628</v>
      </c>
      <c r="BC41" s="7"/>
      <c r="BD41" s="7"/>
      <c r="BE41" s="7"/>
      <c r="BF41" s="7"/>
      <c r="BG41" s="7">
        <v>0</v>
      </c>
      <c r="BH41" s="7">
        <v>0</v>
      </c>
      <c r="BI41" s="7">
        <v>0</v>
      </c>
      <c r="BJ41" s="7">
        <v>10</v>
      </c>
      <c r="BK41" s="7">
        <v>0</v>
      </c>
      <c r="BL41" s="7">
        <v>10</v>
      </c>
      <c r="BM41" s="7"/>
      <c r="BN41" s="7">
        <v>0</v>
      </c>
      <c r="BO41" s="7"/>
      <c r="BP41" s="7"/>
      <c r="BQ41" s="7">
        <v>0</v>
      </c>
      <c r="BR41" s="7">
        <v>380</v>
      </c>
      <c r="BS41" s="7" t="s">
        <v>629</v>
      </c>
      <c r="BT41" s="7"/>
      <c r="BU41" s="7"/>
      <c r="BV41" s="7">
        <v>0</v>
      </c>
      <c r="BW41" s="7"/>
      <c r="BX41" s="7"/>
      <c r="BY41" s="7">
        <v>10001</v>
      </c>
      <c r="BZ41" s="7" t="s">
        <v>1414</v>
      </c>
      <c r="CA41" s="7"/>
      <c r="CB41" s="7"/>
      <c r="CC41" s="7"/>
      <c r="CD41" s="7"/>
      <c r="CE41" s="7"/>
      <c r="CF41" s="7"/>
      <c r="CG41" s="7"/>
      <c r="CH41" s="7">
        <v>3563</v>
      </c>
      <c r="CI41" s="7" t="s">
        <v>630</v>
      </c>
      <c r="CJ41" s="7"/>
      <c r="CK41" s="7"/>
      <c r="CL41" s="7"/>
      <c r="CM41" s="7"/>
      <c r="CN41" s="7">
        <v>0</v>
      </c>
      <c r="CO41" s="7"/>
      <c r="CP41" s="7"/>
      <c r="CQ41" s="7"/>
      <c r="CR41" s="7"/>
      <c r="CS41" s="7">
        <v>0</v>
      </c>
      <c r="CT41" s="7"/>
      <c r="CU41" s="7"/>
      <c r="CV41" s="7" t="s">
        <v>798</v>
      </c>
      <c r="CW41" s="7" t="s">
        <v>90</v>
      </c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126"/>
      <c r="EE41" s="7"/>
      <c r="EF41" s="7"/>
      <c r="EG41" s="7"/>
    </row>
    <row r="42" spans="1:137" ht="13.5" customHeight="1">
      <c r="A42" s="7">
        <v>30</v>
      </c>
      <c r="B42" s="7"/>
      <c r="C42" s="7"/>
      <c r="D42" s="7"/>
      <c r="E42" s="7" t="s">
        <v>93</v>
      </c>
      <c r="F42" s="7"/>
      <c r="G42" s="7">
        <v>353029</v>
      </c>
      <c r="H42" s="7" t="s">
        <v>613</v>
      </c>
      <c r="I42" s="7">
        <v>84</v>
      </c>
      <c r="J42" s="7" t="s">
        <v>95</v>
      </c>
      <c r="K42" s="7">
        <v>43</v>
      </c>
      <c r="L42" s="7" t="s">
        <v>799</v>
      </c>
      <c r="M42" s="7">
        <v>30</v>
      </c>
      <c r="N42" s="7" t="s">
        <v>800</v>
      </c>
      <c r="O42" s="7">
        <v>18</v>
      </c>
      <c r="P42" s="7" t="s">
        <v>801</v>
      </c>
      <c r="Q42" s="7">
        <v>18</v>
      </c>
      <c r="R42" s="7" t="s">
        <v>801</v>
      </c>
      <c r="S42" s="7" t="s">
        <v>617</v>
      </c>
      <c r="T42" s="7" t="s">
        <v>802</v>
      </c>
      <c r="U42" s="28"/>
      <c r="V42" s="7">
        <v>5</v>
      </c>
      <c r="W42" s="7" t="s">
        <v>636</v>
      </c>
      <c r="X42" s="28"/>
      <c r="Y42" s="7" t="s">
        <v>803</v>
      </c>
      <c r="Z42" s="7" t="s">
        <v>621</v>
      </c>
      <c r="AA42" s="7" t="s">
        <v>622</v>
      </c>
      <c r="AB42" s="7" t="s">
        <v>638</v>
      </c>
      <c r="AC42" s="7"/>
      <c r="AD42" s="7"/>
      <c r="AE42" s="7"/>
      <c r="AF42" s="7"/>
      <c r="AG42" s="7"/>
      <c r="AH42" s="7"/>
      <c r="AI42" s="7" t="s">
        <v>611</v>
      </c>
      <c r="AJ42" s="7" t="s">
        <v>623</v>
      </c>
      <c r="AK42" s="7">
        <v>10</v>
      </c>
      <c r="AL42" s="7">
        <v>9</v>
      </c>
      <c r="AM42" s="7" t="s">
        <v>624</v>
      </c>
      <c r="AN42" s="7" t="s">
        <v>625</v>
      </c>
      <c r="AO42" s="7" t="s">
        <v>626</v>
      </c>
      <c r="AP42" s="7" t="s">
        <v>627</v>
      </c>
      <c r="AQ42" s="7" t="s">
        <v>617</v>
      </c>
      <c r="AR42" s="7"/>
      <c r="AS42" s="7"/>
      <c r="AT42" s="7"/>
      <c r="AU42" s="6">
        <v>91020</v>
      </c>
      <c r="AV42" s="6" t="s">
        <v>92</v>
      </c>
      <c r="AW42" s="7"/>
      <c r="AX42" s="7"/>
      <c r="AY42" s="7"/>
      <c r="AZ42" s="7"/>
      <c r="BA42" s="6">
        <v>1214</v>
      </c>
      <c r="BB42" s="6" t="s">
        <v>628</v>
      </c>
      <c r="BC42" s="7"/>
      <c r="BD42" s="7"/>
      <c r="BE42" s="7"/>
      <c r="BF42" s="7"/>
      <c r="BG42" s="7">
        <v>0</v>
      </c>
      <c r="BH42" s="7">
        <v>0</v>
      </c>
      <c r="BI42" s="7">
        <v>0</v>
      </c>
      <c r="BJ42" s="7">
        <v>10</v>
      </c>
      <c r="BK42" s="7">
        <v>0</v>
      </c>
      <c r="BL42" s="7">
        <v>10</v>
      </c>
      <c r="BM42" s="7"/>
      <c r="BN42" s="7">
        <v>0</v>
      </c>
      <c r="BO42" s="7"/>
      <c r="BP42" s="7"/>
      <c r="BQ42" s="7">
        <v>0</v>
      </c>
      <c r="BR42" s="7">
        <v>380</v>
      </c>
      <c r="BS42" s="7" t="s">
        <v>629</v>
      </c>
      <c r="BT42" s="7"/>
      <c r="BU42" s="7"/>
      <c r="BV42" s="7">
        <v>0</v>
      </c>
      <c r="BW42" s="7"/>
      <c r="BX42" s="7"/>
      <c r="BY42" s="7">
        <v>10001</v>
      </c>
      <c r="BZ42" s="7" t="s">
        <v>1414</v>
      </c>
      <c r="CA42" s="7"/>
      <c r="CB42" s="7"/>
      <c r="CC42" s="7"/>
      <c r="CD42" s="7"/>
      <c r="CE42" s="7"/>
      <c r="CF42" s="7"/>
      <c r="CG42" s="7"/>
      <c r="CH42" s="7">
        <v>3563</v>
      </c>
      <c r="CI42" s="7" t="s">
        <v>630</v>
      </c>
      <c r="CJ42" s="7"/>
      <c r="CK42" s="7"/>
      <c r="CL42" s="7"/>
      <c r="CM42" s="7"/>
      <c r="CN42" s="7">
        <v>0</v>
      </c>
      <c r="CO42" s="7"/>
      <c r="CP42" s="7"/>
      <c r="CQ42" s="7"/>
      <c r="CR42" s="7"/>
      <c r="CS42" s="7">
        <v>0</v>
      </c>
      <c r="CT42" s="7"/>
      <c r="CU42" s="7"/>
      <c r="CV42" s="7" t="s">
        <v>804</v>
      </c>
      <c r="CW42" s="7" t="s">
        <v>94</v>
      </c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126"/>
      <c r="EE42" s="7"/>
      <c r="EF42" s="7"/>
      <c r="EG42" s="7"/>
    </row>
    <row r="43" spans="1:137" ht="13.5" customHeight="1">
      <c r="A43" s="7">
        <v>31</v>
      </c>
      <c r="B43" s="7"/>
      <c r="C43" s="7"/>
      <c r="D43" s="7"/>
      <c r="E43" s="7" t="s">
        <v>96</v>
      </c>
      <c r="F43" s="7"/>
      <c r="G43" s="7">
        <v>353030</v>
      </c>
      <c r="H43" s="7" t="s">
        <v>613</v>
      </c>
      <c r="I43" s="7">
        <v>80</v>
      </c>
      <c r="J43" s="7" t="s">
        <v>98</v>
      </c>
      <c r="K43" s="7">
        <v>43</v>
      </c>
      <c r="L43" s="7" t="s">
        <v>805</v>
      </c>
      <c r="M43" s="7">
        <v>28</v>
      </c>
      <c r="N43" s="7" t="s">
        <v>806</v>
      </c>
      <c r="O43" s="7">
        <v>16</v>
      </c>
      <c r="P43" s="7" t="s">
        <v>807</v>
      </c>
      <c r="Q43" s="7">
        <v>16</v>
      </c>
      <c r="R43" s="7" t="s">
        <v>807</v>
      </c>
      <c r="S43" s="7" t="s">
        <v>617</v>
      </c>
      <c r="T43" s="7" t="s">
        <v>802</v>
      </c>
      <c r="U43" s="28"/>
      <c r="V43" s="7">
        <v>5</v>
      </c>
      <c r="W43" s="7" t="s">
        <v>636</v>
      </c>
      <c r="X43" s="28"/>
      <c r="Y43" s="7" t="s">
        <v>803</v>
      </c>
      <c r="Z43" s="7" t="s">
        <v>621</v>
      </c>
      <c r="AA43" s="7" t="s">
        <v>622</v>
      </c>
      <c r="AB43" s="7" t="s">
        <v>638</v>
      </c>
      <c r="AC43" s="7"/>
      <c r="AD43" s="7"/>
      <c r="AE43" s="7"/>
      <c r="AF43" s="7"/>
      <c r="AG43" s="7"/>
      <c r="AH43" s="7"/>
      <c r="AI43" s="7" t="s">
        <v>611</v>
      </c>
      <c r="AJ43" s="7" t="s">
        <v>623</v>
      </c>
      <c r="AK43" s="7">
        <v>10</v>
      </c>
      <c r="AL43" s="7">
        <v>9</v>
      </c>
      <c r="AM43" s="7" t="s">
        <v>624</v>
      </c>
      <c r="AN43" s="7" t="s">
        <v>625</v>
      </c>
      <c r="AO43" s="7" t="s">
        <v>626</v>
      </c>
      <c r="AP43" s="7" t="s">
        <v>627</v>
      </c>
      <c r="AQ43" s="7" t="s">
        <v>617</v>
      </c>
      <c r="AR43" s="7"/>
      <c r="AS43" s="7"/>
      <c r="AT43" s="7"/>
      <c r="AU43" s="6">
        <v>91020</v>
      </c>
      <c r="AV43" s="6" t="s">
        <v>92</v>
      </c>
      <c r="AW43" s="7"/>
      <c r="AX43" s="7"/>
      <c r="AY43" s="7"/>
      <c r="AZ43" s="7"/>
      <c r="BA43" s="6">
        <v>1214</v>
      </c>
      <c r="BB43" s="6" t="s">
        <v>628</v>
      </c>
      <c r="BC43" s="7"/>
      <c r="BD43" s="7"/>
      <c r="BE43" s="7"/>
      <c r="BF43" s="7"/>
      <c r="BG43" s="7">
        <v>0</v>
      </c>
      <c r="BH43" s="7">
        <v>0</v>
      </c>
      <c r="BI43" s="7">
        <v>0</v>
      </c>
      <c r="BJ43" s="7">
        <v>10</v>
      </c>
      <c r="BK43" s="7">
        <v>0</v>
      </c>
      <c r="BL43" s="7">
        <v>10</v>
      </c>
      <c r="BM43" s="7"/>
      <c r="BN43" s="7">
        <v>0</v>
      </c>
      <c r="BO43" s="7"/>
      <c r="BP43" s="7"/>
      <c r="BQ43" s="7">
        <v>0</v>
      </c>
      <c r="BR43" s="7">
        <v>380</v>
      </c>
      <c r="BS43" s="7" t="s">
        <v>629</v>
      </c>
      <c r="BT43" s="7"/>
      <c r="BU43" s="7"/>
      <c r="BV43" s="7">
        <v>0</v>
      </c>
      <c r="BW43" s="7"/>
      <c r="BX43" s="7"/>
      <c r="BY43" s="7">
        <v>10001</v>
      </c>
      <c r="BZ43" s="7" t="s">
        <v>1414</v>
      </c>
      <c r="CA43" s="7"/>
      <c r="CB43" s="7"/>
      <c r="CC43" s="7"/>
      <c r="CD43" s="7"/>
      <c r="CE43" s="7"/>
      <c r="CF43" s="7"/>
      <c r="CG43" s="7"/>
      <c r="CH43" s="7">
        <v>3563</v>
      </c>
      <c r="CI43" s="7" t="s">
        <v>630</v>
      </c>
      <c r="CJ43" s="7"/>
      <c r="CK43" s="7"/>
      <c r="CL43" s="7"/>
      <c r="CM43" s="7"/>
      <c r="CN43" s="7">
        <v>0</v>
      </c>
      <c r="CO43" s="7"/>
      <c r="CP43" s="7"/>
      <c r="CQ43" s="7"/>
      <c r="CR43" s="7"/>
      <c r="CS43" s="7">
        <v>0</v>
      </c>
      <c r="CT43" s="7"/>
      <c r="CU43" s="7"/>
      <c r="CV43" s="7" t="s">
        <v>808</v>
      </c>
      <c r="CW43" s="7" t="s">
        <v>97</v>
      </c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126"/>
      <c r="EE43" s="7"/>
      <c r="EF43" s="7"/>
      <c r="EG43" s="7"/>
    </row>
    <row r="44" spans="1:137" ht="13.5" customHeight="1">
      <c r="A44" s="7">
        <v>32</v>
      </c>
      <c r="B44" s="7"/>
      <c r="C44" s="7"/>
      <c r="D44" s="7"/>
      <c r="E44" s="7" t="s">
        <v>99</v>
      </c>
      <c r="F44" s="7"/>
      <c r="G44" s="7">
        <v>353031</v>
      </c>
      <c r="H44" s="7" t="s">
        <v>613</v>
      </c>
      <c r="I44" s="7">
        <v>104</v>
      </c>
      <c r="J44" s="7" t="s">
        <v>101</v>
      </c>
      <c r="K44" s="7">
        <v>49</v>
      </c>
      <c r="L44" s="7" t="s">
        <v>809</v>
      </c>
      <c r="M44" s="7">
        <v>38</v>
      </c>
      <c r="N44" s="7" t="s">
        <v>810</v>
      </c>
      <c r="O44" s="7">
        <v>18</v>
      </c>
      <c r="P44" s="7" t="s">
        <v>811</v>
      </c>
      <c r="Q44" s="7">
        <v>18</v>
      </c>
      <c r="R44" s="7" t="s">
        <v>811</v>
      </c>
      <c r="S44" s="7" t="s">
        <v>617</v>
      </c>
      <c r="T44" s="7" t="s">
        <v>812</v>
      </c>
      <c r="U44" s="28"/>
      <c r="V44" s="7">
        <v>5</v>
      </c>
      <c r="W44" s="7" t="s">
        <v>813</v>
      </c>
      <c r="X44" s="28"/>
      <c r="Y44" s="7" t="s">
        <v>814</v>
      </c>
      <c r="Z44" s="7" t="s">
        <v>621</v>
      </c>
      <c r="AA44" s="7" t="s">
        <v>622</v>
      </c>
      <c r="AB44" s="7" t="s">
        <v>638</v>
      </c>
      <c r="AC44" s="7"/>
      <c r="AD44" s="7"/>
      <c r="AE44" s="7"/>
      <c r="AF44" s="7"/>
      <c r="AG44" s="7"/>
      <c r="AH44" s="7"/>
      <c r="AI44" s="7" t="s">
        <v>611</v>
      </c>
      <c r="AJ44" s="7" t="s">
        <v>623</v>
      </c>
      <c r="AK44" s="7">
        <v>10</v>
      </c>
      <c r="AL44" s="7">
        <v>9</v>
      </c>
      <c r="AM44" s="7" t="s">
        <v>624</v>
      </c>
      <c r="AN44" s="7" t="s">
        <v>625</v>
      </c>
      <c r="AO44" s="7" t="s">
        <v>626</v>
      </c>
      <c r="AP44" s="7" t="s">
        <v>627</v>
      </c>
      <c r="AQ44" s="7" t="s">
        <v>617</v>
      </c>
      <c r="AR44" s="7"/>
      <c r="AS44" s="7"/>
      <c r="AT44" s="7"/>
      <c r="AU44" s="6">
        <v>91020</v>
      </c>
      <c r="AV44" s="6" t="s">
        <v>92</v>
      </c>
      <c r="AW44" s="7"/>
      <c r="AX44" s="7"/>
      <c r="AY44" s="7"/>
      <c r="AZ44" s="7"/>
      <c r="BA44" s="6">
        <v>1214</v>
      </c>
      <c r="BB44" s="6" t="s">
        <v>628</v>
      </c>
      <c r="BC44" s="7"/>
      <c r="BD44" s="7"/>
      <c r="BE44" s="7"/>
      <c r="BF44" s="7"/>
      <c r="BG44" s="7">
        <v>0</v>
      </c>
      <c r="BH44" s="7">
        <v>0</v>
      </c>
      <c r="BI44" s="7">
        <v>0</v>
      </c>
      <c r="BJ44" s="7">
        <v>10</v>
      </c>
      <c r="BK44" s="7">
        <v>0</v>
      </c>
      <c r="BL44" s="7">
        <v>10</v>
      </c>
      <c r="BM44" s="7"/>
      <c r="BN44" s="7">
        <v>0</v>
      </c>
      <c r="BO44" s="7"/>
      <c r="BP44" s="7"/>
      <c r="BQ44" s="7">
        <v>0</v>
      </c>
      <c r="BR44" s="7">
        <v>380</v>
      </c>
      <c r="BS44" s="7" t="s">
        <v>629</v>
      </c>
      <c r="BT44" s="7"/>
      <c r="BU44" s="7"/>
      <c r="BV44" s="7">
        <v>0</v>
      </c>
      <c r="BW44" s="7"/>
      <c r="BX44" s="7"/>
      <c r="BY44" s="7">
        <v>10001</v>
      </c>
      <c r="BZ44" s="7" t="s">
        <v>1414</v>
      </c>
      <c r="CA44" s="7"/>
      <c r="CB44" s="7"/>
      <c r="CC44" s="7"/>
      <c r="CD44" s="7"/>
      <c r="CE44" s="7"/>
      <c r="CF44" s="7"/>
      <c r="CG44" s="7"/>
      <c r="CH44" s="7">
        <v>3563</v>
      </c>
      <c r="CI44" s="7" t="s">
        <v>630</v>
      </c>
      <c r="CJ44" s="7"/>
      <c r="CK44" s="7"/>
      <c r="CL44" s="7"/>
      <c r="CM44" s="7"/>
      <c r="CN44" s="7">
        <v>0</v>
      </c>
      <c r="CO44" s="7"/>
      <c r="CP44" s="7"/>
      <c r="CQ44" s="7"/>
      <c r="CR44" s="7"/>
      <c r="CS44" s="7">
        <v>0</v>
      </c>
      <c r="CT44" s="7"/>
      <c r="CU44" s="7"/>
      <c r="CV44" s="7" t="s">
        <v>815</v>
      </c>
      <c r="CW44" s="7" t="s">
        <v>100</v>
      </c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126"/>
      <c r="EE44" s="7"/>
      <c r="EF44" s="7"/>
      <c r="EG44" s="7"/>
    </row>
    <row r="45" spans="1:137" ht="13.5" customHeight="1">
      <c r="A45" s="7">
        <v>33</v>
      </c>
      <c r="B45" s="7"/>
      <c r="C45" s="7"/>
      <c r="D45" s="7"/>
      <c r="E45" s="7" t="s">
        <v>102</v>
      </c>
      <c r="F45" s="7"/>
      <c r="G45" s="7">
        <v>353032</v>
      </c>
      <c r="H45" s="7" t="s">
        <v>613</v>
      </c>
      <c r="I45" s="7">
        <v>102</v>
      </c>
      <c r="J45" s="7" t="s">
        <v>104</v>
      </c>
      <c r="K45" s="7">
        <v>48</v>
      </c>
      <c r="L45" s="7" t="s">
        <v>816</v>
      </c>
      <c r="M45" s="7">
        <v>34</v>
      </c>
      <c r="N45" s="7" t="s">
        <v>817</v>
      </c>
      <c r="O45" s="7">
        <v>19</v>
      </c>
      <c r="P45" s="7" t="s">
        <v>818</v>
      </c>
      <c r="Q45" s="7">
        <v>19</v>
      </c>
      <c r="R45" s="7" t="s">
        <v>818</v>
      </c>
      <c r="S45" s="7" t="s">
        <v>617</v>
      </c>
      <c r="T45" s="7" t="s">
        <v>812</v>
      </c>
      <c r="U45" s="28"/>
      <c r="V45" s="7">
        <v>5</v>
      </c>
      <c r="W45" s="7" t="s">
        <v>813</v>
      </c>
      <c r="X45" s="28"/>
      <c r="Y45" s="7" t="s">
        <v>814</v>
      </c>
      <c r="Z45" s="7" t="s">
        <v>621</v>
      </c>
      <c r="AA45" s="7" t="s">
        <v>622</v>
      </c>
      <c r="AB45" s="7" t="s">
        <v>638</v>
      </c>
      <c r="AC45" s="7"/>
      <c r="AD45" s="7"/>
      <c r="AE45" s="7"/>
      <c r="AF45" s="7"/>
      <c r="AG45" s="7"/>
      <c r="AH45" s="7"/>
      <c r="AI45" s="7" t="s">
        <v>611</v>
      </c>
      <c r="AJ45" s="7" t="s">
        <v>623</v>
      </c>
      <c r="AK45" s="7">
        <v>10</v>
      </c>
      <c r="AL45" s="7">
        <v>9</v>
      </c>
      <c r="AM45" s="7" t="s">
        <v>624</v>
      </c>
      <c r="AN45" s="7" t="s">
        <v>625</v>
      </c>
      <c r="AO45" s="7" t="s">
        <v>626</v>
      </c>
      <c r="AP45" s="7" t="s">
        <v>627</v>
      </c>
      <c r="AQ45" s="7" t="s">
        <v>617</v>
      </c>
      <c r="AR45" s="7"/>
      <c r="AS45" s="7"/>
      <c r="AT45" s="7"/>
      <c r="AU45" s="6">
        <v>91020</v>
      </c>
      <c r="AV45" s="6" t="s">
        <v>92</v>
      </c>
      <c r="AW45" s="7"/>
      <c r="AX45" s="7"/>
      <c r="AY45" s="7"/>
      <c r="AZ45" s="7"/>
      <c r="BA45" s="6">
        <v>1214</v>
      </c>
      <c r="BB45" s="6" t="s">
        <v>628</v>
      </c>
      <c r="BC45" s="7"/>
      <c r="BD45" s="7"/>
      <c r="BE45" s="7"/>
      <c r="BF45" s="7"/>
      <c r="BG45" s="7">
        <v>0</v>
      </c>
      <c r="BH45" s="7">
        <v>0</v>
      </c>
      <c r="BI45" s="7">
        <v>0</v>
      </c>
      <c r="BJ45" s="7">
        <v>10</v>
      </c>
      <c r="BK45" s="7">
        <v>0</v>
      </c>
      <c r="BL45" s="7">
        <v>10</v>
      </c>
      <c r="BM45" s="7"/>
      <c r="BN45" s="7">
        <v>0</v>
      </c>
      <c r="BO45" s="7"/>
      <c r="BP45" s="7"/>
      <c r="BQ45" s="7">
        <v>0</v>
      </c>
      <c r="BR45" s="7">
        <v>380</v>
      </c>
      <c r="BS45" s="7" t="s">
        <v>629</v>
      </c>
      <c r="BT45" s="7"/>
      <c r="BU45" s="7"/>
      <c r="BV45" s="7">
        <v>0</v>
      </c>
      <c r="BW45" s="7"/>
      <c r="BX45" s="7"/>
      <c r="BY45" s="7">
        <v>10001</v>
      </c>
      <c r="BZ45" s="7" t="s">
        <v>1414</v>
      </c>
      <c r="CA45" s="7"/>
      <c r="CB45" s="7"/>
      <c r="CC45" s="7"/>
      <c r="CD45" s="7"/>
      <c r="CE45" s="7"/>
      <c r="CF45" s="7"/>
      <c r="CG45" s="7"/>
      <c r="CH45" s="7">
        <v>3563</v>
      </c>
      <c r="CI45" s="7" t="s">
        <v>630</v>
      </c>
      <c r="CJ45" s="7"/>
      <c r="CK45" s="7"/>
      <c r="CL45" s="7"/>
      <c r="CM45" s="7"/>
      <c r="CN45" s="7">
        <v>0</v>
      </c>
      <c r="CO45" s="7"/>
      <c r="CP45" s="7"/>
      <c r="CQ45" s="7"/>
      <c r="CR45" s="7"/>
      <c r="CS45" s="7">
        <v>0</v>
      </c>
      <c r="CT45" s="7"/>
      <c r="CU45" s="7"/>
      <c r="CV45" s="7" t="s">
        <v>819</v>
      </c>
      <c r="CW45" s="7" t="s">
        <v>103</v>
      </c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126"/>
      <c r="EE45" s="7"/>
      <c r="EF45" s="7"/>
      <c r="EG45" s="7"/>
    </row>
    <row r="46" spans="1:137" ht="13.5" customHeight="1">
      <c r="A46" s="7">
        <v>34</v>
      </c>
      <c r="B46" s="7"/>
      <c r="C46" s="7"/>
      <c r="D46" s="7"/>
      <c r="E46" s="7" t="s">
        <v>105</v>
      </c>
      <c r="F46" s="7"/>
      <c r="G46" s="7">
        <v>353033</v>
      </c>
      <c r="H46" s="7" t="s">
        <v>613</v>
      </c>
      <c r="I46" s="7">
        <v>88</v>
      </c>
      <c r="J46" s="7" t="s">
        <v>107</v>
      </c>
      <c r="K46" s="7">
        <v>43</v>
      </c>
      <c r="L46" s="7" t="s">
        <v>820</v>
      </c>
      <c r="M46" s="7">
        <v>33</v>
      </c>
      <c r="N46" s="7" t="s">
        <v>821</v>
      </c>
      <c r="O46" s="7">
        <v>18</v>
      </c>
      <c r="P46" s="7" t="s">
        <v>822</v>
      </c>
      <c r="Q46" s="7">
        <v>18</v>
      </c>
      <c r="R46" s="7" t="s">
        <v>822</v>
      </c>
      <c r="S46" s="7" t="s">
        <v>617</v>
      </c>
      <c r="T46" s="7" t="s">
        <v>812</v>
      </c>
      <c r="U46" s="28"/>
      <c r="V46" s="7">
        <v>5</v>
      </c>
      <c r="W46" s="7" t="s">
        <v>813</v>
      </c>
      <c r="X46" s="28"/>
      <c r="Y46" s="7" t="s">
        <v>814</v>
      </c>
      <c r="Z46" s="7" t="s">
        <v>621</v>
      </c>
      <c r="AA46" s="7" t="s">
        <v>622</v>
      </c>
      <c r="AB46" s="7" t="s">
        <v>638</v>
      </c>
      <c r="AC46" s="7"/>
      <c r="AD46" s="7"/>
      <c r="AE46" s="7"/>
      <c r="AF46" s="7"/>
      <c r="AG46" s="7"/>
      <c r="AH46" s="7"/>
      <c r="AI46" s="7" t="s">
        <v>611</v>
      </c>
      <c r="AJ46" s="7" t="s">
        <v>623</v>
      </c>
      <c r="AK46" s="7">
        <v>10</v>
      </c>
      <c r="AL46" s="7">
        <v>9</v>
      </c>
      <c r="AM46" s="7" t="s">
        <v>624</v>
      </c>
      <c r="AN46" s="7" t="s">
        <v>625</v>
      </c>
      <c r="AO46" s="7" t="s">
        <v>626</v>
      </c>
      <c r="AP46" s="7" t="s">
        <v>627</v>
      </c>
      <c r="AQ46" s="7" t="s">
        <v>617</v>
      </c>
      <c r="AR46" s="7"/>
      <c r="AS46" s="7"/>
      <c r="AT46" s="7"/>
      <c r="AU46" s="6">
        <v>91020</v>
      </c>
      <c r="AV46" s="6" t="s">
        <v>92</v>
      </c>
      <c r="AW46" s="7"/>
      <c r="AX46" s="7"/>
      <c r="AY46" s="7"/>
      <c r="AZ46" s="7"/>
      <c r="BA46" s="6">
        <v>1214</v>
      </c>
      <c r="BB46" s="6" t="s">
        <v>628</v>
      </c>
      <c r="BC46" s="7"/>
      <c r="BD46" s="7"/>
      <c r="BE46" s="7"/>
      <c r="BF46" s="7"/>
      <c r="BG46" s="7">
        <v>0</v>
      </c>
      <c r="BH46" s="7">
        <v>0</v>
      </c>
      <c r="BI46" s="7">
        <v>0</v>
      </c>
      <c r="BJ46" s="7">
        <v>10</v>
      </c>
      <c r="BK46" s="7">
        <v>0</v>
      </c>
      <c r="BL46" s="7">
        <v>10</v>
      </c>
      <c r="BM46" s="7"/>
      <c r="BN46" s="7">
        <v>0</v>
      </c>
      <c r="BO46" s="7"/>
      <c r="BP46" s="7"/>
      <c r="BQ46" s="7">
        <v>0</v>
      </c>
      <c r="BR46" s="7">
        <v>380</v>
      </c>
      <c r="BS46" s="7" t="s">
        <v>629</v>
      </c>
      <c r="BT46" s="7"/>
      <c r="BU46" s="7"/>
      <c r="BV46" s="7">
        <v>0</v>
      </c>
      <c r="BW46" s="7"/>
      <c r="BX46" s="7"/>
      <c r="BY46" s="7">
        <v>10001</v>
      </c>
      <c r="BZ46" s="7" t="s">
        <v>1414</v>
      </c>
      <c r="CA46" s="7"/>
      <c r="CB46" s="7"/>
      <c r="CC46" s="7"/>
      <c r="CD46" s="7"/>
      <c r="CE46" s="7"/>
      <c r="CF46" s="7"/>
      <c r="CG46" s="7"/>
      <c r="CH46" s="7">
        <v>3563</v>
      </c>
      <c r="CI46" s="7" t="s">
        <v>630</v>
      </c>
      <c r="CJ46" s="7"/>
      <c r="CK46" s="7"/>
      <c r="CL46" s="7"/>
      <c r="CM46" s="7"/>
      <c r="CN46" s="7">
        <v>0</v>
      </c>
      <c r="CO46" s="7"/>
      <c r="CP46" s="7"/>
      <c r="CQ46" s="7"/>
      <c r="CR46" s="7"/>
      <c r="CS46" s="7">
        <v>0</v>
      </c>
      <c r="CT46" s="7"/>
      <c r="CU46" s="7"/>
      <c r="CV46" s="7" t="s">
        <v>823</v>
      </c>
      <c r="CW46" s="7" t="s">
        <v>106</v>
      </c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126"/>
      <c r="EE46" s="7"/>
      <c r="EF46" s="7"/>
      <c r="EG46" s="7"/>
    </row>
    <row r="47" spans="1:137" ht="13.5" customHeight="1">
      <c r="A47" s="7">
        <v>35</v>
      </c>
      <c r="B47" s="7"/>
      <c r="C47" s="7"/>
      <c r="D47" s="7"/>
      <c r="E47" s="7" t="s">
        <v>108</v>
      </c>
      <c r="F47" s="7"/>
      <c r="G47" s="7">
        <v>352910</v>
      </c>
      <c r="H47" s="7" t="s">
        <v>613</v>
      </c>
      <c r="I47" s="7">
        <v>62</v>
      </c>
      <c r="J47" s="7" t="s">
        <v>110</v>
      </c>
      <c r="K47" s="7">
        <v>50</v>
      </c>
      <c r="L47" s="7" t="s">
        <v>824</v>
      </c>
      <c r="M47" s="7">
        <v>42</v>
      </c>
      <c r="N47" s="7" t="s">
        <v>825</v>
      </c>
      <c r="O47" s="7">
        <v>20</v>
      </c>
      <c r="P47" s="7" t="s">
        <v>826</v>
      </c>
      <c r="Q47" s="7">
        <v>20</v>
      </c>
      <c r="R47" s="7" t="s">
        <v>826</v>
      </c>
      <c r="S47" s="7" t="s">
        <v>617</v>
      </c>
      <c r="T47" s="7" t="s">
        <v>643</v>
      </c>
      <c r="U47" s="28"/>
      <c r="V47" s="7">
        <v>6</v>
      </c>
      <c r="W47" s="7" t="s">
        <v>644</v>
      </c>
      <c r="X47" s="28"/>
      <c r="Y47" s="7" t="s">
        <v>645</v>
      </c>
      <c r="Z47" s="7" t="s">
        <v>621</v>
      </c>
      <c r="AA47" s="7" t="s">
        <v>622</v>
      </c>
      <c r="AB47" s="7" t="s">
        <v>638</v>
      </c>
      <c r="AC47" s="7"/>
      <c r="AD47" s="7"/>
      <c r="AE47" s="7"/>
      <c r="AF47" s="7"/>
      <c r="AG47" s="7"/>
      <c r="AH47" s="7"/>
      <c r="AI47" s="7" t="s">
        <v>611</v>
      </c>
      <c r="AJ47" s="7" t="s">
        <v>623</v>
      </c>
      <c r="AK47" s="7">
        <v>10</v>
      </c>
      <c r="AL47" s="7">
        <v>9</v>
      </c>
      <c r="AM47" s="7" t="s">
        <v>624</v>
      </c>
      <c r="AN47" s="7" t="s">
        <v>625</v>
      </c>
      <c r="AO47" s="7" t="s">
        <v>626</v>
      </c>
      <c r="AP47" s="7" t="s">
        <v>627</v>
      </c>
      <c r="AQ47" s="7" t="s">
        <v>617</v>
      </c>
      <c r="AR47" s="7"/>
      <c r="AS47" s="7"/>
      <c r="AT47" s="7"/>
      <c r="AU47" s="6">
        <v>91003</v>
      </c>
      <c r="AV47" s="6" t="s">
        <v>5</v>
      </c>
      <c r="AW47" s="7"/>
      <c r="AX47" s="7"/>
      <c r="AY47" s="7"/>
      <c r="AZ47" s="7"/>
      <c r="BA47" s="6">
        <v>1214</v>
      </c>
      <c r="BB47" s="6" t="s">
        <v>628</v>
      </c>
      <c r="BC47" s="7"/>
      <c r="BD47" s="7"/>
      <c r="BE47" s="7"/>
      <c r="BF47" s="7"/>
      <c r="BG47" s="7">
        <v>0</v>
      </c>
      <c r="BH47" s="7">
        <v>0</v>
      </c>
      <c r="BI47" s="7">
        <v>0</v>
      </c>
      <c r="BJ47" s="7">
        <v>10</v>
      </c>
      <c r="BK47" s="7">
        <v>0</v>
      </c>
      <c r="BL47" s="7">
        <v>10</v>
      </c>
      <c r="BM47" s="7"/>
      <c r="BN47" s="7">
        <v>0</v>
      </c>
      <c r="BO47" s="7"/>
      <c r="BP47" s="7"/>
      <c r="BQ47" s="7">
        <v>0</v>
      </c>
      <c r="BR47" s="7">
        <v>380</v>
      </c>
      <c r="BS47" s="7" t="s">
        <v>629</v>
      </c>
      <c r="BT47" s="7"/>
      <c r="BU47" s="7"/>
      <c r="BV47" s="7">
        <v>0</v>
      </c>
      <c r="BW47" s="7"/>
      <c r="BX47" s="7"/>
      <c r="BY47" s="7">
        <v>10001</v>
      </c>
      <c r="BZ47" s="7" t="s">
        <v>1414</v>
      </c>
      <c r="CA47" s="7"/>
      <c r="CB47" s="7"/>
      <c r="CC47" s="7"/>
      <c r="CD47" s="7"/>
      <c r="CE47" s="7"/>
      <c r="CF47" s="7"/>
      <c r="CG47" s="7"/>
      <c r="CH47" s="7">
        <v>3563</v>
      </c>
      <c r="CI47" s="7" t="s">
        <v>630</v>
      </c>
      <c r="CJ47" s="7"/>
      <c r="CK47" s="7"/>
      <c r="CL47" s="7"/>
      <c r="CM47" s="7"/>
      <c r="CN47" s="7">
        <v>0</v>
      </c>
      <c r="CO47" s="7"/>
      <c r="CP47" s="7"/>
      <c r="CQ47" s="7"/>
      <c r="CR47" s="7"/>
      <c r="CS47" s="7">
        <v>0</v>
      </c>
      <c r="CT47" s="7"/>
      <c r="CU47" s="7"/>
      <c r="CV47" s="7" t="s">
        <v>827</v>
      </c>
      <c r="CW47" s="7" t="s">
        <v>109</v>
      </c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126"/>
      <c r="EE47" s="7"/>
      <c r="EF47" s="7"/>
      <c r="EG47" s="7"/>
    </row>
    <row r="48" spans="1:137" ht="13.5" customHeight="1">
      <c r="A48" s="7">
        <v>36</v>
      </c>
      <c r="B48" s="7"/>
      <c r="C48" s="7"/>
      <c r="D48" s="7"/>
      <c r="E48" s="7" t="s">
        <v>111</v>
      </c>
      <c r="F48" s="7"/>
      <c r="G48" s="7">
        <v>352911</v>
      </c>
      <c r="H48" s="7" t="s">
        <v>613</v>
      </c>
      <c r="I48" s="7">
        <v>58</v>
      </c>
      <c r="J48" s="7" t="s">
        <v>113</v>
      </c>
      <c r="K48" s="7">
        <v>48</v>
      </c>
      <c r="L48" s="7" t="s">
        <v>828</v>
      </c>
      <c r="M48" s="7">
        <v>40</v>
      </c>
      <c r="N48" s="7" t="s">
        <v>829</v>
      </c>
      <c r="O48" s="7">
        <v>20</v>
      </c>
      <c r="P48" s="7" t="s">
        <v>830</v>
      </c>
      <c r="Q48" s="7">
        <v>20</v>
      </c>
      <c r="R48" s="7" t="s">
        <v>830</v>
      </c>
      <c r="S48" s="7" t="s">
        <v>617</v>
      </c>
      <c r="T48" s="7" t="s">
        <v>650</v>
      </c>
      <c r="U48" s="28"/>
      <c r="V48" s="7">
        <v>6</v>
      </c>
      <c r="W48" s="7" t="s">
        <v>651</v>
      </c>
      <c r="X48" s="28"/>
      <c r="Y48" s="7" t="s">
        <v>652</v>
      </c>
      <c r="Z48" s="7" t="s">
        <v>621</v>
      </c>
      <c r="AA48" s="7" t="s">
        <v>622</v>
      </c>
      <c r="AB48" s="7" t="s">
        <v>638</v>
      </c>
      <c r="AC48" s="7"/>
      <c r="AD48" s="7"/>
      <c r="AE48" s="7"/>
      <c r="AF48" s="7"/>
      <c r="AG48" s="7"/>
      <c r="AH48" s="7"/>
      <c r="AI48" s="7" t="s">
        <v>611</v>
      </c>
      <c r="AJ48" s="7" t="s">
        <v>623</v>
      </c>
      <c r="AK48" s="7">
        <v>10</v>
      </c>
      <c r="AL48" s="7">
        <v>9</v>
      </c>
      <c r="AM48" s="7" t="s">
        <v>624</v>
      </c>
      <c r="AN48" s="7" t="s">
        <v>625</v>
      </c>
      <c r="AO48" s="7" t="s">
        <v>626</v>
      </c>
      <c r="AP48" s="7" t="s">
        <v>627</v>
      </c>
      <c r="AQ48" s="7" t="s">
        <v>617</v>
      </c>
      <c r="AR48" s="7"/>
      <c r="AS48" s="7"/>
      <c r="AT48" s="7"/>
      <c r="AU48" s="6">
        <v>91003</v>
      </c>
      <c r="AV48" s="6" t="s">
        <v>5</v>
      </c>
      <c r="AW48" s="7"/>
      <c r="AX48" s="7"/>
      <c r="AY48" s="7"/>
      <c r="AZ48" s="7"/>
      <c r="BA48" s="6">
        <v>1214</v>
      </c>
      <c r="BB48" s="6" t="s">
        <v>628</v>
      </c>
      <c r="BC48" s="7"/>
      <c r="BD48" s="7"/>
      <c r="BE48" s="7"/>
      <c r="BF48" s="7"/>
      <c r="BG48" s="7">
        <v>0</v>
      </c>
      <c r="BH48" s="7">
        <v>0</v>
      </c>
      <c r="BI48" s="7">
        <v>0</v>
      </c>
      <c r="BJ48" s="7">
        <v>10</v>
      </c>
      <c r="BK48" s="7">
        <v>0</v>
      </c>
      <c r="BL48" s="7">
        <v>10</v>
      </c>
      <c r="BM48" s="7"/>
      <c r="BN48" s="7">
        <v>0</v>
      </c>
      <c r="BO48" s="7"/>
      <c r="BP48" s="7"/>
      <c r="BQ48" s="7">
        <v>0</v>
      </c>
      <c r="BR48" s="7">
        <v>380</v>
      </c>
      <c r="BS48" s="7" t="s">
        <v>629</v>
      </c>
      <c r="BT48" s="7"/>
      <c r="BU48" s="7"/>
      <c r="BV48" s="7">
        <v>0</v>
      </c>
      <c r="BW48" s="7"/>
      <c r="BX48" s="7"/>
      <c r="BY48" s="7">
        <v>10001</v>
      </c>
      <c r="BZ48" s="7" t="s">
        <v>1414</v>
      </c>
      <c r="CA48" s="7"/>
      <c r="CB48" s="7"/>
      <c r="CC48" s="7"/>
      <c r="CD48" s="7"/>
      <c r="CE48" s="7"/>
      <c r="CF48" s="7"/>
      <c r="CG48" s="7"/>
      <c r="CH48" s="7">
        <v>3563</v>
      </c>
      <c r="CI48" s="7" t="s">
        <v>630</v>
      </c>
      <c r="CJ48" s="7"/>
      <c r="CK48" s="7"/>
      <c r="CL48" s="7"/>
      <c r="CM48" s="7"/>
      <c r="CN48" s="7">
        <v>0</v>
      </c>
      <c r="CO48" s="7"/>
      <c r="CP48" s="7"/>
      <c r="CQ48" s="7"/>
      <c r="CR48" s="7"/>
      <c r="CS48" s="7">
        <v>0</v>
      </c>
      <c r="CT48" s="7"/>
      <c r="CU48" s="7"/>
      <c r="CV48" s="7" t="s">
        <v>831</v>
      </c>
      <c r="CW48" s="7" t="s">
        <v>112</v>
      </c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126"/>
      <c r="EE48" s="7"/>
      <c r="EF48" s="7"/>
      <c r="EG48" s="7"/>
    </row>
    <row r="49" spans="1:137" ht="13.5" customHeight="1">
      <c r="A49" s="7">
        <v>37</v>
      </c>
      <c r="B49" s="7"/>
      <c r="C49" s="7"/>
      <c r="D49" s="7"/>
      <c r="E49" s="7" t="s">
        <v>115</v>
      </c>
      <c r="F49" s="7"/>
      <c r="G49" s="7">
        <v>352918</v>
      </c>
      <c r="H49" s="7" t="s">
        <v>613</v>
      </c>
      <c r="I49" s="7">
        <v>54</v>
      </c>
      <c r="J49" s="7" t="s">
        <v>117</v>
      </c>
      <c r="K49" s="7">
        <v>45</v>
      </c>
      <c r="L49" s="7" t="s">
        <v>832</v>
      </c>
      <c r="M49" s="7">
        <v>37</v>
      </c>
      <c r="N49" s="7" t="s">
        <v>833</v>
      </c>
      <c r="O49" s="7">
        <v>19</v>
      </c>
      <c r="P49" s="7" t="s">
        <v>834</v>
      </c>
      <c r="Q49" s="7">
        <v>19</v>
      </c>
      <c r="R49" s="7" t="s">
        <v>834</v>
      </c>
      <c r="S49" s="7" t="s">
        <v>617</v>
      </c>
      <c r="T49" s="7" t="s">
        <v>835</v>
      </c>
      <c r="U49" s="28"/>
      <c r="V49" s="7">
        <v>8</v>
      </c>
      <c r="W49" s="7" t="s">
        <v>678</v>
      </c>
      <c r="X49" s="28"/>
      <c r="Y49" s="7" t="s">
        <v>836</v>
      </c>
      <c r="Z49" s="7" t="s">
        <v>621</v>
      </c>
      <c r="AA49" s="7" t="s">
        <v>622</v>
      </c>
      <c r="AB49" s="7" t="s">
        <v>638</v>
      </c>
      <c r="AC49" s="7"/>
      <c r="AD49" s="7"/>
      <c r="AE49" s="7"/>
      <c r="AF49" s="7"/>
      <c r="AG49" s="7"/>
      <c r="AH49" s="7"/>
      <c r="AI49" s="7" t="s">
        <v>611</v>
      </c>
      <c r="AJ49" s="7" t="s">
        <v>623</v>
      </c>
      <c r="AK49" s="7">
        <v>10</v>
      </c>
      <c r="AL49" s="7">
        <v>9</v>
      </c>
      <c r="AM49" s="7" t="s">
        <v>624</v>
      </c>
      <c r="AN49" s="7" t="s">
        <v>625</v>
      </c>
      <c r="AO49" s="7" t="s">
        <v>626</v>
      </c>
      <c r="AP49" s="7" t="s">
        <v>627</v>
      </c>
      <c r="AQ49" s="7" t="s">
        <v>617</v>
      </c>
      <c r="AR49" s="7"/>
      <c r="AS49" s="7"/>
      <c r="AT49" s="7"/>
      <c r="AU49" s="6">
        <v>91040</v>
      </c>
      <c r="AV49" s="6" t="s">
        <v>114</v>
      </c>
      <c r="AW49" s="7"/>
      <c r="AX49" s="7"/>
      <c r="AY49" s="7"/>
      <c r="AZ49" s="7"/>
      <c r="BA49" s="6">
        <v>1214</v>
      </c>
      <c r="BB49" s="6" t="s">
        <v>628</v>
      </c>
      <c r="BC49" s="7"/>
      <c r="BD49" s="7"/>
      <c r="BE49" s="7"/>
      <c r="BF49" s="7"/>
      <c r="BG49" s="7">
        <v>0</v>
      </c>
      <c r="BH49" s="7">
        <v>0</v>
      </c>
      <c r="BI49" s="7">
        <v>0</v>
      </c>
      <c r="BJ49" s="7">
        <v>10</v>
      </c>
      <c r="BK49" s="7">
        <v>0</v>
      </c>
      <c r="BL49" s="7">
        <v>10</v>
      </c>
      <c r="BM49" s="7"/>
      <c r="BN49" s="7">
        <v>0</v>
      </c>
      <c r="BO49" s="7"/>
      <c r="BP49" s="7"/>
      <c r="BQ49" s="7">
        <v>0</v>
      </c>
      <c r="BR49" s="7">
        <v>380</v>
      </c>
      <c r="BS49" s="7" t="s">
        <v>629</v>
      </c>
      <c r="BT49" s="7"/>
      <c r="BU49" s="7"/>
      <c r="BV49" s="7">
        <v>0</v>
      </c>
      <c r="BW49" s="7"/>
      <c r="BX49" s="7"/>
      <c r="BY49" s="7">
        <v>10001</v>
      </c>
      <c r="BZ49" s="7" t="s">
        <v>1414</v>
      </c>
      <c r="CA49" s="7"/>
      <c r="CB49" s="7"/>
      <c r="CC49" s="7"/>
      <c r="CD49" s="7"/>
      <c r="CE49" s="7"/>
      <c r="CF49" s="7"/>
      <c r="CG49" s="7"/>
      <c r="CH49" s="7">
        <v>3563</v>
      </c>
      <c r="CI49" s="7" t="s">
        <v>630</v>
      </c>
      <c r="CJ49" s="7"/>
      <c r="CK49" s="7"/>
      <c r="CL49" s="7"/>
      <c r="CM49" s="7"/>
      <c r="CN49" s="7">
        <v>0</v>
      </c>
      <c r="CO49" s="7"/>
      <c r="CP49" s="7"/>
      <c r="CQ49" s="7"/>
      <c r="CR49" s="7"/>
      <c r="CS49" s="7">
        <v>0</v>
      </c>
      <c r="CT49" s="7"/>
      <c r="CU49" s="7"/>
      <c r="CV49" s="7" t="s">
        <v>837</v>
      </c>
      <c r="CW49" s="7" t="s">
        <v>116</v>
      </c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126"/>
      <c r="EE49" s="7"/>
      <c r="EF49" s="7"/>
      <c r="EG49" s="7"/>
    </row>
    <row r="50" spans="1:137" ht="13.5" customHeight="1">
      <c r="A50" s="7">
        <v>38</v>
      </c>
      <c r="B50" s="7"/>
      <c r="C50" s="7"/>
      <c r="D50" s="7"/>
      <c r="E50" s="7" t="s">
        <v>118</v>
      </c>
      <c r="F50" s="7"/>
      <c r="G50" s="7">
        <v>352919</v>
      </c>
      <c r="H50" s="7" t="s">
        <v>613</v>
      </c>
      <c r="I50" s="7">
        <v>62</v>
      </c>
      <c r="J50" s="7" t="s">
        <v>120</v>
      </c>
      <c r="K50" s="7">
        <v>49</v>
      </c>
      <c r="L50" s="7" t="s">
        <v>838</v>
      </c>
      <c r="M50" s="7">
        <v>35</v>
      </c>
      <c r="N50" s="7" t="s">
        <v>839</v>
      </c>
      <c r="O50" s="7">
        <v>18</v>
      </c>
      <c r="P50" s="7" t="s">
        <v>840</v>
      </c>
      <c r="Q50" s="7">
        <v>18</v>
      </c>
      <c r="R50" s="7" t="s">
        <v>840</v>
      </c>
      <c r="S50" s="7" t="s">
        <v>617</v>
      </c>
      <c r="T50" s="7" t="s">
        <v>841</v>
      </c>
      <c r="U50" s="28"/>
      <c r="V50" s="7">
        <v>8</v>
      </c>
      <c r="W50" s="7" t="s">
        <v>842</v>
      </c>
      <c r="X50" s="28"/>
      <c r="Y50" s="7" t="s">
        <v>843</v>
      </c>
      <c r="Z50" s="7" t="s">
        <v>621</v>
      </c>
      <c r="AA50" s="7" t="s">
        <v>622</v>
      </c>
      <c r="AB50" s="7" t="s">
        <v>638</v>
      </c>
      <c r="AC50" s="7"/>
      <c r="AD50" s="7"/>
      <c r="AE50" s="7"/>
      <c r="AF50" s="7"/>
      <c r="AG50" s="7"/>
      <c r="AH50" s="7"/>
      <c r="AI50" s="7" t="s">
        <v>611</v>
      </c>
      <c r="AJ50" s="7" t="s">
        <v>623</v>
      </c>
      <c r="AK50" s="7">
        <v>10</v>
      </c>
      <c r="AL50" s="7">
        <v>9</v>
      </c>
      <c r="AM50" s="7" t="s">
        <v>624</v>
      </c>
      <c r="AN50" s="7" t="s">
        <v>625</v>
      </c>
      <c r="AO50" s="7" t="s">
        <v>626</v>
      </c>
      <c r="AP50" s="7" t="s">
        <v>627</v>
      </c>
      <c r="AQ50" s="7" t="s">
        <v>617</v>
      </c>
      <c r="AR50" s="7"/>
      <c r="AS50" s="7"/>
      <c r="AT50" s="7"/>
      <c r="AU50" s="6">
        <v>91040</v>
      </c>
      <c r="AV50" s="6" t="s">
        <v>114</v>
      </c>
      <c r="AW50" s="7"/>
      <c r="AX50" s="7"/>
      <c r="AY50" s="7"/>
      <c r="AZ50" s="7"/>
      <c r="BA50" s="6">
        <v>1214</v>
      </c>
      <c r="BB50" s="6" t="s">
        <v>628</v>
      </c>
      <c r="BC50" s="7"/>
      <c r="BD50" s="7"/>
      <c r="BE50" s="7"/>
      <c r="BF50" s="7"/>
      <c r="BG50" s="7">
        <v>0</v>
      </c>
      <c r="BH50" s="7">
        <v>0</v>
      </c>
      <c r="BI50" s="7">
        <v>0</v>
      </c>
      <c r="BJ50" s="7">
        <v>10</v>
      </c>
      <c r="BK50" s="7">
        <v>0</v>
      </c>
      <c r="BL50" s="7">
        <v>10</v>
      </c>
      <c r="BM50" s="7"/>
      <c r="BN50" s="7">
        <v>0</v>
      </c>
      <c r="BO50" s="7"/>
      <c r="BP50" s="7"/>
      <c r="BQ50" s="7">
        <v>0</v>
      </c>
      <c r="BR50" s="7">
        <v>380</v>
      </c>
      <c r="BS50" s="7" t="s">
        <v>629</v>
      </c>
      <c r="BT50" s="7"/>
      <c r="BU50" s="7"/>
      <c r="BV50" s="7">
        <v>0</v>
      </c>
      <c r="BW50" s="7"/>
      <c r="BX50" s="7"/>
      <c r="BY50" s="7">
        <v>10001</v>
      </c>
      <c r="BZ50" s="7" t="s">
        <v>1414</v>
      </c>
      <c r="CA50" s="7"/>
      <c r="CB50" s="7"/>
      <c r="CC50" s="7"/>
      <c r="CD50" s="7"/>
      <c r="CE50" s="7"/>
      <c r="CF50" s="7"/>
      <c r="CG50" s="7"/>
      <c r="CH50" s="7">
        <v>3563</v>
      </c>
      <c r="CI50" s="7" t="s">
        <v>630</v>
      </c>
      <c r="CJ50" s="7"/>
      <c r="CK50" s="7"/>
      <c r="CL50" s="7"/>
      <c r="CM50" s="7"/>
      <c r="CN50" s="7">
        <v>0</v>
      </c>
      <c r="CO50" s="7"/>
      <c r="CP50" s="7"/>
      <c r="CQ50" s="7"/>
      <c r="CR50" s="7"/>
      <c r="CS50" s="7">
        <v>0</v>
      </c>
      <c r="CT50" s="7"/>
      <c r="CU50" s="7"/>
      <c r="CV50" s="7" t="s">
        <v>844</v>
      </c>
      <c r="CW50" s="7" t="s">
        <v>119</v>
      </c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126"/>
      <c r="EE50" s="7"/>
      <c r="EF50" s="7"/>
      <c r="EG50" s="7"/>
    </row>
    <row r="51" spans="1:137" ht="13.5" customHeight="1">
      <c r="A51" s="7">
        <v>39</v>
      </c>
      <c r="B51" s="7"/>
      <c r="C51" s="7"/>
      <c r="D51" s="7"/>
      <c r="E51" s="7" t="s">
        <v>121</v>
      </c>
      <c r="F51" s="7"/>
      <c r="G51" s="7">
        <v>352920</v>
      </c>
      <c r="H51" s="7" t="s">
        <v>613</v>
      </c>
      <c r="I51" s="7">
        <v>104</v>
      </c>
      <c r="J51" s="7" t="s">
        <v>123</v>
      </c>
      <c r="K51" s="7">
        <v>50</v>
      </c>
      <c r="L51" s="7" t="s">
        <v>845</v>
      </c>
      <c r="M51" s="7">
        <v>39</v>
      </c>
      <c r="N51" s="7" t="s">
        <v>846</v>
      </c>
      <c r="O51" s="7">
        <v>18</v>
      </c>
      <c r="P51" s="7" t="s">
        <v>847</v>
      </c>
      <c r="Q51" s="7">
        <v>18</v>
      </c>
      <c r="R51" s="7" t="s">
        <v>847</v>
      </c>
      <c r="S51" s="7" t="s">
        <v>617</v>
      </c>
      <c r="T51" s="7" t="s">
        <v>812</v>
      </c>
      <c r="U51" s="28"/>
      <c r="V51" s="7">
        <v>5</v>
      </c>
      <c r="W51" s="7" t="s">
        <v>813</v>
      </c>
      <c r="X51" s="28"/>
      <c r="Y51" s="7" t="s">
        <v>848</v>
      </c>
      <c r="Z51" s="7" t="s">
        <v>621</v>
      </c>
      <c r="AA51" s="7" t="s">
        <v>622</v>
      </c>
      <c r="AB51" s="7" t="s">
        <v>638</v>
      </c>
      <c r="AC51" s="7"/>
      <c r="AD51" s="7"/>
      <c r="AE51" s="7"/>
      <c r="AF51" s="7"/>
      <c r="AG51" s="7"/>
      <c r="AH51" s="7"/>
      <c r="AI51" s="7" t="s">
        <v>611</v>
      </c>
      <c r="AJ51" s="7" t="s">
        <v>623</v>
      </c>
      <c r="AK51" s="7">
        <v>10</v>
      </c>
      <c r="AL51" s="7">
        <v>9</v>
      </c>
      <c r="AM51" s="7" t="s">
        <v>624</v>
      </c>
      <c r="AN51" s="7" t="s">
        <v>625</v>
      </c>
      <c r="AO51" s="7" t="s">
        <v>626</v>
      </c>
      <c r="AP51" s="7" t="s">
        <v>627</v>
      </c>
      <c r="AQ51" s="7" t="s">
        <v>617</v>
      </c>
      <c r="AR51" s="7"/>
      <c r="AS51" s="7"/>
      <c r="AT51" s="7"/>
      <c r="AU51" s="6">
        <v>91020</v>
      </c>
      <c r="AV51" s="6" t="s">
        <v>92</v>
      </c>
      <c r="AW51" s="7"/>
      <c r="AX51" s="7"/>
      <c r="AY51" s="7"/>
      <c r="AZ51" s="7"/>
      <c r="BA51" s="6">
        <v>1214</v>
      </c>
      <c r="BB51" s="6" t="s">
        <v>628</v>
      </c>
      <c r="BC51" s="7"/>
      <c r="BD51" s="7"/>
      <c r="BE51" s="7"/>
      <c r="BF51" s="7"/>
      <c r="BG51" s="7">
        <v>0</v>
      </c>
      <c r="BH51" s="7">
        <v>0</v>
      </c>
      <c r="BI51" s="7">
        <v>0</v>
      </c>
      <c r="BJ51" s="7">
        <v>10</v>
      </c>
      <c r="BK51" s="7">
        <v>0</v>
      </c>
      <c r="BL51" s="7">
        <v>10</v>
      </c>
      <c r="BM51" s="7"/>
      <c r="BN51" s="7">
        <v>0</v>
      </c>
      <c r="BO51" s="7"/>
      <c r="BP51" s="7"/>
      <c r="BQ51" s="7">
        <v>0</v>
      </c>
      <c r="BR51" s="7">
        <v>380</v>
      </c>
      <c r="BS51" s="7" t="s">
        <v>629</v>
      </c>
      <c r="BT51" s="7"/>
      <c r="BU51" s="7"/>
      <c r="BV51" s="7">
        <v>0</v>
      </c>
      <c r="BW51" s="7"/>
      <c r="BX51" s="7"/>
      <c r="BY51" s="7">
        <v>10001</v>
      </c>
      <c r="BZ51" s="7" t="s">
        <v>1414</v>
      </c>
      <c r="CA51" s="7"/>
      <c r="CB51" s="7"/>
      <c r="CC51" s="7"/>
      <c r="CD51" s="7"/>
      <c r="CE51" s="7"/>
      <c r="CF51" s="7"/>
      <c r="CG51" s="7"/>
      <c r="CH51" s="7">
        <v>3563</v>
      </c>
      <c r="CI51" s="7" t="s">
        <v>630</v>
      </c>
      <c r="CJ51" s="7"/>
      <c r="CK51" s="7"/>
      <c r="CL51" s="7"/>
      <c r="CM51" s="7"/>
      <c r="CN51" s="7">
        <v>0</v>
      </c>
      <c r="CO51" s="7"/>
      <c r="CP51" s="7"/>
      <c r="CQ51" s="7"/>
      <c r="CR51" s="7"/>
      <c r="CS51" s="7">
        <v>0</v>
      </c>
      <c r="CT51" s="7"/>
      <c r="CU51" s="7"/>
      <c r="CV51" s="7" t="s">
        <v>849</v>
      </c>
      <c r="CW51" s="7" t="s">
        <v>122</v>
      </c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126"/>
      <c r="EE51" s="7"/>
      <c r="EF51" s="7"/>
      <c r="EG51" s="7"/>
    </row>
    <row r="52" spans="1:137" ht="13.5" customHeight="1">
      <c r="A52" s="7">
        <v>40</v>
      </c>
      <c r="B52" s="7"/>
      <c r="C52" s="7"/>
      <c r="D52" s="7"/>
      <c r="E52" s="7" t="s">
        <v>124</v>
      </c>
      <c r="F52" s="7"/>
      <c r="G52" s="7">
        <v>352921</v>
      </c>
      <c r="H52" s="7" t="s">
        <v>613</v>
      </c>
      <c r="I52" s="7">
        <v>92</v>
      </c>
      <c r="J52" s="7" t="s">
        <v>126</v>
      </c>
      <c r="K52" s="7">
        <v>41</v>
      </c>
      <c r="L52" s="7" t="s">
        <v>850</v>
      </c>
      <c r="M52" s="7">
        <v>28</v>
      </c>
      <c r="N52" s="7" t="s">
        <v>851</v>
      </c>
      <c r="O52" s="7">
        <v>20</v>
      </c>
      <c r="P52" s="7" t="s">
        <v>852</v>
      </c>
      <c r="Q52" s="7">
        <v>20</v>
      </c>
      <c r="R52" s="7" t="s">
        <v>852</v>
      </c>
      <c r="S52" s="7" t="s">
        <v>617</v>
      </c>
      <c r="T52" s="7" t="s">
        <v>802</v>
      </c>
      <c r="U52" s="28"/>
      <c r="V52" s="7">
        <v>5</v>
      </c>
      <c r="W52" s="7" t="s">
        <v>636</v>
      </c>
      <c r="X52" s="28"/>
      <c r="Y52" s="7" t="s">
        <v>803</v>
      </c>
      <c r="Z52" s="7" t="s">
        <v>621</v>
      </c>
      <c r="AA52" s="7" t="s">
        <v>622</v>
      </c>
      <c r="AB52" s="7" t="s">
        <v>638</v>
      </c>
      <c r="AC52" s="7"/>
      <c r="AD52" s="7"/>
      <c r="AE52" s="7"/>
      <c r="AF52" s="7"/>
      <c r="AG52" s="7"/>
      <c r="AH52" s="7"/>
      <c r="AI52" s="7" t="s">
        <v>611</v>
      </c>
      <c r="AJ52" s="7" t="s">
        <v>623</v>
      </c>
      <c r="AK52" s="7">
        <v>10</v>
      </c>
      <c r="AL52" s="7">
        <v>9</v>
      </c>
      <c r="AM52" s="7" t="s">
        <v>624</v>
      </c>
      <c r="AN52" s="7" t="s">
        <v>625</v>
      </c>
      <c r="AO52" s="7" t="s">
        <v>626</v>
      </c>
      <c r="AP52" s="7" t="s">
        <v>627</v>
      </c>
      <c r="AQ52" s="7" t="s">
        <v>617</v>
      </c>
      <c r="AR52" s="7"/>
      <c r="AS52" s="7"/>
      <c r="AT52" s="7"/>
      <c r="AU52" s="6">
        <v>91020</v>
      </c>
      <c r="AV52" s="6" t="s">
        <v>92</v>
      </c>
      <c r="AW52" s="7"/>
      <c r="AX52" s="7"/>
      <c r="AY52" s="7"/>
      <c r="AZ52" s="7"/>
      <c r="BA52" s="6">
        <v>1214</v>
      </c>
      <c r="BB52" s="6" t="s">
        <v>628</v>
      </c>
      <c r="BC52" s="7"/>
      <c r="BD52" s="7"/>
      <c r="BE52" s="7"/>
      <c r="BF52" s="7"/>
      <c r="BG52" s="7">
        <v>0</v>
      </c>
      <c r="BH52" s="7">
        <v>0</v>
      </c>
      <c r="BI52" s="7">
        <v>0</v>
      </c>
      <c r="BJ52" s="7">
        <v>10</v>
      </c>
      <c r="BK52" s="7">
        <v>0</v>
      </c>
      <c r="BL52" s="7">
        <v>10</v>
      </c>
      <c r="BM52" s="7"/>
      <c r="BN52" s="7">
        <v>0</v>
      </c>
      <c r="BO52" s="7"/>
      <c r="BP52" s="7"/>
      <c r="BQ52" s="7">
        <v>0</v>
      </c>
      <c r="BR52" s="7">
        <v>380</v>
      </c>
      <c r="BS52" s="7" t="s">
        <v>629</v>
      </c>
      <c r="BT52" s="7"/>
      <c r="BU52" s="7"/>
      <c r="BV52" s="7">
        <v>0</v>
      </c>
      <c r="BW52" s="7"/>
      <c r="BX52" s="7"/>
      <c r="BY52" s="7">
        <v>10001</v>
      </c>
      <c r="BZ52" s="7" t="s">
        <v>1414</v>
      </c>
      <c r="CA52" s="7"/>
      <c r="CB52" s="7"/>
      <c r="CC52" s="7"/>
      <c r="CD52" s="7"/>
      <c r="CE52" s="7"/>
      <c r="CF52" s="7"/>
      <c r="CG52" s="7"/>
      <c r="CH52" s="7">
        <v>3563</v>
      </c>
      <c r="CI52" s="7" t="s">
        <v>630</v>
      </c>
      <c r="CJ52" s="7"/>
      <c r="CK52" s="7"/>
      <c r="CL52" s="7"/>
      <c r="CM52" s="7"/>
      <c r="CN52" s="7">
        <v>0</v>
      </c>
      <c r="CO52" s="7"/>
      <c r="CP52" s="7"/>
      <c r="CQ52" s="7"/>
      <c r="CR52" s="7"/>
      <c r="CS52" s="7">
        <v>0</v>
      </c>
      <c r="CT52" s="7"/>
      <c r="CU52" s="7"/>
      <c r="CV52" s="7" t="s">
        <v>853</v>
      </c>
      <c r="CW52" s="7" t="s">
        <v>125</v>
      </c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126"/>
      <c r="EE52" s="7"/>
      <c r="EF52" s="7"/>
      <c r="EG52" s="7"/>
    </row>
    <row r="53" spans="1:137" ht="13.5" customHeight="1">
      <c r="A53" s="7">
        <v>41</v>
      </c>
      <c r="B53" s="7"/>
      <c r="C53" s="7"/>
      <c r="D53" s="7"/>
      <c r="E53" s="7" t="s">
        <v>127</v>
      </c>
      <c r="F53" s="7"/>
      <c r="G53" s="7">
        <v>352922</v>
      </c>
      <c r="H53" s="7" t="s">
        <v>613</v>
      </c>
      <c r="I53" s="7">
        <v>104</v>
      </c>
      <c r="J53" s="7" t="s">
        <v>129</v>
      </c>
      <c r="K53" s="7">
        <v>50</v>
      </c>
      <c r="L53" s="7" t="s">
        <v>854</v>
      </c>
      <c r="M53" s="7">
        <v>39</v>
      </c>
      <c r="N53" s="7" t="s">
        <v>855</v>
      </c>
      <c r="O53" s="7">
        <v>20</v>
      </c>
      <c r="P53" s="7" t="s">
        <v>856</v>
      </c>
      <c r="Q53" s="7">
        <v>20</v>
      </c>
      <c r="R53" s="7" t="s">
        <v>856</v>
      </c>
      <c r="S53" s="7" t="s">
        <v>617</v>
      </c>
      <c r="T53" s="7" t="s">
        <v>812</v>
      </c>
      <c r="U53" s="28"/>
      <c r="V53" s="7">
        <v>5</v>
      </c>
      <c r="W53" s="7" t="s">
        <v>813</v>
      </c>
      <c r="X53" s="28"/>
      <c r="Y53" s="7" t="s">
        <v>814</v>
      </c>
      <c r="Z53" s="7" t="s">
        <v>621</v>
      </c>
      <c r="AA53" s="7" t="s">
        <v>622</v>
      </c>
      <c r="AB53" s="7" t="s">
        <v>638</v>
      </c>
      <c r="AC53" s="7"/>
      <c r="AD53" s="7"/>
      <c r="AE53" s="7"/>
      <c r="AF53" s="7"/>
      <c r="AG53" s="7"/>
      <c r="AH53" s="7"/>
      <c r="AI53" s="7" t="s">
        <v>611</v>
      </c>
      <c r="AJ53" s="7" t="s">
        <v>623</v>
      </c>
      <c r="AK53" s="7">
        <v>10</v>
      </c>
      <c r="AL53" s="7">
        <v>9</v>
      </c>
      <c r="AM53" s="7" t="s">
        <v>624</v>
      </c>
      <c r="AN53" s="7" t="s">
        <v>625</v>
      </c>
      <c r="AO53" s="7" t="s">
        <v>626</v>
      </c>
      <c r="AP53" s="7" t="s">
        <v>627</v>
      </c>
      <c r="AQ53" s="7" t="s">
        <v>617</v>
      </c>
      <c r="AR53" s="7"/>
      <c r="AS53" s="7"/>
      <c r="AT53" s="7"/>
      <c r="AU53" s="6">
        <v>91020</v>
      </c>
      <c r="AV53" s="6" t="s">
        <v>92</v>
      </c>
      <c r="AW53" s="7"/>
      <c r="AX53" s="7"/>
      <c r="AY53" s="7"/>
      <c r="AZ53" s="7"/>
      <c r="BA53" s="6">
        <v>1214</v>
      </c>
      <c r="BB53" s="6" t="s">
        <v>628</v>
      </c>
      <c r="BC53" s="7"/>
      <c r="BD53" s="7"/>
      <c r="BE53" s="7"/>
      <c r="BF53" s="7"/>
      <c r="BG53" s="7">
        <v>0</v>
      </c>
      <c r="BH53" s="7">
        <v>0</v>
      </c>
      <c r="BI53" s="7">
        <v>0</v>
      </c>
      <c r="BJ53" s="7">
        <v>10</v>
      </c>
      <c r="BK53" s="7">
        <v>0</v>
      </c>
      <c r="BL53" s="7">
        <v>10</v>
      </c>
      <c r="BM53" s="7"/>
      <c r="BN53" s="7">
        <v>0</v>
      </c>
      <c r="BO53" s="7"/>
      <c r="BP53" s="7"/>
      <c r="BQ53" s="7">
        <v>0</v>
      </c>
      <c r="BR53" s="7">
        <v>380</v>
      </c>
      <c r="BS53" s="7" t="s">
        <v>629</v>
      </c>
      <c r="BT53" s="7"/>
      <c r="BU53" s="7"/>
      <c r="BV53" s="7">
        <v>0</v>
      </c>
      <c r="BW53" s="7"/>
      <c r="BX53" s="7"/>
      <c r="BY53" s="7">
        <v>10001</v>
      </c>
      <c r="BZ53" s="7" t="s">
        <v>1414</v>
      </c>
      <c r="CA53" s="7"/>
      <c r="CB53" s="7"/>
      <c r="CC53" s="7"/>
      <c r="CD53" s="7"/>
      <c r="CE53" s="7"/>
      <c r="CF53" s="7"/>
      <c r="CG53" s="7"/>
      <c r="CH53" s="7">
        <v>3563</v>
      </c>
      <c r="CI53" s="7" t="s">
        <v>630</v>
      </c>
      <c r="CJ53" s="7"/>
      <c r="CK53" s="7"/>
      <c r="CL53" s="7"/>
      <c r="CM53" s="7"/>
      <c r="CN53" s="7">
        <v>0</v>
      </c>
      <c r="CO53" s="7"/>
      <c r="CP53" s="7"/>
      <c r="CQ53" s="7"/>
      <c r="CR53" s="7"/>
      <c r="CS53" s="7">
        <v>0</v>
      </c>
      <c r="CT53" s="7"/>
      <c r="CU53" s="7"/>
      <c r="CV53" s="7" t="s">
        <v>857</v>
      </c>
      <c r="CW53" s="7" t="s">
        <v>128</v>
      </c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126"/>
      <c r="EE53" s="7"/>
      <c r="EF53" s="7"/>
      <c r="EG53" s="7"/>
    </row>
    <row r="54" spans="1:137" ht="13.5" customHeight="1">
      <c r="A54" s="7">
        <v>42</v>
      </c>
      <c r="B54" s="7"/>
      <c r="C54" s="7"/>
      <c r="D54" s="7"/>
      <c r="E54" s="7" t="s">
        <v>130</v>
      </c>
      <c r="F54" s="7"/>
      <c r="G54" s="7">
        <v>352923</v>
      </c>
      <c r="H54" s="7" t="s">
        <v>613</v>
      </c>
      <c r="I54" s="7">
        <v>72</v>
      </c>
      <c r="J54" s="7" t="s">
        <v>132</v>
      </c>
      <c r="K54" s="7">
        <v>48</v>
      </c>
      <c r="L54" s="7" t="s">
        <v>858</v>
      </c>
      <c r="M54" s="7">
        <v>32</v>
      </c>
      <c r="N54" s="7" t="s">
        <v>859</v>
      </c>
      <c r="O54" s="7">
        <v>18</v>
      </c>
      <c r="P54" s="7" t="s">
        <v>860</v>
      </c>
      <c r="Q54" s="7">
        <v>18</v>
      </c>
      <c r="R54" s="7" t="s">
        <v>860</v>
      </c>
      <c r="S54" s="7" t="s">
        <v>617</v>
      </c>
      <c r="T54" s="7" t="s">
        <v>812</v>
      </c>
      <c r="U54" s="28"/>
      <c r="V54" s="7">
        <v>6</v>
      </c>
      <c r="W54" s="7" t="s">
        <v>861</v>
      </c>
      <c r="X54" s="28"/>
      <c r="Y54" s="7" t="s">
        <v>862</v>
      </c>
      <c r="Z54" s="7" t="s">
        <v>621</v>
      </c>
      <c r="AA54" s="7" t="s">
        <v>622</v>
      </c>
      <c r="AB54" s="7" t="s">
        <v>638</v>
      </c>
      <c r="AC54" s="7"/>
      <c r="AD54" s="7"/>
      <c r="AE54" s="7"/>
      <c r="AF54" s="7"/>
      <c r="AG54" s="7"/>
      <c r="AH54" s="7"/>
      <c r="AI54" s="7" t="s">
        <v>611</v>
      </c>
      <c r="AJ54" s="7" t="s">
        <v>623</v>
      </c>
      <c r="AK54" s="7">
        <v>10</v>
      </c>
      <c r="AL54" s="7">
        <v>9</v>
      </c>
      <c r="AM54" s="7" t="s">
        <v>624</v>
      </c>
      <c r="AN54" s="7" t="s">
        <v>625</v>
      </c>
      <c r="AO54" s="7" t="s">
        <v>626</v>
      </c>
      <c r="AP54" s="7" t="s">
        <v>627</v>
      </c>
      <c r="AQ54" s="7" t="s">
        <v>617</v>
      </c>
      <c r="AR54" s="7"/>
      <c r="AS54" s="7"/>
      <c r="AT54" s="7"/>
      <c r="AU54" s="6">
        <v>91020</v>
      </c>
      <c r="AV54" s="6" t="s">
        <v>92</v>
      </c>
      <c r="AW54" s="7"/>
      <c r="AX54" s="7"/>
      <c r="AY54" s="7"/>
      <c r="AZ54" s="7"/>
      <c r="BA54" s="6">
        <v>1214</v>
      </c>
      <c r="BB54" s="6" t="s">
        <v>628</v>
      </c>
      <c r="BC54" s="7"/>
      <c r="BD54" s="7"/>
      <c r="BE54" s="7"/>
      <c r="BF54" s="7"/>
      <c r="BG54" s="7">
        <v>0</v>
      </c>
      <c r="BH54" s="7">
        <v>0</v>
      </c>
      <c r="BI54" s="7">
        <v>0</v>
      </c>
      <c r="BJ54" s="7">
        <v>10</v>
      </c>
      <c r="BK54" s="7">
        <v>0</v>
      </c>
      <c r="BL54" s="7">
        <v>10</v>
      </c>
      <c r="BM54" s="7"/>
      <c r="BN54" s="7">
        <v>0</v>
      </c>
      <c r="BO54" s="7"/>
      <c r="BP54" s="7"/>
      <c r="BQ54" s="7">
        <v>0</v>
      </c>
      <c r="BR54" s="7">
        <v>380</v>
      </c>
      <c r="BS54" s="7" t="s">
        <v>629</v>
      </c>
      <c r="BT54" s="7"/>
      <c r="BU54" s="7"/>
      <c r="BV54" s="7">
        <v>0</v>
      </c>
      <c r="BW54" s="7"/>
      <c r="BX54" s="7"/>
      <c r="BY54" s="7">
        <v>10001</v>
      </c>
      <c r="BZ54" s="7" t="s">
        <v>1414</v>
      </c>
      <c r="CA54" s="7"/>
      <c r="CB54" s="7"/>
      <c r="CC54" s="7"/>
      <c r="CD54" s="7"/>
      <c r="CE54" s="7"/>
      <c r="CF54" s="7"/>
      <c r="CG54" s="7"/>
      <c r="CH54" s="7">
        <v>3563</v>
      </c>
      <c r="CI54" s="7" t="s">
        <v>630</v>
      </c>
      <c r="CJ54" s="7"/>
      <c r="CK54" s="7"/>
      <c r="CL54" s="7"/>
      <c r="CM54" s="7"/>
      <c r="CN54" s="7">
        <v>0</v>
      </c>
      <c r="CO54" s="7"/>
      <c r="CP54" s="7"/>
      <c r="CQ54" s="7"/>
      <c r="CR54" s="7"/>
      <c r="CS54" s="7">
        <v>0</v>
      </c>
      <c r="CT54" s="7"/>
      <c r="CU54" s="7"/>
      <c r="CV54" s="7" t="s">
        <v>863</v>
      </c>
      <c r="CW54" s="7" t="s">
        <v>131</v>
      </c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126"/>
      <c r="EE54" s="7"/>
      <c r="EF54" s="7"/>
      <c r="EG54" s="7"/>
    </row>
    <row r="55" spans="1:137" ht="13.5" customHeight="1">
      <c r="A55" s="7">
        <v>43</v>
      </c>
      <c r="B55" s="7"/>
      <c r="C55" s="7"/>
      <c r="D55" s="7"/>
      <c r="E55" s="7" t="s">
        <v>133</v>
      </c>
      <c r="F55" s="7"/>
      <c r="G55" s="7">
        <v>352924</v>
      </c>
      <c r="H55" s="7" t="s">
        <v>613</v>
      </c>
      <c r="I55" s="7">
        <v>96</v>
      </c>
      <c r="J55" s="7" t="s">
        <v>135</v>
      </c>
      <c r="K55" s="7">
        <v>48</v>
      </c>
      <c r="L55" s="7" t="s">
        <v>864</v>
      </c>
      <c r="M55" s="7">
        <v>37</v>
      </c>
      <c r="N55" s="7" t="s">
        <v>865</v>
      </c>
      <c r="O55" s="7">
        <v>18</v>
      </c>
      <c r="P55" s="7" t="s">
        <v>866</v>
      </c>
      <c r="Q55" s="7">
        <v>18</v>
      </c>
      <c r="R55" s="7" t="s">
        <v>866</v>
      </c>
      <c r="S55" s="7" t="s">
        <v>617</v>
      </c>
      <c r="T55" s="7" t="s">
        <v>867</v>
      </c>
      <c r="U55" s="28"/>
      <c r="V55" s="7">
        <v>6</v>
      </c>
      <c r="W55" s="7" t="s">
        <v>868</v>
      </c>
      <c r="X55" s="28"/>
      <c r="Y55" s="7" t="s">
        <v>869</v>
      </c>
      <c r="Z55" s="7" t="s">
        <v>621</v>
      </c>
      <c r="AA55" s="7" t="s">
        <v>622</v>
      </c>
      <c r="AB55" s="7" t="s">
        <v>638</v>
      </c>
      <c r="AC55" s="7"/>
      <c r="AD55" s="7"/>
      <c r="AE55" s="7"/>
      <c r="AF55" s="7"/>
      <c r="AG55" s="7"/>
      <c r="AH55" s="7"/>
      <c r="AI55" s="7" t="s">
        <v>611</v>
      </c>
      <c r="AJ55" s="7" t="s">
        <v>623</v>
      </c>
      <c r="AK55" s="7">
        <v>10</v>
      </c>
      <c r="AL55" s="7">
        <v>9</v>
      </c>
      <c r="AM55" s="7" t="s">
        <v>624</v>
      </c>
      <c r="AN55" s="7" t="s">
        <v>625</v>
      </c>
      <c r="AO55" s="7" t="s">
        <v>626</v>
      </c>
      <c r="AP55" s="7" t="s">
        <v>627</v>
      </c>
      <c r="AQ55" s="7" t="s">
        <v>617</v>
      </c>
      <c r="AR55" s="7"/>
      <c r="AS55" s="7"/>
      <c r="AT55" s="7"/>
      <c r="AU55" s="6">
        <v>91020</v>
      </c>
      <c r="AV55" s="6" t="s">
        <v>92</v>
      </c>
      <c r="AW55" s="7"/>
      <c r="AX55" s="7"/>
      <c r="AY55" s="7"/>
      <c r="AZ55" s="7"/>
      <c r="BA55" s="6">
        <v>1214</v>
      </c>
      <c r="BB55" s="6" t="s">
        <v>628</v>
      </c>
      <c r="BC55" s="7"/>
      <c r="BD55" s="7"/>
      <c r="BE55" s="7"/>
      <c r="BF55" s="7"/>
      <c r="BG55" s="7">
        <v>0</v>
      </c>
      <c r="BH55" s="7">
        <v>0</v>
      </c>
      <c r="BI55" s="7">
        <v>0</v>
      </c>
      <c r="BJ55" s="7">
        <v>10</v>
      </c>
      <c r="BK55" s="7">
        <v>0</v>
      </c>
      <c r="BL55" s="7">
        <v>10</v>
      </c>
      <c r="BM55" s="7"/>
      <c r="BN55" s="7">
        <v>0</v>
      </c>
      <c r="BO55" s="7"/>
      <c r="BP55" s="7"/>
      <c r="BQ55" s="7">
        <v>0</v>
      </c>
      <c r="BR55" s="7">
        <v>380</v>
      </c>
      <c r="BS55" s="7" t="s">
        <v>629</v>
      </c>
      <c r="BT55" s="7"/>
      <c r="BU55" s="7"/>
      <c r="BV55" s="7">
        <v>0</v>
      </c>
      <c r="BW55" s="7"/>
      <c r="BX55" s="7"/>
      <c r="BY55" s="7">
        <v>10001</v>
      </c>
      <c r="BZ55" s="7" t="s">
        <v>1414</v>
      </c>
      <c r="CA55" s="7"/>
      <c r="CB55" s="7"/>
      <c r="CC55" s="7"/>
      <c r="CD55" s="7"/>
      <c r="CE55" s="7"/>
      <c r="CF55" s="7"/>
      <c r="CG55" s="7"/>
      <c r="CH55" s="7">
        <v>3563</v>
      </c>
      <c r="CI55" s="7" t="s">
        <v>630</v>
      </c>
      <c r="CJ55" s="7"/>
      <c r="CK55" s="7"/>
      <c r="CL55" s="7"/>
      <c r="CM55" s="7"/>
      <c r="CN55" s="7">
        <v>0</v>
      </c>
      <c r="CO55" s="7"/>
      <c r="CP55" s="7"/>
      <c r="CQ55" s="7"/>
      <c r="CR55" s="7"/>
      <c r="CS55" s="7">
        <v>0</v>
      </c>
      <c r="CT55" s="7"/>
      <c r="CU55" s="7"/>
      <c r="CV55" s="7" t="s">
        <v>870</v>
      </c>
      <c r="CW55" s="7" t="s">
        <v>134</v>
      </c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126"/>
      <c r="EE55" s="7"/>
      <c r="EF55" s="7"/>
      <c r="EG55" s="7"/>
    </row>
    <row r="56" spans="1:137" ht="13.5" customHeight="1">
      <c r="A56" s="7">
        <v>44</v>
      </c>
      <c r="B56" s="7"/>
      <c r="C56" s="7"/>
      <c r="D56" s="7"/>
      <c r="E56" s="7" t="s">
        <v>136</v>
      </c>
      <c r="F56" s="7"/>
      <c r="G56" s="7">
        <v>352925</v>
      </c>
      <c r="H56" s="7" t="s">
        <v>613</v>
      </c>
      <c r="I56" s="7">
        <v>80</v>
      </c>
      <c r="J56" s="7" t="s">
        <v>138</v>
      </c>
      <c r="K56" s="7">
        <v>42</v>
      </c>
      <c r="L56" s="7" t="s">
        <v>871</v>
      </c>
      <c r="M56" s="7">
        <v>27</v>
      </c>
      <c r="N56" s="7" t="s">
        <v>872</v>
      </c>
      <c r="O56" s="7">
        <v>13</v>
      </c>
      <c r="P56" s="7" t="s">
        <v>873</v>
      </c>
      <c r="Q56" s="7">
        <v>13</v>
      </c>
      <c r="R56" s="7" t="s">
        <v>873</v>
      </c>
      <c r="S56" s="7" t="s">
        <v>617</v>
      </c>
      <c r="T56" s="7" t="s">
        <v>874</v>
      </c>
      <c r="U56" s="28"/>
      <c r="V56" s="7">
        <v>6</v>
      </c>
      <c r="W56" s="7" t="s">
        <v>875</v>
      </c>
      <c r="X56" s="28"/>
      <c r="Y56" s="7" t="s">
        <v>876</v>
      </c>
      <c r="Z56" s="7" t="s">
        <v>621</v>
      </c>
      <c r="AA56" s="7" t="s">
        <v>622</v>
      </c>
      <c r="AB56" s="7" t="s">
        <v>638</v>
      </c>
      <c r="AC56" s="7"/>
      <c r="AD56" s="7"/>
      <c r="AE56" s="7"/>
      <c r="AF56" s="7"/>
      <c r="AG56" s="7"/>
      <c r="AH56" s="7"/>
      <c r="AI56" s="7" t="s">
        <v>611</v>
      </c>
      <c r="AJ56" s="7" t="s">
        <v>623</v>
      </c>
      <c r="AK56" s="7">
        <v>10</v>
      </c>
      <c r="AL56" s="7">
        <v>9</v>
      </c>
      <c r="AM56" s="7" t="s">
        <v>624</v>
      </c>
      <c r="AN56" s="7" t="s">
        <v>625</v>
      </c>
      <c r="AO56" s="7" t="s">
        <v>626</v>
      </c>
      <c r="AP56" s="7" t="s">
        <v>627</v>
      </c>
      <c r="AQ56" s="7" t="s">
        <v>617</v>
      </c>
      <c r="AR56" s="7"/>
      <c r="AS56" s="7"/>
      <c r="AT56" s="7"/>
      <c r="AU56" s="6">
        <v>91020</v>
      </c>
      <c r="AV56" s="6" t="s">
        <v>92</v>
      </c>
      <c r="AW56" s="7"/>
      <c r="AX56" s="7"/>
      <c r="AY56" s="7"/>
      <c r="AZ56" s="7"/>
      <c r="BA56" s="6">
        <v>1214</v>
      </c>
      <c r="BB56" s="6" t="s">
        <v>628</v>
      </c>
      <c r="BC56" s="7"/>
      <c r="BD56" s="7"/>
      <c r="BE56" s="7"/>
      <c r="BF56" s="7"/>
      <c r="BG56" s="7">
        <v>0</v>
      </c>
      <c r="BH56" s="7">
        <v>0</v>
      </c>
      <c r="BI56" s="7">
        <v>0</v>
      </c>
      <c r="BJ56" s="7">
        <v>10</v>
      </c>
      <c r="BK56" s="7">
        <v>0</v>
      </c>
      <c r="BL56" s="7">
        <v>10</v>
      </c>
      <c r="BM56" s="7"/>
      <c r="BN56" s="7">
        <v>0</v>
      </c>
      <c r="BO56" s="7"/>
      <c r="BP56" s="7"/>
      <c r="BQ56" s="7">
        <v>0</v>
      </c>
      <c r="BR56" s="7">
        <v>380</v>
      </c>
      <c r="BS56" s="7" t="s">
        <v>629</v>
      </c>
      <c r="BT56" s="7"/>
      <c r="BU56" s="7"/>
      <c r="BV56" s="7">
        <v>0</v>
      </c>
      <c r="BW56" s="7"/>
      <c r="BX56" s="7"/>
      <c r="BY56" s="7">
        <v>10001</v>
      </c>
      <c r="BZ56" s="7" t="s">
        <v>1414</v>
      </c>
      <c r="CA56" s="7"/>
      <c r="CB56" s="7"/>
      <c r="CC56" s="7"/>
      <c r="CD56" s="7"/>
      <c r="CE56" s="7"/>
      <c r="CF56" s="7"/>
      <c r="CG56" s="7"/>
      <c r="CH56" s="7">
        <v>3563</v>
      </c>
      <c r="CI56" s="7" t="s">
        <v>630</v>
      </c>
      <c r="CJ56" s="7"/>
      <c r="CK56" s="7"/>
      <c r="CL56" s="7"/>
      <c r="CM56" s="7"/>
      <c r="CN56" s="7">
        <v>0</v>
      </c>
      <c r="CO56" s="7"/>
      <c r="CP56" s="7"/>
      <c r="CQ56" s="7"/>
      <c r="CR56" s="7"/>
      <c r="CS56" s="7">
        <v>0</v>
      </c>
      <c r="CT56" s="7"/>
      <c r="CU56" s="7"/>
      <c r="CV56" s="7" t="s">
        <v>877</v>
      </c>
      <c r="CW56" s="7" t="s">
        <v>137</v>
      </c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126"/>
      <c r="EE56" s="7"/>
      <c r="EF56" s="7"/>
      <c r="EG56" s="7"/>
    </row>
    <row r="57" spans="1:137" ht="13.5" customHeight="1">
      <c r="A57" s="7">
        <v>45</v>
      </c>
      <c r="B57" s="7"/>
      <c r="C57" s="7"/>
      <c r="D57" s="7"/>
      <c r="E57" s="7" t="s">
        <v>139</v>
      </c>
      <c r="F57" s="7"/>
      <c r="G57" s="7">
        <v>352926</v>
      </c>
      <c r="H57" s="7" t="s">
        <v>613</v>
      </c>
      <c r="I57" s="7">
        <v>84</v>
      </c>
      <c r="J57" s="7" t="s">
        <v>141</v>
      </c>
      <c r="K57" s="7">
        <v>50</v>
      </c>
      <c r="L57" s="7" t="s">
        <v>878</v>
      </c>
      <c r="M57" s="7">
        <v>34</v>
      </c>
      <c r="N57" s="7" t="s">
        <v>879</v>
      </c>
      <c r="O57" s="7">
        <v>20</v>
      </c>
      <c r="P57" s="7" t="s">
        <v>880</v>
      </c>
      <c r="Q57" s="7">
        <v>20</v>
      </c>
      <c r="R57" s="7" t="s">
        <v>880</v>
      </c>
      <c r="S57" s="7" t="s">
        <v>617</v>
      </c>
      <c r="T57" s="7" t="s">
        <v>867</v>
      </c>
      <c r="U57" s="28"/>
      <c r="V57" s="7">
        <v>6</v>
      </c>
      <c r="W57" s="7" t="s">
        <v>868</v>
      </c>
      <c r="X57" s="28"/>
      <c r="Y57" s="7" t="s">
        <v>881</v>
      </c>
      <c r="Z57" s="7" t="s">
        <v>621</v>
      </c>
      <c r="AA57" s="7" t="s">
        <v>622</v>
      </c>
      <c r="AB57" s="7" t="s">
        <v>638</v>
      </c>
      <c r="AC57" s="7"/>
      <c r="AD57" s="7"/>
      <c r="AE57" s="7"/>
      <c r="AF57" s="7"/>
      <c r="AG57" s="7"/>
      <c r="AH57" s="7"/>
      <c r="AI57" s="7" t="s">
        <v>611</v>
      </c>
      <c r="AJ57" s="7" t="s">
        <v>623</v>
      </c>
      <c r="AK57" s="7">
        <v>10</v>
      </c>
      <c r="AL57" s="7">
        <v>9</v>
      </c>
      <c r="AM57" s="7" t="s">
        <v>624</v>
      </c>
      <c r="AN57" s="7" t="s">
        <v>625</v>
      </c>
      <c r="AO57" s="7" t="s">
        <v>626</v>
      </c>
      <c r="AP57" s="7" t="s">
        <v>627</v>
      </c>
      <c r="AQ57" s="7" t="s">
        <v>617</v>
      </c>
      <c r="AR57" s="7"/>
      <c r="AS57" s="7"/>
      <c r="AT57" s="7"/>
      <c r="AU57" s="6">
        <v>91020</v>
      </c>
      <c r="AV57" s="6" t="s">
        <v>92</v>
      </c>
      <c r="AW57" s="7"/>
      <c r="AX57" s="7"/>
      <c r="AY57" s="7"/>
      <c r="AZ57" s="7"/>
      <c r="BA57" s="6">
        <v>1214</v>
      </c>
      <c r="BB57" s="6" t="s">
        <v>628</v>
      </c>
      <c r="BC57" s="7"/>
      <c r="BD57" s="7"/>
      <c r="BE57" s="7"/>
      <c r="BF57" s="7"/>
      <c r="BG57" s="7">
        <v>0</v>
      </c>
      <c r="BH57" s="7">
        <v>0</v>
      </c>
      <c r="BI57" s="7">
        <v>0</v>
      </c>
      <c r="BJ57" s="7">
        <v>10</v>
      </c>
      <c r="BK57" s="7">
        <v>0</v>
      </c>
      <c r="BL57" s="7">
        <v>10</v>
      </c>
      <c r="BM57" s="7"/>
      <c r="BN57" s="7">
        <v>0</v>
      </c>
      <c r="BO57" s="7"/>
      <c r="BP57" s="7"/>
      <c r="BQ57" s="7">
        <v>0</v>
      </c>
      <c r="BR57" s="7">
        <v>380</v>
      </c>
      <c r="BS57" s="7" t="s">
        <v>629</v>
      </c>
      <c r="BT57" s="7"/>
      <c r="BU57" s="7"/>
      <c r="BV57" s="7">
        <v>0</v>
      </c>
      <c r="BW57" s="7"/>
      <c r="BX57" s="7"/>
      <c r="BY57" s="7">
        <v>10001</v>
      </c>
      <c r="BZ57" s="7" t="s">
        <v>1414</v>
      </c>
      <c r="CA57" s="7"/>
      <c r="CB57" s="7"/>
      <c r="CC57" s="7"/>
      <c r="CD57" s="7"/>
      <c r="CE57" s="7"/>
      <c r="CF57" s="7"/>
      <c r="CG57" s="7"/>
      <c r="CH57" s="7">
        <v>3563</v>
      </c>
      <c r="CI57" s="7" t="s">
        <v>630</v>
      </c>
      <c r="CJ57" s="7"/>
      <c r="CK57" s="7"/>
      <c r="CL57" s="7"/>
      <c r="CM57" s="7"/>
      <c r="CN57" s="7">
        <v>0</v>
      </c>
      <c r="CO57" s="7"/>
      <c r="CP57" s="7"/>
      <c r="CQ57" s="7"/>
      <c r="CR57" s="7"/>
      <c r="CS57" s="7">
        <v>0</v>
      </c>
      <c r="CT57" s="7"/>
      <c r="CU57" s="7"/>
      <c r="CV57" s="7" t="s">
        <v>882</v>
      </c>
      <c r="CW57" s="7" t="s">
        <v>140</v>
      </c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126"/>
      <c r="EE57" s="7"/>
      <c r="EF57" s="7"/>
      <c r="EG57" s="7"/>
    </row>
    <row r="58" spans="1:137" ht="13.5" customHeight="1">
      <c r="A58" s="7">
        <v>46</v>
      </c>
      <c r="B58" s="7"/>
      <c r="C58" s="7"/>
      <c r="D58" s="7"/>
      <c r="E58" s="7" t="s">
        <v>142</v>
      </c>
      <c r="F58" s="7"/>
      <c r="G58" s="7">
        <v>352927</v>
      </c>
      <c r="H58" s="7" t="s">
        <v>613</v>
      </c>
      <c r="I58" s="7">
        <v>58</v>
      </c>
      <c r="J58" s="7" t="s">
        <v>144</v>
      </c>
      <c r="K58" s="7">
        <v>45</v>
      </c>
      <c r="L58" s="7" t="s">
        <v>883</v>
      </c>
      <c r="M58" s="7">
        <v>33</v>
      </c>
      <c r="N58" s="7" t="s">
        <v>884</v>
      </c>
      <c r="O58" s="7">
        <v>18</v>
      </c>
      <c r="P58" s="7" t="s">
        <v>885</v>
      </c>
      <c r="Q58" s="7">
        <v>18</v>
      </c>
      <c r="R58" s="7" t="s">
        <v>885</v>
      </c>
      <c r="S58" s="7" t="s">
        <v>617</v>
      </c>
      <c r="T58" s="7" t="s">
        <v>886</v>
      </c>
      <c r="U58" s="28"/>
      <c r="V58" s="7">
        <v>14</v>
      </c>
      <c r="W58" s="7" t="s">
        <v>887</v>
      </c>
      <c r="X58" s="28"/>
      <c r="Y58" s="7" t="s">
        <v>888</v>
      </c>
      <c r="Z58" s="7" t="s">
        <v>621</v>
      </c>
      <c r="AA58" s="7" t="s">
        <v>622</v>
      </c>
      <c r="AB58" s="7" t="s">
        <v>638</v>
      </c>
      <c r="AC58" s="7"/>
      <c r="AD58" s="7"/>
      <c r="AE58" s="7"/>
      <c r="AF58" s="7"/>
      <c r="AG58" s="7"/>
      <c r="AH58" s="7"/>
      <c r="AI58" s="7" t="s">
        <v>611</v>
      </c>
      <c r="AJ58" s="7" t="s">
        <v>623</v>
      </c>
      <c r="AK58" s="7">
        <v>10</v>
      </c>
      <c r="AL58" s="7">
        <v>9</v>
      </c>
      <c r="AM58" s="7" t="s">
        <v>624</v>
      </c>
      <c r="AN58" s="7" t="s">
        <v>625</v>
      </c>
      <c r="AO58" s="7" t="s">
        <v>626</v>
      </c>
      <c r="AP58" s="7" t="s">
        <v>627</v>
      </c>
      <c r="AQ58" s="7" t="s">
        <v>617</v>
      </c>
      <c r="AR58" s="7"/>
      <c r="AS58" s="7"/>
      <c r="AT58" s="7"/>
      <c r="AU58" s="6">
        <v>91020</v>
      </c>
      <c r="AV58" s="6" t="s">
        <v>92</v>
      </c>
      <c r="AW58" s="7"/>
      <c r="AX58" s="7"/>
      <c r="AY58" s="7"/>
      <c r="AZ58" s="7"/>
      <c r="BA58" s="6">
        <v>1214</v>
      </c>
      <c r="BB58" s="6" t="s">
        <v>628</v>
      </c>
      <c r="BC58" s="7"/>
      <c r="BD58" s="7"/>
      <c r="BE58" s="7"/>
      <c r="BF58" s="7"/>
      <c r="BG58" s="7">
        <v>0</v>
      </c>
      <c r="BH58" s="7">
        <v>0</v>
      </c>
      <c r="BI58" s="7">
        <v>0</v>
      </c>
      <c r="BJ58" s="7">
        <v>10</v>
      </c>
      <c r="BK58" s="7">
        <v>0</v>
      </c>
      <c r="BL58" s="7">
        <v>10</v>
      </c>
      <c r="BM58" s="7"/>
      <c r="BN58" s="7">
        <v>0</v>
      </c>
      <c r="BO58" s="7"/>
      <c r="BP58" s="7"/>
      <c r="BQ58" s="7">
        <v>0</v>
      </c>
      <c r="BR58" s="7">
        <v>380</v>
      </c>
      <c r="BS58" s="7" t="s">
        <v>629</v>
      </c>
      <c r="BT58" s="7"/>
      <c r="BU58" s="7"/>
      <c r="BV58" s="7">
        <v>0</v>
      </c>
      <c r="BW58" s="7"/>
      <c r="BX58" s="7"/>
      <c r="BY58" s="7">
        <v>10001</v>
      </c>
      <c r="BZ58" s="7" t="s">
        <v>1414</v>
      </c>
      <c r="CA58" s="7"/>
      <c r="CB58" s="7"/>
      <c r="CC58" s="7"/>
      <c r="CD58" s="7"/>
      <c r="CE58" s="7"/>
      <c r="CF58" s="7"/>
      <c r="CG58" s="7"/>
      <c r="CH58" s="7">
        <v>3563</v>
      </c>
      <c r="CI58" s="7" t="s">
        <v>630</v>
      </c>
      <c r="CJ58" s="7"/>
      <c r="CK58" s="7"/>
      <c r="CL58" s="7"/>
      <c r="CM58" s="7"/>
      <c r="CN58" s="7">
        <v>0</v>
      </c>
      <c r="CO58" s="7"/>
      <c r="CP58" s="7"/>
      <c r="CQ58" s="7"/>
      <c r="CR58" s="7"/>
      <c r="CS58" s="7">
        <v>0</v>
      </c>
      <c r="CT58" s="7"/>
      <c r="CU58" s="7"/>
      <c r="CV58" s="7" t="s">
        <v>889</v>
      </c>
      <c r="CW58" s="7" t="s">
        <v>143</v>
      </c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126"/>
      <c r="EE58" s="7"/>
      <c r="EF58" s="7"/>
      <c r="EG58" s="7"/>
    </row>
    <row r="59" spans="1:137" ht="13.5" customHeight="1">
      <c r="A59" s="7">
        <v>47</v>
      </c>
      <c r="B59" s="7"/>
      <c r="C59" s="7"/>
      <c r="D59" s="7"/>
      <c r="E59" s="7" t="s">
        <v>145</v>
      </c>
      <c r="F59" s="7"/>
      <c r="G59" s="7">
        <v>352928</v>
      </c>
      <c r="H59" s="7" t="s">
        <v>613</v>
      </c>
      <c r="I59" s="7">
        <v>36</v>
      </c>
      <c r="J59" s="7" t="s">
        <v>147</v>
      </c>
      <c r="K59" s="7">
        <v>37</v>
      </c>
      <c r="L59" s="7" t="s">
        <v>890</v>
      </c>
      <c r="M59" s="7">
        <v>26</v>
      </c>
      <c r="N59" s="7" t="s">
        <v>891</v>
      </c>
      <c r="O59" s="7">
        <v>16</v>
      </c>
      <c r="P59" s="7" t="s">
        <v>892</v>
      </c>
      <c r="Q59" s="7">
        <v>16</v>
      </c>
      <c r="R59" s="7" t="s">
        <v>892</v>
      </c>
      <c r="S59" s="7" t="s">
        <v>617</v>
      </c>
      <c r="T59" s="7" t="s">
        <v>893</v>
      </c>
      <c r="U59" s="28"/>
      <c r="V59" s="7">
        <v>14</v>
      </c>
      <c r="W59" s="7" t="s">
        <v>733</v>
      </c>
      <c r="X59" s="28"/>
      <c r="Y59" s="7" t="s">
        <v>894</v>
      </c>
      <c r="Z59" s="7" t="s">
        <v>621</v>
      </c>
      <c r="AA59" s="7" t="s">
        <v>622</v>
      </c>
      <c r="AB59" s="7" t="s">
        <v>638</v>
      </c>
      <c r="AC59" s="7"/>
      <c r="AD59" s="7"/>
      <c r="AE59" s="7"/>
      <c r="AF59" s="7"/>
      <c r="AG59" s="7"/>
      <c r="AH59" s="7"/>
      <c r="AI59" s="7" t="s">
        <v>611</v>
      </c>
      <c r="AJ59" s="7" t="s">
        <v>623</v>
      </c>
      <c r="AK59" s="7">
        <v>10</v>
      </c>
      <c r="AL59" s="7">
        <v>9</v>
      </c>
      <c r="AM59" s="7" t="s">
        <v>624</v>
      </c>
      <c r="AN59" s="7" t="s">
        <v>625</v>
      </c>
      <c r="AO59" s="7" t="s">
        <v>626</v>
      </c>
      <c r="AP59" s="7" t="s">
        <v>627</v>
      </c>
      <c r="AQ59" s="7" t="s">
        <v>617</v>
      </c>
      <c r="AR59" s="7"/>
      <c r="AS59" s="7"/>
      <c r="AT59" s="7"/>
      <c r="AU59" s="6">
        <v>91020</v>
      </c>
      <c r="AV59" s="6" t="s">
        <v>92</v>
      </c>
      <c r="AW59" s="7"/>
      <c r="AX59" s="7"/>
      <c r="AY59" s="7"/>
      <c r="AZ59" s="7"/>
      <c r="BA59" s="6">
        <v>1214</v>
      </c>
      <c r="BB59" s="6" t="s">
        <v>628</v>
      </c>
      <c r="BC59" s="7"/>
      <c r="BD59" s="7"/>
      <c r="BE59" s="7"/>
      <c r="BF59" s="7"/>
      <c r="BG59" s="7">
        <v>0</v>
      </c>
      <c r="BH59" s="7">
        <v>0</v>
      </c>
      <c r="BI59" s="7">
        <v>0</v>
      </c>
      <c r="BJ59" s="7">
        <v>10</v>
      </c>
      <c r="BK59" s="7">
        <v>0</v>
      </c>
      <c r="BL59" s="7">
        <v>10</v>
      </c>
      <c r="BM59" s="7"/>
      <c r="BN59" s="7">
        <v>0</v>
      </c>
      <c r="BO59" s="7"/>
      <c r="BP59" s="7"/>
      <c r="BQ59" s="7">
        <v>0</v>
      </c>
      <c r="BR59" s="7">
        <v>380</v>
      </c>
      <c r="BS59" s="7" t="s">
        <v>629</v>
      </c>
      <c r="BT59" s="7"/>
      <c r="BU59" s="7"/>
      <c r="BV59" s="7">
        <v>0</v>
      </c>
      <c r="BW59" s="7"/>
      <c r="BX59" s="7"/>
      <c r="BY59" s="7">
        <v>10001</v>
      </c>
      <c r="BZ59" s="7" t="s">
        <v>1414</v>
      </c>
      <c r="CA59" s="7"/>
      <c r="CB59" s="7"/>
      <c r="CC59" s="7"/>
      <c r="CD59" s="7"/>
      <c r="CE59" s="7"/>
      <c r="CF59" s="7"/>
      <c r="CG59" s="7"/>
      <c r="CH59" s="7">
        <v>3563</v>
      </c>
      <c r="CI59" s="7" t="s">
        <v>630</v>
      </c>
      <c r="CJ59" s="7"/>
      <c r="CK59" s="7"/>
      <c r="CL59" s="7"/>
      <c r="CM59" s="7"/>
      <c r="CN59" s="7">
        <v>0</v>
      </c>
      <c r="CO59" s="7"/>
      <c r="CP59" s="7"/>
      <c r="CQ59" s="7"/>
      <c r="CR59" s="7"/>
      <c r="CS59" s="7">
        <v>0</v>
      </c>
      <c r="CT59" s="7"/>
      <c r="CU59" s="7"/>
      <c r="CV59" s="7" t="s">
        <v>895</v>
      </c>
      <c r="CW59" s="7" t="s">
        <v>146</v>
      </c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126"/>
      <c r="EE59" s="7"/>
      <c r="EF59" s="7"/>
      <c r="EG59" s="7"/>
    </row>
    <row r="60" spans="1:137" ht="13.5" customHeight="1">
      <c r="A60" s="7">
        <v>48</v>
      </c>
      <c r="B60" s="7"/>
      <c r="C60" s="7"/>
      <c r="D60" s="7"/>
      <c r="E60" s="7" t="s">
        <v>148</v>
      </c>
      <c r="F60" s="7"/>
      <c r="G60" s="7">
        <v>352929</v>
      </c>
      <c r="H60" s="7" t="s">
        <v>613</v>
      </c>
      <c r="I60" s="7">
        <v>48</v>
      </c>
      <c r="J60" s="7" t="s">
        <v>150</v>
      </c>
      <c r="K60" s="7">
        <v>47</v>
      </c>
      <c r="L60" s="7" t="s">
        <v>896</v>
      </c>
      <c r="M60" s="7">
        <v>35</v>
      </c>
      <c r="N60" s="7" t="s">
        <v>897</v>
      </c>
      <c r="O60" s="7">
        <v>20</v>
      </c>
      <c r="P60" s="7" t="s">
        <v>898</v>
      </c>
      <c r="Q60" s="7">
        <v>20</v>
      </c>
      <c r="R60" s="7" t="s">
        <v>898</v>
      </c>
      <c r="S60" s="7" t="s">
        <v>617</v>
      </c>
      <c r="T60" s="7" t="s">
        <v>893</v>
      </c>
      <c r="U60" s="28"/>
      <c r="V60" s="7">
        <v>14</v>
      </c>
      <c r="W60" s="7" t="s">
        <v>733</v>
      </c>
      <c r="X60" s="28"/>
      <c r="Y60" s="7" t="s">
        <v>894</v>
      </c>
      <c r="Z60" s="7" t="s">
        <v>621</v>
      </c>
      <c r="AA60" s="7" t="s">
        <v>622</v>
      </c>
      <c r="AB60" s="7" t="s">
        <v>638</v>
      </c>
      <c r="AC60" s="7"/>
      <c r="AD60" s="7"/>
      <c r="AE60" s="7"/>
      <c r="AF60" s="7"/>
      <c r="AG60" s="7"/>
      <c r="AH60" s="7"/>
      <c r="AI60" s="7" t="s">
        <v>611</v>
      </c>
      <c r="AJ60" s="7" t="s">
        <v>623</v>
      </c>
      <c r="AK60" s="7">
        <v>10</v>
      </c>
      <c r="AL60" s="7">
        <v>9</v>
      </c>
      <c r="AM60" s="7" t="s">
        <v>624</v>
      </c>
      <c r="AN60" s="7" t="s">
        <v>625</v>
      </c>
      <c r="AO60" s="7" t="s">
        <v>626</v>
      </c>
      <c r="AP60" s="7" t="s">
        <v>627</v>
      </c>
      <c r="AQ60" s="7" t="s">
        <v>617</v>
      </c>
      <c r="AR60" s="7"/>
      <c r="AS60" s="7"/>
      <c r="AT60" s="7"/>
      <c r="AU60" s="6">
        <v>91020</v>
      </c>
      <c r="AV60" s="6" t="s">
        <v>92</v>
      </c>
      <c r="AW60" s="7"/>
      <c r="AX60" s="7"/>
      <c r="AY60" s="7"/>
      <c r="AZ60" s="7"/>
      <c r="BA60" s="6">
        <v>1214</v>
      </c>
      <c r="BB60" s="6" t="s">
        <v>628</v>
      </c>
      <c r="BC60" s="7"/>
      <c r="BD60" s="7"/>
      <c r="BE60" s="7"/>
      <c r="BF60" s="7"/>
      <c r="BG60" s="7">
        <v>0</v>
      </c>
      <c r="BH60" s="7">
        <v>0</v>
      </c>
      <c r="BI60" s="7">
        <v>0</v>
      </c>
      <c r="BJ60" s="7">
        <v>10</v>
      </c>
      <c r="BK60" s="7">
        <v>0</v>
      </c>
      <c r="BL60" s="7">
        <v>10</v>
      </c>
      <c r="BM60" s="7"/>
      <c r="BN60" s="7">
        <v>0</v>
      </c>
      <c r="BO60" s="7"/>
      <c r="BP60" s="7"/>
      <c r="BQ60" s="7">
        <v>0</v>
      </c>
      <c r="BR60" s="7">
        <v>380</v>
      </c>
      <c r="BS60" s="7" t="s">
        <v>629</v>
      </c>
      <c r="BT60" s="7"/>
      <c r="BU60" s="7"/>
      <c r="BV60" s="7">
        <v>0</v>
      </c>
      <c r="BW60" s="7"/>
      <c r="BX60" s="7"/>
      <c r="BY60" s="7">
        <v>10001</v>
      </c>
      <c r="BZ60" s="7" t="s">
        <v>1414</v>
      </c>
      <c r="CA60" s="7"/>
      <c r="CB60" s="7"/>
      <c r="CC60" s="7"/>
      <c r="CD60" s="7"/>
      <c r="CE60" s="7"/>
      <c r="CF60" s="7"/>
      <c r="CG60" s="7"/>
      <c r="CH60" s="7">
        <v>3563</v>
      </c>
      <c r="CI60" s="7" t="s">
        <v>630</v>
      </c>
      <c r="CJ60" s="7"/>
      <c r="CK60" s="7"/>
      <c r="CL60" s="7"/>
      <c r="CM60" s="7"/>
      <c r="CN60" s="7">
        <v>0</v>
      </c>
      <c r="CO60" s="7"/>
      <c r="CP60" s="7"/>
      <c r="CQ60" s="7"/>
      <c r="CR60" s="7"/>
      <c r="CS60" s="7">
        <v>0</v>
      </c>
      <c r="CT60" s="7"/>
      <c r="CU60" s="7"/>
      <c r="CV60" s="7" t="s">
        <v>899</v>
      </c>
      <c r="CW60" s="7" t="s">
        <v>149</v>
      </c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126"/>
      <c r="EE60" s="7"/>
      <c r="EF60" s="7"/>
      <c r="EG60" s="7"/>
    </row>
    <row r="61" spans="1:137" ht="13.5" customHeight="1">
      <c r="A61" s="7">
        <v>49</v>
      </c>
      <c r="B61" s="7"/>
      <c r="C61" s="7"/>
      <c r="D61" s="7"/>
      <c r="E61" s="7" t="s">
        <v>151</v>
      </c>
      <c r="F61" s="7"/>
      <c r="G61" s="7">
        <v>352930</v>
      </c>
      <c r="H61" s="7" t="s">
        <v>613</v>
      </c>
      <c r="I61" s="7">
        <v>68</v>
      </c>
      <c r="J61" s="7" t="s">
        <v>153</v>
      </c>
      <c r="K61" s="7">
        <v>50</v>
      </c>
      <c r="L61" s="7" t="s">
        <v>900</v>
      </c>
      <c r="M61" s="7">
        <v>37</v>
      </c>
      <c r="N61" s="7" t="s">
        <v>901</v>
      </c>
      <c r="O61" s="7">
        <v>20</v>
      </c>
      <c r="P61" s="7" t="s">
        <v>902</v>
      </c>
      <c r="Q61" s="7">
        <v>20</v>
      </c>
      <c r="R61" s="7" t="s">
        <v>902</v>
      </c>
      <c r="S61" s="7" t="s">
        <v>617</v>
      </c>
      <c r="T61" s="7" t="s">
        <v>903</v>
      </c>
      <c r="U61" s="28"/>
      <c r="V61" s="7">
        <v>12</v>
      </c>
      <c r="W61" s="7" t="s">
        <v>904</v>
      </c>
      <c r="X61" s="28"/>
      <c r="Y61" s="7" t="s">
        <v>905</v>
      </c>
      <c r="Z61" s="7" t="s">
        <v>621</v>
      </c>
      <c r="AA61" s="7" t="s">
        <v>622</v>
      </c>
      <c r="AB61" s="7" t="s">
        <v>638</v>
      </c>
      <c r="AC61" s="7"/>
      <c r="AD61" s="7"/>
      <c r="AE61" s="7"/>
      <c r="AF61" s="7"/>
      <c r="AG61" s="7"/>
      <c r="AH61" s="7"/>
      <c r="AI61" s="7" t="s">
        <v>611</v>
      </c>
      <c r="AJ61" s="7" t="s">
        <v>623</v>
      </c>
      <c r="AK61" s="7">
        <v>10</v>
      </c>
      <c r="AL61" s="7">
        <v>9</v>
      </c>
      <c r="AM61" s="7" t="s">
        <v>624</v>
      </c>
      <c r="AN61" s="7" t="s">
        <v>625</v>
      </c>
      <c r="AO61" s="7" t="s">
        <v>626</v>
      </c>
      <c r="AP61" s="7" t="s">
        <v>627</v>
      </c>
      <c r="AQ61" s="7" t="s">
        <v>617</v>
      </c>
      <c r="AR61" s="7"/>
      <c r="AS61" s="7"/>
      <c r="AT61" s="7"/>
      <c r="AU61" s="6">
        <v>91020</v>
      </c>
      <c r="AV61" s="6" t="s">
        <v>92</v>
      </c>
      <c r="AW61" s="7"/>
      <c r="AX61" s="7"/>
      <c r="AY61" s="7"/>
      <c r="AZ61" s="7"/>
      <c r="BA61" s="6">
        <v>1214</v>
      </c>
      <c r="BB61" s="6" t="s">
        <v>628</v>
      </c>
      <c r="BC61" s="7"/>
      <c r="BD61" s="7"/>
      <c r="BE61" s="7"/>
      <c r="BF61" s="7"/>
      <c r="BG61" s="7">
        <v>0</v>
      </c>
      <c r="BH61" s="7">
        <v>0</v>
      </c>
      <c r="BI61" s="7">
        <v>0</v>
      </c>
      <c r="BJ61" s="7">
        <v>10</v>
      </c>
      <c r="BK61" s="7">
        <v>0</v>
      </c>
      <c r="BL61" s="7">
        <v>10</v>
      </c>
      <c r="BM61" s="7"/>
      <c r="BN61" s="7">
        <v>0</v>
      </c>
      <c r="BO61" s="7"/>
      <c r="BP61" s="7"/>
      <c r="BQ61" s="7">
        <v>0</v>
      </c>
      <c r="BR61" s="7">
        <v>380</v>
      </c>
      <c r="BS61" s="7" t="s">
        <v>629</v>
      </c>
      <c r="BT61" s="7"/>
      <c r="BU61" s="7"/>
      <c r="BV61" s="7">
        <v>0</v>
      </c>
      <c r="BW61" s="7"/>
      <c r="BX61" s="7"/>
      <c r="BY61" s="7">
        <v>10001</v>
      </c>
      <c r="BZ61" s="7" t="s">
        <v>1414</v>
      </c>
      <c r="CA61" s="7"/>
      <c r="CB61" s="7"/>
      <c r="CC61" s="7"/>
      <c r="CD61" s="7"/>
      <c r="CE61" s="7"/>
      <c r="CF61" s="7"/>
      <c r="CG61" s="7"/>
      <c r="CH61" s="7">
        <v>3563</v>
      </c>
      <c r="CI61" s="7" t="s">
        <v>630</v>
      </c>
      <c r="CJ61" s="7"/>
      <c r="CK61" s="7"/>
      <c r="CL61" s="7"/>
      <c r="CM61" s="7"/>
      <c r="CN61" s="7">
        <v>0</v>
      </c>
      <c r="CO61" s="7"/>
      <c r="CP61" s="7"/>
      <c r="CQ61" s="7"/>
      <c r="CR61" s="7"/>
      <c r="CS61" s="7">
        <v>0</v>
      </c>
      <c r="CT61" s="7"/>
      <c r="CU61" s="7"/>
      <c r="CV61" s="7" t="s">
        <v>906</v>
      </c>
      <c r="CW61" s="7" t="s">
        <v>152</v>
      </c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126"/>
      <c r="EE61" s="7"/>
      <c r="EF61" s="7"/>
      <c r="EG61" s="7"/>
    </row>
    <row r="62" spans="1:137" ht="13.5" customHeight="1">
      <c r="A62" s="7">
        <v>50</v>
      </c>
      <c r="B62" s="7"/>
      <c r="C62" s="7"/>
      <c r="D62" s="7"/>
      <c r="E62" s="7" t="s">
        <v>154</v>
      </c>
      <c r="F62" s="7"/>
      <c r="G62" s="7">
        <v>352931</v>
      </c>
      <c r="H62" s="7" t="s">
        <v>613</v>
      </c>
      <c r="I62" s="7">
        <v>56</v>
      </c>
      <c r="J62" s="7" t="s">
        <v>156</v>
      </c>
      <c r="K62" s="7">
        <v>49</v>
      </c>
      <c r="L62" s="7" t="s">
        <v>907</v>
      </c>
      <c r="M62" s="7">
        <v>36</v>
      </c>
      <c r="N62" s="7" t="s">
        <v>908</v>
      </c>
      <c r="O62" s="7">
        <v>18</v>
      </c>
      <c r="P62" s="7" t="s">
        <v>909</v>
      </c>
      <c r="Q62" s="7">
        <v>18</v>
      </c>
      <c r="R62" s="7" t="s">
        <v>909</v>
      </c>
      <c r="S62" s="7" t="s">
        <v>617</v>
      </c>
      <c r="T62" s="7" t="s">
        <v>903</v>
      </c>
      <c r="U62" s="28"/>
      <c r="V62" s="7">
        <v>12</v>
      </c>
      <c r="W62" s="7" t="s">
        <v>904</v>
      </c>
      <c r="X62" s="28"/>
      <c r="Y62" s="7" t="s">
        <v>905</v>
      </c>
      <c r="Z62" s="7" t="s">
        <v>621</v>
      </c>
      <c r="AA62" s="7" t="s">
        <v>622</v>
      </c>
      <c r="AB62" s="7" t="s">
        <v>638</v>
      </c>
      <c r="AC62" s="7"/>
      <c r="AD62" s="7"/>
      <c r="AE62" s="7"/>
      <c r="AF62" s="7"/>
      <c r="AG62" s="7"/>
      <c r="AH62" s="7"/>
      <c r="AI62" s="7" t="s">
        <v>611</v>
      </c>
      <c r="AJ62" s="7" t="s">
        <v>623</v>
      </c>
      <c r="AK62" s="7">
        <v>10</v>
      </c>
      <c r="AL62" s="7">
        <v>9</v>
      </c>
      <c r="AM62" s="7" t="s">
        <v>624</v>
      </c>
      <c r="AN62" s="7" t="s">
        <v>625</v>
      </c>
      <c r="AO62" s="7" t="s">
        <v>626</v>
      </c>
      <c r="AP62" s="7" t="s">
        <v>627</v>
      </c>
      <c r="AQ62" s="7" t="s">
        <v>617</v>
      </c>
      <c r="AR62" s="7"/>
      <c r="AS62" s="7"/>
      <c r="AT62" s="7"/>
      <c r="AU62" s="6">
        <v>91020</v>
      </c>
      <c r="AV62" s="6" t="s">
        <v>92</v>
      </c>
      <c r="AW62" s="7"/>
      <c r="AX62" s="7"/>
      <c r="AY62" s="7"/>
      <c r="AZ62" s="7"/>
      <c r="BA62" s="6">
        <v>1214</v>
      </c>
      <c r="BB62" s="6" t="s">
        <v>628</v>
      </c>
      <c r="BC62" s="7"/>
      <c r="BD62" s="7"/>
      <c r="BE62" s="7"/>
      <c r="BF62" s="7"/>
      <c r="BG62" s="7">
        <v>0</v>
      </c>
      <c r="BH62" s="7">
        <v>0</v>
      </c>
      <c r="BI62" s="7">
        <v>0</v>
      </c>
      <c r="BJ62" s="7">
        <v>10</v>
      </c>
      <c r="BK62" s="7">
        <v>0</v>
      </c>
      <c r="BL62" s="7">
        <v>10</v>
      </c>
      <c r="BM62" s="7"/>
      <c r="BN62" s="7">
        <v>0</v>
      </c>
      <c r="BO62" s="7"/>
      <c r="BP62" s="7"/>
      <c r="BQ62" s="7">
        <v>0</v>
      </c>
      <c r="BR62" s="7">
        <v>380</v>
      </c>
      <c r="BS62" s="7" t="s">
        <v>629</v>
      </c>
      <c r="BT62" s="7"/>
      <c r="BU62" s="7"/>
      <c r="BV62" s="7">
        <v>0</v>
      </c>
      <c r="BW62" s="7"/>
      <c r="BX62" s="7"/>
      <c r="BY62" s="7">
        <v>10001</v>
      </c>
      <c r="BZ62" s="7" t="s">
        <v>1414</v>
      </c>
      <c r="CA62" s="7"/>
      <c r="CB62" s="7"/>
      <c r="CC62" s="7"/>
      <c r="CD62" s="7"/>
      <c r="CE62" s="7"/>
      <c r="CF62" s="7"/>
      <c r="CG62" s="7"/>
      <c r="CH62" s="7">
        <v>3563</v>
      </c>
      <c r="CI62" s="7" t="s">
        <v>630</v>
      </c>
      <c r="CJ62" s="7"/>
      <c r="CK62" s="7"/>
      <c r="CL62" s="7"/>
      <c r="CM62" s="7"/>
      <c r="CN62" s="7">
        <v>0</v>
      </c>
      <c r="CO62" s="7"/>
      <c r="CP62" s="7"/>
      <c r="CQ62" s="7"/>
      <c r="CR62" s="7"/>
      <c r="CS62" s="7">
        <v>0</v>
      </c>
      <c r="CT62" s="7"/>
      <c r="CU62" s="7"/>
      <c r="CV62" s="7" t="s">
        <v>910</v>
      </c>
      <c r="CW62" s="7" t="s">
        <v>155</v>
      </c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126"/>
      <c r="EE62" s="7"/>
      <c r="EF62" s="7"/>
      <c r="EG62" s="7"/>
    </row>
    <row r="63" spans="1:137" ht="13.5" customHeight="1">
      <c r="A63" s="7">
        <v>51</v>
      </c>
      <c r="B63" s="7"/>
      <c r="C63" s="7"/>
      <c r="D63" s="7"/>
      <c r="E63" s="7" t="s">
        <v>158</v>
      </c>
      <c r="F63" s="7"/>
      <c r="G63" s="7">
        <v>352932</v>
      </c>
      <c r="H63" s="7" t="s">
        <v>613</v>
      </c>
      <c r="I63" s="7">
        <v>26</v>
      </c>
      <c r="J63" s="7" t="s">
        <v>160</v>
      </c>
      <c r="K63" s="7">
        <v>30</v>
      </c>
      <c r="L63" s="7" t="s">
        <v>911</v>
      </c>
      <c r="M63" s="7">
        <v>17</v>
      </c>
      <c r="N63" s="7" t="s">
        <v>912</v>
      </c>
      <c r="O63" s="7">
        <v>10</v>
      </c>
      <c r="P63" s="7" t="s">
        <v>913</v>
      </c>
      <c r="Q63" s="7">
        <v>10</v>
      </c>
      <c r="R63" s="7" t="s">
        <v>913</v>
      </c>
      <c r="S63" s="7" t="s">
        <v>617</v>
      </c>
      <c r="T63" s="7" t="s">
        <v>914</v>
      </c>
      <c r="U63" s="28"/>
      <c r="V63" s="7">
        <v>10</v>
      </c>
      <c r="W63" s="7" t="s">
        <v>636</v>
      </c>
      <c r="X63" s="28"/>
      <c r="Y63" s="7" t="s">
        <v>915</v>
      </c>
      <c r="Z63" s="7" t="s">
        <v>621</v>
      </c>
      <c r="AA63" s="7" t="s">
        <v>622</v>
      </c>
      <c r="AB63" s="7" t="s">
        <v>638</v>
      </c>
      <c r="AC63" s="7"/>
      <c r="AD63" s="7"/>
      <c r="AE63" s="7"/>
      <c r="AF63" s="7"/>
      <c r="AG63" s="7"/>
      <c r="AH63" s="7"/>
      <c r="AI63" s="7" t="s">
        <v>611</v>
      </c>
      <c r="AJ63" s="7" t="s">
        <v>623</v>
      </c>
      <c r="AK63" s="7">
        <v>10</v>
      </c>
      <c r="AL63" s="7">
        <v>9</v>
      </c>
      <c r="AM63" s="7" t="s">
        <v>624</v>
      </c>
      <c r="AN63" s="7" t="s">
        <v>625</v>
      </c>
      <c r="AO63" s="7" t="s">
        <v>626</v>
      </c>
      <c r="AP63" s="7" t="s">
        <v>627</v>
      </c>
      <c r="AQ63" s="7" t="s">
        <v>617</v>
      </c>
      <c r="AR63" s="7"/>
      <c r="AS63" s="7"/>
      <c r="AT63" s="7"/>
      <c r="AU63" s="6">
        <v>91021</v>
      </c>
      <c r="AV63" s="6" t="s">
        <v>157</v>
      </c>
      <c r="AW63" s="7"/>
      <c r="AX63" s="7"/>
      <c r="AY63" s="7"/>
      <c r="AZ63" s="7"/>
      <c r="BA63" s="6">
        <v>1214</v>
      </c>
      <c r="BB63" s="6" t="s">
        <v>628</v>
      </c>
      <c r="BC63" s="7"/>
      <c r="BD63" s="7"/>
      <c r="BE63" s="7"/>
      <c r="BF63" s="7"/>
      <c r="BG63" s="7">
        <v>0</v>
      </c>
      <c r="BH63" s="7">
        <v>0</v>
      </c>
      <c r="BI63" s="7">
        <v>0</v>
      </c>
      <c r="BJ63" s="7">
        <v>10</v>
      </c>
      <c r="BK63" s="7">
        <v>0</v>
      </c>
      <c r="BL63" s="7">
        <v>10</v>
      </c>
      <c r="BM63" s="7"/>
      <c r="BN63" s="7">
        <v>0</v>
      </c>
      <c r="BO63" s="7"/>
      <c r="BP63" s="7"/>
      <c r="BQ63" s="7">
        <v>0</v>
      </c>
      <c r="BR63" s="7">
        <v>380</v>
      </c>
      <c r="BS63" s="7" t="s">
        <v>629</v>
      </c>
      <c r="BT63" s="7"/>
      <c r="BU63" s="7"/>
      <c r="BV63" s="7">
        <v>0</v>
      </c>
      <c r="BW63" s="7"/>
      <c r="BX63" s="7"/>
      <c r="BY63" s="7">
        <v>10001</v>
      </c>
      <c r="BZ63" s="7" t="s">
        <v>1414</v>
      </c>
      <c r="CA63" s="7"/>
      <c r="CB63" s="7"/>
      <c r="CC63" s="7"/>
      <c r="CD63" s="7"/>
      <c r="CE63" s="7"/>
      <c r="CF63" s="7"/>
      <c r="CG63" s="7"/>
      <c r="CH63" s="7">
        <v>3563</v>
      </c>
      <c r="CI63" s="7" t="s">
        <v>630</v>
      </c>
      <c r="CJ63" s="7"/>
      <c r="CK63" s="7"/>
      <c r="CL63" s="7"/>
      <c r="CM63" s="7"/>
      <c r="CN63" s="7">
        <v>0</v>
      </c>
      <c r="CO63" s="7"/>
      <c r="CP63" s="7"/>
      <c r="CQ63" s="7"/>
      <c r="CR63" s="7"/>
      <c r="CS63" s="7">
        <v>0</v>
      </c>
      <c r="CT63" s="7"/>
      <c r="CU63" s="7"/>
      <c r="CV63" s="7" t="s">
        <v>916</v>
      </c>
      <c r="CW63" s="7" t="s">
        <v>159</v>
      </c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126"/>
      <c r="EE63" s="7"/>
      <c r="EF63" s="7"/>
      <c r="EG63" s="7"/>
    </row>
    <row r="64" spans="1:137" ht="13.5" customHeight="1">
      <c r="A64" s="7">
        <v>52</v>
      </c>
      <c r="B64" s="7"/>
      <c r="C64" s="7"/>
      <c r="D64" s="7"/>
      <c r="E64" s="7" t="s">
        <v>161</v>
      </c>
      <c r="F64" s="7"/>
      <c r="G64" s="7">
        <v>352933</v>
      </c>
      <c r="H64" s="7" t="s">
        <v>613</v>
      </c>
      <c r="I64" s="7">
        <v>46</v>
      </c>
      <c r="J64" s="7" t="s">
        <v>163</v>
      </c>
      <c r="K64" s="7">
        <v>44</v>
      </c>
      <c r="L64" s="7" t="s">
        <v>917</v>
      </c>
      <c r="M64" s="7">
        <v>25</v>
      </c>
      <c r="N64" s="7" t="s">
        <v>918</v>
      </c>
      <c r="O64" s="7">
        <v>16</v>
      </c>
      <c r="P64" s="7" t="s">
        <v>919</v>
      </c>
      <c r="Q64" s="7">
        <v>16</v>
      </c>
      <c r="R64" s="7" t="s">
        <v>919</v>
      </c>
      <c r="S64" s="7" t="s">
        <v>617</v>
      </c>
      <c r="T64" s="7" t="s">
        <v>914</v>
      </c>
      <c r="U64" s="28"/>
      <c r="V64" s="7">
        <v>10</v>
      </c>
      <c r="W64" s="7" t="s">
        <v>636</v>
      </c>
      <c r="X64" s="28"/>
      <c r="Y64" s="7" t="s">
        <v>915</v>
      </c>
      <c r="Z64" s="7" t="s">
        <v>621</v>
      </c>
      <c r="AA64" s="7" t="s">
        <v>622</v>
      </c>
      <c r="AB64" s="7" t="s">
        <v>638</v>
      </c>
      <c r="AC64" s="7"/>
      <c r="AD64" s="7"/>
      <c r="AE64" s="7"/>
      <c r="AF64" s="7"/>
      <c r="AG64" s="7"/>
      <c r="AH64" s="7"/>
      <c r="AI64" s="7" t="s">
        <v>611</v>
      </c>
      <c r="AJ64" s="7" t="s">
        <v>623</v>
      </c>
      <c r="AK64" s="7">
        <v>10</v>
      </c>
      <c r="AL64" s="7">
        <v>9</v>
      </c>
      <c r="AM64" s="7" t="s">
        <v>624</v>
      </c>
      <c r="AN64" s="7" t="s">
        <v>625</v>
      </c>
      <c r="AO64" s="7" t="s">
        <v>626</v>
      </c>
      <c r="AP64" s="7" t="s">
        <v>627</v>
      </c>
      <c r="AQ64" s="7" t="s">
        <v>617</v>
      </c>
      <c r="AR64" s="7"/>
      <c r="AS64" s="7"/>
      <c r="AT64" s="7"/>
      <c r="AU64" s="6">
        <v>91021</v>
      </c>
      <c r="AV64" s="6" t="s">
        <v>157</v>
      </c>
      <c r="AW64" s="7"/>
      <c r="AX64" s="7"/>
      <c r="AY64" s="7"/>
      <c r="AZ64" s="7"/>
      <c r="BA64" s="6">
        <v>1214</v>
      </c>
      <c r="BB64" s="6" t="s">
        <v>628</v>
      </c>
      <c r="BC64" s="7"/>
      <c r="BD64" s="7"/>
      <c r="BE64" s="7"/>
      <c r="BF64" s="7"/>
      <c r="BG64" s="7">
        <v>0</v>
      </c>
      <c r="BH64" s="7">
        <v>0</v>
      </c>
      <c r="BI64" s="7">
        <v>0</v>
      </c>
      <c r="BJ64" s="7">
        <v>10</v>
      </c>
      <c r="BK64" s="7">
        <v>0</v>
      </c>
      <c r="BL64" s="7">
        <v>10</v>
      </c>
      <c r="BM64" s="7"/>
      <c r="BN64" s="7">
        <v>0</v>
      </c>
      <c r="BO64" s="7"/>
      <c r="BP64" s="7"/>
      <c r="BQ64" s="7">
        <v>0</v>
      </c>
      <c r="BR64" s="7">
        <v>380</v>
      </c>
      <c r="BS64" s="7" t="s">
        <v>629</v>
      </c>
      <c r="BT64" s="7"/>
      <c r="BU64" s="7"/>
      <c r="BV64" s="7">
        <v>0</v>
      </c>
      <c r="BW64" s="7"/>
      <c r="BX64" s="7"/>
      <c r="BY64" s="7">
        <v>10001</v>
      </c>
      <c r="BZ64" s="7" t="s">
        <v>1414</v>
      </c>
      <c r="CA64" s="7"/>
      <c r="CB64" s="7"/>
      <c r="CC64" s="7"/>
      <c r="CD64" s="7"/>
      <c r="CE64" s="7"/>
      <c r="CF64" s="7"/>
      <c r="CG64" s="7"/>
      <c r="CH64" s="7">
        <v>3563</v>
      </c>
      <c r="CI64" s="7" t="s">
        <v>630</v>
      </c>
      <c r="CJ64" s="7"/>
      <c r="CK64" s="7"/>
      <c r="CL64" s="7"/>
      <c r="CM64" s="7"/>
      <c r="CN64" s="7">
        <v>0</v>
      </c>
      <c r="CO64" s="7"/>
      <c r="CP64" s="7"/>
      <c r="CQ64" s="7"/>
      <c r="CR64" s="7"/>
      <c r="CS64" s="7">
        <v>0</v>
      </c>
      <c r="CT64" s="7"/>
      <c r="CU64" s="7"/>
      <c r="CV64" s="7" t="s">
        <v>920</v>
      </c>
      <c r="CW64" s="7" t="s">
        <v>162</v>
      </c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126"/>
      <c r="EE64" s="7"/>
      <c r="EF64" s="7"/>
      <c r="EG64" s="7"/>
    </row>
    <row r="65" spans="1:137" ht="13.5" customHeight="1">
      <c r="A65" s="7">
        <v>53</v>
      </c>
      <c r="B65" s="7"/>
      <c r="C65" s="7"/>
      <c r="D65" s="7"/>
      <c r="E65" s="7" t="s">
        <v>164</v>
      </c>
      <c r="F65" s="7"/>
      <c r="G65" s="7">
        <v>352934</v>
      </c>
      <c r="H65" s="7" t="s">
        <v>613</v>
      </c>
      <c r="I65" s="7">
        <v>48</v>
      </c>
      <c r="J65" s="7" t="s">
        <v>166</v>
      </c>
      <c r="K65" s="7">
        <v>46</v>
      </c>
      <c r="L65" s="7" t="s">
        <v>921</v>
      </c>
      <c r="M65" s="7">
        <v>28</v>
      </c>
      <c r="N65" s="7" t="s">
        <v>922</v>
      </c>
      <c r="O65" s="7">
        <v>19</v>
      </c>
      <c r="P65" s="7" t="s">
        <v>923</v>
      </c>
      <c r="Q65" s="7">
        <v>19</v>
      </c>
      <c r="R65" s="7" t="s">
        <v>923</v>
      </c>
      <c r="S65" s="7" t="s">
        <v>617</v>
      </c>
      <c r="T65" s="7" t="s">
        <v>914</v>
      </c>
      <c r="U65" s="28"/>
      <c r="V65" s="7">
        <v>10</v>
      </c>
      <c r="W65" s="7" t="s">
        <v>636</v>
      </c>
      <c r="X65" s="28"/>
      <c r="Y65" s="7" t="s">
        <v>915</v>
      </c>
      <c r="Z65" s="7" t="s">
        <v>621</v>
      </c>
      <c r="AA65" s="7" t="s">
        <v>622</v>
      </c>
      <c r="AB65" s="7" t="s">
        <v>638</v>
      </c>
      <c r="AC65" s="7"/>
      <c r="AD65" s="7"/>
      <c r="AE65" s="7"/>
      <c r="AF65" s="7"/>
      <c r="AG65" s="7"/>
      <c r="AH65" s="7"/>
      <c r="AI65" s="7" t="s">
        <v>611</v>
      </c>
      <c r="AJ65" s="7" t="s">
        <v>623</v>
      </c>
      <c r="AK65" s="7">
        <v>10</v>
      </c>
      <c r="AL65" s="7">
        <v>9</v>
      </c>
      <c r="AM65" s="7" t="s">
        <v>624</v>
      </c>
      <c r="AN65" s="7" t="s">
        <v>625</v>
      </c>
      <c r="AO65" s="7" t="s">
        <v>626</v>
      </c>
      <c r="AP65" s="7" t="s">
        <v>627</v>
      </c>
      <c r="AQ65" s="7" t="s">
        <v>617</v>
      </c>
      <c r="AR65" s="7"/>
      <c r="AS65" s="7"/>
      <c r="AT65" s="7"/>
      <c r="AU65" s="6">
        <v>91021</v>
      </c>
      <c r="AV65" s="6" t="s">
        <v>157</v>
      </c>
      <c r="AW65" s="7"/>
      <c r="AX65" s="7"/>
      <c r="AY65" s="7"/>
      <c r="AZ65" s="7"/>
      <c r="BA65" s="6">
        <v>1214</v>
      </c>
      <c r="BB65" s="6" t="s">
        <v>628</v>
      </c>
      <c r="BC65" s="7"/>
      <c r="BD65" s="7"/>
      <c r="BE65" s="7"/>
      <c r="BF65" s="7"/>
      <c r="BG65" s="7">
        <v>0</v>
      </c>
      <c r="BH65" s="7">
        <v>0</v>
      </c>
      <c r="BI65" s="7">
        <v>0</v>
      </c>
      <c r="BJ65" s="7">
        <v>10</v>
      </c>
      <c r="BK65" s="7">
        <v>0</v>
      </c>
      <c r="BL65" s="7">
        <v>10</v>
      </c>
      <c r="BM65" s="7"/>
      <c r="BN65" s="7">
        <v>0</v>
      </c>
      <c r="BO65" s="7"/>
      <c r="BP65" s="7"/>
      <c r="BQ65" s="7">
        <v>0</v>
      </c>
      <c r="BR65" s="7">
        <v>380</v>
      </c>
      <c r="BS65" s="7" t="s">
        <v>629</v>
      </c>
      <c r="BT65" s="7"/>
      <c r="BU65" s="7"/>
      <c r="BV65" s="7">
        <v>0</v>
      </c>
      <c r="BW65" s="7"/>
      <c r="BX65" s="7"/>
      <c r="BY65" s="7">
        <v>10001</v>
      </c>
      <c r="BZ65" s="7" t="s">
        <v>1414</v>
      </c>
      <c r="CA65" s="7"/>
      <c r="CB65" s="7"/>
      <c r="CC65" s="7"/>
      <c r="CD65" s="7"/>
      <c r="CE65" s="7"/>
      <c r="CF65" s="7"/>
      <c r="CG65" s="7"/>
      <c r="CH65" s="7">
        <v>3563</v>
      </c>
      <c r="CI65" s="7" t="s">
        <v>630</v>
      </c>
      <c r="CJ65" s="7"/>
      <c r="CK65" s="7"/>
      <c r="CL65" s="7"/>
      <c r="CM65" s="7"/>
      <c r="CN65" s="7">
        <v>0</v>
      </c>
      <c r="CO65" s="7"/>
      <c r="CP65" s="7"/>
      <c r="CQ65" s="7"/>
      <c r="CR65" s="7"/>
      <c r="CS65" s="7">
        <v>0</v>
      </c>
      <c r="CT65" s="7"/>
      <c r="CU65" s="7"/>
      <c r="CV65" s="7" t="s">
        <v>924</v>
      </c>
      <c r="CW65" s="7" t="s">
        <v>165</v>
      </c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126"/>
      <c r="EE65" s="7"/>
      <c r="EF65" s="7"/>
      <c r="EG65" s="7"/>
    </row>
    <row r="66" spans="1:137" ht="13.5" customHeight="1">
      <c r="A66" s="7">
        <v>54</v>
      </c>
      <c r="B66" s="7"/>
      <c r="C66" s="7"/>
      <c r="D66" s="7"/>
      <c r="E66" s="7" t="s">
        <v>167</v>
      </c>
      <c r="F66" s="7"/>
      <c r="G66" s="7">
        <v>352935</v>
      </c>
      <c r="H66" s="7" t="s">
        <v>613</v>
      </c>
      <c r="I66" s="7">
        <v>38</v>
      </c>
      <c r="J66" s="7" t="s">
        <v>169</v>
      </c>
      <c r="K66" s="7">
        <v>40</v>
      </c>
      <c r="L66" s="7" t="s">
        <v>925</v>
      </c>
      <c r="M66" s="7">
        <v>23</v>
      </c>
      <c r="N66" s="7" t="s">
        <v>926</v>
      </c>
      <c r="O66" s="7">
        <v>19</v>
      </c>
      <c r="P66" s="7" t="s">
        <v>927</v>
      </c>
      <c r="Q66" s="7">
        <v>19</v>
      </c>
      <c r="R66" s="7" t="s">
        <v>927</v>
      </c>
      <c r="S66" s="7" t="s">
        <v>617</v>
      </c>
      <c r="T66" s="7" t="s">
        <v>914</v>
      </c>
      <c r="U66" s="28"/>
      <c r="V66" s="7">
        <v>10</v>
      </c>
      <c r="W66" s="7" t="s">
        <v>636</v>
      </c>
      <c r="X66" s="28"/>
      <c r="Y66" s="7" t="s">
        <v>915</v>
      </c>
      <c r="Z66" s="7" t="s">
        <v>621</v>
      </c>
      <c r="AA66" s="7" t="s">
        <v>622</v>
      </c>
      <c r="AB66" s="7" t="s">
        <v>638</v>
      </c>
      <c r="AC66" s="7"/>
      <c r="AD66" s="7"/>
      <c r="AE66" s="7"/>
      <c r="AF66" s="7"/>
      <c r="AG66" s="7"/>
      <c r="AH66" s="7"/>
      <c r="AI66" s="7" t="s">
        <v>611</v>
      </c>
      <c r="AJ66" s="7" t="s">
        <v>623</v>
      </c>
      <c r="AK66" s="7">
        <v>10</v>
      </c>
      <c r="AL66" s="7">
        <v>9</v>
      </c>
      <c r="AM66" s="7" t="s">
        <v>624</v>
      </c>
      <c r="AN66" s="7" t="s">
        <v>625</v>
      </c>
      <c r="AO66" s="7" t="s">
        <v>626</v>
      </c>
      <c r="AP66" s="7" t="s">
        <v>627</v>
      </c>
      <c r="AQ66" s="7" t="s">
        <v>617</v>
      </c>
      <c r="AR66" s="7"/>
      <c r="AS66" s="7"/>
      <c r="AT66" s="7"/>
      <c r="AU66" s="6">
        <v>91021</v>
      </c>
      <c r="AV66" s="6" t="s">
        <v>157</v>
      </c>
      <c r="AW66" s="7"/>
      <c r="AX66" s="7"/>
      <c r="AY66" s="7"/>
      <c r="AZ66" s="7"/>
      <c r="BA66" s="6">
        <v>1214</v>
      </c>
      <c r="BB66" s="6" t="s">
        <v>628</v>
      </c>
      <c r="BC66" s="7"/>
      <c r="BD66" s="7"/>
      <c r="BE66" s="7"/>
      <c r="BF66" s="7"/>
      <c r="BG66" s="7">
        <v>0</v>
      </c>
      <c r="BH66" s="7">
        <v>0</v>
      </c>
      <c r="BI66" s="7">
        <v>0</v>
      </c>
      <c r="BJ66" s="7">
        <v>10</v>
      </c>
      <c r="BK66" s="7">
        <v>0</v>
      </c>
      <c r="BL66" s="7">
        <v>10</v>
      </c>
      <c r="BM66" s="7"/>
      <c r="BN66" s="7">
        <v>0</v>
      </c>
      <c r="BO66" s="7"/>
      <c r="BP66" s="7"/>
      <c r="BQ66" s="7">
        <v>0</v>
      </c>
      <c r="BR66" s="7">
        <v>380</v>
      </c>
      <c r="BS66" s="7" t="s">
        <v>629</v>
      </c>
      <c r="BT66" s="7"/>
      <c r="BU66" s="7"/>
      <c r="BV66" s="7">
        <v>0</v>
      </c>
      <c r="BW66" s="7"/>
      <c r="BX66" s="7"/>
      <c r="BY66" s="7">
        <v>10001</v>
      </c>
      <c r="BZ66" s="7" t="s">
        <v>1414</v>
      </c>
      <c r="CA66" s="7"/>
      <c r="CB66" s="7"/>
      <c r="CC66" s="7"/>
      <c r="CD66" s="7"/>
      <c r="CE66" s="7"/>
      <c r="CF66" s="7"/>
      <c r="CG66" s="7"/>
      <c r="CH66" s="7">
        <v>3563</v>
      </c>
      <c r="CI66" s="7" t="s">
        <v>630</v>
      </c>
      <c r="CJ66" s="7"/>
      <c r="CK66" s="7"/>
      <c r="CL66" s="7"/>
      <c r="CM66" s="7"/>
      <c r="CN66" s="7">
        <v>0</v>
      </c>
      <c r="CO66" s="7"/>
      <c r="CP66" s="7"/>
      <c r="CQ66" s="7"/>
      <c r="CR66" s="7"/>
      <c r="CS66" s="7">
        <v>0</v>
      </c>
      <c r="CT66" s="7"/>
      <c r="CU66" s="7"/>
      <c r="CV66" s="7" t="s">
        <v>928</v>
      </c>
      <c r="CW66" s="7" t="s">
        <v>168</v>
      </c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126"/>
      <c r="EE66" s="7"/>
      <c r="EF66" s="7"/>
      <c r="EG66" s="7"/>
    </row>
    <row r="67" spans="1:137" ht="13.5" customHeight="1">
      <c r="A67" s="7">
        <v>55</v>
      </c>
      <c r="B67" s="7"/>
      <c r="C67" s="7"/>
      <c r="D67" s="7"/>
      <c r="E67" s="7" t="s">
        <v>170</v>
      </c>
      <c r="F67" s="7"/>
      <c r="G67" s="7">
        <v>352936</v>
      </c>
      <c r="H67" s="7" t="s">
        <v>613</v>
      </c>
      <c r="I67" s="7">
        <v>56</v>
      </c>
      <c r="J67" s="7" t="s">
        <v>172</v>
      </c>
      <c r="K67" s="7">
        <v>48</v>
      </c>
      <c r="L67" s="7" t="s">
        <v>929</v>
      </c>
      <c r="M67" s="7">
        <v>35</v>
      </c>
      <c r="N67" s="7" t="s">
        <v>930</v>
      </c>
      <c r="O67" s="7">
        <v>20</v>
      </c>
      <c r="P67" s="7" t="s">
        <v>931</v>
      </c>
      <c r="Q67" s="7">
        <v>20</v>
      </c>
      <c r="R67" s="7" t="s">
        <v>931</v>
      </c>
      <c r="S67" s="7" t="s">
        <v>617</v>
      </c>
      <c r="T67" s="7" t="s">
        <v>932</v>
      </c>
      <c r="U67" s="28"/>
      <c r="V67" s="7">
        <v>20</v>
      </c>
      <c r="W67" s="7" t="s">
        <v>665</v>
      </c>
      <c r="X67" s="28"/>
      <c r="Y67" s="7" t="s">
        <v>933</v>
      </c>
      <c r="Z67" s="7" t="s">
        <v>621</v>
      </c>
      <c r="AA67" s="7" t="s">
        <v>622</v>
      </c>
      <c r="AB67" s="7" t="s">
        <v>638</v>
      </c>
      <c r="AC67" s="7"/>
      <c r="AD67" s="7"/>
      <c r="AE67" s="7"/>
      <c r="AF67" s="7"/>
      <c r="AG67" s="7"/>
      <c r="AH67" s="7"/>
      <c r="AI67" s="7" t="s">
        <v>611</v>
      </c>
      <c r="AJ67" s="7" t="s">
        <v>623</v>
      </c>
      <c r="AK67" s="7">
        <v>10</v>
      </c>
      <c r="AL67" s="7">
        <v>9</v>
      </c>
      <c r="AM67" s="7" t="s">
        <v>624</v>
      </c>
      <c r="AN67" s="7" t="s">
        <v>625</v>
      </c>
      <c r="AO67" s="7" t="s">
        <v>626</v>
      </c>
      <c r="AP67" s="7" t="s">
        <v>627</v>
      </c>
      <c r="AQ67" s="7" t="s">
        <v>617</v>
      </c>
      <c r="AR67" s="7"/>
      <c r="AS67" s="7"/>
      <c r="AT67" s="7"/>
      <c r="AU67" s="6">
        <v>91021</v>
      </c>
      <c r="AV67" s="6" t="s">
        <v>157</v>
      </c>
      <c r="AW67" s="7"/>
      <c r="AX67" s="7"/>
      <c r="AY67" s="7"/>
      <c r="AZ67" s="7"/>
      <c r="BA67" s="6">
        <v>1214</v>
      </c>
      <c r="BB67" s="6" t="s">
        <v>628</v>
      </c>
      <c r="BC67" s="7"/>
      <c r="BD67" s="7"/>
      <c r="BE67" s="7"/>
      <c r="BF67" s="7"/>
      <c r="BG67" s="7">
        <v>0</v>
      </c>
      <c r="BH67" s="7">
        <v>0</v>
      </c>
      <c r="BI67" s="7">
        <v>0</v>
      </c>
      <c r="BJ67" s="7">
        <v>10</v>
      </c>
      <c r="BK67" s="7">
        <v>0</v>
      </c>
      <c r="BL67" s="7">
        <v>10</v>
      </c>
      <c r="BM67" s="7"/>
      <c r="BN67" s="7">
        <v>0</v>
      </c>
      <c r="BO67" s="7"/>
      <c r="BP67" s="7"/>
      <c r="BQ67" s="7">
        <v>0</v>
      </c>
      <c r="BR67" s="7">
        <v>380</v>
      </c>
      <c r="BS67" s="7" t="s">
        <v>629</v>
      </c>
      <c r="BT67" s="7"/>
      <c r="BU67" s="7"/>
      <c r="BV67" s="7">
        <v>0</v>
      </c>
      <c r="BW67" s="7"/>
      <c r="BX67" s="7"/>
      <c r="BY67" s="7">
        <v>10001</v>
      </c>
      <c r="BZ67" s="7" t="s">
        <v>1414</v>
      </c>
      <c r="CA67" s="7"/>
      <c r="CB67" s="7"/>
      <c r="CC67" s="7"/>
      <c r="CD67" s="7"/>
      <c r="CE67" s="7"/>
      <c r="CF67" s="7"/>
      <c r="CG67" s="7"/>
      <c r="CH67" s="7">
        <v>3563</v>
      </c>
      <c r="CI67" s="7" t="s">
        <v>630</v>
      </c>
      <c r="CJ67" s="7"/>
      <c r="CK67" s="7"/>
      <c r="CL67" s="7"/>
      <c r="CM67" s="7"/>
      <c r="CN67" s="7">
        <v>0</v>
      </c>
      <c r="CO67" s="7"/>
      <c r="CP67" s="7"/>
      <c r="CQ67" s="7"/>
      <c r="CR67" s="7"/>
      <c r="CS67" s="7">
        <v>0</v>
      </c>
      <c r="CT67" s="7"/>
      <c r="CU67" s="7"/>
      <c r="CV67" s="7" t="s">
        <v>934</v>
      </c>
      <c r="CW67" s="7" t="s">
        <v>171</v>
      </c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126"/>
      <c r="EE67" s="7"/>
      <c r="EF67" s="7"/>
      <c r="EG67" s="7"/>
    </row>
    <row r="68" spans="1:137" ht="13.5" customHeight="1">
      <c r="A68" s="7">
        <v>56</v>
      </c>
      <c r="B68" s="7"/>
      <c r="C68" s="7"/>
      <c r="D68" s="7"/>
      <c r="E68" s="7" t="s">
        <v>173</v>
      </c>
      <c r="F68" s="7"/>
      <c r="G68" s="7">
        <v>352937</v>
      </c>
      <c r="H68" s="7" t="s">
        <v>613</v>
      </c>
      <c r="I68" s="7">
        <v>64</v>
      </c>
      <c r="J68" s="7" t="s">
        <v>175</v>
      </c>
      <c r="K68" s="7">
        <v>50</v>
      </c>
      <c r="L68" s="7" t="s">
        <v>935</v>
      </c>
      <c r="M68" s="7">
        <v>38</v>
      </c>
      <c r="N68" s="7" t="s">
        <v>936</v>
      </c>
      <c r="O68" s="7">
        <v>18</v>
      </c>
      <c r="P68" s="7" t="s">
        <v>937</v>
      </c>
      <c r="Q68" s="7">
        <v>18</v>
      </c>
      <c r="R68" s="7" t="s">
        <v>937</v>
      </c>
      <c r="S68" s="7" t="s">
        <v>617</v>
      </c>
      <c r="T68" s="7" t="s">
        <v>932</v>
      </c>
      <c r="U68" s="28"/>
      <c r="V68" s="7">
        <v>20</v>
      </c>
      <c r="W68" s="7" t="s">
        <v>665</v>
      </c>
      <c r="X68" s="28"/>
      <c r="Y68" s="7" t="s">
        <v>933</v>
      </c>
      <c r="Z68" s="7" t="s">
        <v>621</v>
      </c>
      <c r="AA68" s="7" t="s">
        <v>622</v>
      </c>
      <c r="AB68" s="7" t="s">
        <v>638</v>
      </c>
      <c r="AC68" s="7"/>
      <c r="AD68" s="7"/>
      <c r="AE68" s="7"/>
      <c r="AF68" s="7"/>
      <c r="AG68" s="7"/>
      <c r="AH68" s="7"/>
      <c r="AI68" s="7" t="s">
        <v>611</v>
      </c>
      <c r="AJ68" s="7" t="s">
        <v>623</v>
      </c>
      <c r="AK68" s="7">
        <v>10</v>
      </c>
      <c r="AL68" s="7">
        <v>9</v>
      </c>
      <c r="AM68" s="7" t="s">
        <v>624</v>
      </c>
      <c r="AN68" s="7" t="s">
        <v>625</v>
      </c>
      <c r="AO68" s="7" t="s">
        <v>626</v>
      </c>
      <c r="AP68" s="7" t="s">
        <v>627</v>
      </c>
      <c r="AQ68" s="7" t="s">
        <v>617</v>
      </c>
      <c r="AR68" s="7"/>
      <c r="AS68" s="7"/>
      <c r="AT68" s="7"/>
      <c r="AU68" s="6">
        <v>91021</v>
      </c>
      <c r="AV68" s="6" t="s">
        <v>157</v>
      </c>
      <c r="AW68" s="7"/>
      <c r="AX68" s="7"/>
      <c r="AY68" s="7"/>
      <c r="AZ68" s="7"/>
      <c r="BA68" s="6">
        <v>1214</v>
      </c>
      <c r="BB68" s="6" t="s">
        <v>628</v>
      </c>
      <c r="BC68" s="7"/>
      <c r="BD68" s="7"/>
      <c r="BE68" s="7"/>
      <c r="BF68" s="7"/>
      <c r="BG68" s="7">
        <v>0</v>
      </c>
      <c r="BH68" s="7">
        <v>0</v>
      </c>
      <c r="BI68" s="7">
        <v>0</v>
      </c>
      <c r="BJ68" s="7">
        <v>10</v>
      </c>
      <c r="BK68" s="7">
        <v>0</v>
      </c>
      <c r="BL68" s="7">
        <v>10</v>
      </c>
      <c r="BM68" s="7"/>
      <c r="BN68" s="7">
        <v>0</v>
      </c>
      <c r="BO68" s="7"/>
      <c r="BP68" s="7"/>
      <c r="BQ68" s="7">
        <v>0</v>
      </c>
      <c r="BR68" s="7">
        <v>380</v>
      </c>
      <c r="BS68" s="7" t="s">
        <v>629</v>
      </c>
      <c r="BT68" s="7"/>
      <c r="BU68" s="7"/>
      <c r="BV68" s="7">
        <v>0</v>
      </c>
      <c r="BW68" s="7"/>
      <c r="BX68" s="7"/>
      <c r="BY68" s="7">
        <v>10001</v>
      </c>
      <c r="BZ68" s="7" t="s">
        <v>1414</v>
      </c>
      <c r="CA68" s="7"/>
      <c r="CB68" s="7"/>
      <c r="CC68" s="7"/>
      <c r="CD68" s="7"/>
      <c r="CE68" s="7"/>
      <c r="CF68" s="7"/>
      <c r="CG68" s="7"/>
      <c r="CH68" s="7">
        <v>3563</v>
      </c>
      <c r="CI68" s="7" t="s">
        <v>630</v>
      </c>
      <c r="CJ68" s="7"/>
      <c r="CK68" s="7"/>
      <c r="CL68" s="7"/>
      <c r="CM68" s="7"/>
      <c r="CN68" s="7">
        <v>0</v>
      </c>
      <c r="CO68" s="7"/>
      <c r="CP68" s="7"/>
      <c r="CQ68" s="7"/>
      <c r="CR68" s="7"/>
      <c r="CS68" s="7">
        <v>0</v>
      </c>
      <c r="CT68" s="7"/>
      <c r="CU68" s="7"/>
      <c r="CV68" s="7" t="s">
        <v>938</v>
      </c>
      <c r="CW68" s="7" t="s">
        <v>174</v>
      </c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126"/>
      <c r="EE68" s="7"/>
      <c r="EF68" s="7"/>
      <c r="EG68" s="7"/>
    </row>
    <row r="69" spans="1:137" ht="13.5" customHeight="1">
      <c r="A69" s="7">
        <v>57</v>
      </c>
      <c r="B69" s="7"/>
      <c r="C69" s="7"/>
      <c r="D69" s="7"/>
      <c r="E69" s="7" t="s">
        <v>176</v>
      </c>
      <c r="F69" s="7"/>
      <c r="G69" s="7">
        <v>352938</v>
      </c>
      <c r="H69" s="7" t="s">
        <v>613</v>
      </c>
      <c r="I69" s="7">
        <v>74</v>
      </c>
      <c r="J69" s="7" t="s">
        <v>178</v>
      </c>
      <c r="K69" s="7">
        <v>50</v>
      </c>
      <c r="L69" s="7" t="s">
        <v>939</v>
      </c>
      <c r="M69" s="7">
        <v>36</v>
      </c>
      <c r="N69" s="7" t="s">
        <v>940</v>
      </c>
      <c r="O69" s="7">
        <v>18</v>
      </c>
      <c r="P69" s="7" t="s">
        <v>941</v>
      </c>
      <c r="Q69" s="7">
        <v>18</v>
      </c>
      <c r="R69" s="7" t="s">
        <v>941</v>
      </c>
      <c r="S69" s="7" t="s">
        <v>617</v>
      </c>
      <c r="T69" s="7" t="s">
        <v>932</v>
      </c>
      <c r="U69" s="28"/>
      <c r="V69" s="7">
        <v>20</v>
      </c>
      <c r="W69" s="7" t="s">
        <v>665</v>
      </c>
      <c r="X69" s="28"/>
      <c r="Y69" s="7" t="s">
        <v>933</v>
      </c>
      <c r="Z69" s="7" t="s">
        <v>621</v>
      </c>
      <c r="AA69" s="7" t="s">
        <v>622</v>
      </c>
      <c r="AB69" s="7" t="s">
        <v>638</v>
      </c>
      <c r="AC69" s="7"/>
      <c r="AD69" s="7"/>
      <c r="AE69" s="7"/>
      <c r="AF69" s="7"/>
      <c r="AG69" s="7"/>
      <c r="AH69" s="7"/>
      <c r="AI69" s="7" t="s">
        <v>611</v>
      </c>
      <c r="AJ69" s="7" t="s">
        <v>623</v>
      </c>
      <c r="AK69" s="7">
        <v>10</v>
      </c>
      <c r="AL69" s="7">
        <v>9</v>
      </c>
      <c r="AM69" s="7" t="s">
        <v>624</v>
      </c>
      <c r="AN69" s="7" t="s">
        <v>625</v>
      </c>
      <c r="AO69" s="7" t="s">
        <v>626</v>
      </c>
      <c r="AP69" s="7" t="s">
        <v>627</v>
      </c>
      <c r="AQ69" s="7" t="s">
        <v>617</v>
      </c>
      <c r="AR69" s="7"/>
      <c r="AS69" s="7"/>
      <c r="AT69" s="7"/>
      <c r="AU69" s="6">
        <v>91021</v>
      </c>
      <c r="AV69" s="6" t="s">
        <v>157</v>
      </c>
      <c r="AW69" s="7"/>
      <c r="AX69" s="7"/>
      <c r="AY69" s="7"/>
      <c r="AZ69" s="7"/>
      <c r="BA69" s="6">
        <v>1214</v>
      </c>
      <c r="BB69" s="6" t="s">
        <v>628</v>
      </c>
      <c r="BC69" s="7"/>
      <c r="BD69" s="7"/>
      <c r="BE69" s="7"/>
      <c r="BF69" s="7"/>
      <c r="BG69" s="7">
        <v>0</v>
      </c>
      <c r="BH69" s="7">
        <v>0</v>
      </c>
      <c r="BI69" s="7">
        <v>0</v>
      </c>
      <c r="BJ69" s="7">
        <v>10</v>
      </c>
      <c r="BK69" s="7">
        <v>0</v>
      </c>
      <c r="BL69" s="7">
        <v>10</v>
      </c>
      <c r="BM69" s="7"/>
      <c r="BN69" s="7">
        <v>0</v>
      </c>
      <c r="BO69" s="7"/>
      <c r="BP69" s="7"/>
      <c r="BQ69" s="7">
        <v>0</v>
      </c>
      <c r="BR69" s="7">
        <v>380</v>
      </c>
      <c r="BS69" s="7" t="s">
        <v>629</v>
      </c>
      <c r="BT69" s="7"/>
      <c r="BU69" s="7"/>
      <c r="BV69" s="7">
        <v>0</v>
      </c>
      <c r="BW69" s="7"/>
      <c r="BX69" s="7"/>
      <c r="BY69" s="7">
        <v>10001</v>
      </c>
      <c r="BZ69" s="7" t="s">
        <v>1414</v>
      </c>
      <c r="CA69" s="7"/>
      <c r="CB69" s="7"/>
      <c r="CC69" s="7"/>
      <c r="CD69" s="7"/>
      <c r="CE69" s="7"/>
      <c r="CF69" s="7"/>
      <c r="CG69" s="7"/>
      <c r="CH69" s="7">
        <v>3563</v>
      </c>
      <c r="CI69" s="7" t="s">
        <v>630</v>
      </c>
      <c r="CJ69" s="7"/>
      <c r="CK69" s="7"/>
      <c r="CL69" s="7"/>
      <c r="CM69" s="7"/>
      <c r="CN69" s="7">
        <v>0</v>
      </c>
      <c r="CO69" s="7"/>
      <c r="CP69" s="7"/>
      <c r="CQ69" s="7"/>
      <c r="CR69" s="7"/>
      <c r="CS69" s="7">
        <v>0</v>
      </c>
      <c r="CT69" s="7"/>
      <c r="CU69" s="7"/>
      <c r="CV69" s="7" t="s">
        <v>942</v>
      </c>
      <c r="CW69" s="7" t="s">
        <v>177</v>
      </c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126"/>
      <c r="EE69" s="7"/>
      <c r="EF69" s="7"/>
      <c r="EG69" s="7"/>
    </row>
    <row r="70" spans="1:137" ht="13.5" customHeight="1">
      <c r="A70" s="7">
        <v>58</v>
      </c>
      <c r="B70" s="7"/>
      <c r="C70" s="7"/>
      <c r="D70" s="7"/>
      <c r="E70" s="7" t="s">
        <v>179</v>
      </c>
      <c r="F70" s="7"/>
      <c r="G70" s="7">
        <v>352939</v>
      </c>
      <c r="H70" s="7" t="s">
        <v>613</v>
      </c>
      <c r="I70" s="7">
        <v>68</v>
      </c>
      <c r="J70" s="7" t="s">
        <v>181</v>
      </c>
      <c r="K70" s="7">
        <v>50</v>
      </c>
      <c r="L70" s="7" t="s">
        <v>943</v>
      </c>
      <c r="M70" s="7">
        <v>39</v>
      </c>
      <c r="N70" s="7" t="s">
        <v>944</v>
      </c>
      <c r="O70" s="7">
        <v>19</v>
      </c>
      <c r="P70" s="7" t="s">
        <v>945</v>
      </c>
      <c r="Q70" s="7">
        <v>19</v>
      </c>
      <c r="R70" s="7" t="s">
        <v>945</v>
      </c>
      <c r="S70" s="7" t="s">
        <v>617</v>
      </c>
      <c r="T70" s="7" t="s">
        <v>932</v>
      </c>
      <c r="U70" s="28"/>
      <c r="V70" s="7">
        <v>20</v>
      </c>
      <c r="W70" s="7" t="s">
        <v>665</v>
      </c>
      <c r="X70" s="28"/>
      <c r="Y70" s="7" t="s">
        <v>933</v>
      </c>
      <c r="Z70" s="7" t="s">
        <v>621</v>
      </c>
      <c r="AA70" s="7" t="s">
        <v>622</v>
      </c>
      <c r="AB70" s="7" t="s">
        <v>638</v>
      </c>
      <c r="AC70" s="7"/>
      <c r="AD70" s="7"/>
      <c r="AE70" s="7"/>
      <c r="AF70" s="7"/>
      <c r="AG70" s="7"/>
      <c r="AH70" s="7"/>
      <c r="AI70" s="7" t="s">
        <v>611</v>
      </c>
      <c r="AJ70" s="7" t="s">
        <v>623</v>
      </c>
      <c r="AK70" s="7">
        <v>10</v>
      </c>
      <c r="AL70" s="7">
        <v>9</v>
      </c>
      <c r="AM70" s="7" t="s">
        <v>624</v>
      </c>
      <c r="AN70" s="7" t="s">
        <v>625</v>
      </c>
      <c r="AO70" s="7" t="s">
        <v>626</v>
      </c>
      <c r="AP70" s="7" t="s">
        <v>627</v>
      </c>
      <c r="AQ70" s="7" t="s">
        <v>617</v>
      </c>
      <c r="AR70" s="7"/>
      <c r="AS70" s="7"/>
      <c r="AT70" s="7"/>
      <c r="AU70" s="6">
        <v>91021</v>
      </c>
      <c r="AV70" s="6" t="s">
        <v>157</v>
      </c>
      <c r="AW70" s="7"/>
      <c r="AX70" s="7"/>
      <c r="AY70" s="7"/>
      <c r="AZ70" s="7"/>
      <c r="BA70" s="6">
        <v>1214</v>
      </c>
      <c r="BB70" s="6" t="s">
        <v>628</v>
      </c>
      <c r="BC70" s="7"/>
      <c r="BD70" s="7"/>
      <c r="BE70" s="7"/>
      <c r="BF70" s="7"/>
      <c r="BG70" s="7">
        <v>0</v>
      </c>
      <c r="BH70" s="7">
        <v>0</v>
      </c>
      <c r="BI70" s="7">
        <v>0</v>
      </c>
      <c r="BJ70" s="7">
        <v>10</v>
      </c>
      <c r="BK70" s="7">
        <v>0</v>
      </c>
      <c r="BL70" s="7">
        <v>10</v>
      </c>
      <c r="BM70" s="7"/>
      <c r="BN70" s="7">
        <v>0</v>
      </c>
      <c r="BO70" s="7"/>
      <c r="BP70" s="7"/>
      <c r="BQ70" s="7">
        <v>0</v>
      </c>
      <c r="BR70" s="7">
        <v>380</v>
      </c>
      <c r="BS70" s="7" t="s">
        <v>629</v>
      </c>
      <c r="BT70" s="7"/>
      <c r="BU70" s="7"/>
      <c r="BV70" s="7">
        <v>0</v>
      </c>
      <c r="BW70" s="7"/>
      <c r="BX70" s="7"/>
      <c r="BY70" s="7">
        <v>10001</v>
      </c>
      <c r="BZ70" s="7" t="s">
        <v>1414</v>
      </c>
      <c r="CA70" s="7"/>
      <c r="CB70" s="7"/>
      <c r="CC70" s="7"/>
      <c r="CD70" s="7"/>
      <c r="CE70" s="7"/>
      <c r="CF70" s="7"/>
      <c r="CG70" s="7"/>
      <c r="CH70" s="7">
        <v>3563</v>
      </c>
      <c r="CI70" s="7" t="s">
        <v>630</v>
      </c>
      <c r="CJ70" s="7"/>
      <c r="CK70" s="7"/>
      <c r="CL70" s="7"/>
      <c r="CM70" s="7"/>
      <c r="CN70" s="7">
        <v>0</v>
      </c>
      <c r="CO70" s="7"/>
      <c r="CP70" s="7"/>
      <c r="CQ70" s="7"/>
      <c r="CR70" s="7"/>
      <c r="CS70" s="7">
        <v>0</v>
      </c>
      <c r="CT70" s="7"/>
      <c r="CU70" s="7"/>
      <c r="CV70" s="7" t="s">
        <v>946</v>
      </c>
      <c r="CW70" s="7" t="s">
        <v>180</v>
      </c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126"/>
      <c r="EE70" s="7"/>
      <c r="EF70" s="7"/>
      <c r="EG70" s="7"/>
    </row>
    <row r="71" spans="1:137" ht="13.5" customHeight="1">
      <c r="A71" s="7">
        <v>59</v>
      </c>
      <c r="B71" s="7"/>
      <c r="C71" s="7"/>
      <c r="D71" s="7"/>
      <c r="E71" s="7" t="s">
        <v>183</v>
      </c>
      <c r="F71" s="7"/>
      <c r="G71" s="7">
        <v>352940</v>
      </c>
      <c r="H71" s="7" t="s">
        <v>613</v>
      </c>
      <c r="I71" s="7">
        <v>88</v>
      </c>
      <c r="J71" s="7" t="s">
        <v>185</v>
      </c>
      <c r="K71" s="7">
        <v>46</v>
      </c>
      <c r="L71" s="7" t="s">
        <v>947</v>
      </c>
      <c r="M71" s="7">
        <v>32</v>
      </c>
      <c r="N71" s="7" t="s">
        <v>948</v>
      </c>
      <c r="O71" s="7">
        <v>15</v>
      </c>
      <c r="P71" s="7" t="s">
        <v>949</v>
      </c>
      <c r="Q71" s="7">
        <v>15</v>
      </c>
      <c r="R71" s="7" t="s">
        <v>949</v>
      </c>
      <c r="S71" s="7" t="s">
        <v>617</v>
      </c>
      <c r="T71" s="7" t="s">
        <v>950</v>
      </c>
      <c r="U71" s="28"/>
      <c r="V71" s="7">
        <v>4</v>
      </c>
      <c r="W71" s="7" t="s">
        <v>951</v>
      </c>
      <c r="X71" s="28"/>
      <c r="Y71" s="7" t="s">
        <v>952</v>
      </c>
      <c r="Z71" s="7" t="s">
        <v>621</v>
      </c>
      <c r="AA71" s="7" t="s">
        <v>622</v>
      </c>
      <c r="AB71" s="7" t="s">
        <v>638</v>
      </c>
      <c r="AC71" s="7"/>
      <c r="AD71" s="7"/>
      <c r="AE71" s="7"/>
      <c r="AF71" s="7"/>
      <c r="AG71" s="7"/>
      <c r="AH71" s="7"/>
      <c r="AI71" s="7" t="s">
        <v>611</v>
      </c>
      <c r="AJ71" s="7" t="s">
        <v>623</v>
      </c>
      <c r="AK71" s="7">
        <v>10</v>
      </c>
      <c r="AL71" s="7">
        <v>9</v>
      </c>
      <c r="AM71" s="7" t="s">
        <v>624</v>
      </c>
      <c r="AN71" s="7" t="s">
        <v>625</v>
      </c>
      <c r="AO71" s="7" t="s">
        <v>626</v>
      </c>
      <c r="AP71" s="7" t="s">
        <v>627</v>
      </c>
      <c r="AQ71" s="7" t="s">
        <v>617</v>
      </c>
      <c r="AR71" s="7"/>
      <c r="AS71" s="7"/>
      <c r="AT71" s="7"/>
      <c r="AU71" s="6">
        <v>91000</v>
      </c>
      <c r="AV71" s="6" t="s">
        <v>182</v>
      </c>
      <c r="AW71" s="7"/>
      <c r="AX71" s="7"/>
      <c r="AY71" s="7"/>
      <c r="AZ71" s="7"/>
      <c r="BA71" s="6">
        <v>1214</v>
      </c>
      <c r="BB71" s="6" t="s">
        <v>628</v>
      </c>
      <c r="BC71" s="7"/>
      <c r="BD71" s="7"/>
      <c r="BE71" s="7"/>
      <c r="BF71" s="7"/>
      <c r="BG71" s="7">
        <v>0</v>
      </c>
      <c r="BH71" s="7">
        <v>0</v>
      </c>
      <c r="BI71" s="7">
        <v>0</v>
      </c>
      <c r="BJ71" s="7">
        <v>10</v>
      </c>
      <c r="BK71" s="7">
        <v>0</v>
      </c>
      <c r="BL71" s="7">
        <v>10</v>
      </c>
      <c r="BM71" s="7"/>
      <c r="BN71" s="7">
        <v>0</v>
      </c>
      <c r="BO71" s="7"/>
      <c r="BP71" s="7"/>
      <c r="BQ71" s="7">
        <v>0</v>
      </c>
      <c r="BR71" s="7">
        <v>380</v>
      </c>
      <c r="BS71" s="7" t="s">
        <v>629</v>
      </c>
      <c r="BT71" s="7"/>
      <c r="BU71" s="7"/>
      <c r="BV71" s="7">
        <v>0</v>
      </c>
      <c r="BW71" s="7"/>
      <c r="BX71" s="7"/>
      <c r="BY71" s="7">
        <v>10001</v>
      </c>
      <c r="BZ71" s="7" t="s">
        <v>1414</v>
      </c>
      <c r="CA71" s="7"/>
      <c r="CB71" s="7"/>
      <c r="CC71" s="7"/>
      <c r="CD71" s="7"/>
      <c r="CE71" s="7"/>
      <c r="CF71" s="7"/>
      <c r="CG71" s="7"/>
      <c r="CH71" s="7">
        <v>3563</v>
      </c>
      <c r="CI71" s="7" t="s">
        <v>630</v>
      </c>
      <c r="CJ71" s="7"/>
      <c r="CK71" s="7"/>
      <c r="CL71" s="7"/>
      <c r="CM71" s="7"/>
      <c r="CN71" s="7">
        <v>0</v>
      </c>
      <c r="CO71" s="7"/>
      <c r="CP71" s="7"/>
      <c r="CQ71" s="7"/>
      <c r="CR71" s="7"/>
      <c r="CS71" s="7">
        <v>0</v>
      </c>
      <c r="CT71" s="7"/>
      <c r="CU71" s="7"/>
      <c r="CV71" s="7" t="s">
        <v>953</v>
      </c>
      <c r="CW71" s="7" t="s">
        <v>184</v>
      </c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126"/>
      <c r="EE71" s="7"/>
      <c r="EF71" s="7"/>
      <c r="EG71" s="7"/>
    </row>
    <row r="72" spans="1:137" ht="13.5" customHeight="1">
      <c r="A72" s="7">
        <v>60</v>
      </c>
      <c r="B72" s="7"/>
      <c r="C72" s="7"/>
      <c r="D72" s="7"/>
      <c r="E72" s="7" t="s">
        <v>186</v>
      </c>
      <c r="F72" s="7"/>
      <c r="G72" s="7">
        <v>352941</v>
      </c>
      <c r="H72" s="7" t="s">
        <v>613</v>
      </c>
      <c r="I72" s="7">
        <v>105</v>
      </c>
      <c r="J72" s="7" t="s">
        <v>188</v>
      </c>
      <c r="K72" s="7">
        <v>43</v>
      </c>
      <c r="L72" s="7" t="s">
        <v>954</v>
      </c>
      <c r="M72" s="7">
        <v>26</v>
      </c>
      <c r="N72" s="7" t="s">
        <v>955</v>
      </c>
      <c r="O72" s="7">
        <v>17</v>
      </c>
      <c r="P72" s="7" t="s">
        <v>956</v>
      </c>
      <c r="Q72" s="7">
        <v>17</v>
      </c>
      <c r="R72" s="7" t="s">
        <v>956</v>
      </c>
      <c r="S72" s="7" t="s">
        <v>617</v>
      </c>
      <c r="T72" s="7" t="s">
        <v>950</v>
      </c>
      <c r="U72" s="28"/>
      <c r="V72" s="7">
        <v>4</v>
      </c>
      <c r="W72" s="7" t="s">
        <v>951</v>
      </c>
      <c r="X72" s="28"/>
      <c r="Y72" s="7" t="s">
        <v>952</v>
      </c>
      <c r="Z72" s="7" t="s">
        <v>621</v>
      </c>
      <c r="AA72" s="7" t="s">
        <v>622</v>
      </c>
      <c r="AB72" s="7" t="s">
        <v>638</v>
      </c>
      <c r="AC72" s="7"/>
      <c r="AD72" s="7"/>
      <c r="AE72" s="7"/>
      <c r="AF72" s="7"/>
      <c r="AG72" s="7"/>
      <c r="AH72" s="7"/>
      <c r="AI72" s="7" t="s">
        <v>611</v>
      </c>
      <c r="AJ72" s="7" t="s">
        <v>623</v>
      </c>
      <c r="AK72" s="7">
        <v>10</v>
      </c>
      <c r="AL72" s="7">
        <v>9</v>
      </c>
      <c r="AM72" s="7" t="s">
        <v>624</v>
      </c>
      <c r="AN72" s="7" t="s">
        <v>625</v>
      </c>
      <c r="AO72" s="7" t="s">
        <v>626</v>
      </c>
      <c r="AP72" s="7" t="s">
        <v>627</v>
      </c>
      <c r="AQ72" s="7" t="s">
        <v>617</v>
      </c>
      <c r="AR72" s="7"/>
      <c r="AS72" s="7"/>
      <c r="AT72" s="7"/>
      <c r="AU72" s="6">
        <v>91000</v>
      </c>
      <c r="AV72" s="6" t="s">
        <v>182</v>
      </c>
      <c r="AW72" s="7"/>
      <c r="AX72" s="7"/>
      <c r="AY72" s="7"/>
      <c r="AZ72" s="7"/>
      <c r="BA72" s="6">
        <v>1214</v>
      </c>
      <c r="BB72" s="6" t="s">
        <v>628</v>
      </c>
      <c r="BC72" s="7"/>
      <c r="BD72" s="7"/>
      <c r="BE72" s="7"/>
      <c r="BF72" s="7"/>
      <c r="BG72" s="7">
        <v>0</v>
      </c>
      <c r="BH72" s="7">
        <v>0</v>
      </c>
      <c r="BI72" s="7">
        <v>0</v>
      </c>
      <c r="BJ72" s="7">
        <v>10</v>
      </c>
      <c r="BK72" s="7">
        <v>0</v>
      </c>
      <c r="BL72" s="7">
        <v>10</v>
      </c>
      <c r="BM72" s="7"/>
      <c r="BN72" s="7">
        <v>0</v>
      </c>
      <c r="BO72" s="7"/>
      <c r="BP72" s="7"/>
      <c r="BQ72" s="7">
        <v>0</v>
      </c>
      <c r="BR72" s="7">
        <v>380</v>
      </c>
      <c r="BS72" s="7" t="s">
        <v>629</v>
      </c>
      <c r="BT72" s="7"/>
      <c r="BU72" s="7"/>
      <c r="BV72" s="7">
        <v>0</v>
      </c>
      <c r="BW72" s="7"/>
      <c r="BX72" s="7"/>
      <c r="BY72" s="7">
        <v>10001</v>
      </c>
      <c r="BZ72" s="7" t="s">
        <v>1414</v>
      </c>
      <c r="CA72" s="7"/>
      <c r="CB72" s="7"/>
      <c r="CC72" s="7"/>
      <c r="CD72" s="7"/>
      <c r="CE72" s="7"/>
      <c r="CF72" s="7"/>
      <c r="CG72" s="7"/>
      <c r="CH72" s="7">
        <v>3563</v>
      </c>
      <c r="CI72" s="7" t="s">
        <v>630</v>
      </c>
      <c r="CJ72" s="7"/>
      <c r="CK72" s="7"/>
      <c r="CL72" s="7"/>
      <c r="CM72" s="7"/>
      <c r="CN72" s="7">
        <v>0</v>
      </c>
      <c r="CO72" s="7"/>
      <c r="CP72" s="7"/>
      <c r="CQ72" s="7"/>
      <c r="CR72" s="7"/>
      <c r="CS72" s="7">
        <v>0</v>
      </c>
      <c r="CT72" s="7"/>
      <c r="CU72" s="7"/>
      <c r="CV72" s="7" t="s">
        <v>957</v>
      </c>
      <c r="CW72" s="7" t="s">
        <v>187</v>
      </c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126"/>
      <c r="EE72" s="7"/>
      <c r="EF72" s="7"/>
      <c r="EG72" s="7"/>
    </row>
    <row r="73" spans="1:137" s="10" customFormat="1" ht="13.5" customHeight="1">
      <c r="A73" s="7">
        <v>61</v>
      </c>
      <c r="B73" s="7"/>
      <c r="C73" s="7"/>
      <c r="D73" s="7"/>
      <c r="E73" s="9" t="s">
        <v>189</v>
      </c>
      <c r="F73" s="9"/>
      <c r="G73" s="7">
        <v>352942</v>
      </c>
      <c r="H73" s="7" t="s">
        <v>613</v>
      </c>
      <c r="I73" s="9">
        <v>107</v>
      </c>
      <c r="J73" s="9" t="s">
        <v>191</v>
      </c>
      <c r="K73" s="9">
        <v>51</v>
      </c>
      <c r="L73" s="7" t="s">
        <v>958</v>
      </c>
      <c r="M73" s="9">
        <v>52</v>
      </c>
      <c r="N73" s="7" t="s">
        <v>959</v>
      </c>
      <c r="O73" s="9">
        <v>15</v>
      </c>
      <c r="P73" s="7" t="s">
        <v>949</v>
      </c>
      <c r="Q73" s="9">
        <v>15</v>
      </c>
      <c r="R73" s="7" t="s">
        <v>949</v>
      </c>
      <c r="S73" s="7" t="s">
        <v>617</v>
      </c>
      <c r="T73" s="7" t="s">
        <v>802</v>
      </c>
      <c r="U73" s="28"/>
      <c r="V73" s="7">
        <v>4</v>
      </c>
      <c r="W73" s="7" t="s">
        <v>960</v>
      </c>
      <c r="X73" s="28"/>
      <c r="Y73" s="7" t="s">
        <v>961</v>
      </c>
      <c r="Z73" s="7" t="s">
        <v>621</v>
      </c>
      <c r="AA73" s="7" t="s">
        <v>962</v>
      </c>
      <c r="AB73" s="7" t="s">
        <v>638</v>
      </c>
      <c r="AC73" s="7"/>
      <c r="AD73" s="7"/>
      <c r="AE73" s="7"/>
      <c r="AF73" s="7"/>
      <c r="AG73" s="7"/>
      <c r="AH73" s="7"/>
      <c r="AI73" s="7" t="s">
        <v>611</v>
      </c>
      <c r="AJ73" s="7" t="s">
        <v>623</v>
      </c>
      <c r="AK73" s="7">
        <v>10</v>
      </c>
      <c r="AL73" s="7">
        <v>9</v>
      </c>
      <c r="AM73" s="7" t="s">
        <v>624</v>
      </c>
      <c r="AN73" s="7" t="s">
        <v>625</v>
      </c>
      <c r="AO73" s="7" t="s">
        <v>626</v>
      </c>
      <c r="AP73" s="7" t="s">
        <v>627</v>
      </c>
      <c r="AQ73" s="7" t="s">
        <v>617</v>
      </c>
      <c r="AR73" s="7"/>
      <c r="AS73" s="7"/>
      <c r="AT73" s="7"/>
      <c r="AU73" s="6">
        <v>91000</v>
      </c>
      <c r="AV73" s="6" t="s">
        <v>182</v>
      </c>
      <c r="AW73" s="7"/>
      <c r="AX73" s="7"/>
      <c r="AY73" s="7"/>
      <c r="AZ73" s="7"/>
      <c r="BA73" s="6">
        <v>1214</v>
      </c>
      <c r="BB73" s="6" t="s">
        <v>628</v>
      </c>
      <c r="BC73" s="7"/>
      <c r="BD73" s="7"/>
      <c r="BE73" s="7"/>
      <c r="BF73" s="7"/>
      <c r="BG73" s="7">
        <v>0</v>
      </c>
      <c r="BH73" s="7">
        <v>0</v>
      </c>
      <c r="BI73" s="7">
        <v>0</v>
      </c>
      <c r="BJ73" s="7">
        <v>10</v>
      </c>
      <c r="BK73" s="7">
        <v>0</v>
      </c>
      <c r="BL73" s="7">
        <v>10</v>
      </c>
      <c r="BM73" s="7"/>
      <c r="BN73" s="7">
        <v>0</v>
      </c>
      <c r="BO73" s="7"/>
      <c r="BP73" s="7"/>
      <c r="BQ73" s="7">
        <v>0</v>
      </c>
      <c r="BR73" s="7">
        <v>380</v>
      </c>
      <c r="BS73" s="7" t="s">
        <v>629</v>
      </c>
      <c r="BT73" s="7"/>
      <c r="BU73" s="7"/>
      <c r="BV73" s="7">
        <v>0</v>
      </c>
      <c r="BW73" s="7"/>
      <c r="BX73" s="7"/>
      <c r="BY73" s="7">
        <v>10001</v>
      </c>
      <c r="BZ73" s="7" t="s">
        <v>1414</v>
      </c>
      <c r="CA73" s="7"/>
      <c r="CB73" s="7"/>
      <c r="CC73" s="7"/>
      <c r="CD73" s="7"/>
      <c r="CE73" s="7"/>
      <c r="CF73" s="7"/>
      <c r="CG73" s="7"/>
      <c r="CH73" s="7">
        <v>3563</v>
      </c>
      <c r="CI73" s="7" t="s">
        <v>630</v>
      </c>
      <c r="CJ73" s="7"/>
      <c r="CK73" s="7"/>
      <c r="CL73" s="7"/>
      <c r="CM73" s="7"/>
      <c r="CN73" s="7">
        <v>0</v>
      </c>
      <c r="CO73" s="7"/>
      <c r="CP73" s="7"/>
      <c r="CQ73" s="7"/>
      <c r="CR73" s="7"/>
      <c r="CS73" s="7">
        <v>0</v>
      </c>
      <c r="CT73" s="7"/>
      <c r="CU73" s="7"/>
      <c r="CV73" s="7" t="s">
        <v>963</v>
      </c>
      <c r="CW73" s="7" t="s">
        <v>190</v>
      </c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126"/>
      <c r="EE73" s="7"/>
      <c r="EF73" s="7"/>
      <c r="EG73" s="7"/>
    </row>
    <row r="74" spans="1:137" ht="13.5" customHeight="1">
      <c r="A74" s="7">
        <v>62</v>
      </c>
      <c r="B74" s="7"/>
      <c r="C74" s="7"/>
      <c r="D74" s="7"/>
      <c r="E74" s="7" t="s">
        <v>192</v>
      </c>
      <c r="F74" s="7"/>
      <c r="G74" s="7">
        <v>352943</v>
      </c>
      <c r="H74" s="7" t="s">
        <v>613</v>
      </c>
      <c r="I74" s="7">
        <v>60</v>
      </c>
      <c r="J74" s="7" t="s">
        <v>967</v>
      </c>
      <c r="K74" s="7">
        <v>48</v>
      </c>
      <c r="L74" s="7" t="s">
        <v>964</v>
      </c>
      <c r="M74" s="7">
        <v>34</v>
      </c>
      <c r="N74" s="7" t="s">
        <v>965</v>
      </c>
      <c r="O74" s="7">
        <v>18</v>
      </c>
      <c r="P74" s="7" t="s">
        <v>966</v>
      </c>
      <c r="Q74" s="7">
        <v>18</v>
      </c>
      <c r="R74" s="7" t="s">
        <v>966</v>
      </c>
      <c r="S74" s="7" t="s">
        <v>617</v>
      </c>
      <c r="T74" s="7" t="s">
        <v>802</v>
      </c>
      <c r="U74" s="28"/>
      <c r="V74" s="7">
        <v>4</v>
      </c>
      <c r="W74" s="7" t="s">
        <v>665</v>
      </c>
      <c r="X74" s="28"/>
      <c r="Y74" s="7" t="s">
        <v>968</v>
      </c>
      <c r="Z74" s="7" t="s">
        <v>621</v>
      </c>
      <c r="AA74" s="7" t="s">
        <v>622</v>
      </c>
      <c r="AB74" s="7" t="s">
        <v>638</v>
      </c>
      <c r="AC74" s="7"/>
      <c r="AD74" s="7"/>
      <c r="AE74" s="7"/>
      <c r="AF74" s="7"/>
      <c r="AG74" s="7"/>
      <c r="AH74" s="7"/>
      <c r="AI74" s="7" t="s">
        <v>611</v>
      </c>
      <c r="AJ74" s="7" t="s">
        <v>623</v>
      </c>
      <c r="AK74" s="7">
        <v>10</v>
      </c>
      <c r="AL74" s="7">
        <v>9</v>
      </c>
      <c r="AM74" s="7" t="s">
        <v>624</v>
      </c>
      <c r="AN74" s="7" t="s">
        <v>625</v>
      </c>
      <c r="AO74" s="7" t="s">
        <v>626</v>
      </c>
      <c r="AP74" s="7" t="s">
        <v>627</v>
      </c>
      <c r="AQ74" s="7" t="s">
        <v>617</v>
      </c>
      <c r="AR74" s="7"/>
      <c r="AS74" s="7"/>
      <c r="AT74" s="7"/>
      <c r="AU74" s="6">
        <v>91000</v>
      </c>
      <c r="AV74" s="6" t="s">
        <v>182</v>
      </c>
      <c r="AW74" s="7"/>
      <c r="AX74" s="7"/>
      <c r="AY74" s="7"/>
      <c r="AZ74" s="7"/>
      <c r="BA74" s="6">
        <v>1214</v>
      </c>
      <c r="BB74" s="6" t="s">
        <v>628</v>
      </c>
      <c r="BC74" s="7"/>
      <c r="BD74" s="7"/>
      <c r="BE74" s="7"/>
      <c r="BF74" s="7"/>
      <c r="BG74" s="7">
        <v>0</v>
      </c>
      <c r="BH74" s="7">
        <v>0</v>
      </c>
      <c r="BI74" s="7">
        <v>0</v>
      </c>
      <c r="BJ74" s="7">
        <v>10</v>
      </c>
      <c r="BK74" s="7">
        <v>0</v>
      </c>
      <c r="BL74" s="7">
        <v>10</v>
      </c>
      <c r="BM74" s="7"/>
      <c r="BN74" s="7">
        <v>0</v>
      </c>
      <c r="BO74" s="7"/>
      <c r="BP74" s="7"/>
      <c r="BQ74" s="7">
        <v>0</v>
      </c>
      <c r="BR74" s="7">
        <v>380</v>
      </c>
      <c r="BS74" s="7" t="s">
        <v>629</v>
      </c>
      <c r="BT74" s="7"/>
      <c r="BU74" s="7"/>
      <c r="BV74" s="7">
        <v>0</v>
      </c>
      <c r="BW74" s="7"/>
      <c r="BX74" s="7"/>
      <c r="BY74" s="7">
        <v>10001</v>
      </c>
      <c r="BZ74" s="7" t="s">
        <v>1414</v>
      </c>
      <c r="CA74" s="7"/>
      <c r="CB74" s="7"/>
      <c r="CC74" s="7"/>
      <c r="CD74" s="7"/>
      <c r="CE74" s="7"/>
      <c r="CF74" s="7"/>
      <c r="CG74" s="7"/>
      <c r="CH74" s="7">
        <v>3563</v>
      </c>
      <c r="CI74" s="7" t="s">
        <v>630</v>
      </c>
      <c r="CJ74" s="7"/>
      <c r="CK74" s="7"/>
      <c r="CL74" s="7"/>
      <c r="CM74" s="7"/>
      <c r="CN74" s="7">
        <v>0</v>
      </c>
      <c r="CO74" s="7"/>
      <c r="CP74" s="7"/>
      <c r="CQ74" s="7"/>
      <c r="CR74" s="7"/>
      <c r="CS74" s="7">
        <v>0</v>
      </c>
      <c r="CT74" s="7"/>
      <c r="CU74" s="7"/>
      <c r="CV74" s="7" t="s">
        <v>969</v>
      </c>
      <c r="CW74" s="7" t="s">
        <v>193</v>
      </c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126"/>
      <c r="EE74" s="7"/>
      <c r="EF74" s="7"/>
      <c r="EG74" s="7"/>
    </row>
    <row r="75" spans="1:137" ht="13.5" customHeight="1">
      <c r="A75" s="7">
        <v>63</v>
      </c>
      <c r="B75" s="7"/>
      <c r="C75" s="7"/>
      <c r="D75" s="7"/>
      <c r="E75" s="7" t="s">
        <v>194</v>
      </c>
      <c r="F75" s="7"/>
      <c r="G75" s="7">
        <v>352944</v>
      </c>
      <c r="H75" s="7" t="s">
        <v>613</v>
      </c>
      <c r="I75" s="7">
        <v>90</v>
      </c>
      <c r="J75" s="7" t="s">
        <v>196</v>
      </c>
      <c r="K75" s="7">
        <v>49</v>
      </c>
      <c r="L75" s="7" t="s">
        <v>970</v>
      </c>
      <c r="M75" s="7">
        <v>40</v>
      </c>
      <c r="N75" s="7" t="s">
        <v>971</v>
      </c>
      <c r="O75" s="7">
        <v>16</v>
      </c>
      <c r="P75" s="7" t="s">
        <v>972</v>
      </c>
      <c r="Q75" s="7">
        <v>16</v>
      </c>
      <c r="R75" s="7" t="s">
        <v>972</v>
      </c>
      <c r="S75" s="7" t="s">
        <v>617</v>
      </c>
      <c r="T75" s="7" t="s">
        <v>802</v>
      </c>
      <c r="U75" s="28"/>
      <c r="V75" s="7">
        <v>4</v>
      </c>
      <c r="W75" s="7" t="s">
        <v>665</v>
      </c>
      <c r="X75" s="28"/>
      <c r="Y75" s="7" t="s">
        <v>968</v>
      </c>
      <c r="Z75" s="7" t="s">
        <v>621</v>
      </c>
      <c r="AA75" s="7" t="s">
        <v>622</v>
      </c>
      <c r="AB75" s="7" t="s">
        <v>638</v>
      </c>
      <c r="AC75" s="7"/>
      <c r="AD75" s="7"/>
      <c r="AE75" s="7"/>
      <c r="AF75" s="7"/>
      <c r="AG75" s="7"/>
      <c r="AH75" s="7"/>
      <c r="AI75" s="7" t="s">
        <v>611</v>
      </c>
      <c r="AJ75" s="7" t="s">
        <v>623</v>
      </c>
      <c r="AK75" s="7">
        <v>10</v>
      </c>
      <c r="AL75" s="7">
        <v>9</v>
      </c>
      <c r="AM75" s="7" t="s">
        <v>624</v>
      </c>
      <c r="AN75" s="7" t="s">
        <v>625</v>
      </c>
      <c r="AO75" s="7" t="s">
        <v>626</v>
      </c>
      <c r="AP75" s="7" t="s">
        <v>627</v>
      </c>
      <c r="AQ75" s="7" t="s">
        <v>617</v>
      </c>
      <c r="AR75" s="7"/>
      <c r="AS75" s="7"/>
      <c r="AT75" s="7"/>
      <c r="AU75" s="6">
        <v>91000</v>
      </c>
      <c r="AV75" s="6" t="s">
        <v>182</v>
      </c>
      <c r="AW75" s="7"/>
      <c r="AX75" s="7"/>
      <c r="AY75" s="7"/>
      <c r="AZ75" s="7"/>
      <c r="BA75" s="6">
        <v>1214</v>
      </c>
      <c r="BB75" s="6" t="s">
        <v>628</v>
      </c>
      <c r="BC75" s="7"/>
      <c r="BD75" s="7"/>
      <c r="BE75" s="7"/>
      <c r="BF75" s="7"/>
      <c r="BG75" s="7">
        <v>0</v>
      </c>
      <c r="BH75" s="7">
        <v>0</v>
      </c>
      <c r="BI75" s="7">
        <v>0</v>
      </c>
      <c r="BJ75" s="7">
        <v>10</v>
      </c>
      <c r="BK75" s="7">
        <v>0</v>
      </c>
      <c r="BL75" s="7">
        <v>10</v>
      </c>
      <c r="BM75" s="7"/>
      <c r="BN75" s="7">
        <v>0</v>
      </c>
      <c r="BO75" s="7"/>
      <c r="BP75" s="7"/>
      <c r="BQ75" s="7">
        <v>0</v>
      </c>
      <c r="BR75" s="7">
        <v>380</v>
      </c>
      <c r="BS75" s="7" t="s">
        <v>629</v>
      </c>
      <c r="BT75" s="7"/>
      <c r="BU75" s="7"/>
      <c r="BV75" s="7">
        <v>0</v>
      </c>
      <c r="BW75" s="7"/>
      <c r="BX75" s="7"/>
      <c r="BY75" s="7">
        <v>10001</v>
      </c>
      <c r="BZ75" s="7" t="s">
        <v>1414</v>
      </c>
      <c r="CA75" s="7"/>
      <c r="CB75" s="7"/>
      <c r="CC75" s="7"/>
      <c r="CD75" s="7"/>
      <c r="CE75" s="7"/>
      <c r="CF75" s="7"/>
      <c r="CG75" s="7"/>
      <c r="CH75" s="7">
        <v>3563</v>
      </c>
      <c r="CI75" s="7" t="s">
        <v>630</v>
      </c>
      <c r="CJ75" s="7"/>
      <c r="CK75" s="7"/>
      <c r="CL75" s="7"/>
      <c r="CM75" s="7"/>
      <c r="CN75" s="7">
        <v>0</v>
      </c>
      <c r="CO75" s="7"/>
      <c r="CP75" s="7"/>
      <c r="CQ75" s="7"/>
      <c r="CR75" s="7"/>
      <c r="CS75" s="7">
        <v>0</v>
      </c>
      <c r="CT75" s="7"/>
      <c r="CU75" s="7"/>
      <c r="CV75" s="7" t="s">
        <v>973</v>
      </c>
      <c r="CW75" s="7" t="s">
        <v>195</v>
      </c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126"/>
      <c r="EE75" s="7"/>
      <c r="EF75" s="7"/>
      <c r="EG75" s="7"/>
    </row>
    <row r="76" spans="1:137" ht="13.5" customHeight="1">
      <c r="A76" s="7">
        <v>64</v>
      </c>
      <c r="B76" s="7"/>
      <c r="C76" s="7"/>
      <c r="D76" s="7"/>
      <c r="E76" s="7" t="s">
        <v>198</v>
      </c>
      <c r="F76" s="7"/>
      <c r="G76" s="7">
        <v>353034</v>
      </c>
      <c r="H76" s="7" t="s">
        <v>613</v>
      </c>
      <c r="I76" s="7">
        <v>16</v>
      </c>
      <c r="J76" s="7" t="s">
        <v>200</v>
      </c>
      <c r="K76" s="7">
        <v>25</v>
      </c>
      <c r="L76" s="7" t="s">
        <v>974</v>
      </c>
      <c r="M76" s="7">
        <v>8</v>
      </c>
      <c r="N76" s="7" t="s">
        <v>975</v>
      </c>
      <c r="O76" s="7">
        <v>8</v>
      </c>
      <c r="P76" s="7" t="s">
        <v>975</v>
      </c>
      <c r="Q76" s="7">
        <v>8</v>
      </c>
      <c r="R76" s="7" t="s">
        <v>975</v>
      </c>
      <c r="S76" s="7" t="s">
        <v>617</v>
      </c>
      <c r="T76" s="7" t="s">
        <v>976</v>
      </c>
      <c r="U76" s="28"/>
      <c r="V76" s="7">
        <v>48</v>
      </c>
      <c r="W76" s="7" t="s">
        <v>977</v>
      </c>
      <c r="X76" s="28"/>
      <c r="Y76" s="7" t="s">
        <v>978</v>
      </c>
      <c r="Z76" s="7" t="s">
        <v>621</v>
      </c>
      <c r="AA76" s="7" t="s">
        <v>622</v>
      </c>
      <c r="AB76" s="7" t="s">
        <v>638</v>
      </c>
      <c r="AC76" s="7"/>
      <c r="AD76" s="7"/>
      <c r="AE76" s="7"/>
      <c r="AF76" s="7"/>
      <c r="AG76" s="7"/>
      <c r="AH76" s="7"/>
      <c r="AI76" s="7" t="s">
        <v>611</v>
      </c>
      <c r="AJ76" s="7" t="s">
        <v>623</v>
      </c>
      <c r="AK76" s="7">
        <v>10</v>
      </c>
      <c r="AL76" s="7">
        <v>9</v>
      </c>
      <c r="AM76" s="7" t="s">
        <v>624</v>
      </c>
      <c r="AN76" s="7" t="s">
        <v>625</v>
      </c>
      <c r="AO76" s="7" t="s">
        <v>626</v>
      </c>
      <c r="AP76" s="7" t="s">
        <v>627</v>
      </c>
      <c r="AQ76" s="7" t="s">
        <v>617</v>
      </c>
      <c r="AR76" s="7"/>
      <c r="AS76" s="7"/>
      <c r="AT76" s="7"/>
      <c r="AU76" s="6">
        <v>91022</v>
      </c>
      <c r="AV76" s="6" t="s">
        <v>197</v>
      </c>
      <c r="AW76" s="7"/>
      <c r="AX76" s="7"/>
      <c r="AY76" s="7"/>
      <c r="AZ76" s="7"/>
      <c r="BA76" s="6">
        <v>1214</v>
      </c>
      <c r="BB76" s="6" t="s">
        <v>628</v>
      </c>
      <c r="BC76" s="7"/>
      <c r="BD76" s="7"/>
      <c r="BE76" s="7"/>
      <c r="BF76" s="7"/>
      <c r="BG76" s="7">
        <v>0</v>
      </c>
      <c r="BH76" s="7">
        <v>0</v>
      </c>
      <c r="BI76" s="7">
        <v>0</v>
      </c>
      <c r="BJ76" s="7">
        <v>10</v>
      </c>
      <c r="BK76" s="7">
        <v>0</v>
      </c>
      <c r="BL76" s="7">
        <v>10</v>
      </c>
      <c r="BM76" s="7"/>
      <c r="BN76" s="7">
        <v>0</v>
      </c>
      <c r="BO76" s="7"/>
      <c r="BP76" s="7"/>
      <c r="BQ76" s="7">
        <v>0</v>
      </c>
      <c r="BR76" s="7">
        <v>380</v>
      </c>
      <c r="BS76" s="7" t="s">
        <v>629</v>
      </c>
      <c r="BT76" s="7"/>
      <c r="BU76" s="7"/>
      <c r="BV76" s="7">
        <v>0</v>
      </c>
      <c r="BW76" s="7"/>
      <c r="BX76" s="7"/>
      <c r="BY76" s="7">
        <v>10001</v>
      </c>
      <c r="BZ76" s="7" t="s">
        <v>1414</v>
      </c>
      <c r="CA76" s="7"/>
      <c r="CB76" s="7"/>
      <c r="CC76" s="7"/>
      <c r="CD76" s="7"/>
      <c r="CE76" s="7"/>
      <c r="CF76" s="7"/>
      <c r="CG76" s="7"/>
      <c r="CH76" s="7">
        <v>3564</v>
      </c>
      <c r="CI76" s="7" t="s">
        <v>979</v>
      </c>
      <c r="CJ76" s="7"/>
      <c r="CK76" s="7"/>
      <c r="CL76" s="7"/>
      <c r="CM76" s="7"/>
      <c r="CN76" s="7">
        <v>0</v>
      </c>
      <c r="CO76" s="7"/>
      <c r="CP76" s="7"/>
      <c r="CQ76" s="7"/>
      <c r="CR76" s="7"/>
      <c r="CS76" s="7">
        <v>0</v>
      </c>
      <c r="CT76" s="7"/>
      <c r="CU76" s="7"/>
      <c r="CV76" s="7" t="s">
        <v>980</v>
      </c>
      <c r="CW76" s="7" t="s">
        <v>199</v>
      </c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126"/>
      <c r="EE76" s="7"/>
      <c r="EF76" s="7"/>
      <c r="EG76" s="7"/>
    </row>
    <row r="77" spans="1:137" ht="13.5" customHeight="1">
      <c r="A77" s="7">
        <v>65</v>
      </c>
      <c r="B77" s="7"/>
      <c r="C77" s="7"/>
      <c r="D77" s="7"/>
      <c r="E77" s="7" t="s">
        <v>201</v>
      </c>
      <c r="F77" s="7"/>
      <c r="G77" s="7">
        <v>353035</v>
      </c>
      <c r="H77" s="7" t="s">
        <v>613</v>
      </c>
      <c r="I77" s="7">
        <v>20</v>
      </c>
      <c r="J77" s="7" t="s">
        <v>203</v>
      </c>
      <c r="K77" s="7">
        <v>29</v>
      </c>
      <c r="L77" s="7" t="s">
        <v>981</v>
      </c>
      <c r="M77" s="7">
        <v>9</v>
      </c>
      <c r="N77" s="7" t="s">
        <v>982</v>
      </c>
      <c r="O77" s="7">
        <v>9</v>
      </c>
      <c r="P77" s="7" t="s">
        <v>982</v>
      </c>
      <c r="Q77" s="7">
        <v>9</v>
      </c>
      <c r="R77" s="7" t="s">
        <v>982</v>
      </c>
      <c r="S77" s="7" t="s">
        <v>617</v>
      </c>
      <c r="T77" s="7" t="s">
        <v>976</v>
      </c>
      <c r="U77" s="28"/>
      <c r="V77" s="7">
        <v>48</v>
      </c>
      <c r="W77" s="7" t="s">
        <v>977</v>
      </c>
      <c r="X77" s="28"/>
      <c r="Y77" s="7" t="s">
        <v>978</v>
      </c>
      <c r="Z77" s="7" t="s">
        <v>621</v>
      </c>
      <c r="AA77" s="7" t="s">
        <v>622</v>
      </c>
      <c r="AB77" s="7" t="s">
        <v>638</v>
      </c>
      <c r="AC77" s="7"/>
      <c r="AD77" s="7"/>
      <c r="AE77" s="7"/>
      <c r="AF77" s="7"/>
      <c r="AG77" s="7"/>
      <c r="AH77" s="7"/>
      <c r="AI77" s="7" t="s">
        <v>611</v>
      </c>
      <c r="AJ77" s="7" t="s">
        <v>623</v>
      </c>
      <c r="AK77" s="7">
        <v>10</v>
      </c>
      <c r="AL77" s="7">
        <v>9</v>
      </c>
      <c r="AM77" s="7" t="s">
        <v>624</v>
      </c>
      <c r="AN77" s="7" t="s">
        <v>625</v>
      </c>
      <c r="AO77" s="7" t="s">
        <v>626</v>
      </c>
      <c r="AP77" s="7" t="s">
        <v>627</v>
      </c>
      <c r="AQ77" s="7" t="s">
        <v>617</v>
      </c>
      <c r="AR77" s="7"/>
      <c r="AS77" s="7"/>
      <c r="AT77" s="7"/>
      <c r="AU77" s="6">
        <v>91022</v>
      </c>
      <c r="AV77" s="6" t="s">
        <v>197</v>
      </c>
      <c r="AW77" s="7"/>
      <c r="AX77" s="7"/>
      <c r="AY77" s="7"/>
      <c r="AZ77" s="7"/>
      <c r="BA77" s="6">
        <v>1214</v>
      </c>
      <c r="BB77" s="6" t="s">
        <v>628</v>
      </c>
      <c r="BC77" s="7"/>
      <c r="BD77" s="7"/>
      <c r="BE77" s="7"/>
      <c r="BF77" s="7"/>
      <c r="BG77" s="7">
        <v>0</v>
      </c>
      <c r="BH77" s="7">
        <v>0</v>
      </c>
      <c r="BI77" s="7">
        <v>0</v>
      </c>
      <c r="BJ77" s="7">
        <v>10</v>
      </c>
      <c r="BK77" s="7">
        <v>0</v>
      </c>
      <c r="BL77" s="7">
        <v>10</v>
      </c>
      <c r="BM77" s="7"/>
      <c r="BN77" s="7">
        <v>0</v>
      </c>
      <c r="BO77" s="7"/>
      <c r="BP77" s="7"/>
      <c r="BQ77" s="7">
        <v>0</v>
      </c>
      <c r="BR77" s="7">
        <v>380</v>
      </c>
      <c r="BS77" s="7" t="s">
        <v>629</v>
      </c>
      <c r="BT77" s="7"/>
      <c r="BU77" s="7"/>
      <c r="BV77" s="7">
        <v>0</v>
      </c>
      <c r="BW77" s="7"/>
      <c r="BX77" s="7"/>
      <c r="BY77" s="7">
        <v>10001</v>
      </c>
      <c r="BZ77" s="7" t="s">
        <v>1414</v>
      </c>
      <c r="CA77" s="7"/>
      <c r="CB77" s="7"/>
      <c r="CC77" s="7"/>
      <c r="CD77" s="7"/>
      <c r="CE77" s="7"/>
      <c r="CF77" s="7"/>
      <c r="CG77" s="7"/>
      <c r="CH77" s="7">
        <v>3564</v>
      </c>
      <c r="CI77" s="7" t="s">
        <v>979</v>
      </c>
      <c r="CJ77" s="7"/>
      <c r="CK77" s="7"/>
      <c r="CL77" s="7"/>
      <c r="CM77" s="7"/>
      <c r="CN77" s="7">
        <v>0</v>
      </c>
      <c r="CO77" s="7"/>
      <c r="CP77" s="7"/>
      <c r="CQ77" s="7"/>
      <c r="CR77" s="7"/>
      <c r="CS77" s="7">
        <v>0</v>
      </c>
      <c r="CT77" s="7"/>
      <c r="CU77" s="7"/>
      <c r="CV77" s="7" t="s">
        <v>983</v>
      </c>
      <c r="CW77" s="7" t="s">
        <v>202</v>
      </c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126"/>
      <c r="EE77" s="7"/>
      <c r="EF77" s="7"/>
      <c r="EG77" s="7"/>
    </row>
    <row r="78" spans="1:137" ht="13.5" customHeight="1">
      <c r="A78" s="7">
        <v>66</v>
      </c>
      <c r="B78" s="7"/>
      <c r="C78" s="7"/>
      <c r="D78" s="7"/>
      <c r="E78" s="7" t="s">
        <v>204</v>
      </c>
      <c r="F78" s="7"/>
      <c r="G78" s="7">
        <v>353036</v>
      </c>
      <c r="H78" s="7" t="s">
        <v>613</v>
      </c>
      <c r="I78" s="7">
        <v>16</v>
      </c>
      <c r="J78" s="7" t="s">
        <v>206</v>
      </c>
      <c r="K78" s="7">
        <v>25</v>
      </c>
      <c r="L78" s="7" t="s">
        <v>984</v>
      </c>
      <c r="M78" s="7">
        <v>7</v>
      </c>
      <c r="N78" s="7" t="s">
        <v>985</v>
      </c>
      <c r="O78" s="7">
        <v>7</v>
      </c>
      <c r="P78" s="7" t="s">
        <v>985</v>
      </c>
      <c r="Q78" s="7">
        <v>7</v>
      </c>
      <c r="R78" s="7" t="s">
        <v>985</v>
      </c>
      <c r="S78" s="7" t="s">
        <v>617</v>
      </c>
      <c r="T78" s="7" t="s">
        <v>976</v>
      </c>
      <c r="U78" s="28"/>
      <c r="V78" s="7">
        <v>48</v>
      </c>
      <c r="W78" s="7" t="s">
        <v>977</v>
      </c>
      <c r="X78" s="28"/>
      <c r="Y78" s="7" t="s">
        <v>978</v>
      </c>
      <c r="Z78" s="7" t="s">
        <v>621</v>
      </c>
      <c r="AA78" s="7" t="s">
        <v>622</v>
      </c>
      <c r="AB78" s="7" t="s">
        <v>638</v>
      </c>
      <c r="AC78" s="7"/>
      <c r="AD78" s="7"/>
      <c r="AE78" s="7"/>
      <c r="AF78" s="7"/>
      <c r="AG78" s="7"/>
      <c r="AH78" s="7"/>
      <c r="AI78" s="7" t="s">
        <v>611</v>
      </c>
      <c r="AJ78" s="7" t="s">
        <v>623</v>
      </c>
      <c r="AK78" s="7">
        <v>10</v>
      </c>
      <c r="AL78" s="7">
        <v>9</v>
      </c>
      <c r="AM78" s="7" t="s">
        <v>624</v>
      </c>
      <c r="AN78" s="7" t="s">
        <v>625</v>
      </c>
      <c r="AO78" s="7" t="s">
        <v>626</v>
      </c>
      <c r="AP78" s="7" t="s">
        <v>627</v>
      </c>
      <c r="AQ78" s="7" t="s">
        <v>617</v>
      </c>
      <c r="AR78" s="7"/>
      <c r="AS78" s="7"/>
      <c r="AT78" s="7"/>
      <c r="AU78" s="6">
        <v>91022</v>
      </c>
      <c r="AV78" s="6" t="s">
        <v>197</v>
      </c>
      <c r="AW78" s="7"/>
      <c r="AX78" s="7"/>
      <c r="AY78" s="7"/>
      <c r="AZ78" s="7"/>
      <c r="BA78" s="6">
        <v>1214</v>
      </c>
      <c r="BB78" s="6" t="s">
        <v>628</v>
      </c>
      <c r="BC78" s="7"/>
      <c r="BD78" s="7"/>
      <c r="BE78" s="7"/>
      <c r="BF78" s="7"/>
      <c r="BG78" s="7">
        <v>0</v>
      </c>
      <c r="BH78" s="7">
        <v>0</v>
      </c>
      <c r="BI78" s="7">
        <v>0</v>
      </c>
      <c r="BJ78" s="7">
        <v>10</v>
      </c>
      <c r="BK78" s="7">
        <v>0</v>
      </c>
      <c r="BL78" s="7">
        <v>10</v>
      </c>
      <c r="BM78" s="7"/>
      <c r="BN78" s="7">
        <v>0</v>
      </c>
      <c r="BO78" s="7"/>
      <c r="BP78" s="7"/>
      <c r="BQ78" s="7">
        <v>0</v>
      </c>
      <c r="BR78" s="7">
        <v>380</v>
      </c>
      <c r="BS78" s="7" t="s">
        <v>629</v>
      </c>
      <c r="BT78" s="7"/>
      <c r="BU78" s="7"/>
      <c r="BV78" s="7">
        <v>0</v>
      </c>
      <c r="BW78" s="7"/>
      <c r="BX78" s="7"/>
      <c r="BY78" s="7">
        <v>10001</v>
      </c>
      <c r="BZ78" s="7" t="s">
        <v>1414</v>
      </c>
      <c r="CA78" s="7"/>
      <c r="CB78" s="7"/>
      <c r="CC78" s="7"/>
      <c r="CD78" s="7"/>
      <c r="CE78" s="7"/>
      <c r="CF78" s="7"/>
      <c r="CG78" s="7"/>
      <c r="CH78" s="7">
        <v>3564</v>
      </c>
      <c r="CI78" s="7" t="s">
        <v>979</v>
      </c>
      <c r="CJ78" s="7"/>
      <c r="CK78" s="7"/>
      <c r="CL78" s="7"/>
      <c r="CM78" s="7"/>
      <c r="CN78" s="7">
        <v>0</v>
      </c>
      <c r="CO78" s="7"/>
      <c r="CP78" s="7"/>
      <c r="CQ78" s="7"/>
      <c r="CR78" s="7"/>
      <c r="CS78" s="7">
        <v>0</v>
      </c>
      <c r="CT78" s="7"/>
      <c r="CU78" s="7"/>
      <c r="CV78" s="7" t="s">
        <v>986</v>
      </c>
      <c r="CW78" s="7" t="s">
        <v>205</v>
      </c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126"/>
      <c r="EE78" s="7"/>
      <c r="EF78" s="7"/>
      <c r="EG78" s="7"/>
    </row>
    <row r="79" spans="1:137" ht="13.5" customHeight="1">
      <c r="A79" s="7">
        <v>67</v>
      </c>
      <c r="B79" s="7"/>
      <c r="C79" s="7"/>
      <c r="D79" s="7"/>
      <c r="E79" s="7" t="s">
        <v>207</v>
      </c>
      <c r="F79" s="7"/>
      <c r="G79" s="7">
        <v>353037</v>
      </c>
      <c r="H79" s="7" t="s">
        <v>613</v>
      </c>
      <c r="I79" s="7">
        <v>29</v>
      </c>
      <c r="J79" s="7" t="s">
        <v>209</v>
      </c>
      <c r="K79" s="7">
        <v>39</v>
      </c>
      <c r="L79" s="7" t="s">
        <v>987</v>
      </c>
      <c r="M79" s="7">
        <v>21</v>
      </c>
      <c r="N79" s="7" t="s">
        <v>988</v>
      </c>
      <c r="O79" s="7">
        <v>18</v>
      </c>
      <c r="P79" s="7" t="s">
        <v>989</v>
      </c>
      <c r="Q79" s="7">
        <v>18</v>
      </c>
      <c r="R79" s="7" t="s">
        <v>989</v>
      </c>
      <c r="S79" s="7" t="s">
        <v>617</v>
      </c>
      <c r="T79" s="7" t="s">
        <v>976</v>
      </c>
      <c r="U79" s="28"/>
      <c r="V79" s="7">
        <v>48</v>
      </c>
      <c r="W79" s="7" t="s">
        <v>977</v>
      </c>
      <c r="X79" s="28"/>
      <c r="Y79" s="7" t="s">
        <v>978</v>
      </c>
      <c r="Z79" s="7" t="s">
        <v>621</v>
      </c>
      <c r="AA79" s="7" t="s">
        <v>622</v>
      </c>
      <c r="AB79" s="7" t="s">
        <v>638</v>
      </c>
      <c r="AC79" s="7"/>
      <c r="AD79" s="7"/>
      <c r="AE79" s="7"/>
      <c r="AF79" s="7"/>
      <c r="AG79" s="7"/>
      <c r="AH79" s="7"/>
      <c r="AI79" s="7" t="s">
        <v>611</v>
      </c>
      <c r="AJ79" s="7" t="s">
        <v>623</v>
      </c>
      <c r="AK79" s="7">
        <v>10</v>
      </c>
      <c r="AL79" s="7">
        <v>9</v>
      </c>
      <c r="AM79" s="7" t="s">
        <v>624</v>
      </c>
      <c r="AN79" s="7" t="s">
        <v>625</v>
      </c>
      <c r="AO79" s="7" t="s">
        <v>626</v>
      </c>
      <c r="AP79" s="7" t="s">
        <v>627</v>
      </c>
      <c r="AQ79" s="7" t="s">
        <v>617</v>
      </c>
      <c r="AR79" s="7"/>
      <c r="AS79" s="7"/>
      <c r="AT79" s="7"/>
      <c r="AU79" s="6">
        <v>91022</v>
      </c>
      <c r="AV79" s="6" t="s">
        <v>197</v>
      </c>
      <c r="AW79" s="7"/>
      <c r="AX79" s="7"/>
      <c r="AY79" s="7"/>
      <c r="AZ79" s="7"/>
      <c r="BA79" s="6">
        <v>1214</v>
      </c>
      <c r="BB79" s="6" t="s">
        <v>628</v>
      </c>
      <c r="BC79" s="7"/>
      <c r="BD79" s="7"/>
      <c r="BE79" s="7"/>
      <c r="BF79" s="7"/>
      <c r="BG79" s="7">
        <v>0</v>
      </c>
      <c r="BH79" s="7">
        <v>0</v>
      </c>
      <c r="BI79" s="7">
        <v>0</v>
      </c>
      <c r="BJ79" s="7">
        <v>10</v>
      </c>
      <c r="BK79" s="7">
        <v>0</v>
      </c>
      <c r="BL79" s="7">
        <v>10</v>
      </c>
      <c r="BM79" s="7"/>
      <c r="BN79" s="7">
        <v>0</v>
      </c>
      <c r="BO79" s="7"/>
      <c r="BP79" s="7"/>
      <c r="BQ79" s="7">
        <v>0</v>
      </c>
      <c r="BR79" s="7">
        <v>380</v>
      </c>
      <c r="BS79" s="7" t="s">
        <v>629</v>
      </c>
      <c r="BT79" s="7"/>
      <c r="BU79" s="7"/>
      <c r="BV79" s="7">
        <v>0</v>
      </c>
      <c r="BW79" s="7"/>
      <c r="BX79" s="7"/>
      <c r="BY79" s="7">
        <v>10001</v>
      </c>
      <c r="BZ79" s="7" t="s">
        <v>1414</v>
      </c>
      <c r="CA79" s="7"/>
      <c r="CB79" s="7"/>
      <c r="CC79" s="7"/>
      <c r="CD79" s="7"/>
      <c r="CE79" s="7"/>
      <c r="CF79" s="7"/>
      <c r="CG79" s="7"/>
      <c r="CH79" s="7">
        <v>3564</v>
      </c>
      <c r="CI79" s="7" t="s">
        <v>979</v>
      </c>
      <c r="CJ79" s="7"/>
      <c r="CK79" s="7"/>
      <c r="CL79" s="7"/>
      <c r="CM79" s="7"/>
      <c r="CN79" s="7">
        <v>0</v>
      </c>
      <c r="CO79" s="7"/>
      <c r="CP79" s="7"/>
      <c r="CQ79" s="7"/>
      <c r="CR79" s="7"/>
      <c r="CS79" s="7">
        <v>0</v>
      </c>
      <c r="CT79" s="7"/>
      <c r="CU79" s="7"/>
      <c r="CV79" s="7" t="s">
        <v>990</v>
      </c>
      <c r="CW79" s="7" t="s">
        <v>208</v>
      </c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126"/>
      <c r="EE79" s="7"/>
      <c r="EF79" s="7"/>
      <c r="EG79" s="7"/>
    </row>
    <row r="80" spans="1:137" ht="13.5" customHeight="1">
      <c r="A80" s="7">
        <v>68</v>
      </c>
      <c r="B80" s="7"/>
      <c r="C80" s="7"/>
      <c r="D80" s="7"/>
      <c r="E80" s="7" t="s">
        <v>210</v>
      </c>
      <c r="F80" s="7"/>
      <c r="G80" s="7">
        <v>353038</v>
      </c>
      <c r="H80" s="7" t="s">
        <v>613</v>
      </c>
      <c r="I80" s="7">
        <v>28</v>
      </c>
      <c r="J80" s="7" t="s">
        <v>212</v>
      </c>
      <c r="K80" s="7">
        <v>35</v>
      </c>
      <c r="L80" s="7" t="s">
        <v>991</v>
      </c>
      <c r="M80" s="7">
        <v>20</v>
      </c>
      <c r="N80" s="7" t="s">
        <v>992</v>
      </c>
      <c r="O80" s="7">
        <v>20</v>
      </c>
      <c r="P80" s="7" t="s">
        <v>992</v>
      </c>
      <c r="Q80" s="7">
        <v>20</v>
      </c>
      <c r="R80" s="7" t="s">
        <v>992</v>
      </c>
      <c r="S80" s="7" t="s">
        <v>617</v>
      </c>
      <c r="T80" s="7" t="s">
        <v>976</v>
      </c>
      <c r="U80" s="28"/>
      <c r="V80" s="7">
        <v>48</v>
      </c>
      <c r="W80" s="7" t="s">
        <v>977</v>
      </c>
      <c r="X80" s="28"/>
      <c r="Y80" s="7" t="s">
        <v>978</v>
      </c>
      <c r="Z80" s="7" t="s">
        <v>621</v>
      </c>
      <c r="AA80" s="7" t="s">
        <v>622</v>
      </c>
      <c r="AB80" s="7" t="s">
        <v>638</v>
      </c>
      <c r="AC80" s="7"/>
      <c r="AD80" s="7"/>
      <c r="AE80" s="7"/>
      <c r="AF80" s="7"/>
      <c r="AG80" s="7"/>
      <c r="AH80" s="7"/>
      <c r="AI80" s="7" t="s">
        <v>611</v>
      </c>
      <c r="AJ80" s="7" t="s">
        <v>623</v>
      </c>
      <c r="AK80" s="7">
        <v>10</v>
      </c>
      <c r="AL80" s="7">
        <v>9</v>
      </c>
      <c r="AM80" s="7" t="s">
        <v>624</v>
      </c>
      <c r="AN80" s="7" t="s">
        <v>625</v>
      </c>
      <c r="AO80" s="7" t="s">
        <v>626</v>
      </c>
      <c r="AP80" s="7" t="s">
        <v>627</v>
      </c>
      <c r="AQ80" s="7" t="s">
        <v>617</v>
      </c>
      <c r="AR80" s="7"/>
      <c r="AS80" s="7"/>
      <c r="AT80" s="7"/>
      <c r="AU80" s="6">
        <v>91022</v>
      </c>
      <c r="AV80" s="6" t="s">
        <v>197</v>
      </c>
      <c r="AW80" s="7"/>
      <c r="AX80" s="7"/>
      <c r="AY80" s="7"/>
      <c r="AZ80" s="7"/>
      <c r="BA80" s="6">
        <v>1214</v>
      </c>
      <c r="BB80" s="6" t="s">
        <v>628</v>
      </c>
      <c r="BC80" s="7"/>
      <c r="BD80" s="7"/>
      <c r="BE80" s="7"/>
      <c r="BF80" s="7"/>
      <c r="BG80" s="7">
        <v>0</v>
      </c>
      <c r="BH80" s="7">
        <v>0</v>
      </c>
      <c r="BI80" s="7">
        <v>0</v>
      </c>
      <c r="BJ80" s="7">
        <v>10</v>
      </c>
      <c r="BK80" s="7">
        <v>0</v>
      </c>
      <c r="BL80" s="7">
        <v>10</v>
      </c>
      <c r="BM80" s="7"/>
      <c r="BN80" s="7">
        <v>0</v>
      </c>
      <c r="BO80" s="7"/>
      <c r="BP80" s="7"/>
      <c r="BQ80" s="7">
        <v>0</v>
      </c>
      <c r="BR80" s="7">
        <v>380</v>
      </c>
      <c r="BS80" s="7" t="s">
        <v>629</v>
      </c>
      <c r="BT80" s="7"/>
      <c r="BU80" s="7"/>
      <c r="BV80" s="7">
        <v>0</v>
      </c>
      <c r="BW80" s="7"/>
      <c r="BX80" s="7"/>
      <c r="BY80" s="7">
        <v>10001</v>
      </c>
      <c r="BZ80" s="7" t="s">
        <v>1414</v>
      </c>
      <c r="CA80" s="7"/>
      <c r="CB80" s="7"/>
      <c r="CC80" s="7"/>
      <c r="CD80" s="7"/>
      <c r="CE80" s="7"/>
      <c r="CF80" s="7"/>
      <c r="CG80" s="7"/>
      <c r="CH80" s="7">
        <v>3564</v>
      </c>
      <c r="CI80" s="7" t="s">
        <v>979</v>
      </c>
      <c r="CJ80" s="7"/>
      <c r="CK80" s="7"/>
      <c r="CL80" s="7"/>
      <c r="CM80" s="7"/>
      <c r="CN80" s="7">
        <v>0</v>
      </c>
      <c r="CO80" s="7"/>
      <c r="CP80" s="7"/>
      <c r="CQ80" s="7"/>
      <c r="CR80" s="7"/>
      <c r="CS80" s="7">
        <v>0</v>
      </c>
      <c r="CT80" s="7"/>
      <c r="CU80" s="7"/>
      <c r="CV80" s="7" t="s">
        <v>993</v>
      </c>
      <c r="CW80" s="7" t="s">
        <v>211</v>
      </c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126"/>
      <c r="EE80" s="7"/>
      <c r="EF80" s="7"/>
      <c r="EG80" s="7"/>
    </row>
    <row r="81" spans="1:137" ht="13.5" customHeight="1">
      <c r="A81" s="7">
        <v>69</v>
      </c>
      <c r="B81" s="7"/>
      <c r="C81" s="7"/>
      <c r="D81" s="7"/>
      <c r="E81" s="7" t="s">
        <v>213</v>
      </c>
      <c r="F81" s="7"/>
      <c r="G81" s="7">
        <v>353039</v>
      </c>
      <c r="H81" s="7" t="s">
        <v>613</v>
      </c>
      <c r="I81" s="7">
        <v>26</v>
      </c>
      <c r="J81" s="7" t="s">
        <v>215</v>
      </c>
      <c r="K81" s="7">
        <v>34</v>
      </c>
      <c r="L81" s="7" t="s">
        <v>994</v>
      </c>
      <c r="M81" s="7">
        <v>16</v>
      </c>
      <c r="N81" s="7" t="s">
        <v>995</v>
      </c>
      <c r="O81" s="7">
        <v>16</v>
      </c>
      <c r="P81" s="7" t="s">
        <v>995</v>
      </c>
      <c r="Q81" s="7">
        <v>16</v>
      </c>
      <c r="R81" s="7" t="s">
        <v>995</v>
      </c>
      <c r="S81" s="7" t="s">
        <v>617</v>
      </c>
      <c r="T81" s="7" t="s">
        <v>976</v>
      </c>
      <c r="U81" s="28"/>
      <c r="V81" s="7">
        <v>48</v>
      </c>
      <c r="W81" s="7" t="s">
        <v>977</v>
      </c>
      <c r="X81" s="28"/>
      <c r="Y81" s="7" t="s">
        <v>978</v>
      </c>
      <c r="Z81" s="7" t="s">
        <v>621</v>
      </c>
      <c r="AA81" s="7" t="s">
        <v>622</v>
      </c>
      <c r="AB81" s="7" t="s">
        <v>638</v>
      </c>
      <c r="AC81" s="7"/>
      <c r="AD81" s="7"/>
      <c r="AE81" s="7"/>
      <c r="AF81" s="7"/>
      <c r="AG81" s="7"/>
      <c r="AH81" s="7"/>
      <c r="AI81" s="7" t="s">
        <v>611</v>
      </c>
      <c r="AJ81" s="7" t="s">
        <v>623</v>
      </c>
      <c r="AK81" s="7">
        <v>10</v>
      </c>
      <c r="AL81" s="7">
        <v>9</v>
      </c>
      <c r="AM81" s="7" t="s">
        <v>624</v>
      </c>
      <c r="AN81" s="7" t="s">
        <v>625</v>
      </c>
      <c r="AO81" s="7" t="s">
        <v>626</v>
      </c>
      <c r="AP81" s="7" t="s">
        <v>627</v>
      </c>
      <c r="AQ81" s="7" t="s">
        <v>617</v>
      </c>
      <c r="AR81" s="7"/>
      <c r="AS81" s="7"/>
      <c r="AT81" s="7"/>
      <c r="AU81" s="6">
        <v>91022</v>
      </c>
      <c r="AV81" s="6" t="s">
        <v>197</v>
      </c>
      <c r="AW81" s="7"/>
      <c r="AX81" s="7"/>
      <c r="AY81" s="7"/>
      <c r="AZ81" s="7"/>
      <c r="BA81" s="6">
        <v>1214</v>
      </c>
      <c r="BB81" s="6" t="s">
        <v>628</v>
      </c>
      <c r="BC81" s="7"/>
      <c r="BD81" s="7"/>
      <c r="BE81" s="7"/>
      <c r="BF81" s="7"/>
      <c r="BG81" s="7">
        <v>0</v>
      </c>
      <c r="BH81" s="7">
        <v>0</v>
      </c>
      <c r="BI81" s="7">
        <v>0</v>
      </c>
      <c r="BJ81" s="7">
        <v>10</v>
      </c>
      <c r="BK81" s="7">
        <v>0</v>
      </c>
      <c r="BL81" s="7">
        <v>10</v>
      </c>
      <c r="BM81" s="7"/>
      <c r="BN81" s="7">
        <v>0</v>
      </c>
      <c r="BO81" s="7"/>
      <c r="BP81" s="7"/>
      <c r="BQ81" s="7">
        <v>0</v>
      </c>
      <c r="BR81" s="7">
        <v>380</v>
      </c>
      <c r="BS81" s="7" t="s">
        <v>629</v>
      </c>
      <c r="BT81" s="7"/>
      <c r="BU81" s="7"/>
      <c r="BV81" s="7">
        <v>0</v>
      </c>
      <c r="BW81" s="7"/>
      <c r="BX81" s="7"/>
      <c r="BY81" s="7">
        <v>10001</v>
      </c>
      <c r="BZ81" s="7" t="s">
        <v>1414</v>
      </c>
      <c r="CA81" s="7"/>
      <c r="CB81" s="7"/>
      <c r="CC81" s="7"/>
      <c r="CD81" s="7"/>
      <c r="CE81" s="7"/>
      <c r="CF81" s="7"/>
      <c r="CG81" s="7"/>
      <c r="CH81" s="7">
        <v>3564</v>
      </c>
      <c r="CI81" s="7" t="s">
        <v>979</v>
      </c>
      <c r="CJ81" s="7"/>
      <c r="CK81" s="7"/>
      <c r="CL81" s="7"/>
      <c r="CM81" s="7"/>
      <c r="CN81" s="7">
        <v>0</v>
      </c>
      <c r="CO81" s="7"/>
      <c r="CP81" s="7"/>
      <c r="CQ81" s="7"/>
      <c r="CR81" s="7"/>
      <c r="CS81" s="7">
        <v>0</v>
      </c>
      <c r="CT81" s="7"/>
      <c r="CU81" s="7"/>
      <c r="CV81" s="7" t="s">
        <v>996</v>
      </c>
      <c r="CW81" s="7" t="s">
        <v>214</v>
      </c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126"/>
      <c r="EE81" s="7"/>
      <c r="EF81" s="7"/>
      <c r="EG81" s="7"/>
    </row>
    <row r="82" spans="1:137" ht="13.5" customHeight="1">
      <c r="A82" s="7">
        <v>70</v>
      </c>
      <c r="B82" s="7"/>
      <c r="C82" s="7"/>
      <c r="D82" s="7"/>
      <c r="E82" s="7" t="s">
        <v>216</v>
      </c>
      <c r="F82" s="7"/>
      <c r="G82" s="7">
        <v>353040</v>
      </c>
      <c r="H82" s="7" t="s">
        <v>613</v>
      </c>
      <c r="I82" s="7">
        <v>28</v>
      </c>
      <c r="J82" s="7" t="s">
        <v>218</v>
      </c>
      <c r="K82" s="7">
        <v>37</v>
      </c>
      <c r="L82" s="7" t="s">
        <v>997</v>
      </c>
      <c r="M82" s="7">
        <v>21</v>
      </c>
      <c r="N82" s="7" t="s">
        <v>998</v>
      </c>
      <c r="O82" s="7">
        <v>18</v>
      </c>
      <c r="P82" s="7" t="s">
        <v>999</v>
      </c>
      <c r="Q82" s="7">
        <v>18</v>
      </c>
      <c r="R82" s="7" t="s">
        <v>999</v>
      </c>
      <c r="S82" s="7" t="s">
        <v>617</v>
      </c>
      <c r="T82" s="7" t="s">
        <v>976</v>
      </c>
      <c r="U82" s="28"/>
      <c r="V82" s="7">
        <v>48</v>
      </c>
      <c r="W82" s="7" t="s">
        <v>977</v>
      </c>
      <c r="X82" s="28"/>
      <c r="Y82" s="7" t="s">
        <v>978</v>
      </c>
      <c r="Z82" s="7" t="s">
        <v>621</v>
      </c>
      <c r="AA82" s="7" t="s">
        <v>622</v>
      </c>
      <c r="AB82" s="7" t="s">
        <v>638</v>
      </c>
      <c r="AC82" s="7"/>
      <c r="AD82" s="7"/>
      <c r="AE82" s="7"/>
      <c r="AF82" s="7"/>
      <c r="AG82" s="7"/>
      <c r="AH82" s="7"/>
      <c r="AI82" s="7" t="s">
        <v>611</v>
      </c>
      <c r="AJ82" s="7" t="s">
        <v>623</v>
      </c>
      <c r="AK82" s="7">
        <v>10</v>
      </c>
      <c r="AL82" s="7">
        <v>9</v>
      </c>
      <c r="AM82" s="7" t="s">
        <v>624</v>
      </c>
      <c r="AN82" s="7" t="s">
        <v>625</v>
      </c>
      <c r="AO82" s="7" t="s">
        <v>626</v>
      </c>
      <c r="AP82" s="7" t="s">
        <v>627</v>
      </c>
      <c r="AQ82" s="7" t="s">
        <v>617</v>
      </c>
      <c r="AR82" s="7"/>
      <c r="AS82" s="7"/>
      <c r="AT82" s="7"/>
      <c r="AU82" s="6">
        <v>91022</v>
      </c>
      <c r="AV82" s="6" t="s">
        <v>197</v>
      </c>
      <c r="AW82" s="7"/>
      <c r="AX82" s="7"/>
      <c r="AY82" s="7"/>
      <c r="AZ82" s="7"/>
      <c r="BA82" s="6">
        <v>1214</v>
      </c>
      <c r="BB82" s="6" t="s">
        <v>628</v>
      </c>
      <c r="BC82" s="7"/>
      <c r="BD82" s="7"/>
      <c r="BE82" s="7"/>
      <c r="BF82" s="7"/>
      <c r="BG82" s="7">
        <v>0</v>
      </c>
      <c r="BH82" s="7">
        <v>0</v>
      </c>
      <c r="BI82" s="7">
        <v>0</v>
      </c>
      <c r="BJ82" s="7">
        <v>10</v>
      </c>
      <c r="BK82" s="7">
        <v>0</v>
      </c>
      <c r="BL82" s="7">
        <v>10</v>
      </c>
      <c r="BM82" s="7"/>
      <c r="BN82" s="7">
        <v>0</v>
      </c>
      <c r="BO82" s="7"/>
      <c r="BP82" s="7"/>
      <c r="BQ82" s="7">
        <v>0</v>
      </c>
      <c r="BR82" s="7">
        <v>380</v>
      </c>
      <c r="BS82" s="7" t="s">
        <v>629</v>
      </c>
      <c r="BT82" s="7"/>
      <c r="BU82" s="7"/>
      <c r="BV82" s="7">
        <v>0</v>
      </c>
      <c r="BW82" s="7"/>
      <c r="BX82" s="7"/>
      <c r="BY82" s="7">
        <v>10001</v>
      </c>
      <c r="BZ82" s="7" t="s">
        <v>1414</v>
      </c>
      <c r="CA82" s="7"/>
      <c r="CB82" s="7"/>
      <c r="CC82" s="7"/>
      <c r="CD82" s="7"/>
      <c r="CE82" s="7"/>
      <c r="CF82" s="7"/>
      <c r="CG82" s="7"/>
      <c r="CH82" s="7">
        <v>3564</v>
      </c>
      <c r="CI82" s="7" t="s">
        <v>979</v>
      </c>
      <c r="CJ82" s="7"/>
      <c r="CK82" s="7"/>
      <c r="CL82" s="7"/>
      <c r="CM82" s="7"/>
      <c r="CN82" s="7">
        <v>0</v>
      </c>
      <c r="CO82" s="7"/>
      <c r="CP82" s="7"/>
      <c r="CQ82" s="7"/>
      <c r="CR82" s="7"/>
      <c r="CS82" s="7">
        <v>0</v>
      </c>
      <c r="CT82" s="7"/>
      <c r="CU82" s="7"/>
      <c r="CV82" s="7" t="s">
        <v>1000</v>
      </c>
      <c r="CW82" s="7" t="s">
        <v>217</v>
      </c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126"/>
      <c r="EE82" s="7"/>
      <c r="EF82" s="7"/>
      <c r="EG82" s="7"/>
    </row>
    <row r="83" spans="1:137" ht="13.5" customHeight="1">
      <c r="A83" s="7">
        <v>71</v>
      </c>
      <c r="B83" s="7"/>
      <c r="C83" s="7"/>
      <c r="D83" s="7"/>
      <c r="E83" s="7" t="s">
        <v>219</v>
      </c>
      <c r="F83" s="7"/>
      <c r="G83" s="7">
        <v>353041</v>
      </c>
      <c r="H83" s="7" t="s">
        <v>613</v>
      </c>
      <c r="I83" s="7">
        <v>34</v>
      </c>
      <c r="J83" s="7" t="s">
        <v>221</v>
      </c>
      <c r="K83" s="7">
        <v>43</v>
      </c>
      <c r="L83" s="7" t="s">
        <v>1001</v>
      </c>
      <c r="M83" s="7">
        <v>22</v>
      </c>
      <c r="N83" s="7" t="s">
        <v>1002</v>
      </c>
      <c r="O83" s="7">
        <v>19</v>
      </c>
      <c r="P83" s="7" t="s">
        <v>1003</v>
      </c>
      <c r="Q83" s="7">
        <v>19</v>
      </c>
      <c r="R83" s="7" t="s">
        <v>1003</v>
      </c>
      <c r="S83" s="7" t="s">
        <v>617</v>
      </c>
      <c r="T83" s="7" t="s">
        <v>976</v>
      </c>
      <c r="U83" s="28"/>
      <c r="V83" s="7">
        <v>48</v>
      </c>
      <c r="W83" s="7" t="s">
        <v>977</v>
      </c>
      <c r="X83" s="28"/>
      <c r="Y83" s="7" t="s">
        <v>978</v>
      </c>
      <c r="Z83" s="7" t="s">
        <v>621</v>
      </c>
      <c r="AA83" s="7" t="s">
        <v>622</v>
      </c>
      <c r="AB83" s="7" t="s">
        <v>638</v>
      </c>
      <c r="AC83" s="7"/>
      <c r="AD83" s="7"/>
      <c r="AE83" s="7"/>
      <c r="AF83" s="7"/>
      <c r="AG83" s="7"/>
      <c r="AH83" s="7"/>
      <c r="AI83" s="7" t="s">
        <v>611</v>
      </c>
      <c r="AJ83" s="7" t="s">
        <v>623</v>
      </c>
      <c r="AK83" s="7">
        <v>10</v>
      </c>
      <c r="AL83" s="7">
        <v>9</v>
      </c>
      <c r="AM83" s="7" t="s">
        <v>624</v>
      </c>
      <c r="AN83" s="7" t="s">
        <v>625</v>
      </c>
      <c r="AO83" s="7" t="s">
        <v>626</v>
      </c>
      <c r="AP83" s="7" t="s">
        <v>627</v>
      </c>
      <c r="AQ83" s="7" t="s">
        <v>617</v>
      </c>
      <c r="AR83" s="7"/>
      <c r="AS83" s="7"/>
      <c r="AT83" s="7"/>
      <c r="AU83" s="6">
        <v>91022</v>
      </c>
      <c r="AV83" s="6" t="s">
        <v>197</v>
      </c>
      <c r="AW83" s="7"/>
      <c r="AX83" s="7"/>
      <c r="AY83" s="7"/>
      <c r="AZ83" s="7"/>
      <c r="BA83" s="6">
        <v>1214</v>
      </c>
      <c r="BB83" s="6" t="s">
        <v>628</v>
      </c>
      <c r="BC83" s="7"/>
      <c r="BD83" s="7"/>
      <c r="BE83" s="7"/>
      <c r="BF83" s="7"/>
      <c r="BG83" s="7">
        <v>0</v>
      </c>
      <c r="BH83" s="7">
        <v>0</v>
      </c>
      <c r="BI83" s="7">
        <v>0</v>
      </c>
      <c r="BJ83" s="7">
        <v>10</v>
      </c>
      <c r="BK83" s="7">
        <v>0</v>
      </c>
      <c r="BL83" s="7">
        <v>10</v>
      </c>
      <c r="BM83" s="7"/>
      <c r="BN83" s="7">
        <v>0</v>
      </c>
      <c r="BO83" s="7"/>
      <c r="BP83" s="7"/>
      <c r="BQ83" s="7">
        <v>0</v>
      </c>
      <c r="BR83" s="7">
        <v>380</v>
      </c>
      <c r="BS83" s="7" t="s">
        <v>629</v>
      </c>
      <c r="BT83" s="7"/>
      <c r="BU83" s="7"/>
      <c r="BV83" s="7">
        <v>0</v>
      </c>
      <c r="BW83" s="7"/>
      <c r="BX83" s="7"/>
      <c r="BY83" s="7">
        <v>10001</v>
      </c>
      <c r="BZ83" s="7" t="s">
        <v>1414</v>
      </c>
      <c r="CA83" s="7"/>
      <c r="CB83" s="7"/>
      <c r="CC83" s="7"/>
      <c r="CD83" s="7"/>
      <c r="CE83" s="7"/>
      <c r="CF83" s="7"/>
      <c r="CG83" s="7"/>
      <c r="CH83" s="7">
        <v>3564</v>
      </c>
      <c r="CI83" s="7" t="s">
        <v>979</v>
      </c>
      <c r="CJ83" s="7"/>
      <c r="CK83" s="7"/>
      <c r="CL83" s="7"/>
      <c r="CM83" s="7"/>
      <c r="CN83" s="7">
        <v>0</v>
      </c>
      <c r="CO83" s="7"/>
      <c r="CP83" s="7"/>
      <c r="CQ83" s="7"/>
      <c r="CR83" s="7"/>
      <c r="CS83" s="7">
        <v>0</v>
      </c>
      <c r="CT83" s="7"/>
      <c r="CU83" s="7"/>
      <c r="CV83" s="7" t="s">
        <v>1004</v>
      </c>
      <c r="CW83" s="7" t="s">
        <v>220</v>
      </c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126"/>
      <c r="EE83" s="7"/>
      <c r="EF83" s="7"/>
      <c r="EG83" s="7"/>
    </row>
    <row r="84" spans="1:137" ht="13.5" customHeight="1">
      <c r="A84" s="7">
        <v>72</v>
      </c>
      <c r="B84" s="7"/>
      <c r="C84" s="7"/>
      <c r="D84" s="7"/>
      <c r="E84" s="7" t="s">
        <v>222</v>
      </c>
      <c r="F84" s="7"/>
      <c r="G84" s="7">
        <v>353042</v>
      </c>
      <c r="H84" s="7" t="s">
        <v>613</v>
      </c>
      <c r="I84" s="7">
        <v>36</v>
      </c>
      <c r="J84" s="7" t="s">
        <v>224</v>
      </c>
      <c r="K84" s="7">
        <v>42</v>
      </c>
      <c r="L84" s="7" t="s">
        <v>1005</v>
      </c>
      <c r="M84" s="7">
        <v>18</v>
      </c>
      <c r="N84" s="7" t="s">
        <v>1006</v>
      </c>
      <c r="O84" s="7">
        <v>18</v>
      </c>
      <c r="P84" s="7" t="s">
        <v>1006</v>
      </c>
      <c r="Q84" s="7">
        <v>18</v>
      </c>
      <c r="R84" s="7" t="s">
        <v>1006</v>
      </c>
      <c r="S84" s="7" t="s">
        <v>617</v>
      </c>
      <c r="T84" s="7" t="s">
        <v>976</v>
      </c>
      <c r="U84" s="28"/>
      <c r="V84" s="7">
        <v>48</v>
      </c>
      <c r="W84" s="7" t="s">
        <v>977</v>
      </c>
      <c r="X84" s="28"/>
      <c r="Y84" s="7" t="s">
        <v>978</v>
      </c>
      <c r="Z84" s="7" t="s">
        <v>621</v>
      </c>
      <c r="AA84" s="7" t="s">
        <v>622</v>
      </c>
      <c r="AB84" s="7" t="s">
        <v>638</v>
      </c>
      <c r="AC84" s="7"/>
      <c r="AD84" s="7"/>
      <c r="AE84" s="7"/>
      <c r="AF84" s="7"/>
      <c r="AG84" s="7"/>
      <c r="AH84" s="7"/>
      <c r="AI84" s="7" t="s">
        <v>611</v>
      </c>
      <c r="AJ84" s="7" t="s">
        <v>623</v>
      </c>
      <c r="AK84" s="7">
        <v>10</v>
      </c>
      <c r="AL84" s="7">
        <v>9</v>
      </c>
      <c r="AM84" s="7" t="s">
        <v>624</v>
      </c>
      <c r="AN84" s="7" t="s">
        <v>625</v>
      </c>
      <c r="AO84" s="7" t="s">
        <v>626</v>
      </c>
      <c r="AP84" s="7" t="s">
        <v>627</v>
      </c>
      <c r="AQ84" s="7" t="s">
        <v>617</v>
      </c>
      <c r="AR84" s="7"/>
      <c r="AS84" s="7"/>
      <c r="AT84" s="7"/>
      <c r="AU84" s="6">
        <v>91022</v>
      </c>
      <c r="AV84" s="6" t="s">
        <v>197</v>
      </c>
      <c r="AW84" s="7"/>
      <c r="AX84" s="7"/>
      <c r="AY84" s="7"/>
      <c r="AZ84" s="7"/>
      <c r="BA84" s="6">
        <v>1214</v>
      </c>
      <c r="BB84" s="6" t="s">
        <v>628</v>
      </c>
      <c r="BC84" s="7"/>
      <c r="BD84" s="7"/>
      <c r="BE84" s="7"/>
      <c r="BF84" s="7"/>
      <c r="BG84" s="7">
        <v>0</v>
      </c>
      <c r="BH84" s="7">
        <v>0</v>
      </c>
      <c r="BI84" s="7">
        <v>0</v>
      </c>
      <c r="BJ84" s="7">
        <v>10</v>
      </c>
      <c r="BK84" s="7">
        <v>0</v>
      </c>
      <c r="BL84" s="7">
        <v>10</v>
      </c>
      <c r="BM84" s="7"/>
      <c r="BN84" s="7">
        <v>0</v>
      </c>
      <c r="BO84" s="7"/>
      <c r="BP84" s="7"/>
      <c r="BQ84" s="7">
        <v>0</v>
      </c>
      <c r="BR84" s="7">
        <v>380</v>
      </c>
      <c r="BS84" s="7" t="s">
        <v>629</v>
      </c>
      <c r="BT84" s="7"/>
      <c r="BU84" s="7"/>
      <c r="BV84" s="7">
        <v>0</v>
      </c>
      <c r="BW84" s="7"/>
      <c r="BX84" s="7"/>
      <c r="BY84" s="7">
        <v>10001</v>
      </c>
      <c r="BZ84" s="7" t="s">
        <v>1414</v>
      </c>
      <c r="CA84" s="7"/>
      <c r="CB84" s="7"/>
      <c r="CC84" s="7"/>
      <c r="CD84" s="7"/>
      <c r="CE84" s="7"/>
      <c r="CF84" s="7"/>
      <c r="CG84" s="7"/>
      <c r="CH84" s="7">
        <v>3564</v>
      </c>
      <c r="CI84" s="7" t="s">
        <v>979</v>
      </c>
      <c r="CJ84" s="7"/>
      <c r="CK84" s="7"/>
      <c r="CL84" s="7"/>
      <c r="CM84" s="7"/>
      <c r="CN84" s="7">
        <v>0</v>
      </c>
      <c r="CO84" s="7"/>
      <c r="CP84" s="7"/>
      <c r="CQ84" s="7"/>
      <c r="CR84" s="7"/>
      <c r="CS84" s="7">
        <v>0</v>
      </c>
      <c r="CT84" s="7"/>
      <c r="CU84" s="7"/>
      <c r="CV84" s="7" t="s">
        <v>1007</v>
      </c>
      <c r="CW84" s="7" t="s">
        <v>223</v>
      </c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126"/>
      <c r="EE84" s="7"/>
      <c r="EF84" s="7"/>
      <c r="EG84" s="7"/>
    </row>
    <row r="85" spans="1:137" ht="13.5" customHeight="1">
      <c r="A85" s="7">
        <v>73</v>
      </c>
      <c r="B85" s="7"/>
      <c r="C85" s="7"/>
      <c r="D85" s="7"/>
      <c r="E85" s="7" t="s">
        <v>225</v>
      </c>
      <c r="F85" s="7"/>
      <c r="G85" s="7">
        <v>353043</v>
      </c>
      <c r="H85" s="7" t="s">
        <v>613</v>
      </c>
      <c r="I85" s="7">
        <v>30</v>
      </c>
      <c r="J85" s="7" t="s">
        <v>227</v>
      </c>
      <c r="K85" s="7">
        <v>38</v>
      </c>
      <c r="L85" s="7" t="s">
        <v>1008</v>
      </c>
      <c r="M85" s="7">
        <v>19</v>
      </c>
      <c r="N85" s="7" t="s">
        <v>1009</v>
      </c>
      <c r="O85" s="7">
        <v>19</v>
      </c>
      <c r="P85" s="7" t="s">
        <v>1009</v>
      </c>
      <c r="Q85" s="7">
        <v>19</v>
      </c>
      <c r="R85" s="7" t="s">
        <v>1009</v>
      </c>
      <c r="S85" s="7" t="s">
        <v>617</v>
      </c>
      <c r="T85" s="7" t="s">
        <v>976</v>
      </c>
      <c r="U85" s="28"/>
      <c r="V85" s="7">
        <v>48</v>
      </c>
      <c r="W85" s="7" t="s">
        <v>977</v>
      </c>
      <c r="X85" s="28"/>
      <c r="Y85" s="7" t="s">
        <v>978</v>
      </c>
      <c r="Z85" s="7" t="s">
        <v>621</v>
      </c>
      <c r="AA85" s="7" t="s">
        <v>622</v>
      </c>
      <c r="AB85" s="7" t="s">
        <v>638</v>
      </c>
      <c r="AC85" s="7"/>
      <c r="AD85" s="7"/>
      <c r="AE85" s="7"/>
      <c r="AF85" s="7"/>
      <c r="AG85" s="7"/>
      <c r="AH85" s="7"/>
      <c r="AI85" s="7" t="s">
        <v>611</v>
      </c>
      <c r="AJ85" s="7" t="s">
        <v>623</v>
      </c>
      <c r="AK85" s="7">
        <v>10</v>
      </c>
      <c r="AL85" s="7">
        <v>9</v>
      </c>
      <c r="AM85" s="7" t="s">
        <v>624</v>
      </c>
      <c r="AN85" s="7" t="s">
        <v>625</v>
      </c>
      <c r="AO85" s="7" t="s">
        <v>626</v>
      </c>
      <c r="AP85" s="7" t="s">
        <v>627</v>
      </c>
      <c r="AQ85" s="7" t="s">
        <v>617</v>
      </c>
      <c r="AR85" s="7"/>
      <c r="AS85" s="7"/>
      <c r="AT85" s="7"/>
      <c r="AU85" s="6">
        <v>91022</v>
      </c>
      <c r="AV85" s="6" t="s">
        <v>197</v>
      </c>
      <c r="AW85" s="7"/>
      <c r="AX85" s="7"/>
      <c r="AY85" s="7"/>
      <c r="AZ85" s="7"/>
      <c r="BA85" s="6">
        <v>1214</v>
      </c>
      <c r="BB85" s="6" t="s">
        <v>628</v>
      </c>
      <c r="BC85" s="7"/>
      <c r="BD85" s="7"/>
      <c r="BE85" s="7"/>
      <c r="BF85" s="7"/>
      <c r="BG85" s="7">
        <v>0</v>
      </c>
      <c r="BH85" s="7">
        <v>0</v>
      </c>
      <c r="BI85" s="7">
        <v>0</v>
      </c>
      <c r="BJ85" s="7">
        <v>10</v>
      </c>
      <c r="BK85" s="7">
        <v>0</v>
      </c>
      <c r="BL85" s="7">
        <v>10</v>
      </c>
      <c r="BM85" s="7"/>
      <c r="BN85" s="7">
        <v>0</v>
      </c>
      <c r="BO85" s="7"/>
      <c r="BP85" s="7"/>
      <c r="BQ85" s="7">
        <v>0</v>
      </c>
      <c r="BR85" s="7">
        <v>380</v>
      </c>
      <c r="BS85" s="7" t="s">
        <v>629</v>
      </c>
      <c r="BT85" s="7"/>
      <c r="BU85" s="7"/>
      <c r="BV85" s="7">
        <v>0</v>
      </c>
      <c r="BW85" s="7"/>
      <c r="BX85" s="7"/>
      <c r="BY85" s="7">
        <v>10001</v>
      </c>
      <c r="BZ85" s="7" t="s">
        <v>1414</v>
      </c>
      <c r="CA85" s="7"/>
      <c r="CB85" s="7"/>
      <c r="CC85" s="7"/>
      <c r="CD85" s="7"/>
      <c r="CE85" s="7"/>
      <c r="CF85" s="7"/>
      <c r="CG85" s="7"/>
      <c r="CH85" s="7">
        <v>3564</v>
      </c>
      <c r="CI85" s="7" t="s">
        <v>979</v>
      </c>
      <c r="CJ85" s="7"/>
      <c r="CK85" s="7"/>
      <c r="CL85" s="7"/>
      <c r="CM85" s="7"/>
      <c r="CN85" s="7">
        <v>0</v>
      </c>
      <c r="CO85" s="7"/>
      <c r="CP85" s="7"/>
      <c r="CQ85" s="7"/>
      <c r="CR85" s="7"/>
      <c r="CS85" s="7">
        <v>0</v>
      </c>
      <c r="CT85" s="7"/>
      <c r="CU85" s="7"/>
      <c r="CV85" s="7" t="s">
        <v>1010</v>
      </c>
      <c r="CW85" s="7" t="s">
        <v>226</v>
      </c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126"/>
      <c r="EE85" s="7"/>
      <c r="EF85" s="7"/>
      <c r="EG85" s="7"/>
    </row>
    <row r="86" spans="1:137" ht="13.5" customHeight="1">
      <c r="A86" s="7">
        <v>74</v>
      </c>
      <c r="B86" s="7"/>
      <c r="C86" s="7"/>
      <c r="D86" s="7"/>
      <c r="E86" s="7" t="s">
        <v>228</v>
      </c>
      <c r="F86" s="7"/>
      <c r="G86" s="7">
        <v>353044</v>
      </c>
      <c r="H86" s="7" t="s">
        <v>613</v>
      </c>
      <c r="I86" s="7">
        <v>37</v>
      </c>
      <c r="J86" s="7" t="s">
        <v>230</v>
      </c>
      <c r="K86" s="7">
        <v>38</v>
      </c>
      <c r="L86" s="7" t="s">
        <v>1011</v>
      </c>
      <c r="M86" s="7">
        <v>21</v>
      </c>
      <c r="N86" s="7" t="s">
        <v>1012</v>
      </c>
      <c r="O86" s="7">
        <v>18</v>
      </c>
      <c r="P86" s="7" t="s">
        <v>1013</v>
      </c>
      <c r="Q86" s="7">
        <v>18</v>
      </c>
      <c r="R86" s="7" t="s">
        <v>1013</v>
      </c>
      <c r="S86" s="7" t="s">
        <v>617</v>
      </c>
      <c r="T86" s="7" t="s">
        <v>1014</v>
      </c>
      <c r="U86" s="28"/>
      <c r="V86" s="7">
        <v>8</v>
      </c>
      <c r="W86" s="7" t="s">
        <v>1015</v>
      </c>
      <c r="X86" s="28"/>
      <c r="Y86" s="7" t="s">
        <v>1016</v>
      </c>
      <c r="Z86" s="7" t="s">
        <v>621</v>
      </c>
      <c r="AA86" s="7" t="s">
        <v>622</v>
      </c>
      <c r="AB86" s="7" t="s">
        <v>638</v>
      </c>
      <c r="AC86" s="7"/>
      <c r="AD86" s="7"/>
      <c r="AE86" s="7"/>
      <c r="AF86" s="7"/>
      <c r="AG86" s="7"/>
      <c r="AH86" s="7"/>
      <c r="AI86" s="7" t="s">
        <v>611</v>
      </c>
      <c r="AJ86" s="7" t="s">
        <v>623</v>
      </c>
      <c r="AK86" s="7">
        <v>10</v>
      </c>
      <c r="AL86" s="7">
        <v>9</v>
      </c>
      <c r="AM86" s="7" t="s">
        <v>624</v>
      </c>
      <c r="AN86" s="7" t="s">
        <v>625</v>
      </c>
      <c r="AO86" s="7" t="s">
        <v>626</v>
      </c>
      <c r="AP86" s="7" t="s">
        <v>627</v>
      </c>
      <c r="AQ86" s="7" t="s">
        <v>617</v>
      </c>
      <c r="AR86" s="7"/>
      <c r="AS86" s="7"/>
      <c r="AT86" s="7"/>
      <c r="AU86" s="6">
        <v>91022</v>
      </c>
      <c r="AV86" s="6" t="s">
        <v>197</v>
      </c>
      <c r="AW86" s="7"/>
      <c r="AX86" s="7"/>
      <c r="AY86" s="7"/>
      <c r="AZ86" s="7"/>
      <c r="BA86" s="6">
        <v>1214</v>
      </c>
      <c r="BB86" s="6" t="s">
        <v>628</v>
      </c>
      <c r="BC86" s="7"/>
      <c r="BD86" s="7"/>
      <c r="BE86" s="7"/>
      <c r="BF86" s="7"/>
      <c r="BG86" s="7">
        <v>0</v>
      </c>
      <c r="BH86" s="7">
        <v>0</v>
      </c>
      <c r="BI86" s="7">
        <v>0</v>
      </c>
      <c r="BJ86" s="7">
        <v>10</v>
      </c>
      <c r="BK86" s="7">
        <v>0</v>
      </c>
      <c r="BL86" s="7">
        <v>10</v>
      </c>
      <c r="BM86" s="7"/>
      <c r="BN86" s="7">
        <v>0</v>
      </c>
      <c r="BO86" s="7"/>
      <c r="BP86" s="7"/>
      <c r="BQ86" s="7">
        <v>0</v>
      </c>
      <c r="BR86" s="7">
        <v>380</v>
      </c>
      <c r="BS86" s="7" t="s">
        <v>629</v>
      </c>
      <c r="BT86" s="7"/>
      <c r="BU86" s="7"/>
      <c r="BV86" s="7">
        <v>0</v>
      </c>
      <c r="BW86" s="7"/>
      <c r="BX86" s="7"/>
      <c r="BY86" s="7">
        <v>10001</v>
      </c>
      <c r="BZ86" s="7" t="s">
        <v>1414</v>
      </c>
      <c r="CA86" s="7"/>
      <c r="CB86" s="7"/>
      <c r="CC86" s="7"/>
      <c r="CD86" s="7"/>
      <c r="CE86" s="7"/>
      <c r="CF86" s="7"/>
      <c r="CG86" s="7"/>
      <c r="CH86" s="7">
        <v>3564</v>
      </c>
      <c r="CI86" s="7" t="s">
        <v>979</v>
      </c>
      <c r="CJ86" s="7"/>
      <c r="CK86" s="7"/>
      <c r="CL86" s="7"/>
      <c r="CM86" s="7"/>
      <c r="CN86" s="7">
        <v>0</v>
      </c>
      <c r="CO86" s="7"/>
      <c r="CP86" s="7"/>
      <c r="CQ86" s="7"/>
      <c r="CR86" s="7"/>
      <c r="CS86" s="7">
        <v>0</v>
      </c>
      <c r="CT86" s="7"/>
      <c r="CU86" s="7"/>
      <c r="CV86" s="7" t="s">
        <v>1017</v>
      </c>
      <c r="CW86" s="7" t="s">
        <v>229</v>
      </c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126"/>
      <c r="EE86" s="7"/>
      <c r="EF86" s="7"/>
      <c r="EG86" s="7"/>
    </row>
    <row r="87" spans="1:137" ht="13.5" customHeight="1">
      <c r="A87" s="7">
        <v>75</v>
      </c>
      <c r="B87" s="7"/>
      <c r="C87" s="7"/>
      <c r="D87" s="7"/>
      <c r="E87" s="7" t="s">
        <v>231</v>
      </c>
      <c r="F87" s="7"/>
      <c r="G87" s="7">
        <v>353045</v>
      </c>
      <c r="H87" s="7" t="s">
        <v>613</v>
      </c>
      <c r="I87" s="7">
        <v>45</v>
      </c>
      <c r="J87" s="7" t="s">
        <v>233</v>
      </c>
      <c r="K87" s="7">
        <v>46</v>
      </c>
      <c r="L87" s="7" t="s">
        <v>1018</v>
      </c>
      <c r="M87" s="7">
        <v>24</v>
      </c>
      <c r="N87" s="7" t="s">
        <v>1019</v>
      </c>
      <c r="O87" s="7">
        <v>19</v>
      </c>
      <c r="P87" s="7" t="s">
        <v>1020</v>
      </c>
      <c r="Q87" s="7">
        <v>19</v>
      </c>
      <c r="R87" s="7" t="s">
        <v>1020</v>
      </c>
      <c r="S87" s="7" t="s">
        <v>617</v>
      </c>
      <c r="T87" s="7" t="s">
        <v>1014</v>
      </c>
      <c r="U87" s="28"/>
      <c r="V87" s="7">
        <v>8</v>
      </c>
      <c r="W87" s="7" t="s">
        <v>1015</v>
      </c>
      <c r="X87" s="28"/>
      <c r="Y87" s="7" t="s">
        <v>1016</v>
      </c>
      <c r="Z87" s="7" t="s">
        <v>621</v>
      </c>
      <c r="AA87" s="7" t="s">
        <v>622</v>
      </c>
      <c r="AB87" s="7" t="s">
        <v>638</v>
      </c>
      <c r="AC87" s="7"/>
      <c r="AD87" s="7"/>
      <c r="AE87" s="7"/>
      <c r="AF87" s="7"/>
      <c r="AG87" s="7"/>
      <c r="AH87" s="7"/>
      <c r="AI87" s="7" t="s">
        <v>611</v>
      </c>
      <c r="AJ87" s="7" t="s">
        <v>623</v>
      </c>
      <c r="AK87" s="7">
        <v>10</v>
      </c>
      <c r="AL87" s="7">
        <v>9</v>
      </c>
      <c r="AM87" s="7" t="s">
        <v>624</v>
      </c>
      <c r="AN87" s="7" t="s">
        <v>625</v>
      </c>
      <c r="AO87" s="7" t="s">
        <v>626</v>
      </c>
      <c r="AP87" s="7" t="s">
        <v>627</v>
      </c>
      <c r="AQ87" s="7" t="s">
        <v>617</v>
      </c>
      <c r="AR87" s="7"/>
      <c r="AS87" s="7"/>
      <c r="AT87" s="7"/>
      <c r="AU87" s="6">
        <v>91022</v>
      </c>
      <c r="AV87" s="6" t="s">
        <v>197</v>
      </c>
      <c r="AW87" s="7"/>
      <c r="AX87" s="7"/>
      <c r="AY87" s="7"/>
      <c r="AZ87" s="7"/>
      <c r="BA87" s="6">
        <v>1214</v>
      </c>
      <c r="BB87" s="6" t="s">
        <v>628</v>
      </c>
      <c r="BC87" s="7"/>
      <c r="BD87" s="7"/>
      <c r="BE87" s="7"/>
      <c r="BF87" s="7"/>
      <c r="BG87" s="7">
        <v>0</v>
      </c>
      <c r="BH87" s="7">
        <v>0</v>
      </c>
      <c r="BI87" s="7">
        <v>0</v>
      </c>
      <c r="BJ87" s="7">
        <v>10</v>
      </c>
      <c r="BK87" s="7">
        <v>0</v>
      </c>
      <c r="BL87" s="7">
        <v>10</v>
      </c>
      <c r="BM87" s="7"/>
      <c r="BN87" s="7">
        <v>0</v>
      </c>
      <c r="BO87" s="7"/>
      <c r="BP87" s="7"/>
      <c r="BQ87" s="7">
        <v>0</v>
      </c>
      <c r="BR87" s="7">
        <v>380</v>
      </c>
      <c r="BS87" s="7" t="s">
        <v>629</v>
      </c>
      <c r="BT87" s="7"/>
      <c r="BU87" s="7"/>
      <c r="BV87" s="7">
        <v>0</v>
      </c>
      <c r="BW87" s="7"/>
      <c r="BX87" s="7"/>
      <c r="BY87" s="7">
        <v>10001</v>
      </c>
      <c r="BZ87" s="7" t="s">
        <v>1414</v>
      </c>
      <c r="CA87" s="7"/>
      <c r="CB87" s="7"/>
      <c r="CC87" s="7"/>
      <c r="CD87" s="7"/>
      <c r="CE87" s="7"/>
      <c r="CF87" s="7"/>
      <c r="CG87" s="7"/>
      <c r="CH87" s="7">
        <v>3564</v>
      </c>
      <c r="CI87" s="7" t="s">
        <v>979</v>
      </c>
      <c r="CJ87" s="7"/>
      <c r="CK87" s="7"/>
      <c r="CL87" s="7"/>
      <c r="CM87" s="7"/>
      <c r="CN87" s="7">
        <v>0</v>
      </c>
      <c r="CO87" s="7"/>
      <c r="CP87" s="7"/>
      <c r="CQ87" s="7"/>
      <c r="CR87" s="7"/>
      <c r="CS87" s="7">
        <v>0</v>
      </c>
      <c r="CT87" s="7"/>
      <c r="CU87" s="7"/>
      <c r="CV87" s="7" t="s">
        <v>1021</v>
      </c>
      <c r="CW87" s="7" t="s">
        <v>232</v>
      </c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126"/>
      <c r="EE87" s="7"/>
      <c r="EF87" s="7"/>
      <c r="EG87" s="7"/>
    </row>
    <row r="88" spans="1:137" ht="13.5" customHeight="1">
      <c r="A88" s="7">
        <v>76</v>
      </c>
      <c r="B88" s="7"/>
      <c r="C88" s="7"/>
      <c r="D88" s="7"/>
      <c r="E88" s="7" t="s">
        <v>234</v>
      </c>
      <c r="F88" s="7"/>
      <c r="G88" s="7">
        <v>353046</v>
      </c>
      <c r="H88" s="7" t="s">
        <v>613</v>
      </c>
      <c r="I88" s="7">
        <v>41</v>
      </c>
      <c r="J88" s="7" t="s">
        <v>236</v>
      </c>
      <c r="K88" s="7">
        <v>42</v>
      </c>
      <c r="L88" s="7" t="s">
        <v>1022</v>
      </c>
      <c r="M88" s="7">
        <v>22</v>
      </c>
      <c r="N88" s="7" t="s">
        <v>1023</v>
      </c>
      <c r="O88" s="7">
        <v>19</v>
      </c>
      <c r="P88" s="7" t="s">
        <v>1024</v>
      </c>
      <c r="Q88" s="7">
        <v>19</v>
      </c>
      <c r="R88" s="7" t="s">
        <v>1024</v>
      </c>
      <c r="S88" s="7" t="s">
        <v>617</v>
      </c>
      <c r="T88" s="7" t="s">
        <v>1014</v>
      </c>
      <c r="U88" s="28"/>
      <c r="V88" s="7">
        <v>8</v>
      </c>
      <c r="W88" s="7" t="s">
        <v>1015</v>
      </c>
      <c r="X88" s="28"/>
      <c r="Y88" s="7" t="s">
        <v>1016</v>
      </c>
      <c r="Z88" s="7" t="s">
        <v>621</v>
      </c>
      <c r="AA88" s="7" t="s">
        <v>622</v>
      </c>
      <c r="AB88" s="7" t="s">
        <v>638</v>
      </c>
      <c r="AC88" s="7"/>
      <c r="AD88" s="7"/>
      <c r="AE88" s="7"/>
      <c r="AF88" s="7"/>
      <c r="AG88" s="7"/>
      <c r="AH88" s="7"/>
      <c r="AI88" s="7" t="s">
        <v>611</v>
      </c>
      <c r="AJ88" s="7" t="s">
        <v>623</v>
      </c>
      <c r="AK88" s="7">
        <v>10</v>
      </c>
      <c r="AL88" s="7">
        <v>9</v>
      </c>
      <c r="AM88" s="7" t="s">
        <v>624</v>
      </c>
      <c r="AN88" s="7" t="s">
        <v>625</v>
      </c>
      <c r="AO88" s="7" t="s">
        <v>626</v>
      </c>
      <c r="AP88" s="7" t="s">
        <v>627</v>
      </c>
      <c r="AQ88" s="7" t="s">
        <v>617</v>
      </c>
      <c r="AR88" s="7"/>
      <c r="AS88" s="7"/>
      <c r="AT88" s="7"/>
      <c r="AU88" s="6">
        <v>91022</v>
      </c>
      <c r="AV88" s="6" t="s">
        <v>197</v>
      </c>
      <c r="AW88" s="7"/>
      <c r="AX88" s="7"/>
      <c r="AY88" s="7"/>
      <c r="AZ88" s="7"/>
      <c r="BA88" s="6">
        <v>1214</v>
      </c>
      <c r="BB88" s="6" t="s">
        <v>628</v>
      </c>
      <c r="BC88" s="7"/>
      <c r="BD88" s="7"/>
      <c r="BE88" s="7"/>
      <c r="BF88" s="7"/>
      <c r="BG88" s="7">
        <v>0</v>
      </c>
      <c r="BH88" s="7">
        <v>0</v>
      </c>
      <c r="BI88" s="7">
        <v>0</v>
      </c>
      <c r="BJ88" s="7">
        <v>10</v>
      </c>
      <c r="BK88" s="7">
        <v>0</v>
      </c>
      <c r="BL88" s="7">
        <v>10</v>
      </c>
      <c r="BM88" s="7"/>
      <c r="BN88" s="7">
        <v>0</v>
      </c>
      <c r="BO88" s="7"/>
      <c r="BP88" s="7"/>
      <c r="BQ88" s="7">
        <v>0</v>
      </c>
      <c r="BR88" s="7">
        <v>380</v>
      </c>
      <c r="BS88" s="7" t="s">
        <v>629</v>
      </c>
      <c r="BT88" s="7"/>
      <c r="BU88" s="7"/>
      <c r="BV88" s="7">
        <v>0</v>
      </c>
      <c r="BW88" s="7"/>
      <c r="BX88" s="7"/>
      <c r="BY88" s="7">
        <v>10001</v>
      </c>
      <c r="BZ88" s="7" t="s">
        <v>1414</v>
      </c>
      <c r="CA88" s="7"/>
      <c r="CB88" s="7"/>
      <c r="CC88" s="7"/>
      <c r="CD88" s="7"/>
      <c r="CE88" s="7"/>
      <c r="CF88" s="7"/>
      <c r="CG88" s="7"/>
      <c r="CH88" s="7">
        <v>3564</v>
      </c>
      <c r="CI88" s="7" t="s">
        <v>979</v>
      </c>
      <c r="CJ88" s="7"/>
      <c r="CK88" s="7"/>
      <c r="CL88" s="7"/>
      <c r="CM88" s="7"/>
      <c r="CN88" s="7">
        <v>0</v>
      </c>
      <c r="CO88" s="7"/>
      <c r="CP88" s="7"/>
      <c r="CQ88" s="7"/>
      <c r="CR88" s="7"/>
      <c r="CS88" s="7">
        <v>0</v>
      </c>
      <c r="CT88" s="7"/>
      <c r="CU88" s="7"/>
      <c r="CV88" s="7" t="s">
        <v>1025</v>
      </c>
      <c r="CW88" s="7" t="s">
        <v>235</v>
      </c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126"/>
      <c r="EE88" s="7"/>
      <c r="EF88" s="7"/>
      <c r="EG88" s="7"/>
    </row>
    <row r="89" spans="1:137" ht="13.5" customHeight="1">
      <c r="A89" s="7">
        <v>77</v>
      </c>
      <c r="B89" s="7"/>
      <c r="C89" s="7"/>
      <c r="D89" s="7"/>
      <c r="E89" s="7" t="s">
        <v>237</v>
      </c>
      <c r="F89" s="7"/>
      <c r="G89" s="7">
        <v>353047</v>
      </c>
      <c r="H89" s="7" t="s">
        <v>613</v>
      </c>
      <c r="I89" s="7">
        <v>35</v>
      </c>
      <c r="J89" s="7" t="s">
        <v>239</v>
      </c>
      <c r="K89" s="7">
        <v>36</v>
      </c>
      <c r="L89" s="7" t="s">
        <v>1026</v>
      </c>
      <c r="M89" s="7">
        <v>22</v>
      </c>
      <c r="N89" s="7" t="s">
        <v>1027</v>
      </c>
      <c r="O89" s="7">
        <v>19</v>
      </c>
      <c r="P89" s="7" t="s">
        <v>1028</v>
      </c>
      <c r="Q89" s="7">
        <v>19</v>
      </c>
      <c r="R89" s="7" t="s">
        <v>1028</v>
      </c>
      <c r="S89" s="7" t="s">
        <v>617</v>
      </c>
      <c r="T89" s="7" t="s">
        <v>1014</v>
      </c>
      <c r="U89" s="28"/>
      <c r="V89" s="7">
        <v>8</v>
      </c>
      <c r="W89" s="7" t="s">
        <v>1015</v>
      </c>
      <c r="X89" s="28"/>
      <c r="Y89" s="7" t="s">
        <v>1016</v>
      </c>
      <c r="Z89" s="7" t="s">
        <v>621</v>
      </c>
      <c r="AA89" s="7" t="s">
        <v>622</v>
      </c>
      <c r="AB89" s="7" t="s">
        <v>638</v>
      </c>
      <c r="AC89" s="7"/>
      <c r="AD89" s="7"/>
      <c r="AE89" s="7"/>
      <c r="AF89" s="7"/>
      <c r="AG89" s="7"/>
      <c r="AH89" s="7"/>
      <c r="AI89" s="7" t="s">
        <v>611</v>
      </c>
      <c r="AJ89" s="7" t="s">
        <v>623</v>
      </c>
      <c r="AK89" s="7">
        <v>10</v>
      </c>
      <c r="AL89" s="7">
        <v>9</v>
      </c>
      <c r="AM89" s="7" t="s">
        <v>624</v>
      </c>
      <c r="AN89" s="7" t="s">
        <v>625</v>
      </c>
      <c r="AO89" s="7" t="s">
        <v>626</v>
      </c>
      <c r="AP89" s="7" t="s">
        <v>627</v>
      </c>
      <c r="AQ89" s="7" t="s">
        <v>617</v>
      </c>
      <c r="AR89" s="7"/>
      <c r="AS89" s="7"/>
      <c r="AT89" s="7"/>
      <c r="AU89" s="6">
        <v>91022</v>
      </c>
      <c r="AV89" s="6" t="s">
        <v>197</v>
      </c>
      <c r="AW89" s="7"/>
      <c r="AX89" s="7"/>
      <c r="AY89" s="7"/>
      <c r="AZ89" s="7"/>
      <c r="BA89" s="6">
        <v>1214</v>
      </c>
      <c r="BB89" s="6" t="s">
        <v>628</v>
      </c>
      <c r="BC89" s="7"/>
      <c r="BD89" s="7"/>
      <c r="BE89" s="7"/>
      <c r="BF89" s="7"/>
      <c r="BG89" s="7">
        <v>0</v>
      </c>
      <c r="BH89" s="7">
        <v>0</v>
      </c>
      <c r="BI89" s="7">
        <v>0</v>
      </c>
      <c r="BJ89" s="7">
        <v>10</v>
      </c>
      <c r="BK89" s="7">
        <v>0</v>
      </c>
      <c r="BL89" s="7">
        <v>10</v>
      </c>
      <c r="BM89" s="7"/>
      <c r="BN89" s="7">
        <v>0</v>
      </c>
      <c r="BO89" s="7"/>
      <c r="BP89" s="7"/>
      <c r="BQ89" s="7">
        <v>0</v>
      </c>
      <c r="BR89" s="7">
        <v>380</v>
      </c>
      <c r="BS89" s="7" t="s">
        <v>629</v>
      </c>
      <c r="BT89" s="7"/>
      <c r="BU89" s="7"/>
      <c r="BV89" s="7">
        <v>0</v>
      </c>
      <c r="BW89" s="7"/>
      <c r="BX89" s="7"/>
      <c r="BY89" s="7">
        <v>10001</v>
      </c>
      <c r="BZ89" s="7" t="s">
        <v>1414</v>
      </c>
      <c r="CA89" s="7"/>
      <c r="CB89" s="7"/>
      <c r="CC89" s="7"/>
      <c r="CD89" s="7"/>
      <c r="CE89" s="7"/>
      <c r="CF89" s="7"/>
      <c r="CG89" s="7"/>
      <c r="CH89" s="7">
        <v>3564</v>
      </c>
      <c r="CI89" s="7" t="s">
        <v>979</v>
      </c>
      <c r="CJ89" s="7"/>
      <c r="CK89" s="7"/>
      <c r="CL89" s="7"/>
      <c r="CM89" s="7"/>
      <c r="CN89" s="7">
        <v>0</v>
      </c>
      <c r="CO89" s="7"/>
      <c r="CP89" s="7"/>
      <c r="CQ89" s="7"/>
      <c r="CR89" s="7"/>
      <c r="CS89" s="7">
        <v>0</v>
      </c>
      <c r="CT89" s="7"/>
      <c r="CU89" s="7"/>
      <c r="CV89" s="7" t="s">
        <v>1029</v>
      </c>
      <c r="CW89" s="7" t="s">
        <v>238</v>
      </c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126"/>
      <c r="EE89" s="7"/>
      <c r="EF89" s="7"/>
      <c r="EG89" s="7"/>
    </row>
    <row r="90" spans="1:137" ht="13.5" customHeight="1">
      <c r="A90" s="7">
        <v>78</v>
      </c>
      <c r="B90" s="7"/>
      <c r="C90" s="7"/>
      <c r="D90" s="7"/>
      <c r="E90" s="6" t="s">
        <v>240</v>
      </c>
      <c r="F90" s="6"/>
      <c r="G90" s="7">
        <v>353048</v>
      </c>
      <c r="H90" s="7" t="s">
        <v>613</v>
      </c>
      <c r="I90" s="7">
        <v>18</v>
      </c>
      <c r="J90" s="6" t="s">
        <v>242</v>
      </c>
      <c r="K90" s="7">
        <v>34</v>
      </c>
      <c r="L90" s="7" t="s">
        <v>1030</v>
      </c>
      <c r="M90" s="7">
        <v>17</v>
      </c>
      <c r="N90" s="7" t="s">
        <v>1031</v>
      </c>
      <c r="O90" s="7">
        <v>17</v>
      </c>
      <c r="P90" s="7" t="s">
        <v>1031</v>
      </c>
      <c r="Q90" s="7">
        <v>17</v>
      </c>
      <c r="R90" s="7" t="s">
        <v>1031</v>
      </c>
      <c r="S90" s="7" t="s">
        <v>617</v>
      </c>
      <c r="T90" s="7" t="s">
        <v>1032</v>
      </c>
      <c r="U90" s="28"/>
      <c r="V90" s="7">
        <v>48</v>
      </c>
      <c r="W90" s="7" t="s">
        <v>1033</v>
      </c>
      <c r="X90" s="28"/>
      <c r="Y90" s="7" t="s">
        <v>1034</v>
      </c>
      <c r="Z90" s="7" t="s">
        <v>621</v>
      </c>
      <c r="AA90" s="7" t="s">
        <v>622</v>
      </c>
      <c r="AB90" s="7" t="s">
        <v>638</v>
      </c>
      <c r="AC90" s="7"/>
      <c r="AD90" s="7"/>
      <c r="AE90" s="7"/>
      <c r="AF90" s="7"/>
      <c r="AG90" s="7"/>
      <c r="AH90" s="7"/>
      <c r="AI90" s="7" t="s">
        <v>611</v>
      </c>
      <c r="AJ90" s="7" t="s">
        <v>623</v>
      </c>
      <c r="AK90" s="7">
        <v>10</v>
      </c>
      <c r="AL90" s="7">
        <v>9</v>
      </c>
      <c r="AM90" s="7" t="s">
        <v>624</v>
      </c>
      <c r="AN90" s="7" t="s">
        <v>625</v>
      </c>
      <c r="AO90" s="7" t="s">
        <v>626</v>
      </c>
      <c r="AP90" s="7" t="s">
        <v>627</v>
      </c>
      <c r="AQ90" s="7" t="s">
        <v>617</v>
      </c>
      <c r="AR90" s="7"/>
      <c r="AS90" s="7"/>
      <c r="AT90" s="7"/>
      <c r="AU90" s="6">
        <v>91022</v>
      </c>
      <c r="AV90" s="6" t="s">
        <v>197</v>
      </c>
      <c r="AW90" s="7"/>
      <c r="AX90" s="7"/>
      <c r="AY90" s="7"/>
      <c r="AZ90" s="7"/>
      <c r="BA90" s="6">
        <v>1214</v>
      </c>
      <c r="BB90" s="6" t="s">
        <v>628</v>
      </c>
      <c r="BC90" s="7"/>
      <c r="BD90" s="7"/>
      <c r="BE90" s="7"/>
      <c r="BF90" s="7"/>
      <c r="BG90" s="7">
        <v>0</v>
      </c>
      <c r="BH90" s="7">
        <v>0</v>
      </c>
      <c r="BI90" s="7">
        <v>0</v>
      </c>
      <c r="BJ90" s="7">
        <v>10</v>
      </c>
      <c r="BK90" s="7">
        <v>0</v>
      </c>
      <c r="BL90" s="7">
        <v>10</v>
      </c>
      <c r="BM90" s="7"/>
      <c r="BN90" s="7">
        <v>0</v>
      </c>
      <c r="BO90" s="7"/>
      <c r="BP90" s="7"/>
      <c r="BQ90" s="7">
        <v>0</v>
      </c>
      <c r="BR90" s="7">
        <v>380</v>
      </c>
      <c r="BS90" s="7" t="s">
        <v>629</v>
      </c>
      <c r="BT90" s="7"/>
      <c r="BU90" s="7"/>
      <c r="BV90" s="7">
        <v>0</v>
      </c>
      <c r="BW90" s="7"/>
      <c r="BX90" s="7"/>
      <c r="BY90" s="7">
        <v>10001</v>
      </c>
      <c r="BZ90" s="7" t="s">
        <v>1414</v>
      </c>
      <c r="CA90" s="7"/>
      <c r="CB90" s="7"/>
      <c r="CC90" s="7"/>
      <c r="CD90" s="7"/>
      <c r="CE90" s="7"/>
      <c r="CF90" s="7"/>
      <c r="CG90" s="7"/>
      <c r="CH90" s="7">
        <v>3564</v>
      </c>
      <c r="CI90" s="7" t="s">
        <v>979</v>
      </c>
      <c r="CJ90" s="7"/>
      <c r="CK90" s="7"/>
      <c r="CL90" s="7"/>
      <c r="CM90" s="7"/>
      <c r="CN90" s="7">
        <v>0</v>
      </c>
      <c r="CO90" s="7"/>
      <c r="CP90" s="7"/>
      <c r="CQ90" s="7"/>
      <c r="CR90" s="7"/>
      <c r="CS90" s="7">
        <v>0</v>
      </c>
      <c r="CT90" s="7"/>
      <c r="CU90" s="7"/>
      <c r="CV90" s="7" t="s">
        <v>1035</v>
      </c>
      <c r="CW90" s="7" t="s">
        <v>241</v>
      </c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126"/>
      <c r="EE90" s="7"/>
      <c r="EF90" s="7"/>
      <c r="EG90" s="7"/>
    </row>
    <row r="91" spans="1:137" ht="13.5" customHeight="1">
      <c r="A91" s="7">
        <v>79</v>
      </c>
      <c r="B91" s="7"/>
      <c r="C91" s="7"/>
      <c r="D91" s="7"/>
      <c r="E91" s="6" t="s">
        <v>243</v>
      </c>
      <c r="F91" s="6"/>
      <c r="G91" s="7">
        <v>353049</v>
      </c>
      <c r="H91" s="7" t="s">
        <v>613</v>
      </c>
      <c r="I91" s="7">
        <v>20</v>
      </c>
      <c r="J91" s="6" t="s">
        <v>245</v>
      </c>
      <c r="K91" s="7">
        <v>36</v>
      </c>
      <c r="L91" s="7" t="s">
        <v>1036</v>
      </c>
      <c r="M91" s="7">
        <v>15</v>
      </c>
      <c r="N91" s="7" t="s">
        <v>1037</v>
      </c>
      <c r="O91" s="7">
        <v>15</v>
      </c>
      <c r="P91" s="7" t="s">
        <v>1037</v>
      </c>
      <c r="Q91" s="7">
        <v>15</v>
      </c>
      <c r="R91" s="7" t="s">
        <v>1037</v>
      </c>
      <c r="S91" s="7" t="s">
        <v>617</v>
      </c>
      <c r="T91" s="7" t="s">
        <v>1032</v>
      </c>
      <c r="U91" s="28"/>
      <c r="V91" s="7">
        <v>48</v>
      </c>
      <c r="W91" s="7" t="s">
        <v>1033</v>
      </c>
      <c r="X91" s="28"/>
      <c r="Y91" s="7" t="s">
        <v>1034</v>
      </c>
      <c r="Z91" s="7" t="s">
        <v>621</v>
      </c>
      <c r="AA91" s="7" t="s">
        <v>622</v>
      </c>
      <c r="AB91" s="7" t="s">
        <v>638</v>
      </c>
      <c r="AC91" s="7"/>
      <c r="AD91" s="7"/>
      <c r="AE91" s="7"/>
      <c r="AF91" s="7"/>
      <c r="AG91" s="7"/>
      <c r="AH91" s="7"/>
      <c r="AI91" s="7" t="s">
        <v>611</v>
      </c>
      <c r="AJ91" s="7" t="s">
        <v>623</v>
      </c>
      <c r="AK91" s="7">
        <v>10</v>
      </c>
      <c r="AL91" s="7">
        <v>9</v>
      </c>
      <c r="AM91" s="7" t="s">
        <v>624</v>
      </c>
      <c r="AN91" s="7" t="s">
        <v>625</v>
      </c>
      <c r="AO91" s="7" t="s">
        <v>626</v>
      </c>
      <c r="AP91" s="7" t="s">
        <v>627</v>
      </c>
      <c r="AQ91" s="7" t="s">
        <v>617</v>
      </c>
      <c r="AR91" s="7"/>
      <c r="AS91" s="7"/>
      <c r="AT91" s="7"/>
      <c r="AU91" s="6">
        <v>91022</v>
      </c>
      <c r="AV91" s="6" t="s">
        <v>197</v>
      </c>
      <c r="AW91" s="7"/>
      <c r="AX91" s="7"/>
      <c r="AY91" s="7"/>
      <c r="AZ91" s="7"/>
      <c r="BA91" s="6">
        <v>1214</v>
      </c>
      <c r="BB91" s="6" t="s">
        <v>628</v>
      </c>
      <c r="BC91" s="7"/>
      <c r="BD91" s="7"/>
      <c r="BE91" s="7"/>
      <c r="BF91" s="7"/>
      <c r="BG91" s="7">
        <v>0</v>
      </c>
      <c r="BH91" s="7">
        <v>0</v>
      </c>
      <c r="BI91" s="7">
        <v>0</v>
      </c>
      <c r="BJ91" s="7">
        <v>10</v>
      </c>
      <c r="BK91" s="7">
        <v>0</v>
      </c>
      <c r="BL91" s="7">
        <v>10</v>
      </c>
      <c r="BM91" s="7"/>
      <c r="BN91" s="7">
        <v>0</v>
      </c>
      <c r="BO91" s="7"/>
      <c r="BP91" s="7"/>
      <c r="BQ91" s="7">
        <v>0</v>
      </c>
      <c r="BR91" s="7">
        <v>380</v>
      </c>
      <c r="BS91" s="7" t="s">
        <v>629</v>
      </c>
      <c r="BT91" s="7"/>
      <c r="BU91" s="7"/>
      <c r="BV91" s="7">
        <v>0</v>
      </c>
      <c r="BW91" s="7"/>
      <c r="BX91" s="7"/>
      <c r="BY91" s="7">
        <v>10001</v>
      </c>
      <c r="BZ91" s="7" t="s">
        <v>1414</v>
      </c>
      <c r="CA91" s="7"/>
      <c r="CB91" s="7"/>
      <c r="CC91" s="7"/>
      <c r="CD91" s="7"/>
      <c r="CE91" s="7"/>
      <c r="CF91" s="7"/>
      <c r="CG91" s="7"/>
      <c r="CH91" s="7">
        <v>3564</v>
      </c>
      <c r="CI91" s="7" t="s">
        <v>979</v>
      </c>
      <c r="CJ91" s="7"/>
      <c r="CK91" s="7"/>
      <c r="CL91" s="7"/>
      <c r="CM91" s="7"/>
      <c r="CN91" s="7">
        <v>0</v>
      </c>
      <c r="CO91" s="7"/>
      <c r="CP91" s="7"/>
      <c r="CQ91" s="7"/>
      <c r="CR91" s="7"/>
      <c r="CS91" s="7">
        <v>0</v>
      </c>
      <c r="CT91" s="7"/>
      <c r="CU91" s="7"/>
      <c r="CV91" s="7" t="s">
        <v>1038</v>
      </c>
      <c r="CW91" s="7" t="s">
        <v>244</v>
      </c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126"/>
      <c r="EE91" s="7"/>
      <c r="EF91" s="7"/>
      <c r="EG91" s="7"/>
    </row>
    <row r="92" spans="1:137" ht="13.5" customHeight="1">
      <c r="A92" s="7">
        <v>80</v>
      </c>
      <c r="B92" s="7"/>
      <c r="C92" s="7"/>
      <c r="D92" s="7"/>
      <c r="E92" s="6" t="s">
        <v>246</v>
      </c>
      <c r="F92" s="6"/>
      <c r="G92" s="7">
        <v>353050</v>
      </c>
      <c r="H92" s="7" t="s">
        <v>613</v>
      </c>
      <c r="I92" s="7">
        <v>20</v>
      </c>
      <c r="J92" s="6" t="s">
        <v>248</v>
      </c>
      <c r="K92" s="7">
        <v>36</v>
      </c>
      <c r="L92" s="7" t="s">
        <v>1039</v>
      </c>
      <c r="M92" s="7">
        <v>19</v>
      </c>
      <c r="N92" s="7" t="s">
        <v>1040</v>
      </c>
      <c r="O92" s="7">
        <v>19</v>
      </c>
      <c r="P92" s="7" t="s">
        <v>1040</v>
      </c>
      <c r="Q92" s="7">
        <v>19</v>
      </c>
      <c r="R92" s="7" t="s">
        <v>1040</v>
      </c>
      <c r="S92" s="7" t="s">
        <v>617</v>
      </c>
      <c r="T92" s="7" t="s">
        <v>1032</v>
      </c>
      <c r="U92" s="28"/>
      <c r="V92" s="7">
        <v>48</v>
      </c>
      <c r="W92" s="7" t="s">
        <v>1033</v>
      </c>
      <c r="X92" s="28"/>
      <c r="Y92" s="7" t="s">
        <v>1034</v>
      </c>
      <c r="Z92" s="7" t="s">
        <v>621</v>
      </c>
      <c r="AA92" s="7" t="s">
        <v>622</v>
      </c>
      <c r="AB92" s="7" t="s">
        <v>638</v>
      </c>
      <c r="AC92" s="7"/>
      <c r="AD92" s="7"/>
      <c r="AE92" s="7"/>
      <c r="AF92" s="7"/>
      <c r="AG92" s="7"/>
      <c r="AH92" s="7"/>
      <c r="AI92" s="7" t="s">
        <v>611</v>
      </c>
      <c r="AJ92" s="7" t="s">
        <v>623</v>
      </c>
      <c r="AK92" s="7">
        <v>10</v>
      </c>
      <c r="AL92" s="7">
        <v>9</v>
      </c>
      <c r="AM92" s="7" t="s">
        <v>624</v>
      </c>
      <c r="AN92" s="7" t="s">
        <v>625</v>
      </c>
      <c r="AO92" s="7" t="s">
        <v>626</v>
      </c>
      <c r="AP92" s="7" t="s">
        <v>627</v>
      </c>
      <c r="AQ92" s="7" t="s">
        <v>617</v>
      </c>
      <c r="AR92" s="7"/>
      <c r="AS92" s="7"/>
      <c r="AT92" s="7"/>
      <c r="AU92" s="6">
        <v>91022</v>
      </c>
      <c r="AV92" s="6" t="s">
        <v>197</v>
      </c>
      <c r="AW92" s="7"/>
      <c r="AX92" s="7"/>
      <c r="AY92" s="7"/>
      <c r="AZ92" s="7"/>
      <c r="BA92" s="6">
        <v>1214</v>
      </c>
      <c r="BB92" s="6" t="s">
        <v>628</v>
      </c>
      <c r="BC92" s="7"/>
      <c r="BD92" s="7"/>
      <c r="BE92" s="7"/>
      <c r="BF92" s="7"/>
      <c r="BG92" s="7">
        <v>0</v>
      </c>
      <c r="BH92" s="7">
        <v>0</v>
      </c>
      <c r="BI92" s="7">
        <v>0</v>
      </c>
      <c r="BJ92" s="7">
        <v>10</v>
      </c>
      <c r="BK92" s="7">
        <v>0</v>
      </c>
      <c r="BL92" s="7">
        <v>10</v>
      </c>
      <c r="BM92" s="7"/>
      <c r="BN92" s="7">
        <v>0</v>
      </c>
      <c r="BO92" s="7"/>
      <c r="BP92" s="7"/>
      <c r="BQ92" s="7">
        <v>0</v>
      </c>
      <c r="BR92" s="7">
        <v>380</v>
      </c>
      <c r="BS92" s="7" t="s">
        <v>629</v>
      </c>
      <c r="BT92" s="7"/>
      <c r="BU92" s="7"/>
      <c r="BV92" s="7">
        <v>0</v>
      </c>
      <c r="BW92" s="7"/>
      <c r="BX92" s="7"/>
      <c r="BY92" s="7">
        <v>10001</v>
      </c>
      <c r="BZ92" s="7" t="s">
        <v>1414</v>
      </c>
      <c r="CA92" s="7"/>
      <c r="CB92" s="7"/>
      <c r="CC92" s="7"/>
      <c r="CD92" s="7"/>
      <c r="CE92" s="7"/>
      <c r="CF92" s="7"/>
      <c r="CG92" s="7"/>
      <c r="CH92" s="7">
        <v>3564</v>
      </c>
      <c r="CI92" s="7" t="s">
        <v>979</v>
      </c>
      <c r="CJ92" s="7"/>
      <c r="CK92" s="7"/>
      <c r="CL92" s="7"/>
      <c r="CM92" s="7"/>
      <c r="CN92" s="7">
        <v>0</v>
      </c>
      <c r="CO92" s="7"/>
      <c r="CP92" s="7"/>
      <c r="CQ92" s="7"/>
      <c r="CR92" s="7"/>
      <c r="CS92" s="7">
        <v>0</v>
      </c>
      <c r="CT92" s="7"/>
      <c r="CU92" s="7"/>
      <c r="CV92" s="7" t="s">
        <v>1041</v>
      </c>
      <c r="CW92" s="7" t="s">
        <v>247</v>
      </c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126"/>
      <c r="EE92" s="7"/>
      <c r="EF92" s="7"/>
      <c r="EG92" s="7"/>
    </row>
    <row r="93" spans="1:137" ht="13.5" customHeight="1">
      <c r="A93" s="7">
        <v>81</v>
      </c>
      <c r="B93" s="7"/>
      <c r="C93" s="7"/>
      <c r="D93" s="7"/>
      <c r="E93" s="6" t="s">
        <v>249</v>
      </c>
      <c r="F93" s="6"/>
      <c r="G93" s="7">
        <v>353051</v>
      </c>
      <c r="H93" s="7" t="s">
        <v>613</v>
      </c>
      <c r="I93" s="7">
        <v>20</v>
      </c>
      <c r="J93" s="6" t="s">
        <v>251</v>
      </c>
      <c r="K93" s="7">
        <v>36</v>
      </c>
      <c r="L93" s="7" t="s">
        <v>1042</v>
      </c>
      <c r="M93" s="7">
        <v>16</v>
      </c>
      <c r="N93" s="7" t="s">
        <v>1043</v>
      </c>
      <c r="O93" s="7">
        <v>16</v>
      </c>
      <c r="P93" s="7" t="s">
        <v>1043</v>
      </c>
      <c r="Q93" s="7">
        <v>16</v>
      </c>
      <c r="R93" s="7" t="s">
        <v>1043</v>
      </c>
      <c r="S93" s="7" t="s">
        <v>617</v>
      </c>
      <c r="T93" s="7" t="s">
        <v>1032</v>
      </c>
      <c r="U93" s="28"/>
      <c r="V93" s="7">
        <v>48</v>
      </c>
      <c r="W93" s="7" t="s">
        <v>1033</v>
      </c>
      <c r="X93" s="28"/>
      <c r="Y93" s="7" t="s">
        <v>1034</v>
      </c>
      <c r="Z93" s="7" t="s">
        <v>621</v>
      </c>
      <c r="AA93" s="7" t="s">
        <v>622</v>
      </c>
      <c r="AB93" s="7" t="s">
        <v>638</v>
      </c>
      <c r="AC93" s="7"/>
      <c r="AD93" s="7"/>
      <c r="AE93" s="7"/>
      <c r="AF93" s="7"/>
      <c r="AG93" s="7"/>
      <c r="AH93" s="7"/>
      <c r="AI93" s="7" t="s">
        <v>611</v>
      </c>
      <c r="AJ93" s="7" t="s">
        <v>623</v>
      </c>
      <c r="AK93" s="7">
        <v>10</v>
      </c>
      <c r="AL93" s="7">
        <v>9</v>
      </c>
      <c r="AM93" s="7" t="s">
        <v>624</v>
      </c>
      <c r="AN93" s="7" t="s">
        <v>625</v>
      </c>
      <c r="AO93" s="7" t="s">
        <v>626</v>
      </c>
      <c r="AP93" s="7" t="s">
        <v>627</v>
      </c>
      <c r="AQ93" s="7" t="s">
        <v>617</v>
      </c>
      <c r="AR93" s="7"/>
      <c r="AS93" s="7"/>
      <c r="AT93" s="7"/>
      <c r="AU93" s="6">
        <v>91022</v>
      </c>
      <c r="AV93" s="6" t="s">
        <v>197</v>
      </c>
      <c r="AW93" s="7"/>
      <c r="AX93" s="7"/>
      <c r="AY93" s="7"/>
      <c r="AZ93" s="7"/>
      <c r="BA93" s="6">
        <v>1214</v>
      </c>
      <c r="BB93" s="6" t="s">
        <v>628</v>
      </c>
      <c r="BC93" s="7"/>
      <c r="BD93" s="7"/>
      <c r="BE93" s="7"/>
      <c r="BF93" s="7"/>
      <c r="BG93" s="7">
        <v>0</v>
      </c>
      <c r="BH93" s="7">
        <v>0</v>
      </c>
      <c r="BI93" s="7">
        <v>0</v>
      </c>
      <c r="BJ93" s="7">
        <v>10</v>
      </c>
      <c r="BK93" s="7">
        <v>0</v>
      </c>
      <c r="BL93" s="7">
        <v>10</v>
      </c>
      <c r="BM93" s="7"/>
      <c r="BN93" s="7">
        <v>0</v>
      </c>
      <c r="BO93" s="7"/>
      <c r="BP93" s="7"/>
      <c r="BQ93" s="7">
        <v>0</v>
      </c>
      <c r="BR93" s="7">
        <v>380</v>
      </c>
      <c r="BS93" s="7" t="s">
        <v>629</v>
      </c>
      <c r="BT93" s="7"/>
      <c r="BU93" s="7"/>
      <c r="BV93" s="7">
        <v>0</v>
      </c>
      <c r="BW93" s="7"/>
      <c r="BX93" s="7"/>
      <c r="BY93" s="7">
        <v>10001</v>
      </c>
      <c r="BZ93" s="7" t="s">
        <v>1414</v>
      </c>
      <c r="CA93" s="7"/>
      <c r="CB93" s="7"/>
      <c r="CC93" s="7"/>
      <c r="CD93" s="7"/>
      <c r="CE93" s="7"/>
      <c r="CF93" s="7"/>
      <c r="CG93" s="7"/>
      <c r="CH93" s="7">
        <v>3564</v>
      </c>
      <c r="CI93" s="7" t="s">
        <v>979</v>
      </c>
      <c r="CJ93" s="7"/>
      <c r="CK93" s="7"/>
      <c r="CL93" s="7"/>
      <c r="CM93" s="7"/>
      <c r="CN93" s="7">
        <v>0</v>
      </c>
      <c r="CO93" s="7"/>
      <c r="CP93" s="7"/>
      <c r="CQ93" s="7"/>
      <c r="CR93" s="7"/>
      <c r="CS93" s="7">
        <v>0</v>
      </c>
      <c r="CT93" s="7"/>
      <c r="CU93" s="7"/>
      <c r="CV93" s="7" t="s">
        <v>1044</v>
      </c>
      <c r="CW93" s="7" t="s">
        <v>250</v>
      </c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126"/>
      <c r="EE93" s="7"/>
      <c r="EF93" s="7"/>
      <c r="EG93" s="7"/>
    </row>
    <row r="94" spans="1:137" ht="13.5" customHeight="1">
      <c r="A94" s="7">
        <v>82</v>
      </c>
      <c r="B94" s="7"/>
      <c r="C94" s="7"/>
      <c r="D94" s="7"/>
      <c r="E94" s="6" t="s">
        <v>252</v>
      </c>
      <c r="F94" s="6"/>
      <c r="G94" s="7">
        <v>353052</v>
      </c>
      <c r="H94" s="7" t="s">
        <v>613</v>
      </c>
      <c r="I94" s="7">
        <v>22</v>
      </c>
      <c r="J94" s="6" t="s">
        <v>254</v>
      </c>
      <c r="K94" s="7">
        <v>38</v>
      </c>
      <c r="L94" s="7" t="s">
        <v>1045</v>
      </c>
      <c r="M94" s="7">
        <v>22</v>
      </c>
      <c r="N94" s="7" t="s">
        <v>1046</v>
      </c>
      <c r="O94" s="7">
        <v>19</v>
      </c>
      <c r="P94" s="7" t="s">
        <v>1047</v>
      </c>
      <c r="Q94" s="7">
        <v>19</v>
      </c>
      <c r="R94" s="7" t="s">
        <v>1047</v>
      </c>
      <c r="S94" s="7" t="s">
        <v>617</v>
      </c>
      <c r="T94" s="7" t="s">
        <v>1032</v>
      </c>
      <c r="U94" s="28"/>
      <c r="V94" s="7">
        <v>48</v>
      </c>
      <c r="W94" s="7" t="s">
        <v>1033</v>
      </c>
      <c r="X94" s="28"/>
      <c r="Y94" s="7" t="s">
        <v>1034</v>
      </c>
      <c r="Z94" s="7" t="s">
        <v>621</v>
      </c>
      <c r="AA94" s="7" t="s">
        <v>622</v>
      </c>
      <c r="AB94" s="7" t="s">
        <v>638</v>
      </c>
      <c r="AC94" s="7"/>
      <c r="AD94" s="7"/>
      <c r="AE94" s="7"/>
      <c r="AF94" s="7"/>
      <c r="AG94" s="7"/>
      <c r="AH94" s="7"/>
      <c r="AI94" s="7" t="s">
        <v>611</v>
      </c>
      <c r="AJ94" s="7" t="s">
        <v>623</v>
      </c>
      <c r="AK94" s="7">
        <v>10</v>
      </c>
      <c r="AL94" s="7">
        <v>9</v>
      </c>
      <c r="AM94" s="7" t="s">
        <v>624</v>
      </c>
      <c r="AN94" s="7" t="s">
        <v>625</v>
      </c>
      <c r="AO94" s="7" t="s">
        <v>626</v>
      </c>
      <c r="AP94" s="7" t="s">
        <v>627</v>
      </c>
      <c r="AQ94" s="7" t="s">
        <v>617</v>
      </c>
      <c r="AR94" s="7"/>
      <c r="AS94" s="7"/>
      <c r="AT94" s="7"/>
      <c r="AU94" s="6">
        <v>91022</v>
      </c>
      <c r="AV94" s="6" t="s">
        <v>197</v>
      </c>
      <c r="AW94" s="7"/>
      <c r="AX94" s="7"/>
      <c r="AY94" s="7"/>
      <c r="AZ94" s="7"/>
      <c r="BA94" s="6">
        <v>1214</v>
      </c>
      <c r="BB94" s="6" t="s">
        <v>628</v>
      </c>
      <c r="BC94" s="7"/>
      <c r="BD94" s="7"/>
      <c r="BE94" s="7"/>
      <c r="BF94" s="7"/>
      <c r="BG94" s="7">
        <v>0</v>
      </c>
      <c r="BH94" s="7">
        <v>0</v>
      </c>
      <c r="BI94" s="7">
        <v>0</v>
      </c>
      <c r="BJ94" s="7">
        <v>10</v>
      </c>
      <c r="BK94" s="7">
        <v>0</v>
      </c>
      <c r="BL94" s="7">
        <v>10</v>
      </c>
      <c r="BM94" s="7"/>
      <c r="BN94" s="7">
        <v>0</v>
      </c>
      <c r="BO94" s="7"/>
      <c r="BP94" s="7"/>
      <c r="BQ94" s="7">
        <v>0</v>
      </c>
      <c r="BR94" s="7">
        <v>380</v>
      </c>
      <c r="BS94" s="7" t="s">
        <v>629</v>
      </c>
      <c r="BT94" s="7"/>
      <c r="BU94" s="7"/>
      <c r="BV94" s="7">
        <v>0</v>
      </c>
      <c r="BW94" s="7"/>
      <c r="BX94" s="7"/>
      <c r="BY94" s="7">
        <v>10001</v>
      </c>
      <c r="BZ94" s="7" t="s">
        <v>1414</v>
      </c>
      <c r="CA94" s="7"/>
      <c r="CB94" s="7"/>
      <c r="CC94" s="7"/>
      <c r="CD94" s="7"/>
      <c r="CE94" s="7"/>
      <c r="CF94" s="7"/>
      <c r="CG94" s="7"/>
      <c r="CH94" s="7">
        <v>3564</v>
      </c>
      <c r="CI94" s="7" t="s">
        <v>979</v>
      </c>
      <c r="CJ94" s="7"/>
      <c r="CK94" s="7"/>
      <c r="CL94" s="7"/>
      <c r="CM94" s="7"/>
      <c r="CN94" s="7">
        <v>0</v>
      </c>
      <c r="CO94" s="7"/>
      <c r="CP94" s="7"/>
      <c r="CQ94" s="7"/>
      <c r="CR94" s="7"/>
      <c r="CS94" s="7">
        <v>0</v>
      </c>
      <c r="CT94" s="7"/>
      <c r="CU94" s="7"/>
      <c r="CV94" s="7" t="s">
        <v>1048</v>
      </c>
      <c r="CW94" s="7" t="s">
        <v>253</v>
      </c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126"/>
      <c r="EE94" s="7"/>
      <c r="EF94" s="7"/>
      <c r="EG94" s="7"/>
    </row>
    <row r="95" spans="1:137" ht="13.5" customHeight="1">
      <c r="A95" s="7">
        <v>83</v>
      </c>
      <c r="B95" s="7"/>
      <c r="C95" s="7"/>
      <c r="D95" s="7"/>
      <c r="E95" s="7" t="s">
        <v>256</v>
      </c>
      <c r="F95" s="7"/>
      <c r="G95" s="7">
        <v>353056</v>
      </c>
      <c r="H95" s="7" t="s">
        <v>613</v>
      </c>
      <c r="I95" s="7">
        <v>31</v>
      </c>
      <c r="J95" s="7" t="s">
        <v>258</v>
      </c>
      <c r="K95" s="7">
        <v>42</v>
      </c>
      <c r="L95" s="7" t="s">
        <v>1049</v>
      </c>
      <c r="M95" s="7">
        <v>26</v>
      </c>
      <c r="N95" s="7" t="s">
        <v>1050</v>
      </c>
      <c r="O95" s="7">
        <v>20</v>
      </c>
      <c r="P95" s="7" t="s">
        <v>1051</v>
      </c>
      <c r="Q95" s="7">
        <v>20</v>
      </c>
      <c r="R95" s="7" t="s">
        <v>1051</v>
      </c>
      <c r="S95" s="7" t="s">
        <v>617</v>
      </c>
      <c r="T95" s="7" t="s">
        <v>976</v>
      </c>
      <c r="U95" s="28"/>
      <c r="V95" s="7">
        <v>48</v>
      </c>
      <c r="W95" s="7" t="s">
        <v>977</v>
      </c>
      <c r="X95" s="28"/>
      <c r="Y95" s="7" t="s">
        <v>978</v>
      </c>
      <c r="Z95" s="7" t="s">
        <v>621</v>
      </c>
      <c r="AA95" s="7" t="s">
        <v>622</v>
      </c>
      <c r="AB95" s="7" t="s">
        <v>638</v>
      </c>
      <c r="AC95" s="7"/>
      <c r="AD95" s="7"/>
      <c r="AE95" s="7"/>
      <c r="AF95" s="7"/>
      <c r="AG95" s="7"/>
      <c r="AH95" s="7"/>
      <c r="AI95" s="7" t="s">
        <v>611</v>
      </c>
      <c r="AJ95" s="7" t="s">
        <v>623</v>
      </c>
      <c r="AK95" s="7">
        <v>10</v>
      </c>
      <c r="AL95" s="7">
        <v>9</v>
      </c>
      <c r="AM95" s="7" t="s">
        <v>624</v>
      </c>
      <c r="AN95" s="7" t="s">
        <v>625</v>
      </c>
      <c r="AO95" s="7" t="s">
        <v>626</v>
      </c>
      <c r="AP95" s="7" t="s">
        <v>627</v>
      </c>
      <c r="AQ95" s="7" t="s">
        <v>617</v>
      </c>
      <c r="AR95" s="7"/>
      <c r="AS95" s="7"/>
      <c r="AT95" s="7"/>
      <c r="AU95" s="6">
        <v>91002</v>
      </c>
      <c r="AV95" s="6" t="s">
        <v>255</v>
      </c>
      <c r="AW95" s="7"/>
      <c r="AX95" s="7"/>
      <c r="AY95" s="7"/>
      <c r="AZ95" s="7"/>
      <c r="BA95" s="6">
        <v>1214</v>
      </c>
      <c r="BB95" s="6" t="s">
        <v>628</v>
      </c>
      <c r="BC95" s="7"/>
      <c r="BD95" s="7"/>
      <c r="BE95" s="7"/>
      <c r="BF95" s="7"/>
      <c r="BG95" s="7">
        <v>0</v>
      </c>
      <c r="BH95" s="7">
        <v>0</v>
      </c>
      <c r="BI95" s="7">
        <v>0</v>
      </c>
      <c r="BJ95" s="7">
        <v>10</v>
      </c>
      <c r="BK95" s="7">
        <v>0</v>
      </c>
      <c r="BL95" s="7">
        <v>10</v>
      </c>
      <c r="BM95" s="7"/>
      <c r="BN95" s="7">
        <v>0</v>
      </c>
      <c r="BO95" s="7"/>
      <c r="BP95" s="7"/>
      <c r="BQ95" s="7">
        <v>0</v>
      </c>
      <c r="BR95" s="7">
        <v>380</v>
      </c>
      <c r="BS95" s="7" t="s">
        <v>629</v>
      </c>
      <c r="BT95" s="7"/>
      <c r="BU95" s="7"/>
      <c r="BV95" s="7">
        <v>0</v>
      </c>
      <c r="BW95" s="7"/>
      <c r="BX95" s="7"/>
      <c r="BY95" s="7">
        <v>10001</v>
      </c>
      <c r="BZ95" s="7" t="s">
        <v>1414</v>
      </c>
      <c r="CA95" s="7"/>
      <c r="CB95" s="7"/>
      <c r="CC95" s="7"/>
      <c r="CD95" s="7"/>
      <c r="CE95" s="7"/>
      <c r="CF95" s="7"/>
      <c r="CG95" s="7"/>
      <c r="CH95" s="7">
        <v>3564</v>
      </c>
      <c r="CI95" s="7" t="s">
        <v>979</v>
      </c>
      <c r="CJ95" s="7"/>
      <c r="CK95" s="7"/>
      <c r="CL95" s="7"/>
      <c r="CM95" s="7"/>
      <c r="CN95" s="7">
        <v>0</v>
      </c>
      <c r="CO95" s="7"/>
      <c r="CP95" s="7"/>
      <c r="CQ95" s="7"/>
      <c r="CR95" s="7"/>
      <c r="CS95" s="7">
        <v>0</v>
      </c>
      <c r="CT95" s="7"/>
      <c r="CU95" s="7"/>
      <c r="CV95" s="7" t="s">
        <v>1052</v>
      </c>
      <c r="CW95" s="7" t="s">
        <v>257</v>
      </c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126"/>
      <c r="EE95" s="7"/>
      <c r="EF95" s="7"/>
      <c r="EG95" s="7"/>
    </row>
    <row r="96" spans="1:137" ht="13.5" customHeight="1">
      <c r="A96" s="7">
        <v>84</v>
      </c>
      <c r="B96" s="7"/>
      <c r="C96" s="7"/>
      <c r="D96" s="7"/>
      <c r="E96" s="7" t="s">
        <v>259</v>
      </c>
      <c r="F96" s="7"/>
      <c r="G96" s="7">
        <v>353057</v>
      </c>
      <c r="H96" s="7" t="s">
        <v>613</v>
      </c>
      <c r="I96" s="7">
        <v>42</v>
      </c>
      <c r="J96" s="7" t="s">
        <v>261</v>
      </c>
      <c r="K96" s="7">
        <v>49</v>
      </c>
      <c r="L96" s="7" t="s">
        <v>1053</v>
      </c>
      <c r="M96" s="7">
        <v>32</v>
      </c>
      <c r="N96" s="7" t="s">
        <v>1054</v>
      </c>
      <c r="O96" s="7">
        <v>20</v>
      </c>
      <c r="P96" s="7" t="s">
        <v>1055</v>
      </c>
      <c r="Q96" s="7">
        <v>20</v>
      </c>
      <c r="R96" s="7" t="s">
        <v>1055</v>
      </c>
      <c r="S96" s="7" t="s">
        <v>617</v>
      </c>
      <c r="T96" s="7" t="s">
        <v>976</v>
      </c>
      <c r="U96" s="28"/>
      <c r="V96" s="7">
        <v>48</v>
      </c>
      <c r="W96" s="7" t="s">
        <v>977</v>
      </c>
      <c r="X96" s="28"/>
      <c r="Y96" s="7" t="s">
        <v>978</v>
      </c>
      <c r="Z96" s="7" t="s">
        <v>621</v>
      </c>
      <c r="AA96" s="7" t="s">
        <v>622</v>
      </c>
      <c r="AB96" s="7" t="s">
        <v>638</v>
      </c>
      <c r="AC96" s="7"/>
      <c r="AD96" s="7"/>
      <c r="AE96" s="7"/>
      <c r="AF96" s="7"/>
      <c r="AG96" s="7"/>
      <c r="AH96" s="7"/>
      <c r="AI96" s="7" t="s">
        <v>611</v>
      </c>
      <c r="AJ96" s="7" t="s">
        <v>623</v>
      </c>
      <c r="AK96" s="7">
        <v>10</v>
      </c>
      <c r="AL96" s="7">
        <v>9</v>
      </c>
      <c r="AM96" s="7" t="s">
        <v>624</v>
      </c>
      <c r="AN96" s="7" t="s">
        <v>625</v>
      </c>
      <c r="AO96" s="7" t="s">
        <v>626</v>
      </c>
      <c r="AP96" s="7" t="s">
        <v>627</v>
      </c>
      <c r="AQ96" s="7" t="s">
        <v>617</v>
      </c>
      <c r="AR96" s="7"/>
      <c r="AS96" s="7"/>
      <c r="AT96" s="7"/>
      <c r="AU96" s="6">
        <v>91002</v>
      </c>
      <c r="AV96" s="6" t="s">
        <v>255</v>
      </c>
      <c r="AW96" s="7"/>
      <c r="AX96" s="7"/>
      <c r="AY96" s="7"/>
      <c r="AZ96" s="7"/>
      <c r="BA96" s="6">
        <v>1214</v>
      </c>
      <c r="BB96" s="6" t="s">
        <v>628</v>
      </c>
      <c r="BC96" s="7"/>
      <c r="BD96" s="7"/>
      <c r="BE96" s="7"/>
      <c r="BF96" s="7"/>
      <c r="BG96" s="7">
        <v>0</v>
      </c>
      <c r="BH96" s="7">
        <v>0</v>
      </c>
      <c r="BI96" s="7">
        <v>0</v>
      </c>
      <c r="BJ96" s="7">
        <v>10</v>
      </c>
      <c r="BK96" s="7">
        <v>0</v>
      </c>
      <c r="BL96" s="7">
        <v>10</v>
      </c>
      <c r="BM96" s="7"/>
      <c r="BN96" s="7">
        <v>0</v>
      </c>
      <c r="BO96" s="7"/>
      <c r="BP96" s="7"/>
      <c r="BQ96" s="7">
        <v>0</v>
      </c>
      <c r="BR96" s="7">
        <v>380</v>
      </c>
      <c r="BS96" s="7" t="s">
        <v>629</v>
      </c>
      <c r="BT96" s="7"/>
      <c r="BU96" s="7"/>
      <c r="BV96" s="7">
        <v>0</v>
      </c>
      <c r="BW96" s="7"/>
      <c r="BX96" s="7"/>
      <c r="BY96" s="7">
        <v>10001</v>
      </c>
      <c r="BZ96" s="7" t="s">
        <v>1414</v>
      </c>
      <c r="CA96" s="7"/>
      <c r="CB96" s="7"/>
      <c r="CC96" s="7"/>
      <c r="CD96" s="7"/>
      <c r="CE96" s="7"/>
      <c r="CF96" s="7"/>
      <c r="CG96" s="7"/>
      <c r="CH96" s="7">
        <v>3564</v>
      </c>
      <c r="CI96" s="7" t="s">
        <v>979</v>
      </c>
      <c r="CJ96" s="7"/>
      <c r="CK96" s="7"/>
      <c r="CL96" s="7"/>
      <c r="CM96" s="7"/>
      <c r="CN96" s="7">
        <v>0</v>
      </c>
      <c r="CO96" s="7"/>
      <c r="CP96" s="7"/>
      <c r="CQ96" s="7"/>
      <c r="CR96" s="7"/>
      <c r="CS96" s="7">
        <v>0</v>
      </c>
      <c r="CT96" s="7"/>
      <c r="CU96" s="7"/>
      <c r="CV96" s="7" t="s">
        <v>1056</v>
      </c>
      <c r="CW96" s="7" t="s">
        <v>260</v>
      </c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126"/>
      <c r="EE96" s="7"/>
      <c r="EF96" s="7"/>
      <c r="EG96" s="7"/>
    </row>
    <row r="97" spans="1:137" ht="13.5" customHeight="1">
      <c r="A97" s="7">
        <v>85</v>
      </c>
      <c r="B97" s="7"/>
      <c r="C97" s="7"/>
      <c r="D97" s="7"/>
      <c r="E97" s="7" t="s">
        <v>262</v>
      </c>
      <c r="F97" s="7"/>
      <c r="G97" s="7">
        <v>353058</v>
      </c>
      <c r="H97" s="7" t="s">
        <v>613</v>
      </c>
      <c r="I97" s="7">
        <v>42</v>
      </c>
      <c r="J97" s="7" t="s">
        <v>264</v>
      </c>
      <c r="K97" s="7">
        <v>49</v>
      </c>
      <c r="L97" s="7" t="s">
        <v>1057</v>
      </c>
      <c r="M97" s="7">
        <v>32</v>
      </c>
      <c r="N97" s="7" t="s">
        <v>1058</v>
      </c>
      <c r="O97" s="7">
        <v>20</v>
      </c>
      <c r="P97" s="7" t="s">
        <v>1059</v>
      </c>
      <c r="Q97" s="7">
        <v>20</v>
      </c>
      <c r="R97" s="7" t="s">
        <v>1059</v>
      </c>
      <c r="S97" s="7" t="s">
        <v>617</v>
      </c>
      <c r="T97" s="7" t="s">
        <v>976</v>
      </c>
      <c r="U97" s="28"/>
      <c r="V97" s="7">
        <v>48</v>
      </c>
      <c r="W97" s="7" t="s">
        <v>977</v>
      </c>
      <c r="X97" s="28"/>
      <c r="Y97" s="7" t="s">
        <v>978</v>
      </c>
      <c r="Z97" s="7" t="s">
        <v>621</v>
      </c>
      <c r="AA97" s="7" t="s">
        <v>622</v>
      </c>
      <c r="AB97" s="7" t="s">
        <v>638</v>
      </c>
      <c r="AC97" s="7"/>
      <c r="AD97" s="7"/>
      <c r="AE97" s="7"/>
      <c r="AF97" s="7"/>
      <c r="AG97" s="7"/>
      <c r="AH97" s="7"/>
      <c r="AI97" s="7" t="s">
        <v>611</v>
      </c>
      <c r="AJ97" s="7" t="s">
        <v>623</v>
      </c>
      <c r="AK97" s="7">
        <v>10</v>
      </c>
      <c r="AL97" s="7">
        <v>9</v>
      </c>
      <c r="AM97" s="7" t="s">
        <v>624</v>
      </c>
      <c r="AN97" s="7" t="s">
        <v>625</v>
      </c>
      <c r="AO97" s="7" t="s">
        <v>626</v>
      </c>
      <c r="AP97" s="7" t="s">
        <v>627</v>
      </c>
      <c r="AQ97" s="7" t="s">
        <v>617</v>
      </c>
      <c r="AR97" s="7"/>
      <c r="AS97" s="7"/>
      <c r="AT97" s="7"/>
      <c r="AU97" s="6">
        <v>91002</v>
      </c>
      <c r="AV97" s="6" t="s">
        <v>255</v>
      </c>
      <c r="AW97" s="7"/>
      <c r="AX97" s="7"/>
      <c r="AY97" s="7"/>
      <c r="AZ97" s="7"/>
      <c r="BA97" s="6">
        <v>1214</v>
      </c>
      <c r="BB97" s="6" t="s">
        <v>628</v>
      </c>
      <c r="BC97" s="7"/>
      <c r="BD97" s="7"/>
      <c r="BE97" s="7"/>
      <c r="BF97" s="7"/>
      <c r="BG97" s="7">
        <v>0</v>
      </c>
      <c r="BH97" s="7">
        <v>0</v>
      </c>
      <c r="BI97" s="7">
        <v>0</v>
      </c>
      <c r="BJ97" s="7">
        <v>10</v>
      </c>
      <c r="BK97" s="7">
        <v>0</v>
      </c>
      <c r="BL97" s="7">
        <v>10</v>
      </c>
      <c r="BM97" s="7"/>
      <c r="BN97" s="7">
        <v>0</v>
      </c>
      <c r="BO97" s="7"/>
      <c r="BP97" s="7"/>
      <c r="BQ97" s="7">
        <v>0</v>
      </c>
      <c r="BR97" s="7">
        <v>380</v>
      </c>
      <c r="BS97" s="7" t="s">
        <v>629</v>
      </c>
      <c r="BT97" s="7"/>
      <c r="BU97" s="7"/>
      <c r="BV97" s="7">
        <v>0</v>
      </c>
      <c r="BW97" s="7"/>
      <c r="BX97" s="7"/>
      <c r="BY97" s="7">
        <v>10001</v>
      </c>
      <c r="BZ97" s="7" t="s">
        <v>1414</v>
      </c>
      <c r="CA97" s="7"/>
      <c r="CB97" s="7"/>
      <c r="CC97" s="7"/>
      <c r="CD97" s="7"/>
      <c r="CE97" s="7"/>
      <c r="CF97" s="7"/>
      <c r="CG97" s="7"/>
      <c r="CH97" s="7">
        <v>3564</v>
      </c>
      <c r="CI97" s="7" t="s">
        <v>979</v>
      </c>
      <c r="CJ97" s="7"/>
      <c r="CK97" s="7"/>
      <c r="CL97" s="7"/>
      <c r="CM97" s="7"/>
      <c r="CN97" s="7">
        <v>0</v>
      </c>
      <c r="CO97" s="7"/>
      <c r="CP97" s="7"/>
      <c r="CQ97" s="7"/>
      <c r="CR97" s="7"/>
      <c r="CS97" s="7">
        <v>0</v>
      </c>
      <c r="CT97" s="7"/>
      <c r="CU97" s="7"/>
      <c r="CV97" s="7" t="s">
        <v>1060</v>
      </c>
      <c r="CW97" s="7" t="s">
        <v>263</v>
      </c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126"/>
      <c r="EE97" s="7"/>
      <c r="EF97" s="7"/>
      <c r="EG97" s="7"/>
    </row>
    <row r="98" spans="1:137" ht="13.5" customHeight="1">
      <c r="A98" s="7">
        <v>86</v>
      </c>
      <c r="B98" s="7"/>
      <c r="C98" s="7"/>
      <c r="D98" s="7"/>
      <c r="E98" s="7" t="s">
        <v>265</v>
      </c>
      <c r="F98" s="7"/>
      <c r="G98" s="7">
        <v>353059</v>
      </c>
      <c r="H98" s="7" t="s">
        <v>613</v>
      </c>
      <c r="I98" s="7">
        <v>22</v>
      </c>
      <c r="J98" s="7" t="s">
        <v>267</v>
      </c>
      <c r="K98" s="7">
        <v>31</v>
      </c>
      <c r="L98" s="7" t="s">
        <v>1061</v>
      </c>
      <c r="M98" s="7">
        <v>14</v>
      </c>
      <c r="N98" s="7" t="s">
        <v>1062</v>
      </c>
      <c r="O98" s="7">
        <v>11</v>
      </c>
      <c r="P98" s="7" t="s">
        <v>1063</v>
      </c>
      <c r="Q98" s="7">
        <v>11</v>
      </c>
      <c r="R98" s="7" t="s">
        <v>1063</v>
      </c>
      <c r="S98" s="7" t="s">
        <v>617</v>
      </c>
      <c r="T98" s="7" t="s">
        <v>976</v>
      </c>
      <c r="U98" s="28"/>
      <c r="V98" s="7">
        <v>48</v>
      </c>
      <c r="W98" s="7" t="s">
        <v>977</v>
      </c>
      <c r="X98" s="28"/>
      <c r="Y98" s="7" t="s">
        <v>978</v>
      </c>
      <c r="Z98" s="7" t="s">
        <v>621</v>
      </c>
      <c r="AA98" s="7" t="s">
        <v>622</v>
      </c>
      <c r="AB98" s="7" t="s">
        <v>638</v>
      </c>
      <c r="AC98" s="7"/>
      <c r="AD98" s="7"/>
      <c r="AE98" s="7"/>
      <c r="AF98" s="7"/>
      <c r="AG98" s="7"/>
      <c r="AH98" s="7"/>
      <c r="AI98" s="7" t="s">
        <v>611</v>
      </c>
      <c r="AJ98" s="7" t="s">
        <v>623</v>
      </c>
      <c r="AK98" s="7">
        <v>10</v>
      </c>
      <c r="AL98" s="7">
        <v>9</v>
      </c>
      <c r="AM98" s="7" t="s">
        <v>624</v>
      </c>
      <c r="AN98" s="7" t="s">
        <v>625</v>
      </c>
      <c r="AO98" s="7" t="s">
        <v>626</v>
      </c>
      <c r="AP98" s="7" t="s">
        <v>627</v>
      </c>
      <c r="AQ98" s="7" t="s">
        <v>617</v>
      </c>
      <c r="AR98" s="7"/>
      <c r="AS98" s="7"/>
      <c r="AT98" s="7"/>
      <c r="AU98" s="6">
        <v>91002</v>
      </c>
      <c r="AV98" s="6" t="s">
        <v>255</v>
      </c>
      <c r="AW98" s="7"/>
      <c r="AX98" s="7"/>
      <c r="AY98" s="7"/>
      <c r="AZ98" s="7"/>
      <c r="BA98" s="6">
        <v>1214</v>
      </c>
      <c r="BB98" s="6" t="s">
        <v>628</v>
      </c>
      <c r="BC98" s="7"/>
      <c r="BD98" s="7"/>
      <c r="BE98" s="7"/>
      <c r="BF98" s="7"/>
      <c r="BG98" s="7">
        <v>0</v>
      </c>
      <c r="BH98" s="7">
        <v>0</v>
      </c>
      <c r="BI98" s="7">
        <v>0</v>
      </c>
      <c r="BJ98" s="7">
        <v>10</v>
      </c>
      <c r="BK98" s="7">
        <v>0</v>
      </c>
      <c r="BL98" s="7">
        <v>10</v>
      </c>
      <c r="BM98" s="7"/>
      <c r="BN98" s="7">
        <v>0</v>
      </c>
      <c r="BO98" s="7"/>
      <c r="BP98" s="7"/>
      <c r="BQ98" s="7">
        <v>0</v>
      </c>
      <c r="BR98" s="7">
        <v>380</v>
      </c>
      <c r="BS98" s="7" t="s">
        <v>629</v>
      </c>
      <c r="BT98" s="7"/>
      <c r="BU98" s="7"/>
      <c r="BV98" s="7">
        <v>0</v>
      </c>
      <c r="BW98" s="7"/>
      <c r="BX98" s="7"/>
      <c r="BY98" s="7">
        <v>10001</v>
      </c>
      <c r="BZ98" s="7" t="s">
        <v>1414</v>
      </c>
      <c r="CA98" s="7"/>
      <c r="CB98" s="7"/>
      <c r="CC98" s="7"/>
      <c r="CD98" s="7"/>
      <c r="CE98" s="7"/>
      <c r="CF98" s="7"/>
      <c r="CG98" s="7"/>
      <c r="CH98" s="7">
        <v>3564</v>
      </c>
      <c r="CI98" s="7" t="s">
        <v>979</v>
      </c>
      <c r="CJ98" s="7"/>
      <c r="CK98" s="7"/>
      <c r="CL98" s="7"/>
      <c r="CM98" s="7"/>
      <c r="CN98" s="7">
        <v>0</v>
      </c>
      <c r="CO98" s="7"/>
      <c r="CP98" s="7"/>
      <c r="CQ98" s="7"/>
      <c r="CR98" s="7"/>
      <c r="CS98" s="7">
        <v>0</v>
      </c>
      <c r="CT98" s="7"/>
      <c r="CU98" s="7"/>
      <c r="CV98" s="7" t="s">
        <v>1064</v>
      </c>
      <c r="CW98" s="7" t="s">
        <v>266</v>
      </c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126"/>
      <c r="EE98" s="7"/>
      <c r="EF98" s="7"/>
      <c r="EG98" s="7"/>
    </row>
    <row r="99" spans="1:137" ht="13.5" customHeight="1">
      <c r="A99" s="7">
        <v>87</v>
      </c>
      <c r="B99" s="7"/>
      <c r="C99" s="7"/>
      <c r="D99" s="7"/>
      <c r="E99" s="7" t="s">
        <v>268</v>
      </c>
      <c r="F99" s="7"/>
      <c r="G99" s="7">
        <v>353060</v>
      </c>
      <c r="H99" s="7" t="s">
        <v>613</v>
      </c>
      <c r="I99" s="7">
        <v>29</v>
      </c>
      <c r="J99" s="7" t="s">
        <v>270</v>
      </c>
      <c r="K99" s="7">
        <v>38</v>
      </c>
      <c r="L99" s="7" t="s">
        <v>1065</v>
      </c>
      <c r="M99" s="7">
        <v>21</v>
      </c>
      <c r="N99" s="7" t="s">
        <v>1066</v>
      </c>
      <c r="O99" s="7">
        <v>15</v>
      </c>
      <c r="P99" s="7" t="s">
        <v>1067</v>
      </c>
      <c r="Q99" s="7">
        <v>15</v>
      </c>
      <c r="R99" s="7" t="s">
        <v>1067</v>
      </c>
      <c r="S99" s="7" t="s">
        <v>617</v>
      </c>
      <c r="T99" s="7" t="s">
        <v>976</v>
      </c>
      <c r="U99" s="28"/>
      <c r="V99" s="7">
        <v>48</v>
      </c>
      <c r="W99" s="7" t="s">
        <v>977</v>
      </c>
      <c r="X99" s="28"/>
      <c r="Y99" s="7" t="s">
        <v>978</v>
      </c>
      <c r="Z99" s="7" t="s">
        <v>621</v>
      </c>
      <c r="AA99" s="7" t="s">
        <v>622</v>
      </c>
      <c r="AB99" s="7" t="s">
        <v>638</v>
      </c>
      <c r="AC99" s="7"/>
      <c r="AD99" s="7"/>
      <c r="AE99" s="7"/>
      <c r="AF99" s="7"/>
      <c r="AG99" s="7"/>
      <c r="AH99" s="7"/>
      <c r="AI99" s="7" t="s">
        <v>611</v>
      </c>
      <c r="AJ99" s="7" t="s">
        <v>623</v>
      </c>
      <c r="AK99" s="7">
        <v>10</v>
      </c>
      <c r="AL99" s="7">
        <v>9</v>
      </c>
      <c r="AM99" s="7" t="s">
        <v>624</v>
      </c>
      <c r="AN99" s="7" t="s">
        <v>625</v>
      </c>
      <c r="AO99" s="7" t="s">
        <v>626</v>
      </c>
      <c r="AP99" s="7" t="s">
        <v>627</v>
      </c>
      <c r="AQ99" s="7" t="s">
        <v>617</v>
      </c>
      <c r="AR99" s="7"/>
      <c r="AS99" s="7"/>
      <c r="AT99" s="7"/>
      <c r="AU99" s="6">
        <v>91002</v>
      </c>
      <c r="AV99" s="6" t="s">
        <v>255</v>
      </c>
      <c r="AW99" s="7"/>
      <c r="AX99" s="7"/>
      <c r="AY99" s="7"/>
      <c r="AZ99" s="7"/>
      <c r="BA99" s="6">
        <v>1214</v>
      </c>
      <c r="BB99" s="6" t="s">
        <v>628</v>
      </c>
      <c r="BC99" s="7"/>
      <c r="BD99" s="7"/>
      <c r="BE99" s="7"/>
      <c r="BF99" s="7"/>
      <c r="BG99" s="7">
        <v>0</v>
      </c>
      <c r="BH99" s="7">
        <v>0</v>
      </c>
      <c r="BI99" s="7">
        <v>0</v>
      </c>
      <c r="BJ99" s="7">
        <v>10</v>
      </c>
      <c r="BK99" s="7">
        <v>0</v>
      </c>
      <c r="BL99" s="7">
        <v>10</v>
      </c>
      <c r="BM99" s="7"/>
      <c r="BN99" s="7">
        <v>0</v>
      </c>
      <c r="BO99" s="7"/>
      <c r="BP99" s="7"/>
      <c r="BQ99" s="7">
        <v>0</v>
      </c>
      <c r="BR99" s="7">
        <v>380</v>
      </c>
      <c r="BS99" s="7" t="s">
        <v>629</v>
      </c>
      <c r="BT99" s="7"/>
      <c r="BU99" s="7"/>
      <c r="BV99" s="7">
        <v>0</v>
      </c>
      <c r="BW99" s="7"/>
      <c r="BX99" s="7"/>
      <c r="BY99" s="7">
        <v>10001</v>
      </c>
      <c r="BZ99" s="7" t="s">
        <v>1414</v>
      </c>
      <c r="CA99" s="7"/>
      <c r="CB99" s="7"/>
      <c r="CC99" s="7"/>
      <c r="CD99" s="7"/>
      <c r="CE99" s="7"/>
      <c r="CF99" s="7"/>
      <c r="CG99" s="7"/>
      <c r="CH99" s="7">
        <v>3564</v>
      </c>
      <c r="CI99" s="7" t="s">
        <v>979</v>
      </c>
      <c r="CJ99" s="7"/>
      <c r="CK99" s="7"/>
      <c r="CL99" s="7"/>
      <c r="CM99" s="7"/>
      <c r="CN99" s="7">
        <v>0</v>
      </c>
      <c r="CO99" s="7"/>
      <c r="CP99" s="7"/>
      <c r="CQ99" s="7"/>
      <c r="CR99" s="7"/>
      <c r="CS99" s="7">
        <v>0</v>
      </c>
      <c r="CT99" s="7"/>
      <c r="CU99" s="7"/>
      <c r="CV99" s="7" t="s">
        <v>1068</v>
      </c>
      <c r="CW99" s="7" t="s">
        <v>269</v>
      </c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126"/>
      <c r="EE99" s="7"/>
      <c r="EF99" s="7"/>
      <c r="EG99" s="7"/>
    </row>
    <row r="100" spans="1:137" ht="13.5" customHeight="1">
      <c r="A100" s="7">
        <v>88</v>
      </c>
      <c r="B100" s="7"/>
      <c r="C100" s="7"/>
      <c r="D100" s="7"/>
      <c r="E100" s="7" t="s">
        <v>271</v>
      </c>
      <c r="F100" s="7"/>
      <c r="G100" s="7">
        <v>353061</v>
      </c>
      <c r="H100" s="7" t="s">
        <v>613</v>
      </c>
      <c r="I100" s="7">
        <v>54</v>
      </c>
      <c r="J100" s="7" t="s">
        <v>273</v>
      </c>
      <c r="K100" s="7">
        <v>51</v>
      </c>
      <c r="L100" s="7" t="s">
        <v>1069</v>
      </c>
      <c r="M100" s="7">
        <v>38</v>
      </c>
      <c r="N100" s="7" t="s">
        <v>1070</v>
      </c>
      <c r="O100" s="7">
        <v>19</v>
      </c>
      <c r="P100" s="7" t="s">
        <v>1071</v>
      </c>
      <c r="Q100" s="7">
        <v>19</v>
      </c>
      <c r="R100" s="7" t="s">
        <v>1071</v>
      </c>
      <c r="S100" s="7" t="s">
        <v>617</v>
      </c>
      <c r="T100" s="7" t="s">
        <v>1014</v>
      </c>
      <c r="U100" s="28"/>
      <c r="V100" s="7">
        <v>8</v>
      </c>
      <c r="W100" s="7" t="s">
        <v>1015</v>
      </c>
      <c r="X100" s="28"/>
      <c r="Y100" s="7" t="s">
        <v>1016</v>
      </c>
      <c r="Z100" s="7" t="s">
        <v>621</v>
      </c>
      <c r="AA100" s="7" t="s">
        <v>622</v>
      </c>
      <c r="AB100" s="7" t="s">
        <v>638</v>
      </c>
      <c r="AC100" s="7"/>
      <c r="AD100" s="7"/>
      <c r="AE100" s="7"/>
      <c r="AF100" s="7"/>
      <c r="AG100" s="7"/>
      <c r="AH100" s="7"/>
      <c r="AI100" s="7" t="s">
        <v>611</v>
      </c>
      <c r="AJ100" s="7" t="s">
        <v>623</v>
      </c>
      <c r="AK100" s="7">
        <v>10</v>
      </c>
      <c r="AL100" s="7">
        <v>9</v>
      </c>
      <c r="AM100" s="7" t="s">
        <v>624</v>
      </c>
      <c r="AN100" s="7" t="s">
        <v>625</v>
      </c>
      <c r="AO100" s="7" t="s">
        <v>626</v>
      </c>
      <c r="AP100" s="7" t="s">
        <v>627</v>
      </c>
      <c r="AQ100" s="7" t="s">
        <v>617</v>
      </c>
      <c r="AR100" s="7"/>
      <c r="AS100" s="7"/>
      <c r="AT100" s="7"/>
      <c r="AU100" s="6">
        <v>91002</v>
      </c>
      <c r="AV100" s="6" t="s">
        <v>255</v>
      </c>
      <c r="AW100" s="7"/>
      <c r="AX100" s="7"/>
      <c r="AY100" s="7"/>
      <c r="AZ100" s="7"/>
      <c r="BA100" s="6">
        <v>1214</v>
      </c>
      <c r="BB100" s="6" t="s">
        <v>628</v>
      </c>
      <c r="BC100" s="7"/>
      <c r="BD100" s="7"/>
      <c r="BE100" s="7"/>
      <c r="BF100" s="7"/>
      <c r="BG100" s="7">
        <v>0</v>
      </c>
      <c r="BH100" s="7">
        <v>0</v>
      </c>
      <c r="BI100" s="7">
        <v>0</v>
      </c>
      <c r="BJ100" s="7">
        <v>10</v>
      </c>
      <c r="BK100" s="7">
        <v>0</v>
      </c>
      <c r="BL100" s="7">
        <v>10</v>
      </c>
      <c r="BM100" s="7"/>
      <c r="BN100" s="7">
        <v>0</v>
      </c>
      <c r="BO100" s="7"/>
      <c r="BP100" s="7"/>
      <c r="BQ100" s="7">
        <v>0</v>
      </c>
      <c r="BR100" s="7">
        <v>380</v>
      </c>
      <c r="BS100" s="7" t="s">
        <v>629</v>
      </c>
      <c r="BT100" s="7"/>
      <c r="BU100" s="7"/>
      <c r="BV100" s="7">
        <v>0</v>
      </c>
      <c r="BW100" s="7"/>
      <c r="BX100" s="7"/>
      <c r="BY100" s="7">
        <v>10001</v>
      </c>
      <c r="BZ100" s="7" t="s">
        <v>1414</v>
      </c>
      <c r="CA100" s="7"/>
      <c r="CB100" s="7"/>
      <c r="CC100" s="7"/>
      <c r="CD100" s="7"/>
      <c r="CE100" s="7"/>
      <c r="CF100" s="7"/>
      <c r="CG100" s="7"/>
      <c r="CH100" s="7">
        <v>3564</v>
      </c>
      <c r="CI100" s="7" t="s">
        <v>979</v>
      </c>
      <c r="CJ100" s="7"/>
      <c r="CK100" s="7"/>
      <c r="CL100" s="7"/>
      <c r="CM100" s="7"/>
      <c r="CN100" s="7">
        <v>0</v>
      </c>
      <c r="CO100" s="7"/>
      <c r="CP100" s="7"/>
      <c r="CQ100" s="7"/>
      <c r="CR100" s="7"/>
      <c r="CS100" s="7">
        <v>0</v>
      </c>
      <c r="CT100" s="7"/>
      <c r="CU100" s="7"/>
      <c r="CV100" s="7" t="s">
        <v>1072</v>
      </c>
      <c r="CW100" s="7" t="s">
        <v>272</v>
      </c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126"/>
      <c r="EE100" s="7"/>
      <c r="EF100" s="7"/>
      <c r="EG100" s="7"/>
    </row>
    <row r="101" spans="1:137" ht="13.5" customHeight="1">
      <c r="A101" s="7">
        <v>89</v>
      </c>
      <c r="B101" s="7"/>
      <c r="C101" s="7"/>
      <c r="D101" s="7"/>
      <c r="E101" s="7" t="s">
        <v>274</v>
      </c>
      <c r="F101" s="7"/>
      <c r="G101" s="7">
        <v>353062</v>
      </c>
      <c r="H101" s="7" t="s">
        <v>613</v>
      </c>
      <c r="I101" s="7">
        <v>42</v>
      </c>
      <c r="J101" s="7" t="s">
        <v>276</v>
      </c>
      <c r="K101" s="7">
        <v>43</v>
      </c>
      <c r="L101" s="7" t="s">
        <v>1073</v>
      </c>
      <c r="M101" s="7">
        <v>33</v>
      </c>
      <c r="N101" s="7" t="s">
        <v>1074</v>
      </c>
      <c r="O101" s="7">
        <v>19</v>
      </c>
      <c r="P101" s="7" t="s">
        <v>1075</v>
      </c>
      <c r="Q101" s="7">
        <v>19</v>
      </c>
      <c r="R101" s="7" t="s">
        <v>1075</v>
      </c>
      <c r="S101" s="7" t="s">
        <v>617</v>
      </c>
      <c r="T101" s="7" t="s">
        <v>1014</v>
      </c>
      <c r="U101" s="28"/>
      <c r="V101" s="7">
        <v>8</v>
      </c>
      <c r="W101" s="7" t="s">
        <v>1015</v>
      </c>
      <c r="X101" s="28"/>
      <c r="Y101" s="7" t="s">
        <v>1016</v>
      </c>
      <c r="Z101" s="7" t="s">
        <v>621</v>
      </c>
      <c r="AA101" s="7" t="s">
        <v>622</v>
      </c>
      <c r="AB101" s="7" t="s">
        <v>638</v>
      </c>
      <c r="AC101" s="7"/>
      <c r="AD101" s="7"/>
      <c r="AE101" s="7"/>
      <c r="AF101" s="7"/>
      <c r="AG101" s="7"/>
      <c r="AH101" s="7"/>
      <c r="AI101" s="7" t="s">
        <v>611</v>
      </c>
      <c r="AJ101" s="7" t="s">
        <v>623</v>
      </c>
      <c r="AK101" s="7">
        <v>10</v>
      </c>
      <c r="AL101" s="7">
        <v>9</v>
      </c>
      <c r="AM101" s="7" t="s">
        <v>624</v>
      </c>
      <c r="AN101" s="7" t="s">
        <v>625</v>
      </c>
      <c r="AO101" s="7" t="s">
        <v>626</v>
      </c>
      <c r="AP101" s="7" t="s">
        <v>627</v>
      </c>
      <c r="AQ101" s="7" t="s">
        <v>617</v>
      </c>
      <c r="AR101" s="7"/>
      <c r="AS101" s="7"/>
      <c r="AT101" s="7"/>
      <c r="AU101" s="6">
        <v>91002</v>
      </c>
      <c r="AV101" s="6" t="s">
        <v>255</v>
      </c>
      <c r="AW101" s="7"/>
      <c r="AX101" s="7"/>
      <c r="AY101" s="7"/>
      <c r="AZ101" s="7"/>
      <c r="BA101" s="6">
        <v>1214</v>
      </c>
      <c r="BB101" s="6" t="s">
        <v>628</v>
      </c>
      <c r="BC101" s="7"/>
      <c r="BD101" s="7"/>
      <c r="BE101" s="7"/>
      <c r="BF101" s="7"/>
      <c r="BG101" s="7">
        <v>0</v>
      </c>
      <c r="BH101" s="7">
        <v>0</v>
      </c>
      <c r="BI101" s="7">
        <v>0</v>
      </c>
      <c r="BJ101" s="7">
        <v>10</v>
      </c>
      <c r="BK101" s="7">
        <v>0</v>
      </c>
      <c r="BL101" s="7">
        <v>10</v>
      </c>
      <c r="BM101" s="7"/>
      <c r="BN101" s="7">
        <v>0</v>
      </c>
      <c r="BO101" s="7"/>
      <c r="BP101" s="7"/>
      <c r="BQ101" s="7">
        <v>0</v>
      </c>
      <c r="BR101" s="7">
        <v>380</v>
      </c>
      <c r="BS101" s="7" t="s">
        <v>629</v>
      </c>
      <c r="BT101" s="7"/>
      <c r="BU101" s="7"/>
      <c r="BV101" s="7">
        <v>0</v>
      </c>
      <c r="BW101" s="7"/>
      <c r="BX101" s="7"/>
      <c r="BY101" s="7">
        <v>10001</v>
      </c>
      <c r="BZ101" s="7" t="s">
        <v>1414</v>
      </c>
      <c r="CA101" s="7"/>
      <c r="CB101" s="7"/>
      <c r="CC101" s="7"/>
      <c r="CD101" s="7"/>
      <c r="CE101" s="7"/>
      <c r="CF101" s="7"/>
      <c r="CG101" s="7"/>
      <c r="CH101" s="7">
        <v>3564</v>
      </c>
      <c r="CI101" s="7" t="s">
        <v>979</v>
      </c>
      <c r="CJ101" s="7"/>
      <c r="CK101" s="7"/>
      <c r="CL101" s="7"/>
      <c r="CM101" s="7"/>
      <c r="CN101" s="7">
        <v>0</v>
      </c>
      <c r="CO101" s="7"/>
      <c r="CP101" s="7"/>
      <c r="CQ101" s="7"/>
      <c r="CR101" s="7"/>
      <c r="CS101" s="7">
        <v>0</v>
      </c>
      <c r="CT101" s="7"/>
      <c r="CU101" s="7"/>
      <c r="CV101" s="7" t="s">
        <v>1076</v>
      </c>
      <c r="CW101" s="7" t="s">
        <v>275</v>
      </c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126"/>
      <c r="EE101" s="7"/>
      <c r="EF101" s="7"/>
      <c r="EG101" s="7"/>
    </row>
    <row r="102" spans="1:137" ht="13.5" customHeight="1">
      <c r="A102" s="7">
        <v>90</v>
      </c>
      <c r="B102" s="7"/>
      <c r="C102" s="7"/>
      <c r="D102" s="7"/>
      <c r="E102" s="7" t="s">
        <v>278</v>
      </c>
      <c r="F102" s="7"/>
      <c r="G102" s="7">
        <v>353168</v>
      </c>
      <c r="H102" s="7" t="s">
        <v>613</v>
      </c>
      <c r="I102" s="7">
        <v>46</v>
      </c>
      <c r="J102" s="7" t="s">
        <v>280</v>
      </c>
      <c r="K102" s="7">
        <v>51</v>
      </c>
      <c r="L102" s="7" t="s">
        <v>1077</v>
      </c>
      <c r="M102" s="7">
        <v>32</v>
      </c>
      <c r="N102" s="7" t="s">
        <v>1078</v>
      </c>
      <c r="O102" s="7">
        <v>18</v>
      </c>
      <c r="P102" s="7" t="s">
        <v>1079</v>
      </c>
      <c r="Q102" s="7">
        <v>18</v>
      </c>
      <c r="R102" s="7" t="s">
        <v>1079</v>
      </c>
      <c r="S102" s="7" t="s">
        <v>617</v>
      </c>
      <c r="T102" s="7" t="s">
        <v>976</v>
      </c>
      <c r="U102" s="28"/>
      <c r="V102" s="7">
        <v>48</v>
      </c>
      <c r="W102" s="7" t="s">
        <v>977</v>
      </c>
      <c r="X102" s="28"/>
      <c r="Y102" s="7" t="s">
        <v>978</v>
      </c>
      <c r="Z102" s="7" t="s">
        <v>621</v>
      </c>
      <c r="AA102" s="7" t="s">
        <v>622</v>
      </c>
      <c r="AB102" s="7" t="s">
        <v>638</v>
      </c>
      <c r="AC102" s="7"/>
      <c r="AD102" s="7"/>
      <c r="AE102" s="7"/>
      <c r="AF102" s="7"/>
      <c r="AG102" s="7"/>
      <c r="AH102" s="7"/>
      <c r="AI102" s="7" t="s">
        <v>611</v>
      </c>
      <c r="AJ102" s="7" t="s">
        <v>623</v>
      </c>
      <c r="AK102" s="7">
        <v>10</v>
      </c>
      <c r="AL102" s="7">
        <v>9</v>
      </c>
      <c r="AM102" s="7" t="s">
        <v>624</v>
      </c>
      <c r="AN102" s="7" t="s">
        <v>625</v>
      </c>
      <c r="AO102" s="7" t="s">
        <v>626</v>
      </c>
      <c r="AP102" s="7" t="s">
        <v>627</v>
      </c>
      <c r="AQ102" s="7" t="s">
        <v>617</v>
      </c>
      <c r="AR102" s="7"/>
      <c r="AS102" s="7"/>
      <c r="AT102" s="7"/>
      <c r="AU102" s="6">
        <v>91001</v>
      </c>
      <c r="AV102" s="6" t="s">
        <v>277</v>
      </c>
      <c r="AW102" s="7"/>
      <c r="AX102" s="7"/>
      <c r="AY102" s="7"/>
      <c r="AZ102" s="7"/>
      <c r="BA102" s="6">
        <v>1214</v>
      </c>
      <c r="BB102" s="6" t="s">
        <v>628</v>
      </c>
      <c r="BC102" s="7"/>
      <c r="BD102" s="7"/>
      <c r="BE102" s="7"/>
      <c r="BF102" s="7"/>
      <c r="BG102" s="7">
        <v>0</v>
      </c>
      <c r="BH102" s="7">
        <v>0</v>
      </c>
      <c r="BI102" s="7">
        <v>0</v>
      </c>
      <c r="BJ102" s="7">
        <v>10</v>
      </c>
      <c r="BK102" s="7">
        <v>0</v>
      </c>
      <c r="BL102" s="7">
        <v>10</v>
      </c>
      <c r="BM102" s="7"/>
      <c r="BN102" s="7">
        <v>0</v>
      </c>
      <c r="BO102" s="7"/>
      <c r="BP102" s="7"/>
      <c r="BQ102" s="7">
        <v>0</v>
      </c>
      <c r="BR102" s="7">
        <v>380</v>
      </c>
      <c r="BS102" s="7" t="s">
        <v>629</v>
      </c>
      <c r="BT102" s="7"/>
      <c r="BU102" s="7"/>
      <c r="BV102" s="7">
        <v>0</v>
      </c>
      <c r="BW102" s="7"/>
      <c r="BX102" s="7"/>
      <c r="BY102" s="7">
        <v>10001</v>
      </c>
      <c r="BZ102" s="7" t="s">
        <v>1414</v>
      </c>
      <c r="CA102" s="7"/>
      <c r="CB102" s="7"/>
      <c r="CC102" s="7"/>
      <c r="CD102" s="7"/>
      <c r="CE102" s="7"/>
      <c r="CF102" s="7"/>
      <c r="CG102" s="7"/>
      <c r="CH102" s="7">
        <v>3564</v>
      </c>
      <c r="CI102" s="7" t="s">
        <v>979</v>
      </c>
      <c r="CJ102" s="7"/>
      <c r="CK102" s="7"/>
      <c r="CL102" s="7"/>
      <c r="CM102" s="7"/>
      <c r="CN102" s="7">
        <v>0</v>
      </c>
      <c r="CO102" s="7"/>
      <c r="CP102" s="7"/>
      <c r="CQ102" s="7"/>
      <c r="CR102" s="7"/>
      <c r="CS102" s="7">
        <v>0</v>
      </c>
      <c r="CT102" s="7"/>
      <c r="CU102" s="7"/>
      <c r="CV102" s="7" t="s">
        <v>1080</v>
      </c>
      <c r="CW102" s="7" t="s">
        <v>279</v>
      </c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126"/>
      <c r="EE102" s="7"/>
      <c r="EF102" s="7"/>
      <c r="EG102" s="7"/>
    </row>
    <row r="103" spans="1:137" ht="13.5" customHeight="1">
      <c r="A103" s="7">
        <v>91</v>
      </c>
      <c r="B103" s="7"/>
      <c r="C103" s="7"/>
      <c r="D103" s="7"/>
      <c r="E103" s="7" t="s">
        <v>281</v>
      </c>
      <c r="F103" s="7"/>
      <c r="G103" s="7">
        <v>353169</v>
      </c>
      <c r="H103" s="7" t="s">
        <v>613</v>
      </c>
      <c r="I103" s="7">
        <v>26</v>
      </c>
      <c r="J103" s="7" t="s">
        <v>283</v>
      </c>
      <c r="K103" s="7">
        <v>36</v>
      </c>
      <c r="L103" s="7" t="s">
        <v>1081</v>
      </c>
      <c r="M103" s="7">
        <v>13</v>
      </c>
      <c r="N103" s="7" t="s">
        <v>1082</v>
      </c>
      <c r="O103" s="7">
        <v>13</v>
      </c>
      <c r="P103" s="7" t="s">
        <v>1082</v>
      </c>
      <c r="Q103" s="7">
        <v>13</v>
      </c>
      <c r="R103" s="7" t="s">
        <v>1082</v>
      </c>
      <c r="S103" s="7" t="s">
        <v>617</v>
      </c>
      <c r="T103" s="7" t="s">
        <v>976</v>
      </c>
      <c r="U103" s="28"/>
      <c r="V103" s="7">
        <v>48</v>
      </c>
      <c r="W103" s="7" t="s">
        <v>977</v>
      </c>
      <c r="X103" s="28"/>
      <c r="Y103" s="7" t="s">
        <v>978</v>
      </c>
      <c r="Z103" s="7" t="s">
        <v>621</v>
      </c>
      <c r="AA103" s="7" t="s">
        <v>622</v>
      </c>
      <c r="AB103" s="7" t="s">
        <v>638</v>
      </c>
      <c r="AC103" s="7"/>
      <c r="AD103" s="7"/>
      <c r="AE103" s="7"/>
      <c r="AF103" s="7"/>
      <c r="AG103" s="7"/>
      <c r="AH103" s="7"/>
      <c r="AI103" s="7" t="s">
        <v>611</v>
      </c>
      <c r="AJ103" s="7" t="s">
        <v>623</v>
      </c>
      <c r="AK103" s="7">
        <v>10</v>
      </c>
      <c r="AL103" s="7">
        <v>9</v>
      </c>
      <c r="AM103" s="7" t="s">
        <v>624</v>
      </c>
      <c r="AN103" s="7" t="s">
        <v>625</v>
      </c>
      <c r="AO103" s="7" t="s">
        <v>626</v>
      </c>
      <c r="AP103" s="7" t="s">
        <v>627</v>
      </c>
      <c r="AQ103" s="7" t="s">
        <v>617</v>
      </c>
      <c r="AR103" s="7"/>
      <c r="AS103" s="7"/>
      <c r="AT103" s="7"/>
      <c r="AU103" s="6">
        <v>91001</v>
      </c>
      <c r="AV103" s="6" t="s">
        <v>277</v>
      </c>
      <c r="AW103" s="7"/>
      <c r="AX103" s="7"/>
      <c r="AY103" s="7"/>
      <c r="AZ103" s="7"/>
      <c r="BA103" s="6">
        <v>1214</v>
      </c>
      <c r="BB103" s="6" t="s">
        <v>628</v>
      </c>
      <c r="BC103" s="7"/>
      <c r="BD103" s="7"/>
      <c r="BE103" s="7"/>
      <c r="BF103" s="7"/>
      <c r="BG103" s="7">
        <v>0</v>
      </c>
      <c r="BH103" s="7">
        <v>0</v>
      </c>
      <c r="BI103" s="7">
        <v>0</v>
      </c>
      <c r="BJ103" s="7">
        <v>10</v>
      </c>
      <c r="BK103" s="7">
        <v>0</v>
      </c>
      <c r="BL103" s="7">
        <v>10</v>
      </c>
      <c r="BM103" s="7"/>
      <c r="BN103" s="7">
        <v>0</v>
      </c>
      <c r="BO103" s="7"/>
      <c r="BP103" s="7"/>
      <c r="BQ103" s="7">
        <v>0</v>
      </c>
      <c r="BR103" s="7">
        <v>380</v>
      </c>
      <c r="BS103" s="7" t="s">
        <v>629</v>
      </c>
      <c r="BT103" s="7"/>
      <c r="BU103" s="7"/>
      <c r="BV103" s="7">
        <v>0</v>
      </c>
      <c r="BW103" s="7"/>
      <c r="BX103" s="7"/>
      <c r="BY103" s="7">
        <v>10001</v>
      </c>
      <c r="BZ103" s="7" t="s">
        <v>1414</v>
      </c>
      <c r="CA103" s="7"/>
      <c r="CB103" s="7"/>
      <c r="CC103" s="7"/>
      <c r="CD103" s="7"/>
      <c r="CE103" s="7"/>
      <c r="CF103" s="7"/>
      <c r="CG103" s="7"/>
      <c r="CH103" s="7">
        <v>3564</v>
      </c>
      <c r="CI103" s="7" t="s">
        <v>979</v>
      </c>
      <c r="CJ103" s="7"/>
      <c r="CK103" s="7"/>
      <c r="CL103" s="7"/>
      <c r="CM103" s="7"/>
      <c r="CN103" s="7">
        <v>0</v>
      </c>
      <c r="CO103" s="7"/>
      <c r="CP103" s="7"/>
      <c r="CQ103" s="7"/>
      <c r="CR103" s="7"/>
      <c r="CS103" s="7">
        <v>0</v>
      </c>
      <c r="CT103" s="7"/>
      <c r="CU103" s="7"/>
      <c r="CV103" s="7" t="s">
        <v>1083</v>
      </c>
      <c r="CW103" s="7" t="s">
        <v>282</v>
      </c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126"/>
      <c r="EE103" s="7"/>
      <c r="EF103" s="7"/>
      <c r="EG103" s="7"/>
    </row>
    <row r="104" spans="1:137" ht="13.5" customHeight="1">
      <c r="A104" s="7">
        <v>92</v>
      </c>
      <c r="B104" s="7"/>
      <c r="C104" s="7"/>
      <c r="D104" s="7"/>
      <c r="E104" s="7" t="s">
        <v>284</v>
      </c>
      <c r="F104" s="7"/>
      <c r="G104" s="7">
        <v>353170</v>
      </c>
      <c r="H104" s="7" t="s">
        <v>613</v>
      </c>
      <c r="I104" s="7">
        <v>34</v>
      </c>
      <c r="J104" s="7" t="s">
        <v>286</v>
      </c>
      <c r="K104" s="7">
        <v>41</v>
      </c>
      <c r="L104" s="7" t="s">
        <v>1084</v>
      </c>
      <c r="M104" s="7">
        <v>21</v>
      </c>
      <c r="N104" s="7" t="s">
        <v>1085</v>
      </c>
      <c r="O104" s="7">
        <v>17</v>
      </c>
      <c r="P104" s="7" t="s">
        <v>1086</v>
      </c>
      <c r="Q104" s="7">
        <v>17</v>
      </c>
      <c r="R104" s="7" t="s">
        <v>1086</v>
      </c>
      <c r="S104" s="7" t="s">
        <v>617</v>
      </c>
      <c r="T104" s="7" t="s">
        <v>976</v>
      </c>
      <c r="U104" s="28"/>
      <c r="V104" s="7">
        <v>48</v>
      </c>
      <c r="W104" s="7" t="s">
        <v>977</v>
      </c>
      <c r="X104" s="28"/>
      <c r="Y104" s="7" t="s">
        <v>978</v>
      </c>
      <c r="Z104" s="7" t="s">
        <v>621</v>
      </c>
      <c r="AA104" s="7" t="s">
        <v>622</v>
      </c>
      <c r="AB104" s="7" t="s">
        <v>638</v>
      </c>
      <c r="AC104" s="7"/>
      <c r="AD104" s="7"/>
      <c r="AE104" s="7"/>
      <c r="AF104" s="7"/>
      <c r="AG104" s="7"/>
      <c r="AH104" s="7"/>
      <c r="AI104" s="7" t="s">
        <v>611</v>
      </c>
      <c r="AJ104" s="7" t="s">
        <v>623</v>
      </c>
      <c r="AK104" s="7">
        <v>10</v>
      </c>
      <c r="AL104" s="7">
        <v>9</v>
      </c>
      <c r="AM104" s="7" t="s">
        <v>624</v>
      </c>
      <c r="AN104" s="7" t="s">
        <v>625</v>
      </c>
      <c r="AO104" s="7" t="s">
        <v>626</v>
      </c>
      <c r="AP104" s="7" t="s">
        <v>627</v>
      </c>
      <c r="AQ104" s="7" t="s">
        <v>617</v>
      </c>
      <c r="AR104" s="7"/>
      <c r="AS104" s="7"/>
      <c r="AT104" s="7"/>
      <c r="AU104" s="6">
        <v>91001</v>
      </c>
      <c r="AV104" s="6" t="s">
        <v>277</v>
      </c>
      <c r="AW104" s="7"/>
      <c r="AX104" s="7"/>
      <c r="AY104" s="7"/>
      <c r="AZ104" s="7"/>
      <c r="BA104" s="6">
        <v>1214</v>
      </c>
      <c r="BB104" s="6" t="s">
        <v>628</v>
      </c>
      <c r="BC104" s="7"/>
      <c r="BD104" s="7"/>
      <c r="BE104" s="7"/>
      <c r="BF104" s="7"/>
      <c r="BG104" s="7">
        <v>0</v>
      </c>
      <c r="BH104" s="7">
        <v>0</v>
      </c>
      <c r="BI104" s="7">
        <v>0</v>
      </c>
      <c r="BJ104" s="7">
        <v>10</v>
      </c>
      <c r="BK104" s="7">
        <v>0</v>
      </c>
      <c r="BL104" s="7">
        <v>10</v>
      </c>
      <c r="BM104" s="7"/>
      <c r="BN104" s="7">
        <v>0</v>
      </c>
      <c r="BO104" s="7"/>
      <c r="BP104" s="7"/>
      <c r="BQ104" s="7">
        <v>0</v>
      </c>
      <c r="BR104" s="7">
        <v>380</v>
      </c>
      <c r="BS104" s="7" t="s">
        <v>629</v>
      </c>
      <c r="BT104" s="7"/>
      <c r="BU104" s="7"/>
      <c r="BV104" s="7">
        <v>0</v>
      </c>
      <c r="BW104" s="7"/>
      <c r="BX104" s="7"/>
      <c r="BY104" s="7">
        <v>10001</v>
      </c>
      <c r="BZ104" s="7" t="s">
        <v>1414</v>
      </c>
      <c r="CA104" s="7"/>
      <c r="CB104" s="7"/>
      <c r="CC104" s="7"/>
      <c r="CD104" s="7"/>
      <c r="CE104" s="7"/>
      <c r="CF104" s="7"/>
      <c r="CG104" s="7"/>
      <c r="CH104" s="7">
        <v>3564</v>
      </c>
      <c r="CI104" s="7" t="s">
        <v>979</v>
      </c>
      <c r="CJ104" s="7"/>
      <c r="CK104" s="7"/>
      <c r="CL104" s="7"/>
      <c r="CM104" s="7"/>
      <c r="CN104" s="7">
        <v>0</v>
      </c>
      <c r="CO104" s="7"/>
      <c r="CP104" s="7"/>
      <c r="CQ104" s="7"/>
      <c r="CR104" s="7"/>
      <c r="CS104" s="7">
        <v>0</v>
      </c>
      <c r="CT104" s="7"/>
      <c r="CU104" s="7"/>
      <c r="CV104" s="7" t="s">
        <v>1087</v>
      </c>
      <c r="CW104" s="7" t="s">
        <v>285</v>
      </c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126"/>
      <c r="EE104" s="7"/>
      <c r="EF104" s="7"/>
      <c r="EG104" s="7"/>
    </row>
    <row r="105" spans="1:137" ht="13.5" customHeight="1">
      <c r="A105" s="7">
        <v>93</v>
      </c>
      <c r="B105" s="7"/>
      <c r="C105" s="7"/>
      <c r="D105" s="7"/>
      <c r="E105" s="7" t="s">
        <v>287</v>
      </c>
      <c r="F105" s="7"/>
      <c r="G105" s="7">
        <v>353171</v>
      </c>
      <c r="H105" s="7" t="s">
        <v>613</v>
      </c>
      <c r="I105" s="7">
        <v>42</v>
      </c>
      <c r="J105" s="7" t="s">
        <v>289</v>
      </c>
      <c r="K105" s="7">
        <v>43</v>
      </c>
      <c r="L105" s="7" t="s">
        <v>1088</v>
      </c>
      <c r="M105" s="7">
        <v>25</v>
      </c>
      <c r="N105" s="7" t="s">
        <v>1089</v>
      </c>
      <c r="O105" s="7">
        <v>19</v>
      </c>
      <c r="P105" s="7" t="s">
        <v>1024</v>
      </c>
      <c r="Q105" s="7">
        <v>19</v>
      </c>
      <c r="R105" s="7" t="s">
        <v>1024</v>
      </c>
      <c r="S105" s="7" t="s">
        <v>617</v>
      </c>
      <c r="T105" s="7" t="s">
        <v>1014</v>
      </c>
      <c r="U105" s="28"/>
      <c r="V105" s="7">
        <v>8</v>
      </c>
      <c r="W105" s="7" t="s">
        <v>1015</v>
      </c>
      <c r="X105" s="28"/>
      <c r="Y105" s="7" t="s">
        <v>1016</v>
      </c>
      <c r="Z105" s="7" t="s">
        <v>621</v>
      </c>
      <c r="AA105" s="7" t="s">
        <v>622</v>
      </c>
      <c r="AB105" s="7" t="s">
        <v>638</v>
      </c>
      <c r="AC105" s="7"/>
      <c r="AD105" s="7"/>
      <c r="AE105" s="7"/>
      <c r="AF105" s="7"/>
      <c r="AG105" s="7"/>
      <c r="AH105" s="7"/>
      <c r="AI105" s="7" t="s">
        <v>611</v>
      </c>
      <c r="AJ105" s="7" t="s">
        <v>623</v>
      </c>
      <c r="AK105" s="7">
        <v>10</v>
      </c>
      <c r="AL105" s="7">
        <v>9</v>
      </c>
      <c r="AM105" s="7" t="s">
        <v>624</v>
      </c>
      <c r="AN105" s="7" t="s">
        <v>625</v>
      </c>
      <c r="AO105" s="7" t="s">
        <v>626</v>
      </c>
      <c r="AP105" s="7" t="s">
        <v>627</v>
      </c>
      <c r="AQ105" s="7" t="s">
        <v>617</v>
      </c>
      <c r="AR105" s="7"/>
      <c r="AS105" s="7"/>
      <c r="AT105" s="7"/>
      <c r="AU105" s="6">
        <v>91002</v>
      </c>
      <c r="AV105" s="6" t="s">
        <v>255</v>
      </c>
      <c r="AW105" s="7"/>
      <c r="AX105" s="7"/>
      <c r="AY105" s="7"/>
      <c r="AZ105" s="7"/>
      <c r="BA105" s="6">
        <v>1214</v>
      </c>
      <c r="BB105" s="6" t="s">
        <v>628</v>
      </c>
      <c r="BC105" s="7"/>
      <c r="BD105" s="7"/>
      <c r="BE105" s="7"/>
      <c r="BF105" s="7"/>
      <c r="BG105" s="7">
        <v>0</v>
      </c>
      <c r="BH105" s="7">
        <v>0</v>
      </c>
      <c r="BI105" s="7">
        <v>0</v>
      </c>
      <c r="BJ105" s="7">
        <v>10</v>
      </c>
      <c r="BK105" s="7">
        <v>0</v>
      </c>
      <c r="BL105" s="7">
        <v>10</v>
      </c>
      <c r="BM105" s="7"/>
      <c r="BN105" s="7">
        <v>0</v>
      </c>
      <c r="BO105" s="7"/>
      <c r="BP105" s="7"/>
      <c r="BQ105" s="7">
        <v>0</v>
      </c>
      <c r="BR105" s="7">
        <v>380</v>
      </c>
      <c r="BS105" s="7" t="s">
        <v>629</v>
      </c>
      <c r="BT105" s="7"/>
      <c r="BU105" s="7"/>
      <c r="BV105" s="7">
        <v>0</v>
      </c>
      <c r="BW105" s="7"/>
      <c r="BX105" s="7"/>
      <c r="BY105" s="7">
        <v>10001</v>
      </c>
      <c r="BZ105" s="7" t="s">
        <v>1414</v>
      </c>
      <c r="CA105" s="7"/>
      <c r="CB105" s="7"/>
      <c r="CC105" s="7"/>
      <c r="CD105" s="7"/>
      <c r="CE105" s="7"/>
      <c r="CF105" s="7"/>
      <c r="CG105" s="7"/>
      <c r="CH105" s="7">
        <v>3564</v>
      </c>
      <c r="CI105" s="7" t="s">
        <v>979</v>
      </c>
      <c r="CJ105" s="7"/>
      <c r="CK105" s="7"/>
      <c r="CL105" s="7"/>
      <c r="CM105" s="7"/>
      <c r="CN105" s="7">
        <v>0</v>
      </c>
      <c r="CO105" s="7"/>
      <c r="CP105" s="7"/>
      <c r="CQ105" s="7"/>
      <c r="CR105" s="7"/>
      <c r="CS105" s="7">
        <v>0</v>
      </c>
      <c r="CT105" s="7"/>
      <c r="CU105" s="7"/>
      <c r="CV105" s="7" t="s">
        <v>1090</v>
      </c>
      <c r="CW105" s="7" t="s">
        <v>288</v>
      </c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126"/>
      <c r="EE105" s="7"/>
      <c r="EF105" s="7"/>
      <c r="EG105" s="7"/>
    </row>
    <row r="106" spans="1:137" ht="13.5" customHeight="1">
      <c r="A106" s="7">
        <v>94</v>
      </c>
      <c r="B106" s="7"/>
      <c r="C106" s="7"/>
      <c r="D106" s="7"/>
      <c r="E106" s="6" t="s">
        <v>290</v>
      </c>
      <c r="F106" s="6"/>
      <c r="G106" s="7">
        <v>353172</v>
      </c>
      <c r="H106" s="7" t="s">
        <v>613</v>
      </c>
      <c r="I106" s="7">
        <v>45</v>
      </c>
      <c r="J106" s="6" t="s">
        <v>292</v>
      </c>
      <c r="K106" s="7">
        <v>47</v>
      </c>
      <c r="L106" s="7" t="s">
        <v>1091</v>
      </c>
      <c r="M106" s="7">
        <v>31</v>
      </c>
      <c r="N106" s="7" t="s">
        <v>1092</v>
      </c>
      <c r="O106" s="7">
        <v>19</v>
      </c>
      <c r="P106" s="7" t="s">
        <v>1093</v>
      </c>
      <c r="Q106" s="7">
        <v>19</v>
      </c>
      <c r="R106" s="7" t="s">
        <v>1093</v>
      </c>
      <c r="S106" s="7" t="s">
        <v>617</v>
      </c>
      <c r="T106" s="7" t="s">
        <v>1094</v>
      </c>
      <c r="U106" s="28"/>
      <c r="V106" s="7">
        <v>8</v>
      </c>
      <c r="W106" s="7" t="s">
        <v>813</v>
      </c>
      <c r="X106" s="28"/>
      <c r="Y106" s="7" t="s">
        <v>1095</v>
      </c>
      <c r="Z106" s="7" t="s">
        <v>621</v>
      </c>
      <c r="AA106" s="7" t="s">
        <v>622</v>
      </c>
      <c r="AB106" s="7" t="s">
        <v>638</v>
      </c>
      <c r="AC106" s="7"/>
      <c r="AD106" s="7"/>
      <c r="AE106" s="7"/>
      <c r="AF106" s="7"/>
      <c r="AG106" s="7"/>
      <c r="AH106" s="7"/>
      <c r="AI106" s="7" t="s">
        <v>611</v>
      </c>
      <c r="AJ106" s="7" t="s">
        <v>623</v>
      </c>
      <c r="AK106" s="7">
        <v>10</v>
      </c>
      <c r="AL106" s="7">
        <v>9</v>
      </c>
      <c r="AM106" s="7" t="s">
        <v>624</v>
      </c>
      <c r="AN106" s="7" t="s">
        <v>625</v>
      </c>
      <c r="AO106" s="7" t="s">
        <v>626</v>
      </c>
      <c r="AP106" s="7" t="s">
        <v>627</v>
      </c>
      <c r="AQ106" s="7" t="s">
        <v>617</v>
      </c>
      <c r="AR106" s="7"/>
      <c r="AS106" s="7"/>
      <c r="AT106" s="7"/>
      <c r="AU106" s="6">
        <v>91021</v>
      </c>
      <c r="AV106" s="6" t="s">
        <v>157</v>
      </c>
      <c r="AW106" s="7"/>
      <c r="AX106" s="7"/>
      <c r="AY106" s="7"/>
      <c r="AZ106" s="7"/>
      <c r="BA106" s="6">
        <v>1214</v>
      </c>
      <c r="BB106" s="6" t="s">
        <v>628</v>
      </c>
      <c r="BC106" s="7"/>
      <c r="BD106" s="7"/>
      <c r="BE106" s="7"/>
      <c r="BF106" s="7"/>
      <c r="BG106" s="7">
        <v>0</v>
      </c>
      <c r="BH106" s="7">
        <v>0</v>
      </c>
      <c r="BI106" s="7">
        <v>0</v>
      </c>
      <c r="BJ106" s="7">
        <v>10</v>
      </c>
      <c r="BK106" s="7">
        <v>0</v>
      </c>
      <c r="BL106" s="7">
        <v>10</v>
      </c>
      <c r="BM106" s="7"/>
      <c r="BN106" s="7">
        <v>0</v>
      </c>
      <c r="BO106" s="7"/>
      <c r="BP106" s="7"/>
      <c r="BQ106" s="7">
        <v>0</v>
      </c>
      <c r="BR106" s="7">
        <v>380</v>
      </c>
      <c r="BS106" s="7" t="s">
        <v>629</v>
      </c>
      <c r="BT106" s="7"/>
      <c r="BU106" s="7"/>
      <c r="BV106" s="7">
        <v>0</v>
      </c>
      <c r="BW106" s="7"/>
      <c r="BX106" s="7"/>
      <c r="BY106" s="7">
        <v>10001</v>
      </c>
      <c r="BZ106" s="7" t="s">
        <v>1414</v>
      </c>
      <c r="CA106" s="7"/>
      <c r="CB106" s="7"/>
      <c r="CC106" s="7"/>
      <c r="CD106" s="7"/>
      <c r="CE106" s="7"/>
      <c r="CF106" s="7"/>
      <c r="CG106" s="7"/>
      <c r="CH106" s="7">
        <v>3564</v>
      </c>
      <c r="CI106" s="7" t="s">
        <v>979</v>
      </c>
      <c r="CJ106" s="7"/>
      <c r="CK106" s="7"/>
      <c r="CL106" s="7"/>
      <c r="CM106" s="7"/>
      <c r="CN106" s="7">
        <v>0</v>
      </c>
      <c r="CO106" s="7"/>
      <c r="CP106" s="7"/>
      <c r="CQ106" s="7"/>
      <c r="CR106" s="7"/>
      <c r="CS106" s="7">
        <v>0</v>
      </c>
      <c r="CT106" s="7"/>
      <c r="CU106" s="7"/>
      <c r="CV106" s="7" t="s">
        <v>1096</v>
      </c>
      <c r="CW106" s="7" t="s">
        <v>291</v>
      </c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126"/>
      <c r="EE106" s="7"/>
      <c r="EF106" s="7"/>
      <c r="EG106" s="7"/>
    </row>
    <row r="107" spans="1:137" ht="13.5" customHeight="1">
      <c r="A107" s="7">
        <v>95</v>
      </c>
      <c r="B107" s="7"/>
      <c r="C107" s="7"/>
      <c r="D107" s="7"/>
      <c r="E107" s="6" t="s">
        <v>293</v>
      </c>
      <c r="F107" s="6"/>
      <c r="G107" s="7">
        <v>353173</v>
      </c>
      <c r="H107" s="7" t="s">
        <v>613</v>
      </c>
      <c r="I107" s="7">
        <v>53</v>
      </c>
      <c r="J107" s="6" t="s">
        <v>295</v>
      </c>
      <c r="K107" s="7">
        <v>47</v>
      </c>
      <c r="L107" s="7" t="s">
        <v>1097</v>
      </c>
      <c r="M107" s="7">
        <v>34</v>
      </c>
      <c r="N107" s="7" t="s">
        <v>1098</v>
      </c>
      <c r="O107" s="7">
        <v>17</v>
      </c>
      <c r="P107" s="7" t="s">
        <v>1099</v>
      </c>
      <c r="Q107" s="7">
        <v>17</v>
      </c>
      <c r="R107" s="7" t="s">
        <v>1099</v>
      </c>
      <c r="S107" s="7" t="s">
        <v>617</v>
      </c>
      <c r="T107" s="7" t="s">
        <v>1094</v>
      </c>
      <c r="U107" s="28"/>
      <c r="V107" s="7">
        <v>8</v>
      </c>
      <c r="W107" s="7" t="s">
        <v>813</v>
      </c>
      <c r="X107" s="28"/>
      <c r="Y107" s="7" t="s">
        <v>1095</v>
      </c>
      <c r="Z107" s="7" t="s">
        <v>621</v>
      </c>
      <c r="AA107" s="7" t="s">
        <v>622</v>
      </c>
      <c r="AB107" s="7" t="s">
        <v>638</v>
      </c>
      <c r="AC107" s="7"/>
      <c r="AD107" s="7"/>
      <c r="AE107" s="7"/>
      <c r="AF107" s="7"/>
      <c r="AG107" s="7"/>
      <c r="AH107" s="7"/>
      <c r="AI107" s="7" t="s">
        <v>611</v>
      </c>
      <c r="AJ107" s="7" t="s">
        <v>623</v>
      </c>
      <c r="AK107" s="7">
        <v>10</v>
      </c>
      <c r="AL107" s="7">
        <v>9</v>
      </c>
      <c r="AM107" s="7" t="s">
        <v>624</v>
      </c>
      <c r="AN107" s="7" t="s">
        <v>625</v>
      </c>
      <c r="AO107" s="7" t="s">
        <v>626</v>
      </c>
      <c r="AP107" s="7" t="s">
        <v>627</v>
      </c>
      <c r="AQ107" s="7" t="s">
        <v>617</v>
      </c>
      <c r="AR107" s="7"/>
      <c r="AS107" s="7"/>
      <c r="AT107" s="7"/>
      <c r="AU107" s="6">
        <v>91021</v>
      </c>
      <c r="AV107" s="6" t="s">
        <v>157</v>
      </c>
      <c r="AW107" s="7"/>
      <c r="AX107" s="7"/>
      <c r="AY107" s="7"/>
      <c r="AZ107" s="7"/>
      <c r="BA107" s="6">
        <v>1214</v>
      </c>
      <c r="BB107" s="6" t="s">
        <v>628</v>
      </c>
      <c r="BC107" s="7"/>
      <c r="BD107" s="7"/>
      <c r="BE107" s="7"/>
      <c r="BF107" s="7"/>
      <c r="BG107" s="7">
        <v>0</v>
      </c>
      <c r="BH107" s="7">
        <v>0</v>
      </c>
      <c r="BI107" s="7">
        <v>0</v>
      </c>
      <c r="BJ107" s="7">
        <v>10</v>
      </c>
      <c r="BK107" s="7">
        <v>0</v>
      </c>
      <c r="BL107" s="7">
        <v>10</v>
      </c>
      <c r="BM107" s="7"/>
      <c r="BN107" s="7">
        <v>0</v>
      </c>
      <c r="BO107" s="7"/>
      <c r="BP107" s="7"/>
      <c r="BQ107" s="7">
        <v>0</v>
      </c>
      <c r="BR107" s="7">
        <v>380</v>
      </c>
      <c r="BS107" s="7" t="s">
        <v>629</v>
      </c>
      <c r="BT107" s="7"/>
      <c r="BU107" s="7"/>
      <c r="BV107" s="7">
        <v>0</v>
      </c>
      <c r="BW107" s="7"/>
      <c r="BX107" s="7"/>
      <c r="BY107" s="7">
        <v>10001</v>
      </c>
      <c r="BZ107" s="7" t="s">
        <v>1414</v>
      </c>
      <c r="CA107" s="7"/>
      <c r="CB107" s="7"/>
      <c r="CC107" s="7"/>
      <c r="CD107" s="7"/>
      <c r="CE107" s="7"/>
      <c r="CF107" s="7"/>
      <c r="CG107" s="7"/>
      <c r="CH107" s="7">
        <v>3564</v>
      </c>
      <c r="CI107" s="7" t="s">
        <v>979</v>
      </c>
      <c r="CJ107" s="7"/>
      <c r="CK107" s="7"/>
      <c r="CL107" s="7"/>
      <c r="CM107" s="7"/>
      <c r="CN107" s="7">
        <v>0</v>
      </c>
      <c r="CO107" s="7"/>
      <c r="CP107" s="7"/>
      <c r="CQ107" s="7"/>
      <c r="CR107" s="7"/>
      <c r="CS107" s="7">
        <v>0</v>
      </c>
      <c r="CT107" s="7"/>
      <c r="CU107" s="7"/>
      <c r="CV107" s="7" t="s">
        <v>1100</v>
      </c>
      <c r="CW107" s="7" t="s">
        <v>294</v>
      </c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126"/>
      <c r="EE107" s="7"/>
      <c r="EF107" s="7"/>
      <c r="EG107" s="7"/>
    </row>
    <row r="108" spans="1:137" ht="13.5" customHeight="1">
      <c r="A108" s="7">
        <v>96</v>
      </c>
      <c r="B108" s="7"/>
      <c r="C108" s="7"/>
      <c r="D108" s="7"/>
      <c r="E108" s="6" t="s">
        <v>296</v>
      </c>
      <c r="F108" s="6"/>
      <c r="G108" s="7">
        <v>353174</v>
      </c>
      <c r="H108" s="7" t="s">
        <v>613</v>
      </c>
      <c r="I108" s="7">
        <v>51</v>
      </c>
      <c r="J108" s="6" t="s">
        <v>298</v>
      </c>
      <c r="K108" s="7">
        <v>50</v>
      </c>
      <c r="L108" s="7" t="s">
        <v>1101</v>
      </c>
      <c r="M108" s="7">
        <v>30</v>
      </c>
      <c r="N108" s="7" t="s">
        <v>1102</v>
      </c>
      <c r="O108" s="7">
        <v>18</v>
      </c>
      <c r="P108" s="7" t="s">
        <v>1103</v>
      </c>
      <c r="Q108" s="7">
        <v>18</v>
      </c>
      <c r="R108" s="7" t="s">
        <v>1103</v>
      </c>
      <c r="S108" s="7" t="s">
        <v>617</v>
      </c>
      <c r="T108" s="7" t="s">
        <v>1094</v>
      </c>
      <c r="U108" s="28"/>
      <c r="V108" s="7">
        <v>8</v>
      </c>
      <c r="W108" s="7" t="s">
        <v>813</v>
      </c>
      <c r="X108" s="28"/>
      <c r="Y108" s="7" t="s">
        <v>1095</v>
      </c>
      <c r="Z108" s="7" t="s">
        <v>621</v>
      </c>
      <c r="AA108" s="7" t="s">
        <v>622</v>
      </c>
      <c r="AB108" s="7" t="s">
        <v>638</v>
      </c>
      <c r="AC108" s="7"/>
      <c r="AD108" s="7"/>
      <c r="AE108" s="7"/>
      <c r="AF108" s="7"/>
      <c r="AG108" s="7"/>
      <c r="AH108" s="7"/>
      <c r="AI108" s="7" t="s">
        <v>611</v>
      </c>
      <c r="AJ108" s="7" t="s">
        <v>623</v>
      </c>
      <c r="AK108" s="7">
        <v>10</v>
      </c>
      <c r="AL108" s="7">
        <v>9</v>
      </c>
      <c r="AM108" s="7" t="s">
        <v>624</v>
      </c>
      <c r="AN108" s="7" t="s">
        <v>625</v>
      </c>
      <c r="AO108" s="7" t="s">
        <v>626</v>
      </c>
      <c r="AP108" s="7" t="s">
        <v>627</v>
      </c>
      <c r="AQ108" s="7" t="s">
        <v>617</v>
      </c>
      <c r="AR108" s="7"/>
      <c r="AS108" s="7"/>
      <c r="AT108" s="7"/>
      <c r="AU108" s="6">
        <v>91021</v>
      </c>
      <c r="AV108" s="6" t="s">
        <v>157</v>
      </c>
      <c r="AW108" s="7"/>
      <c r="AX108" s="7"/>
      <c r="AY108" s="7"/>
      <c r="AZ108" s="7"/>
      <c r="BA108" s="6">
        <v>1214</v>
      </c>
      <c r="BB108" s="6" t="s">
        <v>628</v>
      </c>
      <c r="BC108" s="7"/>
      <c r="BD108" s="7"/>
      <c r="BE108" s="7"/>
      <c r="BF108" s="7"/>
      <c r="BG108" s="7">
        <v>0</v>
      </c>
      <c r="BH108" s="7">
        <v>0</v>
      </c>
      <c r="BI108" s="7">
        <v>0</v>
      </c>
      <c r="BJ108" s="7">
        <v>10</v>
      </c>
      <c r="BK108" s="7">
        <v>0</v>
      </c>
      <c r="BL108" s="7">
        <v>10</v>
      </c>
      <c r="BM108" s="7"/>
      <c r="BN108" s="7">
        <v>0</v>
      </c>
      <c r="BO108" s="7"/>
      <c r="BP108" s="7"/>
      <c r="BQ108" s="7">
        <v>0</v>
      </c>
      <c r="BR108" s="7">
        <v>380</v>
      </c>
      <c r="BS108" s="7" t="s">
        <v>629</v>
      </c>
      <c r="BT108" s="7"/>
      <c r="BU108" s="7"/>
      <c r="BV108" s="7">
        <v>0</v>
      </c>
      <c r="BW108" s="7"/>
      <c r="BX108" s="7"/>
      <c r="BY108" s="7">
        <v>10001</v>
      </c>
      <c r="BZ108" s="7" t="s">
        <v>1414</v>
      </c>
      <c r="CA108" s="7"/>
      <c r="CB108" s="7"/>
      <c r="CC108" s="7"/>
      <c r="CD108" s="7"/>
      <c r="CE108" s="7"/>
      <c r="CF108" s="7"/>
      <c r="CG108" s="7"/>
      <c r="CH108" s="7">
        <v>3564</v>
      </c>
      <c r="CI108" s="7" t="s">
        <v>979</v>
      </c>
      <c r="CJ108" s="7"/>
      <c r="CK108" s="7"/>
      <c r="CL108" s="7"/>
      <c r="CM108" s="7"/>
      <c r="CN108" s="7">
        <v>0</v>
      </c>
      <c r="CO108" s="7"/>
      <c r="CP108" s="7"/>
      <c r="CQ108" s="7"/>
      <c r="CR108" s="7"/>
      <c r="CS108" s="7">
        <v>0</v>
      </c>
      <c r="CT108" s="7"/>
      <c r="CU108" s="7"/>
      <c r="CV108" s="7" t="s">
        <v>1104</v>
      </c>
      <c r="CW108" s="7" t="s">
        <v>297</v>
      </c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126"/>
      <c r="EE108" s="7"/>
      <c r="EF108" s="7"/>
      <c r="EG108" s="7"/>
    </row>
    <row r="109" spans="1:137" ht="13.5" customHeight="1">
      <c r="A109" s="7">
        <v>97</v>
      </c>
      <c r="B109" s="7"/>
      <c r="C109" s="7"/>
      <c r="D109" s="7"/>
      <c r="E109" s="6" t="s">
        <v>299</v>
      </c>
      <c r="F109" s="6"/>
      <c r="G109" s="7">
        <v>353175</v>
      </c>
      <c r="H109" s="7" t="s">
        <v>613</v>
      </c>
      <c r="I109" s="7">
        <v>51</v>
      </c>
      <c r="J109" s="6" t="s">
        <v>301</v>
      </c>
      <c r="K109" s="7">
        <v>50</v>
      </c>
      <c r="L109" s="7" t="s">
        <v>1105</v>
      </c>
      <c r="M109" s="7">
        <v>34</v>
      </c>
      <c r="N109" s="7" t="s">
        <v>1106</v>
      </c>
      <c r="O109" s="7">
        <v>18</v>
      </c>
      <c r="P109" s="7" t="s">
        <v>1107</v>
      </c>
      <c r="Q109" s="7">
        <v>18</v>
      </c>
      <c r="R109" s="7" t="s">
        <v>1107</v>
      </c>
      <c r="S109" s="7" t="s">
        <v>617</v>
      </c>
      <c r="T109" s="7" t="s">
        <v>1094</v>
      </c>
      <c r="U109" s="28"/>
      <c r="V109" s="7">
        <v>8</v>
      </c>
      <c r="W109" s="7" t="s">
        <v>813</v>
      </c>
      <c r="X109" s="28"/>
      <c r="Y109" s="7" t="s">
        <v>1095</v>
      </c>
      <c r="Z109" s="7" t="s">
        <v>621</v>
      </c>
      <c r="AA109" s="7" t="s">
        <v>622</v>
      </c>
      <c r="AB109" s="7" t="s">
        <v>638</v>
      </c>
      <c r="AC109" s="7"/>
      <c r="AD109" s="7"/>
      <c r="AE109" s="7"/>
      <c r="AF109" s="7"/>
      <c r="AG109" s="7"/>
      <c r="AH109" s="7"/>
      <c r="AI109" s="7" t="s">
        <v>611</v>
      </c>
      <c r="AJ109" s="7" t="s">
        <v>623</v>
      </c>
      <c r="AK109" s="7">
        <v>10</v>
      </c>
      <c r="AL109" s="7">
        <v>9</v>
      </c>
      <c r="AM109" s="7" t="s">
        <v>624</v>
      </c>
      <c r="AN109" s="7" t="s">
        <v>625</v>
      </c>
      <c r="AO109" s="7" t="s">
        <v>626</v>
      </c>
      <c r="AP109" s="7" t="s">
        <v>627</v>
      </c>
      <c r="AQ109" s="7" t="s">
        <v>617</v>
      </c>
      <c r="AR109" s="7"/>
      <c r="AS109" s="7"/>
      <c r="AT109" s="7"/>
      <c r="AU109" s="6">
        <v>91021</v>
      </c>
      <c r="AV109" s="6" t="s">
        <v>157</v>
      </c>
      <c r="AW109" s="7"/>
      <c r="AX109" s="7"/>
      <c r="AY109" s="7"/>
      <c r="AZ109" s="7"/>
      <c r="BA109" s="6">
        <v>1214</v>
      </c>
      <c r="BB109" s="6" t="s">
        <v>628</v>
      </c>
      <c r="BC109" s="7"/>
      <c r="BD109" s="7"/>
      <c r="BE109" s="7"/>
      <c r="BF109" s="7"/>
      <c r="BG109" s="7">
        <v>0</v>
      </c>
      <c r="BH109" s="7">
        <v>0</v>
      </c>
      <c r="BI109" s="7">
        <v>0</v>
      </c>
      <c r="BJ109" s="7">
        <v>10</v>
      </c>
      <c r="BK109" s="7">
        <v>0</v>
      </c>
      <c r="BL109" s="7">
        <v>10</v>
      </c>
      <c r="BM109" s="7"/>
      <c r="BN109" s="7">
        <v>0</v>
      </c>
      <c r="BO109" s="7"/>
      <c r="BP109" s="7"/>
      <c r="BQ109" s="7">
        <v>0</v>
      </c>
      <c r="BR109" s="7">
        <v>380</v>
      </c>
      <c r="BS109" s="7" t="s">
        <v>629</v>
      </c>
      <c r="BT109" s="7"/>
      <c r="BU109" s="7"/>
      <c r="BV109" s="7">
        <v>0</v>
      </c>
      <c r="BW109" s="7"/>
      <c r="BX109" s="7"/>
      <c r="BY109" s="7">
        <v>10001</v>
      </c>
      <c r="BZ109" s="7" t="s">
        <v>1414</v>
      </c>
      <c r="CA109" s="7"/>
      <c r="CB109" s="7"/>
      <c r="CC109" s="7"/>
      <c r="CD109" s="7"/>
      <c r="CE109" s="7"/>
      <c r="CF109" s="7"/>
      <c r="CG109" s="7"/>
      <c r="CH109" s="7">
        <v>3564</v>
      </c>
      <c r="CI109" s="7" t="s">
        <v>979</v>
      </c>
      <c r="CJ109" s="7"/>
      <c r="CK109" s="7"/>
      <c r="CL109" s="7"/>
      <c r="CM109" s="7"/>
      <c r="CN109" s="7">
        <v>0</v>
      </c>
      <c r="CO109" s="7"/>
      <c r="CP109" s="7"/>
      <c r="CQ109" s="7"/>
      <c r="CR109" s="7"/>
      <c r="CS109" s="7">
        <v>0</v>
      </c>
      <c r="CT109" s="7"/>
      <c r="CU109" s="7"/>
      <c r="CV109" s="7" t="s">
        <v>1108</v>
      </c>
      <c r="CW109" s="7" t="s">
        <v>300</v>
      </c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126"/>
      <c r="EE109" s="7"/>
      <c r="EF109" s="7"/>
      <c r="EG109" s="7"/>
    </row>
    <row r="110" spans="1:137" ht="13.5" customHeight="1">
      <c r="A110" s="7">
        <v>98</v>
      </c>
      <c r="B110" s="7"/>
      <c r="C110" s="7"/>
      <c r="D110" s="7"/>
      <c r="E110" s="6" t="s">
        <v>302</v>
      </c>
      <c r="F110" s="6"/>
      <c r="G110" s="7">
        <v>353184</v>
      </c>
      <c r="H110" s="7" t="s">
        <v>613</v>
      </c>
      <c r="I110" s="7">
        <v>42</v>
      </c>
      <c r="J110" s="6" t="s">
        <v>304</v>
      </c>
      <c r="K110" s="7">
        <v>43</v>
      </c>
      <c r="L110" s="7" t="s">
        <v>1109</v>
      </c>
      <c r="M110" s="7">
        <v>22</v>
      </c>
      <c r="N110" s="7" t="s">
        <v>1110</v>
      </c>
      <c r="O110" s="7">
        <v>19</v>
      </c>
      <c r="P110" s="7" t="s">
        <v>1111</v>
      </c>
      <c r="Q110" s="7">
        <v>19</v>
      </c>
      <c r="R110" s="7" t="s">
        <v>1111</v>
      </c>
      <c r="S110" s="7" t="s">
        <v>617</v>
      </c>
      <c r="T110" s="7" t="s">
        <v>1112</v>
      </c>
      <c r="U110" s="28"/>
      <c r="V110" s="7">
        <v>96</v>
      </c>
      <c r="W110" s="7" t="s">
        <v>697</v>
      </c>
      <c r="X110" s="28"/>
      <c r="Y110" s="7" t="s">
        <v>1113</v>
      </c>
      <c r="Z110" s="7" t="s">
        <v>621</v>
      </c>
      <c r="AA110" s="7" t="s">
        <v>622</v>
      </c>
      <c r="AB110" s="7" t="s">
        <v>638</v>
      </c>
      <c r="AC110" s="7"/>
      <c r="AD110" s="7"/>
      <c r="AE110" s="7"/>
      <c r="AF110" s="7"/>
      <c r="AG110" s="7"/>
      <c r="AH110" s="7"/>
      <c r="AI110" s="7" t="s">
        <v>611</v>
      </c>
      <c r="AJ110" s="7" t="s">
        <v>623</v>
      </c>
      <c r="AK110" s="7">
        <v>10</v>
      </c>
      <c r="AL110" s="7">
        <v>9</v>
      </c>
      <c r="AM110" s="7" t="s">
        <v>624</v>
      </c>
      <c r="AN110" s="7" t="s">
        <v>625</v>
      </c>
      <c r="AO110" s="7" t="s">
        <v>626</v>
      </c>
      <c r="AP110" s="7" t="s">
        <v>627</v>
      </c>
      <c r="AQ110" s="7" t="s">
        <v>617</v>
      </c>
      <c r="AR110" s="7"/>
      <c r="AS110" s="7"/>
      <c r="AT110" s="7"/>
      <c r="AU110" s="6">
        <v>91021</v>
      </c>
      <c r="AV110" s="6" t="s">
        <v>157</v>
      </c>
      <c r="AW110" s="7"/>
      <c r="AX110" s="7"/>
      <c r="AY110" s="7"/>
      <c r="AZ110" s="7"/>
      <c r="BA110" s="6">
        <v>1214</v>
      </c>
      <c r="BB110" s="6" t="s">
        <v>628</v>
      </c>
      <c r="BC110" s="7"/>
      <c r="BD110" s="7"/>
      <c r="BE110" s="7"/>
      <c r="BF110" s="7"/>
      <c r="BG110" s="7">
        <v>0</v>
      </c>
      <c r="BH110" s="7">
        <v>0</v>
      </c>
      <c r="BI110" s="7">
        <v>0</v>
      </c>
      <c r="BJ110" s="7">
        <v>10</v>
      </c>
      <c r="BK110" s="7">
        <v>0</v>
      </c>
      <c r="BL110" s="7">
        <v>10</v>
      </c>
      <c r="BM110" s="7"/>
      <c r="BN110" s="7">
        <v>0</v>
      </c>
      <c r="BO110" s="7"/>
      <c r="BP110" s="7"/>
      <c r="BQ110" s="7">
        <v>0</v>
      </c>
      <c r="BR110" s="7">
        <v>380</v>
      </c>
      <c r="BS110" s="7" t="s">
        <v>629</v>
      </c>
      <c r="BT110" s="7"/>
      <c r="BU110" s="7"/>
      <c r="BV110" s="7">
        <v>0</v>
      </c>
      <c r="BW110" s="7"/>
      <c r="BX110" s="7"/>
      <c r="BY110" s="7">
        <v>10001</v>
      </c>
      <c r="BZ110" s="7" t="s">
        <v>1414</v>
      </c>
      <c r="CA110" s="7"/>
      <c r="CB110" s="7"/>
      <c r="CC110" s="7"/>
      <c r="CD110" s="7"/>
      <c r="CE110" s="7"/>
      <c r="CF110" s="7"/>
      <c r="CG110" s="7"/>
      <c r="CH110" s="7">
        <v>3564</v>
      </c>
      <c r="CI110" s="7" t="s">
        <v>979</v>
      </c>
      <c r="CJ110" s="7"/>
      <c r="CK110" s="7"/>
      <c r="CL110" s="7"/>
      <c r="CM110" s="7"/>
      <c r="CN110" s="7">
        <v>0</v>
      </c>
      <c r="CO110" s="7"/>
      <c r="CP110" s="7"/>
      <c r="CQ110" s="7"/>
      <c r="CR110" s="7"/>
      <c r="CS110" s="7">
        <v>0</v>
      </c>
      <c r="CT110" s="7"/>
      <c r="CU110" s="7"/>
      <c r="CV110" s="7" t="s">
        <v>1114</v>
      </c>
      <c r="CW110" s="7" t="s">
        <v>303</v>
      </c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126"/>
      <c r="EE110" s="7"/>
      <c r="EF110" s="7"/>
      <c r="EG110" s="7"/>
    </row>
    <row r="111" spans="1:137" ht="13.5" customHeight="1">
      <c r="A111" s="7">
        <v>99</v>
      </c>
      <c r="B111" s="7"/>
      <c r="C111" s="7"/>
      <c r="D111" s="7"/>
      <c r="E111" s="6" t="s">
        <v>305</v>
      </c>
      <c r="F111" s="6"/>
      <c r="G111" s="7">
        <v>353185</v>
      </c>
      <c r="H111" s="7" t="s">
        <v>613</v>
      </c>
      <c r="I111" s="7">
        <v>31</v>
      </c>
      <c r="J111" s="6" t="s">
        <v>307</v>
      </c>
      <c r="K111" s="7">
        <v>34</v>
      </c>
      <c r="L111" s="7" t="s">
        <v>1115</v>
      </c>
      <c r="M111" s="7">
        <v>16</v>
      </c>
      <c r="N111" s="7" t="s">
        <v>1116</v>
      </c>
      <c r="O111" s="7">
        <v>13</v>
      </c>
      <c r="P111" s="7" t="s">
        <v>1117</v>
      </c>
      <c r="Q111" s="7">
        <v>13</v>
      </c>
      <c r="R111" s="7" t="s">
        <v>1117</v>
      </c>
      <c r="S111" s="7" t="s">
        <v>617</v>
      </c>
      <c r="T111" s="7" t="s">
        <v>1112</v>
      </c>
      <c r="U111" s="28"/>
      <c r="V111" s="7">
        <v>96</v>
      </c>
      <c r="W111" s="7" t="s">
        <v>697</v>
      </c>
      <c r="X111" s="28"/>
      <c r="Y111" s="7" t="s">
        <v>1113</v>
      </c>
      <c r="Z111" s="7" t="s">
        <v>621</v>
      </c>
      <c r="AA111" s="7" t="s">
        <v>622</v>
      </c>
      <c r="AB111" s="7" t="s">
        <v>638</v>
      </c>
      <c r="AC111" s="7"/>
      <c r="AD111" s="7"/>
      <c r="AE111" s="7"/>
      <c r="AF111" s="7"/>
      <c r="AG111" s="7"/>
      <c r="AH111" s="7"/>
      <c r="AI111" s="7" t="s">
        <v>611</v>
      </c>
      <c r="AJ111" s="7" t="s">
        <v>623</v>
      </c>
      <c r="AK111" s="7">
        <v>10</v>
      </c>
      <c r="AL111" s="7">
        <v>9</v>
      </c>
      <c r="AM111" s="7" t="s">
        <v>624</v>
      </c>
      <c r="AN111" s="7" t="s">
        <v>625</v>
      </c>
      <c r="AO111" s="7" t="s">
        <v>626</v>
      </c>
      <c r="AP111" s="7" t="s">
        <v>627</v>
      </c>
      <c r="AQ111" s="7" t="s">
        <v>617</v>
      </c>
      <c r="AR111" s="7"/>
      <c r="AS111" s="7"/>
      <c r="AT111" s="7"/>
      <c r="AU111" s="6">
        <v>91021</v>
      </c>
      <c r="AV111" s="6" t="s">
        <v>157</v>
      </c>
      <c r="AW111" s="7"/>
      <c r="AX111" s="7"/>
      <c r="AY111" s="7"/>
      <c r="AZ111" s="7"/>
      <c r="BA111" s="6">
        <v>1214</v>
      </c>
      <c r="BB111" s="6" t="s">
        <v>628</v>
      </c>
      <c r="BC111" s="7"/>
      <c r="BD111" s="7"/>
      <c r="BE111" s="7"/>
      <c r="BF111" s="7"/>
      <c r="BG111" s="7">
        <v>0</v>
      </c>
      <c r="BH111" s="7">
        <v>0</v>
      </c>
      <c r="BI111" s="7">
        <v>0</v>
      </c>
      <c r="BJ111" s="7">
        <v>10</v>
      </c>
      <c r="BK111" s="7">
        <v>0</v>
      </c>
      <c r="BL111" s="7">
        <v>10</v>
      </c>
      <c r="BM111" s="7"/>
      <c r="BN111" s="7">
        <v>0</v>
      </c>
      <c r="BO111" s="7"/>
      <c r="BP111" s="7"/>
      <c r="BQ111" s="7">
        <v>0</v>
      </c>
      <c r="BR111" s="7">
        <v>380</v>
      </c>
      <c r="BS111" s="7" t="s">
        <v>629</v>
      </c>
      <c r="BT111" s="7"/>
      <c r="BU111" s="7"/>
      <c r="BV111" s="7">
        <v>0</v>
      </c>
      <c r="BW111" s="7"/>
      <c r="BX111" s="7"/>
      <c r="BY111" s="7">
        <v>10001</v>
      </c>
      <c r="BZ111" s="7" t="s">
        <v>1414</v>
      </c>
      <c r="CA111" s="7"/>
      <c r="CB111" s="7"/>
      <c r="CC111" s="7"/>
      <c r="CD111" s="7"/>
      <c r="CE111" s="7"/>
      <c r="CF111" s="7"/>
      <c r="CG111" s="7"/>
      <c r="CH111" s="7">
        <v>3564</v>
      </c>
      <c r="CI111" s="7" t="s">
        <v>979</v>
      </c>
      <c r="CJ111" s="7"/>
      <c r="CK111" s="7"/>
      <c r="CL111" s="7"/>
      <c r="CM111" s="7"/>
      <c r="CN111" s="7">
        <v>0</v>
      </c>
      <c r="CO111" s="7"/>
      <c r="CP111" s="7"/>
      <c r="CQ111" s="7"/>
      <c r="CR111" s="7"/>
      <c r="CS111" s="7">
        <v>0</v>
      </c>
      <c r="CT111" s="7"/>
      <c r="CU111" s="7"/>
      <c r="CV111" s="7" t="s">
        <v>1118</v>
      </c>
      <c r="CW111" s="7" t="s">
        <v>306</v>
      </c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126"/>
      <c r="EE111" s="7"/>
      <c r="EF111" s="7"/>
      <c r="EG111" s="7"/>
    </row>
    <row r="112" spans="1:137" ht="13.5" customHeight="1">
      <c r="A112" s="7">
        <v>100</v>
      </c>
      <c r="B112" s="7"/>
      <c r="C112" s="7"/>
      <c r="D112" s="7"/>
      <c r="E112" s="6" t="s">
        <v>308</v>
      </c>
      <c r="F112" s="6"/>
      <c r="G112" s="7">
        <v>353186</v>
      </c>
      <c r="H112" s="7" t="s">
        <v>613</v>
      </c>
      <c r="I112" s="7">
        <v>42</v>
      </c>
      <c r="J112" s="6" t="s">
        <v>310</v>
      </c>
      <c r="K112" s="7">
        <v>43</v>
      </c>
      <c r="L112" s="7" t="s">
        <v>1119</v>
      </c>
      <c r="M112" s="7">
        <v>22</v>
      </c>
      <c r="N112" s="7" t="s">
        <v>1120</v>
      </c>
      <c r="O112" s="7">
        <v>18</v>
      </c>
      <c r="P112" s="7" t="s">
        <v>1121</v>
      </c>
      <c r="Q112" s="7">
        <v>18</v>
      </c>
      <c r="R112" s="7" t="s">
        <v>1121</v>
      </c>
      <c r="S112" s="7" t="s">
        <v>617</v>
      </c>
      <c r="T112" s="7" t="s">
        <v>1112</v>
      </c>
      <c r="U112" s="28"/>
      <c r="V112" s="7">
        <v>96</v>
      </c>
      <c r="W112" s="7" t="s">
        <v>697</v>
      </c>
      <c r="X112" s="28"/>
      <c r="Y112" s="7" t="s">
        <v>1113</v>
      </c>
      <c r="Z112" s="7" t="s">
        <v>621</v>
      </c>
      <c r="AA112" s="7" t="s">
        <v>622</v>
      </c>
      <c r="AB112" s="7" t="s">
        <v>638</v>
      </c>
      <c r="AC112" s="7"/>
      <c r="AD112" s="7"/>
      <c r="AE112" s="7"/>
      <c r="AF112" s="7"/>
      <c r="AG112" s="7"/>
      <c r="AH112" s="7"/>
      <c r="AI112" s="7" t="s">
        <v>611</v>
      </c>
      <c r="AJ112" s="7" t="s">
        <v>623</v>
      </c>
      <c r="AK112" s="7">
        <v>10</v>
      </c>
      <c r="AL112" s="7">
        <v>9</v>
      </c>
      <c r="AM112" s="7" t="s">
        <v>624</v>
      </c>
      <c r="AN112" s="7" t="s">
        <v>625</v>
      </c>
      <c r="AO112" s="7" t="s">
        <v>626</v>
      </c>
      <c r="AP112" s="7" t="s">
        <v>627</v>
      </c>
      <c r="AQ112" s="7" t="s">
        <v>617</v>
      </c>
      <c r="AR112" s="7"/>
      <c r="AS112" s="7"/>
      <c r="AT112" s="7"/>
      <c r="AU112" s="6">
        <v>91021</v>
      </c>
      <c r="AV112" s="6" t="s">
        <v>157</v>
      </c>
      <c r="AW112" s="7"/>
      <c r="AX112" s="7"/>
      <c r="AY112" s="7"/>
      <c r="AZ112" s="7"/>
      <c r="BA112" s="6">
        <v>1214</v>
      </c>
      <c r="BB112" s="6" t="s">
        <v>628</v>
      </c>
      <c r="BC112" s="7"/>
      <c r="BD112" s="7"/>
      <c r="BE112" s="7"/>
      <c r="BF112" s="7"/>
      <c r="BG112" s="7">
        <v>0</v>
      </c>
      <c r="BH112" s="7">
        <v>0</v>
      </c>
      <c r="BI112" s="7">
        <v>0</v>
      </c>
      <c r="BJ112" s="7">
        <v>10</v>
      </c>
      <c r="BK112" s="7">
        <v>0</v>
      </c>
      <c r="BL112" s="7">
        <v>10</v>
      </c>
      <c r="BM112" s="7"/>
      <c r="BN112" s="7">
        <v>0</v>
      </c>
      <c r="BO112" s="7"/>
      <c r="BP112" s="7"/>
      <c r="BQ112" s="7">
        <v>0</v>
      </c>
      <c r="BR112" s="7">
        <v>380</v>
      </c>
      <c r="BS112" s="7" t="s">
        <v>629</v>
      </c>
      <c r="BT112" s="7"/>
      <c r="BU112" s="7"/>
      <c r="BV112" s="7">
        <v>0</v>
      </c>
      <c r="BW112" s="7"/>
      <c r="BX112" s="7"/>
      <c r="BY112" s="7">
        <v>10001</v>
      </c>
      <c r="BZ112" s="7" t="s">
        <v>1414</v>
      </c>
      <c r="CA112" s="7"/>
      <c r="CB112" s="7"/>
      <c r="CC112" s="7"/>
      <c r="CD112" s="7"/>
      <c r="CE112" s="7"/>
      <c r="CF112" s="7"/>
      <c r="CG112" s="7"/>
      <c r="CH112" s="7">
        <v>3564</v>
      </c>
      <c r="CI112" s="7" t="s">
        <v>979</v>
      </c>
      <c r="CJ112" s="7"/>
      <c r="CK112" s="7"/>
      <c r="CL112" s="7"/>
      <c r="CM112" s="7"/>
      <c r="CN112" s="7">
        <v>0</v>
      </c>
      <c r="CO112" s="7"/>
      <c r="CP112" s="7"/>
      <c r="CQ112" s="7"/>
      <c r="CR112" s="7"/>
      <c r="CS112" s="7">
        <v>0</v>
      </c>
      <c r="CT112" s="7"/>
      <c r="CU112" s="7"/>
      <c r="CV112" s="7" t="s">
        <v>1122</v>
      </c>
      <c r="CW112" s="7" t="s">
        <v>309</v>
      </c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126"/>
      <c r="EE112" s="7"/>
      <c r="EF112" s="7"/>
      <c r="EG112" s="7"/>
    </row>
    <row r="113" spans="1:118" ht="13.5" customHeight="1">
      <c r="A113" s="7">
        <v>101</v>
      </c>
      <c r="B113" s="7"/>
      <c r="C113" s="7"/>
      <c r="D113" s="7"/>
      <c r="E113" s="6" t="s">
        <v>311</v>
      </c>
      <c r="F113" s="6"/>
      <c r="G113" s="7">
        <v>353187</v>
      </c>
      <c r="H113" s="7" t="s">
        <v>613</v>
      </c>
      <c r="I113" s="7">
        <v>43</v>
      </c>
      <c r="J113" s="6" t="s">
        <v>313</v>
      </c>
      <c r="K113" s="7">
        <v>43</v>
      </c>
      <c r="L113" s="7" t="s">
        <v>1123</v>
      </c>
      <c r="M113" s="7">
        <v>23</v>
      </c>
      <c r="N113" s="7" t="s">
        <v>1124</v>
      </c>
      <c r="O113" s="7">
        <v>19</v>
      </c>
      <c r="P113" s="7" t="s">
        <v>1111</v>
      </c>
      <c r="Q113" s="7">
        <v>19</v>
      </c>
      <c r="R113" s="7" t="s">
        <v>1111</v>
      </c>
      <c r="S113" s="7" t="s">
        <v>617</v>
      </c>
      <c r="T113" s="7" t="s">
        <v>1112</v>
      </c>
      <c r="U113" s="28"/>
      <c r="V113" s="7">
        <v>96</v>
      </c>
      <c r="W113" s="7" t="s">
        <v>697</v>
      </c>
      <c r="X113" s="28"/>
      <c r="Y113" s="7" t="s">
        <v>1113</v>
      </c>
      <c r="Z113" s="7" t="s">
        <v>621</v>
      </c>
      <c r="AA113" s="7" t="s">
        <v>622</v>
      </c>
      <c r="AB113" s="7" t="s">
        <v>638</v>
      </c>
      <c r="AC113" s="7"/>
      <c r="AD113" s="7"/>
      <c r="AE113" s="7"/>
      <c r="AF113" s="7"/>
      <c r="AG113" s="7"/>
      <c r="AH113" s="7"/>
      <c r="AI113" s="7" t="s">
        <v>611</v>
      </c>
      <c r="AJ113" s="7" t="s">
        <v>623</v>
      </c>
      <c r="AK113" s="7">
        <v>10</v>
      </c>
      <c r="AL113" s="7">
        <v>9</v>
      </c>
      <c r="AM113" s="7" t="s">
        <v>624</v>
      </c>
      <c r="AN113" s="7" t="s">
        <v>625</v>
      </c>
      <c r="AO113" s="7" t="s">
        <v>626</v>
      </c>
      <c r="AP113" s="7" t="s">
        <v>627</v>
      </c>
      <c r="AQ113" s="7" t="s">
        <v>617</v>
      </c>
      <c r="AR113" s="7"/>
      <c r="AS113" s="7"/>
      <c r="AT113" s="7"/>
      <c r="AU113" s="6">
        <v>91021</v>
      </c>
      <c r="AV113" s="6" t="s">
        <v>157</v>
      </c>
      <c r="AW113" s="7"/>
      <c r="AX113" s="7"/>
      <c r="AY113" s="7"/>
      <c r="AZ113" s="7"/>
      <c r="BA113" s="6">
        <v>1214</v>
      </c>
      <c r="BB113" s="6" t="s">
        <v>628</v>
      </c>
      <c r="BC113" s="7"/>
      <c r="BD113" s="7"/>
      <c r="BE113" s="7"/>
      <c r="BF113" s="7"/>
      <c r="BG113" s="7">
        <v>0</v>
      </c>
      <c r="BH113" s="7">
        <v>0</v>
      </c>
      <c r="BI113" s="7">
        <v>0</v>
      </c>
      <c r="BJ113" s="7">
        <v>10</v>
      </c>
      <c r="BK113" s="7">
        <v>0</v>
      </c>
      <c r="BL113" s="7">
        <v>10</v>
      </c>
      <c r="BM113" s="7"/>
      <c r="BN113" s="7">
        <v>0</v>
      </c>
      <c r="BO113" s="7"/>
      <c r="BP113" s="7"/>
      <c r="BQ113" s="7">
        <v>0</v>
      </c>
      <c r="BR113" s="7">
        <v>380</v>
      </c>
      <c r="BS113" s="7" t="s">
        <v>629</v>
      </c>
      <c r="BT113" s="7"/>
      <c r="BU113" s="7"/>
      <c r="BV113" s="7">
        <v>0</v>
      </c>
      <c r="BW113" s="7"/>
      <c r="BX113" s="7"/>
      <c r="BY113" s="7">
        <v>10001</v>
      </c>
      <c r="BZ113" s="7" t="s">
        <v>1414</v>
      </c>
      <c r="CA113" s="7"/>
      <c r="CB113" s="7"/>
      <c r="CC113" s="7"/>
      <c r="CD113" s="7"/>
      <c r="CE113" s="7"/>
      <c r="CF113" s="7"/>
      <c r="CG113" s="7"/>
      <c r="CH113" s="7">
        <v>3564</v>
      </c>
      <c r="CI113" s="7" t="s">
        <v>979</v>
      </c>
      <c r="CJ113" s="7"/>
      <c r="CK113" s="7"/>
      <c r="CL113" s="7"/>
      <c r="CM113" s="7"/>
      <c r="CN113" s="7">
        <v>0</v>
      </c>
      <c r="CO113" s="7"/>
      <c r="CP113" s="7"/>
      <c r="CQ113" s="7"/>
      <c r="CR113" s="7"/>
      <c r="CS113" s="7">
        <v>0</v>
      </c>
      <c r="CT113" s="7"/>
      <c r="CU113" s="7"/>
      <c r="CV113" s="7" t="s">
        <v>1125</v>
      </c>
      <c r="CW113" s="7" t="s">
        <v>312</v>
      </c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</row>
    <row r="114" spans="1:118" ht="13.5" customHeight="1">
      <c r="A114" s="7">
        <v>102</v>
      </c>
      <c r="B114" s="7"/>
      <c r="C114" s="7"/>
      <c r="D114" s="7"/>
      <c r="E114" s="6" t="s">
        <v>314</v>
      </c>
      <c r="F114" s="6"/>
      <c r="G114" s="7">
        <v>353188</v>
      </c>
      <c r="H114" s="7" t="s">
        <v>613</v>
      </c>
      <c r="I114" s="7">
        <v>53</v>
      </c>
      <c r="J114" s="6" t="s">
        <v>316</v>
      </c>
      <c r="K114" s="7">
        <v>48</v>
      </c>
      <c r="L114" s="7" t="s">
        <v>1126</v>
      </c>
      <c r="M114" s="7">
        <v>34</v>
      </c>
      <c r="N114" s="7" t="s">
        <v>1127</v>
      </c>
      <c r="O114" s="7">
        <v>20</v>
      </c>
      <c r="P114" s="7" t="s">
        <v>1128</v>
      </c>
      <c r="Q114" s="7">
        <v>20</v>
      </c>
      <c r="R114" s="7" t="s">
        <v>1128</v>
      </c>
      <c r="S114" s="7" t="s">
        <v>617</v>
      </c>
      <c r="T114" s="7" t="s">
        <v>1112</v>
      </c>
      <c r="U114" s="28"/>
      <c r="V114" s="7">
        <v>96</v>
      </c>
      <c r="W114" s="7" t="s">
        <v>697</v>
      </c>
      <c r="X114" s="28"/>
      <c r="Y114" s="7" t="s">
        <v>1113</v>
      </c>
      <c r="Z114" s="7" t="s">
        <v>621</v>
      </c>
      <c r="AA114" s="7" t="s">
        <v>622</v>
      </c>
      <c r="AB114" s="7" t="s">
        <v>638</v>
      </c>
      <c r="AC114" s="7"/>
      <c r="AD114" s="7"/>
      <c r="AE114" s="7"/>
      <c r="AF114" s="7"/>
      <c r="AG114" s="7"/>
      <c r="AH114" s="7"/>
      <c r="AI114" s="7" t="s">
        <v>611</v>
      </c>
      <c r="AJ114" s="7" t="s">
        <v>623</v>
      </c>
      <c r="AK114" s="7">
        <v>10</v>
      </c>
      <c r="AL114" s="7">
        <v>9</v>
      </c>
      <c r="AM114" s="7" t="s">
        <v>624</v>
      </c>
      <c r="AN114" s="7" t="s">
        <v>625</v>
      </c>
      <c r="AO114" s="7" t="s">
        <v>626</v>
      </c>
      <c r="AP114" s="7" t="s">
        <v>627</v>
      </c>
      <c r="AQ114" s="7" t="s">
        <v>617</v>
      </c>
      <c r="AR114" s="7"/>
      <c r="AS114" s="7"/>
      <c r="AT114" s="7"/>
      <c r="AU114" s="6">
        <v>91021</v>
      </c>
      <c r="AV114" s="6" t="s">
        <v>157</v>
      </c>
      <c r="AW114" s="7"/>
      <c r="AX114" s="7"/>
      <c r="AY114" s="7"/>
      <c r="AZ114" s="7"/>
      <c r="BA114" s="6">
        <v>1214</v>
      </c>
      <c r="BB114" s="6" t="s">
        <v>628</v>
      </c>
      <c r="BC114" s="7"/>
      <c r="BD114" s="7"/>
      <c r="BE114" s="7"/>
      <c r="BF114" s="7"/>
      <c r="BG114" s="7">
        <v>0</v>
      </c>
      <c r="BH114" s="7">
        <v>0</v>
      </c>
      <c r="BI114" s="7">
        <v>0</v>
      </c>
      <c r="BJ114" s="7">
        <v>10</v>
      </c>
      <c r="BK114" s="7">
        <v>0</v>
      </c>
      <c r="BL114" s="7">
        <v>10</v>
      </c>
      <c r="BM114" s="7"/>
      <c r="BN114" s="7">
        <v>0</v>
      </c>
      <c r="BO114" s="7"/>
      <c r="BP114" s="7"/>
      <c r="BQ114" s="7">
        <v>0</v>
      </c>
      <c r="BR114" s="7">
        <v>380</v>
      </c>
      <c r="BS114" s="7" t="s">
        <v>629</v>
      </c>
      <c r="BT114" s="7"/>
      <c r="BU114" s="7"/>
      <c r="BV114" s="7">
        <v>0</v>
      </c>
      <c r="BW114" s="7"/>
      <c r="BX114" s="7"/>
      <c r="BY114" s="7">
        <v>10001</v>
      </c>
      <c r="BZ114" s="7" t="s">
        <v>1414</v>
      </c>
      <c r="CA114" s="7"/>
      <c r="CB114" s="7"/>
      <c r="CC114" s="7"/>
      <c r="CD114" s="7"/>
      <c r="CE114" s="7"/>
      <c r="CF114" s="7"/>
      <c r="CG114" s="7"/>
      <c r="CH114" s="7">
        <v>3564</v>
      </c>
      <c r="CI114" s="7" t="s">
        <v>979</v>
      </c>
      <c r="CJ114" s="7"/>
      <c r="CK114" s="7"/>
      <c r="CL114" s="7"/>
      <c r="CM114" s="7"/>
      <c r="CN114" s="7">
        <v>0</v>
      </c>
      <c r="CO114" s="7"/>
      <c r="CP114" s="7"/>
      <c r="CQ114" s="7"/>
      <c r="CR114" s="7"/>
      <c r="CS114" s="7">
        <v>0</v>
      </c>
      <c r="CT114" s="7"/>
      <c r="CU114" s="7"/>
      <c r="CV114" s="7" t="s">
        <v>1129</v>
      </c>
      <c r="CW114" s="7" t="s">
        <v>315</v>
      </c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</row>
    <row r="115" spans="1:118" ht="13.5" customHeight="1">
      <c r="A115" s="7">
        <v>103</v>
      </c>
      <c r="B115" s="7"/>
      <c r="C115" s="7"/>
      <c r="D115" s="7"/>
      <c r="E115" s="6" t="s">
        <v>317</v>
      </c>
      <c r="F115" s="6"/>
      <c r="G115" s="7">
        <v>353189</v>
      </c>
      <c r="H115" s="7" t="s">
        <v>613</v>
      </c>
      <c r="I115" s="7">
        <v>42</v>
      </c>
      <c r="J115" s="6" t="s">
        <v>319</v>
      </c>
      <c r="K115" s="7">
        <v>49</v>
      </c>
      <c r="L115" s="7" t="s">
        <v>1130</v>
      </c>
      <c r="M115" s="7">
        <v>31</v>
      </c>
      <c r="N115" s="7" t="s">
        <v>1131</v>
      </c>
      <c r="O115" s="7">
        <v>19</v>
      </c>
      <c r="P115" s="7" t="s">
        <v>1132</v>
      </c>
      <c r="Q115" s="7">
        <v>19</v>
      </c>
      <c r="R115" s="7" t="s">
        <v>1132</v>
      </c>
      <c r="S115" s="7" t="s">
        <v>617</v>
      </c>
      <c r="T115" s="7" t="s">
        <v>1133</v>
      </c>
      <c r="U115" s="28"/>
      <c r="V115" s="7">
        <v>96</v>
      </c>
      <c r="W115" s="7" t="s">
        <v>1134</v>
      </c>
      <c r="X115" s="28"/>
      <c r="Y115" s="7" t="s">
        <v>1135</v>
      </c>
      <c r="Z115" s="7" t="s">
        <v>621</v>
      </c>
      <c r="AA115" s="7" t="s">
        <v>622</v>
      </c>
      <c r="AB115" s="7" t="s">
        <v>638</v>
      </c>
      <c r="AC115" s="7"/>
      <c r="AD115" s="7"/>
      <c r="AE115" s="7"/>
      <c r="AF115" s="7"/>
      <c r="AG115" s="7"/>
      <c r="AH115" s="7"/>
      <c r="AI115" s="7" t="s">
        <v>611</v>
      </c>
      <c r="AJ115" s="7" t="s">
        <v>623</v>
      </c>
      <c r="AK115" s="7">
        <v>10</v>
      </c>
      <c r="AL115" s="7">
        <v>9</v>
      </c>
      <c r="AM115" s="7" t="s">
        <v>624</v>
      </c>
      <c r="AN115" s="7" t="s">
        <v>625</v>
      </c>
      <c r="AO115" s="7" t="s">
        <v>626</v>
      </c>
      <c r="AP115" s="7" t="s">
        <v>627</v>
      </c>
      <c r="AQ115" s="7" t="s">
        <v>617</v>
      </c>
      <c r="AR115" s="7"/>
      <c r="AS115" s="7"/>
      <c r="AT115" s="7"/>
      <c r="AU115" s="6">
        <v>91021</v>
      </c>
      <c r="AV115" s="6" t="s">
        <v>157</v>
      </c>
      <c r="AW115" s="7"/>
      <c r="AX115" s="7"/>
      <c r="AY115" s="7"/>
      <c r="AZ115" s="7"/>
      <c r="BA115" s="6">
        <v>1214</v>
      </c>
      <c r="BB115" s="6" t="s">
        <v>628</v>
      </c>
      <c r="BC115" s="7"/>
      <c r="BD115" s="7"/>
      <c r="BE115" s="7"/>
      <c r="BF115" s="7"/>
      <c r="BG115" s="7">
        <v>0</v>
      </c>
      <c r="BH115" s="7">
        <v>0</v>
      </c>
      <c r="BI115" s="7">
        <v>0</v>
      </c>
      <c r="BJ115" s="7">
        <v>10</v>
      </c>
      <c r="BK115" s="7">
        <v>0</v>
      </c>
      <c r="BL115" s="7">
        <v>10</v>
      </c>
      <c r="BM115" s="7"/>
      <c r="BN115" s="7">
        <v>0</v>
      </c>
      <c r="BO115" s="7"/>
      <c r="BP115" s="7"/>
      <c r="BQ115" s="7">
        <v>0</v>
      </c>
      <c r="BR115" s="7">
        <v>380</v>
      </c>
      <c r="BS115" s="7" t="s">
        <v>629</v>
      </c>
      <c r="BT115" s="7"/>
      <c r="BU115" s="7"/>
      <c r="BV115" s="7">
        <v>0</v>
      </c>
      <c r="BW115" s="7"/>
      <c r="BX115" s="7"/>
      <c r="BY115" s="7">
        <v>10001</v>
      </c>
      <c r="BZ115" s="7" t="s">
        <v>1414</v>
      </c>
      <c r="CA115" s="7"/>
      <c r="CB115" s="7"/>
      <c r="CC115" s="7"/>
      <c r="CD115" s="7"/>
      <c r="CE115" s="7"/>
      <c r="CF115" s="7"/>
      <c r="CG115" s="7"/>
      <c r="CH115" s="7">
        <v>3564</v>
      </c>
      <c r="CI115" s="7" t="s">
        <v>979</v>
      </c>
      <c r="CJ115" s="7"/>
      <c r="CK115" s="7"/>
      <c r="CL115" s="7"/>
      <c r="CM115" s="7"/>
      <c r="CN115" s="7">
        <v>0</v>
      </c>
      <c r="CO115" s="7"/>
      <c r="CP115" s="7"/>
      <c r="CQ115" s="7"/>
      <c r="CR115" s="7"/>
      <c r="CS115" s="7">
        <v>0</v>
      </c>
      <c r="CT115" s="7"/>
      <c r="CU115" s="7"/>
      <c r="CV115" s="7" t="s">
        <v>1136</v>
      </c>
      <c r="CW115" s="7" t="s">
        <v>318</v>
      </c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</row>
    <row r="116" spans="1:118" ht="13.5" customHeight="1">
      <c r="A116" s="7">
        <v>104</v>
      </c>
      <c r="B116" s="7"/>
      <c r="C116" s="7"/>
      <c r="D116" s="7"/>
      <c r="E116" s="6" t="s">
        <v>320</v>
      </c>
      <c r="F116" s="6"/>
      <c r="G116" s="7">
        <v>353190</v>
      </c>
      <c r="H116" s="7" t="s">
        <v>613</v>
      </c>
      <c r="I116" s="7">
        <v>40</v>
      </c>
      <c r="J116" s="6" t="s">
        <v>322</v>
      </c>
      <c r="K116" s="7">
        <v>48</v>
      </c>
      <c r="L116" s="7" t="s">
        <v>1137</v>
      </c>
      <c r="M116" s="7">
        <v>28</v>
      </c>
      <c r="N116" s="7" t="s">
        <v>1138</v>
      </c>
      <c r="O116" s="7">
        <v>16</v>
      </c>
      <c r="P116" s="7" t="s">
        <v>1139</v>
      </c>
      <c r="Q116" s="7">
        <v>16</v>
      </c>
      <c r="R116" s="7" t="s">
        <v>1139</v>
      </c>
      <c r="S116" s="7" t="s">
        <v>617</v>
      </c>
      <c r="T116" s="7" t="s">
        <v>1133</v>
      </c>
      <c r="U116" s="28"/>
      <c r="V116" s="7">
        <v>96</v>
      </c>
      <c r="W116" s="7" t="s">
        <v>1134</v>
      </c>
      <c r="X116" s="28"/>
      <c r="Y116" s="7" t="s">
        <v>1135</v>
      </c>
      <c r="Z116" s="7" t="s">
        <v>621</v>
      </c>
      <c r="AA116" s="7" t="s">
        <v>622</v>
      </c>
      <c r="AB116" s="7" t="s">
        <v>638</v>
      </c>
      <c r="AC116" s="7"/>
      <c r="AD116" s="7"/>
      <c r="AE116" s="7"/>
      <c r="AF116" s="7"/>
      <c r="AG116" s="7"/>
      <c r="AH116" s="7"/>
      <c r="AI116" s="7" t="s">
        <v>611</v>
      </c>
      <c r="AJ116" s="7" t="s">
        <v>623</v>
      </c>
      <c r="AK116" s="7">
        <v>10</v>
      </c>
      <c r="AL116" s="7">
        <v>9</v>
      </c>
      <c r="AM116" s="7" t="s">
        <v>624</v>
      </c>
      <c r="AN116" s="7" t="s">
        <v>625</v>
      </c>
      <c r="AO116" s="7" t="s">
        <v>626</v>
      </c>
      <c r="AP116" s="7" t="s">
        <v>627</v>
      </c>
      <c r="AQ116" s="7" t="s">
        <v>617</v>
      </c>
      <c r="AR116" s="7"/>
      <c r="AS116" s="7"/>
      <c r="AT116" s="7"/>
      <c r="AU116" s="6">
        <v>91021</v>
      </c>
      <c r="AV116" s="6" t="s">
        <v>157</v>
      </c>
      <c r="AW116" s="7"/>
      <c r="AX116" s="7"/>
      <c r="AY116" s="7"/>
      <c r="AZ116" s="7"/>
      <c r="BA116" s="6">
        <v>1214</v>
      </c>
      <c r="BB116" s="6" t="s">
        <v>628</v>
      </c>
      <c r="BC116" s="7"/>
      <c r="BD116" s="7"/>
      <c r="BE116" s="7"/>
      <c r="BF116" s="7"/>
      <c r="BG116" s="7">
        <v>0</v>
      </c>
      <c r="BH116" s="7">
        <v>0</v>
      </c>
      <c r="BI116" s="7">
        <v>0</v>
      </c>
      <c r="BJ116" s="7">
        <v>10</v>
      </c>
      <c r="BK116" s="7">
        <v>0</v>
      </c>
      <c r="BL116" s="7">
        <v>10</v>
      </c>
      <c r="BM116" s="7"/>
      <c r="BN116" s="7">
        <v>0</v>
      </c>
      <c r="BO116" s="7"/>
      <c r="BP116" s="7"/>
      <c r="BQ116" s="7">
        <v>0</v>
      </c>
      <c r="BR116" s="7">
        <v>380</v>
      </c>
      <c r="BS116" s="7" t="s">
        <v>629</v>
      </c>
      <c r="BT116" s="7"/>
      <c r="BU116" s="7"/>
      <c r="BV116" s="7">
        <v>0</v>
      </c>
      <c r="BW116" s="7"/>
      <c r="BX116" s="7"/>
      <c r="BY116" s="7">
        <v>10001</v>
      </c>
      <c r="BZ116" s="7" t="s">
        <v>1414</v>
      </c>
      <c r="CA116" s="7"/>
      <c r="CB116" s="7"/>
      <c r="CC116" s="7"/>
      <c r="CD116" s="7"/>
      <c r="CE116" s="7"/>
      <c r="CF116" s="7"/>
      <c r="CG116" s="7"/>
      <c r="CH116" s="7">
        <v>3564</v>
      </c>
      <c r="CI116" s="7" t="s">
        <v>979</v>
      </c>
      <c r="CJ116" s="7"/>
      <c r="CK116" s="7"/>
      <c r="CL116" s="7"/>
      <c r="CM116" s="7"/>
      <c r="CN116" s="7">
        <v>0</v>
      </c>
      <c r="CO116" s="7"/>
      <c r="CP116" s="7"/>
      <c r="CQ116" s="7"/>
      <c r="CR116" s="7"/>
      <c r="CS116" s="7">
        <v>0</v>
      </c>
      <c r="CT116" s="7"/>
      <c r="CU116" s="7"/>
      <c r="CV116" s="7" t="s">
        <v>1140</v>
      </c>
      <c r="CW116" s="7" t="s">
        <v>321</v>
      </c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</row>
    <row r="117" spans="1:118" ht="13.5" customHeight="1">
      <c r="A117" s="7">
        <v>105</v>
      </c>
      <c r="B117" s="7"/>
      <c r="C117" s="7"/>
      <c r="D117" s="7"/>
      <c r="E117" s="6" t="s">
        <v>323</v>
      </c>
      <c r="F117" s="6"/>
      <c r="G117" s="7">
        <v>353191</v>
      </c>
      <c r="H117" s="7" t="s">
        <v>613</v>
      </c>
      <c r="I117" s="7">
        <v>32</v>
      </c>
      <c r="J117" s="6" t="s">
        <v>325</v>
      </c>
      <c r="K117" s="7">
        <v>42</v>
      </c>
      <c r="L117" s="7" t="s">
        <v>1141</v>
      </c>
      <c r="M117" s="7">
        <v>25</v>
      </c>
      <c r="N117" s="7" t="s">
        <v>1142</v>
      </c>
      <c r="O117" s="7">
        <v>17</v>
      </c>
      <c r="P117" s="7" t="s">
        <v>1143</v>
      </c>
      <c r="Q117" s="7">
        <v>17</v>
      </c>
      <c r="R117" s="7" t="s">
        <v>1143</v>
      </c>
      <c r="S117" s="7" t="s">
        <v>617</v>
      </c>
      <c r="T117" s="7" t="s">
        <v>1133</v>
      </c>
      <c r="U117" s="28"/>
      <c r="V117" s="7">
        <v>96</v>
      </c>
      <c r="W117" s="7" t="s">
        <v>1134</v>
      </c>
      <c r="X117" s="28"/>
      <c r="Y117" s="7" t="s">
        <v>1135</v>
      </c>
      <c r="Z117" s="7" t="s">
        <v>621</v>
      </c>
      <c r="AA117" s="7" t="s">
        <v>622</v>
      </c>
      <c r="AB117" s="7" t="s">
        <v>638</v>
      </c>
      <c r="AC117" s="7"/>
      <c r="AD117" s="7"/>
      <c r="AE117" s="7"/>
      <c r="AF117" s="7"/>
      <c r="AG117" s="7"/>
      <c r="AH117" s="7"/>
      <c r="AI117" s="7" t="s">
        <v>611</v>
      </c>
      <c r="AJ117" s="7" t="s">
        <v>623</v>
      </c>
      <c r="AK117" s="7">
        <v>10</v>
      </c>
      <c r="AL117" s="7">
        <v>9</v>
      </c>
      <c r="AM117" s="7" t="s">
        <v>624</v>
      </c>
      <c r="AN117" s="7" t="s">
        <v>625</v>
      </c>
      <c r="AO117" s="7" t="s">
        <v>626</v>
      </c>
      <c r="AP117" s="7" t="s">
        <v>627</v>
      </c>
      <c r="AQ117" s="7" t="s">
        <v>617</v>
      </c>
      <c r="AR117" s="7"/>
      <c r="AS117" s="7"/>
      <c r="AT117" s="7"/>
      <c r="AU117" s="6">
        <v>91021</v>
      </c>
      <c r="AV117" s="6" t="s">
        <v>157</v>
      </c>
      <c r="AW117" s="7"/>
      <c r="AX117" s="7"/>
      <c r="AY117" s="7"/>
      <c r="AZ117" s="7"/>
      <c r="BA117" s="6">
        <v>1214</v>
      </c>
      <c r="BB117" s="6" t="s">
        <v>628</v>
      </c>
      <c r="BC117" s="7"/>
      <c r="BD117" s="7"/>
      <c r="BE117" s="7"/>
      <c r="BF117" s="7"/>
      <c r="BG117" s="7">
        <v>0</v>
      </c>
      <c r="BH117" s="7">
        <v>0</v>
      </c>
      <c r="BI117" s="7">
        <v>0</v>
      </c>
      <c r="BJ117" s="7">
        <v>10</v>
      </c>
      <c r="BK117" s="7">
        <v>0</v>
      </c>
      <c r="BL117" s="7">
        <v>10</v>
      </c>
      <c r="BM117" s="7"/>
      <c r="BN117" s="7">
        <v>0</v>
      </c>
      <c r="BO117" s="7"/>
      <c r="BP117" s="7"/>
      <c r="BQ117" s="7">
        <v>0</v>
      </c>
      <c r="BR117" s="7">
        <v>380</v>
      </c>
      <c r="BS117" s="7" t="s">
        <v>629</v>
      </c>
      <c r="BT117" s="7"/>
      <c r="BU117" s="7"/>
      <c r="BV117" s="7">
        <v>0</v>
      </c>
      <c r="BW117" s="7"/>
      <c r="BX117" s="7"/>
      <c r="BY117" s="7">
        <v>10001</v>
      </c>
      <c r="BZ117" s="7" t="s">
        <v>1414</v>
      </c>
      <c r="CA117" s="7"/>
      <c r="CB117" s="7"/>
      <c r="CC117" s="7"/>
      <c r="CD117" s="7"/>
      <c r="CE117" s="7"/>
      <c r="CF117" s="7"/>
      <c r="CG117" s="7"/>
      <c r="CH117" s="7">
        <v>3564</v>
      </c>
      <c r="CI117" s="7" t="s">
        <v>979</v>
      </c>
      <c r="CJ117" s="7"/>
      <c r="CK117" s="7"/>
      <c r="CL117" s="7"/>
      <c r="CM117" s="7"/>
      <c r="CN117" s="7">
        <v>0</v>
      </c>
      <c r="CO117" s="7"/>
      <c r="CP117" s="7"/>
      <c r="CQ117" s="7"/>
      <c r="CR117" s="7"/>
      <c r="CS117" s="7">
        <v>0</v>
      </c>
      <c r="CT117" s="7"/>
      <c r="CU117" s="7"/>
      <c r="CV117" s="7" t="s">
        <v>1144</v>
      </c>
      <c r="CW117" s="7" t="s">
        <v>324</v>
      </c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</row>
    <row r="118" spans="1:118" ht="13.5" customHeight="1">
      <c r="A118" s="7">
        <v>106</v>
      </c>
      <c r="B118" s="7"/>
      <c r="C118" s="7"/>
      <c r="D118" s="7"/>
      <c r="E118" s="7" t="s">
        <v>326</v>
      </c>
      <c r="F118" s="7"/>
      <c r="G118" s="7">
        <v>353063</v>
      </c>
      <c r="H118" s="7" t="s">
        <v>613</v>
      </c>
      <c r="I118" s="7">
        <v>14</v>
      </c>
      <c r="J118" s="7" t="s">
        <v>328</v>
      </c>
      <c r="K118" s="7">
        <v>26</v>
      </c>
      <c r="L118" s="7" t="s">
        <v>1145</v>
      </c>
      <c r="M118" s="7">
        <v>12</v>
      </c>
      <c r="N118" s="7" t="s">
        <v>1146</v>
      </c>
      <c r="O118" s="7">
        <v>8</v>
      </c>
      <c r="P118" s="7" t="s">
        <v>1147</v>
      </c>
      <c r="Q118" s="7">
        <v>8</v>
      </c>
      <c r="R118" s="7" t="s">
        <v>1147</v>
      </c>
      <c r="S118" s="7" t="s">
        <v>617</v>
      </c>
      <c r="T118" s="7" t="s">
        <v>1148</v>
      </c>
      <c r="U118" s="28"/>
      <c r="V118" s="7">
        <v>4</v>
      </c>
      <c r="W118" s="7" t="s">
        <v>1149</v>
      </c>
      <c r="X118" s="28"/>
      <c r="Y118" s="7" t="s">
        <v>1150</v>
      </c>
      <c r="Z118" s="7" t="s">
        <v>621</v>
      </c>
      <c r="AA118" s="7" t="s">
        <v>622</v>
      </c>
      <c r="AB118" s="7" t="s">
        <v>638</v>
      </c>
      <c r="AC118" s="7"/>
      <c r="AD118" s="7"/>
      <c r="AE118" s="7"/>
      <c r="AF118" s="7"/>
      <c r="AG118" s="7"/>
      <c r="AH118" s="7"/>
      <c r="AI118" s="7" t="s">
        <v>611</v>
      </c>
      <c r="AJ118" s="7" t="s">
        <v>623</v>
      </c>
      <c r="AK118" s="7">
        <v>10</v>
      </c>
      <c r="AL118" s="7">
        <v>9</v>
      </c>
      <c r="AM118" s="7" t="s">
        <v>624</v>
      </c>
      <c r="AN118" s="7" t="s">
        <v>625</v>
      </c>
      <c r="AO118" s="7" t="s">
        <v>626</v>
      </c>
      <c r="AP118" s="7" t="s">
        <v>627</v>
      </c>
      <c r="AQ118" s="7" t="s">
        <v>617</v>
      </c>
      <c r="AR118" s="7"/>
      <c r="AS118" s="7"/>
      <c r="AT118" s="7"/>
      <c r="AU118" s="6">
        <v>91023</v>
      </c>
      <c r="AV118" s="6" t="s">
        <v>67</v>
      </c>
      <c r="AW118" s="7"/>
      <c r="AX118" s="7"/>
      <c r="AY118" s="7"/>
      <c r="AZ118" s="7"/>
      <c r="BA118" s="6">
        <v>1214</v>
      </c>
      <c r="BB118" s="6" t="s">
        <v>628</v>
      </c>
      <c r="BC118" s="7"/>
      <c r="BD118" s="7"/>
      <c r="BE118" s="7"/>
      <c r="BF118" s="7"/>
      <c r="BG118" s="7">
        <v>0</v>
      </c>
      <c r="BH118" s="7">
        <v>0</v>
      </c>
      <c r="BI118" s="7">
        <v>0</v>
      </c>
      <c r="BJ118" s="7">
        <v>10</v>
      </c>
      <c r="BK118" s="7">
        <v>0</v>
      </c>
      <c r="BL118" s="7">
        <v>10</v>
      </c>
      <c r="BM118" s="7"/>
      <c r="BN118" s="7">
        <v>0</v>
      </c>
      <c r="BO118" s="7"/>
      <c r="BP118" s="7"/>
      <c r="BQ118" s="7">
        <v>0</v>
      </c>
      <c r="BR118" s="7">
        <v>380</v>
      </c>
      <c r="BS118" s="7" t="s">
        <v>629</v>
      </c>
      <c r="BT118" s="7"/>
      <c r="BU118" s="7"/>
      <c r="BV118" s="7">
        <v>0</v>
      </c>
      <c r="BW118" s="7"/>
      <c r="BX118" s="7"/>
      <c r="BY118" s="7">
        <v>10001</v>
      </c>
      <c r="BZ118" s="7" t="s">
        <v>1414</v>
      </c>
      <c r="CA118" s="7"/>
      <c r="CB118" s="7"/>
      <c r="CC118" s="7"/>
      <c r="CD118" s="7"/>
      <c r="CE118" s="7"/>
      <c r="CF118" s="7"/>
      <c r="CG118" s="7"/>
      <c r="CH118" s="7">
        <v>3565</v>
      </c>
      <c r="CI118" s="7" t="s">
        <v>1151</v>
      </c>
      <c r="CJ118" s="7"/>
      <c r="CK118" s="7"/>
      <c r="CL118" s="7"/>
      <c r="CM118" s="7"/>
      <c r="CN118" s="7">
        <v>0</v>
      </c>
      <c r="CO118" s="7"/>
      <c r="CP118" s="7"/>
      <c r="CQ118" s="7"/>
      <c r="CR118" s="7"/>
      <c r="CS118" s="7">
        <v>0</v>
      </c>
      <c r="CT118" s="7"/>
      <c r="CU118" s="7"/>
      <c r="CV118" s="7" t="s">
        <v>1152</v>
      </c>
      <c r="CW118" s="7" t="s">
        <v>327</v>
      </c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</row>
    <row r="119" spans="1:118" ht="13.5" customHeight="1">
      <c r="A119" s="7">
        <v>107</v>
      </c>
      <c r="B119" s="7"/>
      <c r="C119" s="7"/>
      <c r="D119" s="7"/>
      <c r="E119" s="7" t="s">
        <v>329</v>
      </c>
      <c r="F119" s="7"/>
      <c r="G119" s="7">
        <v>353064</v>
      </c>
      <c r="H119" s="7" t="s">
        <v>613</v>
      </c>
      <c r="I119" s="7">
        <v>38</v>
      </c>
      <c r="J119" s="7" t="s">
        <v>331</v>
      </c>
      <c r="K119" s="7">
        <v>42</v>
      </c>
      <c r="L119" s="7" t="s">
        <v>1153</v>
      </c>
      <c r="M119" s="7">
        <v>25</v>
      </c>
      <c r="N119" s="7" t="s">
        <v>1154</v>
      </c>
      <c r="O119" s="7">
        <v>17</v>
      </c>
      <c r="P119" s="7" t="s">
        <v>1155</v>
      </c>
      <c r="Q119" s="7">
        <v>17</v>
      </c>
      <c r="R119" s="7" t="s">
        <v>1155</v>
      </c>
      <c r="S119" s="7" t="s">
        <v>617</v>
      </c>
      <c r="T119" s="7" t="s">
        <v>1148</v>
      </c>
      <c r="U119" s="28"/>
      <c r="V119" s="7">
        <v>4</v>
      </c>
      <c r="W119" s="7" t="s">
        <v>1149</v>
      </c>
      <c r="X119" s="28"/>
      <c r="Y119" s="7" t="s">
        <v>1150</v>
      </c>
      <c r="Z119" s="7" t="s">
        <v>621</v>
      </c>
      <c r="AA119" s="7" t="s">
        <v>622</v>
      </c>
      <c r="AB119" s="7" t="s">
        <v>638</v>
      </c>
      <c r="AC119" s="7"/>
      <c r="AD119" s="7"/>
      <c r="AE119" s="7"/>
      <c r="AF119" s="7"/>
      <c r="AG119" s="7"/>
      <c r="AH119" s="7"/>
      <c r="AI119" s="7" t="s">
        <v>611</v>
      </c>
      <c r="AJ119" s="7" t="s">
        <v>623</v>
      </c>
      <c r="AK119" s="7">
        <v>10</v>
      </c>
      <c r="AL119" s="7">
        <v>9</v>
      </c>
      <c r="AM119" s="7" t="s">
        <v>624</v>
      </c>
      <c r="AN119" s="7" t="s">
        <v>625</v>
      </c>
      <c r="AO119" s="7" t="s">
        <v>626</v>
      </c>
      <c r="AP119" s="7" t="s">
        <v>627</v>
      </c>
      <c r="AQ119" s="7" t="s">
        <v>617</v>
      </c>
      <c r="AR119" s="7"/>
      <c r="AS119" s="7"/>
      <c r="AT119" s="7"/>
      <c r="AU119" s="6">
        <v>91023</v>
      </c>
      <c r="AV119" s="6" t="s">
        <v>67</v>
      </c>
      <c r="AW119" s="7"/>
      <c r="AX119" s="7"/>
      <c r="AY119" s="7"/>
      <c r="AZ119" s="7"/>
      <c r="BA119" s="6">
        <v>1214</v>
      </c>
      <c r="BB119" s="6" t="s">
        <v>628</v>
      </c>
      <c r="BC119" s="7"/>
      <c r="BD119" s="7"/>
      <c r="BE119" s="7"/>
      <c r="BF119" s="7"/>
      <c r="BG119" s="7">
        <v>0</v>
      </c>
      <c r="BH119" s="7">
        <v>0</v>
      </c>
      <c r="BI119" s="7">
        <v>0</v>
      </c>
      <c r="BJ119" s="7">
        <v>10</v>
      </c>
      <c r="BK119" s="7">
        <v>0</v>
      </c>
      <c r="BL119" s="7">
        <v>10</v>
      </c>
      <c r="BM119" s="7"/>
      <c r="BN119" s="7">
        <v>0</v>
      </c>
      <c r="BO119" s="7"/>
      <c r="BP119" s="7"/>
      <c r="BQ119" s="7">
        <v>0</v>
      </c>
      <c r="BR119" s="7">
        <v>380</v>
      </c>
      <c r="BS119" s="7" t="s">
        <v>629</v>
      </c>
      <c r="BT119" s="7"/>
      <c r="BU119" s="7"/>
      <c r="BV119" s="7">
        <v>0</v>
      </c>
      <c r="BW119" s="7"/>
      <c r="BX119" s="7"/>
      <c r="BY119" s="7">
        <v>10001</v>
      </c>
      <c r="BZ119" s="7" t="s">
        <v>1414</v>
      </c>
      <c r="CA119" s="7"/>
      <c r="CB119" s="7"/>
      <c r="CC119" s="7"/>
      <c r="CD119" s="7"/>
      <c r="CE119" s="7"/>
      <c r="CF119" s="7"/>
      <c r="CG119" s="7"/>
      <c r="CH119" s="7">
        <v>3565</v>
      </c>
      <c r="CI119" s="7" t="s">
        <v>1151</v>
      </c>
      <c r="CJ119" s="7"/>
      <c r="CK119" s="7"/>
      <c r="CL119" s="7"/>
      <c r="CM119" s="7"/>
      <c r="CN119" s="7">
        <v>0</v>
      </c>
      <c r="CO119" s="7"/>
      <c r="CP119" s="7"/>
      <c r="CQ119" s="7"/>
      <c r="CR119" s="7"/>
      <c r="CS119" s="7">
        <v>0</v>
      </c>
      <c r="CT119" s="7"/>
      <c r="CU119" s="7"/>
      <c r="CV119" s="7" t="s">
        <v>1156</v>
      </c>
      <c r="CW119" s="7" t="s">
        <v>330</v>
      </c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</row>
    <row r="120" spans="1:118" ht="13.5" customHeight="1">
      <c r="A120" s="7">
        <v>108</v>
      </c>
      <c r="B120" s="7"/>
      <c r="C120" s="7"/>
      <c r="D120" s="7"/>
      <c r="E120" s="7" t="s">
        <v>332</v>
      </c>
      <c r="F120" s="7"/>
      <c r="G120" s="7">
        <v>353065</v>
      </c>
      <c r="H120" s="7" t="s">
        <v>613</v>
      </c>
      <c r="I120" s="7">
        <v>20</v>
      </c>
      <c r="J120" s="7" t="s">
        <v>334</v>
      </c>
      <c r="K120" s="7">
        <v>32</v>
      </c>
      <c r="L120" s="7" t="s">
        <v>1157</v>
      </c>
      <c r="M120" s="7">
        <v>17</v>
      </c>
      <c r="N120" s="7" t="s">
        <v>1158</v>
      </c>
      <c r="O120" s="7">
        <v>13</v>
      </c>
      <c r="P120" s="7" t="s">
        <v>1159</v>
      </c>
      <c r="Q120" s="7">
        <v>13</v>
      </c>
      <c r="R120" s="7" t="s">
        <v>1159</v>
      </c>
      <c r="S120" s="7" t="s">
        <v>617</v>
      </c>
      <c r="T120" s="7" t="s">
        <v>1160</v>
      </c>
      <c r="U120" s="28"/>
      <c r="V120" s="7">
        <v>7</v>
      </c>
      <c r="W120" s="7" t="s">
        <v>1161</v>
      </c>
      <c r="X120" s="28"/>
      <c r="Y120" s="7" t="s">
        <v>1162</v>
      </c>
      <c r="Z120" s="7" t="s">
        <v>621</v>
      </c>
      <c r="AA120" s="7" t="s">
        <v>622</v>
      </c>
      <c r="AB120" s="7" t="s">
        <v>638</v>
      </c>
      <c r="AC120" s="7"/>
      <c r="AD120" s="7"/>
      <c r="AE120" s="7"/>
      <c r="AF120" s="7"/>
      <c r="AG120" s="7"/>
      <c r="AH120" s="7"/>
      <c r="AI120" s="7" t="s">
        <v>611</v>
      </c>
      <c r="AJ120" s="7" t="s">
        <v>623</v>
      </c>
      <c r="AK120" s="7">
        <v>10</v>
      </c>
      <c r="AL120" s="7">
        <v>9</v>
      </c>
      <c r="AM120" s="7" t="s">
        <v>624</v>
      </c>
      <c r="AN120" s="7" t="s">
        <v>625</v>
      </c>
      <c r="AO120" s="7" t="s">
        <v>626</v>
      </c>
      <c r="AP120" s="7" t="s">
        <v>627</v>
      </c>
      <c r="AQ120" s="7" t="s">
        <v>617</v>
      </c>
      <c r="AR120" s="7"/>
      <c r="AS120" s="7"/>
      <c r="AT120" s="7"/>
      <c r="AU120" s="6">
        <v>91023</v>
      </c>
      <c r="AV120" s="6" t="s">
        <v>67</v>
      </c>
      <c r="AW120" s="7"/>
      <c r="AX120" s="7"/>
      <c r="AY120" s="7"/>
      <c r="AZ120" s="7"/>
      <c r="BA120" s="6">
        <v>1214</v>
      </c>
      <c r="BB120" s="6" t="s">
        <v>628</v>
      </c>
      <c r="BC120" s="7"/>
      <c r="BD120" s="7"/>
      <c r="BE120" s="7"/>
      <c r="BF120" s="7"/>
      <c r="BG120" s="7">
        <v>0</v>
      </c>
      <c r="BH120" s="7">
        <v>0</v>
      </c>
      <c r="BI120" s="7">
        <v>0</v>
      </c>
      <c r="BJ120" s="7">
        <v>10</v>
      </c>
      <c r="BK120" s="7">
        <v>0</v>
      </c>
      <c r="BL120" s="7">
        <v>10</v>
      </c>
      <c r="BM120" s="7"/>
      <c r="BN120" s="7">
        <v>0</v>
      </c>
      <c r="BO120" s="7"/>
      <c r="BP120" s="7"/>
      <c r="BQ120" s="7">
        <v>0</v>
      </c>
      <c r="BR120" s="7">
        <v>380</v>
      </c>
      <c r="BS120" s="7" t="s">
        <v>629</v>
      </c>
      <c r="BT120" s="7"/>
      <c r="BU120" s="7"/>
      <c r="BV120" s="7">
        <v>0</v>
      </c>
      <c r="BW120" s="7"/>
      <c r="BX120" s="7"/>
      <c r="BY120" s="7">
        <v>10001</v>
      </c>
      <c r="BZ120" s="7" t="s">
        <v>1414</v>
      </c>
      <c r="CA120" s="7"/>
      <c r="CB120" s="7"/>
      <c r="CC120" s="7"/>
      <c r="CD120" s="7"/>
      <c r="CE120" s="7"/>
      <c r="CF120" s="7"/>
      <c r="CG120" s="7"/>
      <c r="CH120" s="7">
        <v>3565</v>
      </c>
      <c r="CI120" s="7" t="s">
        <v>1151</v>
      </c>
      <c r="CJ120" s="7"/>
      <c r="CK120" s="7"/>
      <c r="CL120" s="7"/>
      <c r="CM120" s="7"/>
      <c r="CN120" s="7">
        <v>0</v>
      </c>
      <c r="CO120" s="7"/>
      <c r="CP120" s="7"/>
      <c r="CQ120" s="7"/>
      <c r="CR120" s="7"/>
      <c r="CS120" s="7">
        <v>0</v>
      </c>
      <c r="CT120" s="7"/>
      <c r="CU120" s="7"/>
      <c r="CV120" s="7" t="s">
        <v>1163</v>
      </c>
      <c r="CW120" s="7" t="s">
        <v>333</v>
      </c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</row>
    <row r="121" spans="1:118" ht="13.5" customHeight="1">
      <c r="A121" s="7">
        <v>109</v>
      </c>
      <c r="B121" s="7"/>
      <c r="C121" s="7"/>
      <c r="D121" s="7"/>
      <c r="E121" s="7" t="s">
        <v>335</v>
      </c>
      <c r="F121" s="7"/>
      <c r="G121" s="7">
        <v>353192</v>
      </c>
      <c r="H121" s="7" t="s">
        <v>613</v>
      </c>
      <c r="I121" s="7">
        <v>40</v>
      </c>
      <c r="J121" s="7" t="s">
        <v>337</v>
      </c>
      <c r="K121" s="7">
        <v>43</v>
      </c>
      <c r="L121" s="7" t="s">
        <v>1164</v>
      </c>
      <c r="M121" s="7">
        <v>26</v>
      </c>
      <c r="N121" s="7" t="s">
        <v>1165</v>
      </c>
      <c r="O121" s="7">
        <v>18</v>
      </c>
      <c r="P121" s="7" t="s">
        <v>1166</v>
      </c>
      <c r="Q121" s="7">
        <v>18</v>
      </c>
      <c r="R121" s="7" t="s">
        <v>1166</v>
      </c>
      <c r="S121" s="7" t="s">
        <v>617</v>
      </c>
      <c r="T121" s="7" t="s">
        <v>1148</v>
      </c>
      <c r="U121" s="28"/>
      <c r="V121" s="7">
        <v>4</v>
      </c>
      <c r="W121" s="7" t="s">
        <v>1149</v>
      </c>
      <c r="X121" s="28"/>
      <c r="Y121" s="7" t="s">
        <v>1150</v>
      </c>
      <c r="Z121" s="7" t="s">
        <v>621</v>
      </c>
      <c r="AA121" s="7" t="s">
        <v>622</v>
      </c>
      <c r="AB121" s="7" t="s">
        <v>638</v>
      </c>
      <c r="AC121" s="7"/>
      <c r="AD121" s="7"/>
      <c r="AE121" s="7"/>
      <c r="AF121" s="7"/>
      <c r="AG121" s="7"/>
      <c r="AH121" s="7"/>
      <c r="AI121" s="7" t="s">
        <v>611</v>
      </c>
      <c r="AJ121" s="7" t="s">
        <v>623</v>
      </c>
      <c r="AK121" s="7">
        <v>10</v>
      </c>
      <c r="AL121" s="7">
        <v>9</v>
      </c>
      <c r="AM121" s="7" t="s">
        <v>624</v>
      </c>
      <c r="AN121" s="7" t="s">
        <v>625</v>
      </c>
      <c r="AO121" s="7" t="s">
        <v>626</v>
      </c>
      <c r="AP121" s="7" t="s">
        <v>627</v>
      </c>
      <c r="AQ121" s="7" t="s">
        <v>617</v>
      </c>
      <c r="AR121" s="7"/>
      <c r="AS121" s="7"/>
      <c r="AT121" s="7"/>
      <c r="AU121" s="6">
        <v>91023</v>
      </c>
      <c r="AV121" s="6" t="s">
        <v>67</v>
      </c>
      <c r="AW121" s="7"/>
      <c r="AX121" s="7"/>
      <c r="AY121" s="7"/>
      <c r="AZ121" s="7"/>
      <c r="BA121" s="6">
        <v>1214</v>
      </c>
      <c r="BB121" s="6" t="s">
        <v>628</v>
      </c>
      <c r="BC121" s="7"/>
      <c r="BD121" s="7"/>
      <c r="BE121" s="7"/>
      <c r="BF121" s="7"/>
      <c r="BG121" s="7">
        <v>0</v>
      </c>
      <c r="BH121" s="7">
        <v>0</v>
      </c>
      <c r="BI121" s="7">
        <v>0</v>
      </c>
      <c r="BJ121" s="7">
        <v>10</v>
      </c>
      <c r="BK121" s="7">
        <v>0</v>
      </c>
      <c r="BL121" s="7">
        <v>10</v>
      </c>
      <c r="BM121" s="7"/>
      <c r="BN121" s="7">
        <v>0</v>
      </c>
      <c r="BO121" s="7"/>
      <c r="BP121" s="7"/>
      <c r="BQ121" s="7">
        <v>0</v>
      </c>
      <c r="BR121" s="7">
        <v>380</v>
      </c>
      <c r="BS121" s="7" t="s">
        <v>629</v>
      </c>
      <c r="BT121" s="7"/>
      <c r="BU121" s="7"/>
      <c r="BV121" s="7">
        <v>0</v>
      </c>
      <c r="BW121" s="7"/>
      <c r="BX121" s="7"/>
      <c r="BY121" s="7">
        <v>10001</v>
      </c>
      <c r="BZ121" s="7" t="s">
        <v>1414</v>
      </c>
      <c r="CA121" s="7"/>
      <c r="CB121" s="7"/>
      <c r="CC121" s="7"/>
      <c r="CD121" s="7"/>
      <c r="CE121" s="7"/>
      <c r="CF121" s="7"/>
      <c r="CG121" s="7"/>
      <c r="CH121" s="7">
        <v>3565</v>
      </c>
      <c r="CI121" s="7" t="s">
        <v>1151</v>
      </c>
      <c r="CJ121" s="7"/>
      <c r="CK121" s="7"/>
      <c r="CL121" s="7"/>
      <c r="CM121" s="7"/>
      <c r="CN121" s="7">
        <v>0</v>
      </c>
      <c r="CO121" s="7"/>
      <c r="CP121" s="7"/>
      <c r="CQ121" s="7"/>
      <c r="CR121" s="7"/>
      <c r="CS121" s="7">
        <v>0</v>
      </c>
      <c r="CT121" s="7"/>
      <c r="CU121" s="7"/>
      <c r="CV121" s="7" t="s">
        <v>1167</v>
      </c>
      <c r="CW121" s="7" t="s">
        <v>336</v>
      </c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</row>
    <row r="122" spans="1:118" ht="13.5" customHeight="1">
      <c r="A122" s="7">
        <v>110</v>
      </c>
      <c r="B122" s="7"/>
      <c r="C122" s="7"/>
      <c r="D122" s="7"/>
      <c r="E122" s="7" t="s">
        <v>338</v>
      </c>
      <c r="F122" s="7"/>
      <c r="G122" s="7">
        <v>353193</v>
      </c>
      <c r="H122" s="7" t="s">
        <v>613</v>
      </c>
      <c r="I122" s="7">
        <v>26</v>
      </c>
      <c r="J122" s="7" t="s">
        <v>340</v>
      </c>
      <c r="K122" s="7">
        <v>35</v>
      </c>
      <c r="L122" s="7" t="s">
        <v>1168</v>
      </c>
      <c r="M122" s="7">
        <v>21</v>
      </c>
      <c r="N122" s="7" t="s">
        <v>1169</v>
      </c>
      <c r="O122" s="7">
        <v>17</v>
      </c>
      <c r="P122" s="7" t="s">
        <v>1170</v>
      </c>
      <c r="Q122" s="7">
        <v>17</v>
      </c>
      <c r="R122" s="7" t="s">
        <v>1170</v>
      </c>
      <c r="S122" s="7" t="s">
        <v>617</v>
      </c>
      <c r="T122" s="7" t="s">
        <v>1148</v>
      </c>
      <c r="U122" s="28"/>
      <c r="V122" s="7">
        <v>6</v>
      </c>
      <c r="W122" s="7" t="s">
        <v>757</v>
      </c>
      <c r="X122" s="28"/>
      <c r="Y122" s="7" t="s">
        <v>1171</v>
      </c>
      <c r="Z122" s="7" t="s">
        <v>621</v>
      </c>
      <c r="AA122" s="7" t="s">
        <v>622</v>
      </c>
      <c r="AB122" s="7" t="s">
        <v>638</v>
      </c>
      <c r="AC122" s="7"/>
      <c r="AD122" s="7"/>
      <c r="AE122" s="7"/>
      <c r="AF122" s="7"/>
      <c r="AG122" s="7"/>
      <c r="AH122" s="7"/>
      <c r="AI122" s="7" t="s">
        <v>611</v>
      </c>
      <c r="AJ122" s="7" t="s">
        <v>623</v>
      </c>
      <c r="AK122" s="7">
        <v>10</v>
      </c>
      <c r="AL122" s="7">
        <v>9</v>
      </c>
      <c r="AM122" s="7" t="s">
        <v>624</v>
      </c>
      <c r="AN122" s="7" t="s">
        <v>625</v>
      </c>
      <c r="AO122" s="7" t="s">
        <v>626</v>
      </c>
      <c r="AP122" s="7" t="s">
        <v>627</v>
      </c>
      <c r="AQ122" s="7" t="s">
        <v>617</v>
      </c>
      <c r="AR122" s="7"/>
      <c r="AS122" s="7"/>
      <c r="AT122" s="7"/>
      <c r="AU122" s="6">
        <v>91023</v>
      </c>
      <c r="AV122" s="6" t="s">
        <v>67</v>
      </c>
      <c r="AW122" s="7"/>
      <c r="AX122" s="7"/>
      <c r="AY122" s="7"/>
      <c r="AZ122" s="7"/>
      <c r="BA122" s="6">
        <v>1214</v>
      </c>
      <c r="BB122" s="6" t="s">
        <v>628</v>
      </c>
      <c r="BC122" s="7"/>
      <c r="BD122" s="7"/>
      <c r="BE122" s="7"/>
      <c r="BF122" s="7"/>
      <c r="BG122" s="7">
        <v>0</v>
      </c>
      <c r="BH122" s="7">
        <v>0</v>
      </c>
      <c r="BI122" s="7">
        <v>0</v>
      </c>
      <c r="BJ122" s="7">
        <v>10</v>
      </c>
      <c r="BK122" s="7">
        <v>0</v>
      </c>
      <c r="BL122" s="7">
        <v>10</v>
      </c>
      <c r="BM122" s="7"/>
      <c r="BN122" s="7">
        <v>0</v>
      </c>
      <c r="BO122" s="7"/>
      <c r="BP122" s="7"/>
      <c r="BQ122" s="7">
        <v>0</v>
      </c>
      <c r="BR122" s="7">
        <v>380</v>
      </c>
      <c r="BS122" s="7" t="s">
        <v>629</v>
      </c>
      <c r="BT122" s="7"/>
      <c r="BU122" s="7"/>
      <c r="BV122" s="7">
        <v>0</v>
      </c>
      <c r="BW122" s="7"/>
      <c r="BX122" s="7"/>
      <c r="BY122" s="7">
        <v>10001</v>
      </c>
      <c r="BZ122" s="7" t="s">
        <v>1414</v>
      </c>
      <c r="CA122" s="7"/>
      <c r="CB122" s="7"/>
      <c r="CC122" s="7"/>
      <c r="CD122" s="7"/>
      <c r="CE122" s="7"/>
      <c r="CF122" s="7"/>
      <c r="CG122" s="7"/>
      <c r="CH122" s="7">
        <v>3565</v>
      </c>
      <c r="CI122" s="7" t="s">
        <v>1151</v>
      </c>
      <c r="CJ122" s="7"/>
      <c r="CK122" s="7"/>
      <c r="CL122" s="7"/>
      <c r="CM122" s="7"/>
      <c r="CN122" s="7">
        <v>0</v>
      </c>
      <c r="CO122" s="7"/>
      <c r="CP122" s="7"/>
      <c r="CQ122" s="7"/>
      <c r="CR122" s="7"/>
      <c r="CS122" s="7">
        <v>0</v>
      </c>
      <c r="CT122" s="7"/>
      <c r="CU122" s="7"/>
      <c r="CV122" s="7" t="s">
        <v>1172</v>
      </c>
      <c r="CW122" s="7" t="s">
        <v>339</v>
      </c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</row>
    <row r="123" spans="1:118" ht="13.5" customHeight="1">
      <c r="A123" s="7">
        <v>111</v>
      </c>
      <c r="B123" s="7"/>
      <c r="C123" s="7"/>
      <c r="D123" s="7"/>
      <c r="E123" s="6" t="s">
        <v>341</v>
      </c>
      <c r="F123" s="6"/>
      <c r="G123" s="7">
        <v>353066</v>
      </c>
      <c r="H123" s="7" t="s">
        <v>613</v>
      </c>
      <c r="I123" s="7">
        <v>12</v>
      </c>
      <c r="J123" s="6" t="s">
        <v>343</v>
      </c>
      <c r="K123" s="7">
        <v>26</v>
      </c>
      <c r="L123" s="7" t="s">
        <v>1173</v>
      </c>
      <c r="M123" s="7">
        <v>14</v>
      </c>
      <c r="N123" s="7" t="s">
        <v>1174</v>
      </c>
      <c r="O123" s="7">
        <v>8</v>
      </c>
      <c r="P123" s="7" t="s">
        <v>1175</v>
      </c>
      <c r="Q123" s="7">
        <v>8</v>
      </c>
      <c r="R123" s="7" t="s">
        <v>1175</v>
      </c>
      <c r="S123" s="7" t="s">
        <v>617</v>
      </c>
      <c r="T123" s="7" t="s">
        <v>1176</v>
      </c>
      <c r="U123" s="28"/>
      <c r="V123" s="7">
        <v>36</v>
      </c>
      <c r="W123" s="7" t="s">
        <v>951</v>
      </c>
      <c r="X123" s="28"/>
      <c r="Y123" s="7" t="s">
        <v>1177</v>
      </c>
      <c r="Z123" s="7" t="s">
        <v>621</v>
      </c>
      <c r="AA123" s="7" t="s">
        <v>622</v>
      </c>
      <c r="AB123" s="7" t="s">
        <v>638</v>
      </c>
      <c r="AC123" s="7"/>
      <c r="AD123" s="7"/>
      <c r="AE123" s="7"/>
      <c r="AF123" s="7"/>
      <c r="AG123" s="7"/>
      <c r="AH123" s="7"/>
      <c r="AI123" s="7" t="s">
        <v>611</v>
      </c>
      <c r="AJ123" s="7" t="s">
        <v>623</v>
      </c>
      <c r="AK123" s="7">
        <v>10</v>
      </c>
      <c r="AL123" s="7">
        <v>9</v>
      </c>
      <c r="AM123" s="7" t="s">
        <v>624</v>
      </c>
      <c r="AN123" s="7" t="s">
        <v>625</v>
      </c>
      <c r="AO123" s="7" t="s">
        <v>626</v>
      </c>
      <c r="AP123" s="7" t="s">
        <v>627</v>
      </c>
      <c r="AQ123" s="7" t="s">
        <v>617</v>
      </c>
      <c r="AR123" s="7"/>
      <c r="AS123" s="7"/>
      <c r="AT123" s="7"/>
      <c r="AU123" s="6">
        <v>91002</v>
      </c>
      <c r="AV123" s="6" t="s">
        <v>255</v>
      </c>
      <c r="AW123" s="7"/>
      <c r="AX123" s="7"/>
      <c r="AY123" s="7"/>
      <c r="AZ123" s="7"/>
      <c r="BA123" s="6">
        <v>1214</v>
      </c>
      <c r="BB123" s="6" t="s">
        <v>628</v>
      </c>
      <c r="BC123" s="7"/>
      <c r="BD123" s="7"/>
      <c r="BE123" s="7"/>
      <c r="BF123" s="7"/>
      <c r="BG123" s="7">
        <v>0</v>
      </c>
      <c r="BH123" s="7">
        <v>0</v>
      </c>
      <c r="BI123" s="7">
        <v>0</v>
      </c>
      <c r="BJ123" s="7">
        <v>10</v>
      </c>
      <c r="BK123" s="7">
        <v>0</v>
      </c>
      <c r="BL123" s="7">
        <v>10</v>
      </c>
      <c r="BM123" s="7"/>
      <c r="BN123" s="7">
        <v>0</v>
      </c>
      <c r="BO123" s="7"/>
      <c r="BP123" s="7"/>
      <c r="BQ123" s="7">
        <v>0</v>
      </c>
      <c r="BR123" s="7">
        <v>380</v>
      </c>
      <c r="BS123" s="7" t="s">
        <v>629</v>
      </c>
      <c r="BT123" s="7"/>
      <c r="BU123" s="7"/>
      <c r="BV123" s="7">
        <v>0</v>
      </c>
      <c r="BW123" s="7"/>
      <c r="BX123" s="7"/>
      <c r="BY123" s="7">
        <v>10001</v>
      </c>
      <c r="BZ123" s="7" t="s">
        <v>1414</v>
      </c>
      <c r="CA123" s="7"/>
      <c r="CB123" s="7"/>
      <c r="CC123" s="7"/>
      <c r="CD123" s="7"/>
      <c r="CE123" s="7"/>
      <c r="CF123" s="7"/>
      <c r="CG123" s="7"/>
      <c r="CH123" s="7">
        <v>3567</v>
      </c>
      <c r="CI123" s="7" t="s">
        <v>1178</v>
      </c>
      <c r="CJ123" s="7"/>
      <c r="CK123" s="7"/>
      <c r="CL123" s="7"/>
      <c r="CM123" s="7"/>
      <c r="CN123" s="7">
        <v>0</v>
      </c>
      <c r="CO123" s="7"/>
      <c r="CP123" s="7"/>
      <c r="CQ123" s="7"/>
      <c r="CR123" s="7"/>
      <c r="CS123" s="7">
        <v>0</v>
      </c>
      <c r="CT123" s="7"/>
      <c r="CU123" s="7"/>
      <c r="CV123" s="7" t="s">
        <v>1179</v>
      </c>
      <c r="CW123" s="7" t="s">
        <v>342</v>
      </c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</row>
    <row r="124" spans="1:118" ht="13.5" customHeight="1">
      <c r="A124" s="7">
        <v>112</v>
      </c>
      <c r="B124" s="7"/>
      <c r="C124" s="7"/>
      <c r="D124" s="7"/>
      <c r="E124" s="6" t="s">
        <v>344</v>
      </c>
      <c r="F124" s="6"/>
      <c r="G124" s="7">
        <v>353067</v>
      </c>
      <c r="H124" s="7" t="s">
        <v>613</v>
      </c>
      <c r="I124" s="7">
        <v>12</v>
      </c>
      <c r="J124" s="6" t="s">
        <v>346</v>
      </c>
      <c r="K124" s="7">
        <v>27</v>
      </c>
      <c r="L124" s="7" t="s">
        <v>1180</v>
      </c>
      <c r="M124" s="7">
        <v>14</v>
      </c>
      <c r="N124" s="7" t="s">
        <v>1181</v>
      </c>
      <c r="O124" s="7">
        <v>8</v>
      </c>
      <c r="P124" s="7" t="s">
        <v>1182</v>
      </c>
      <c r="Q124" s="7">
        <v>8</v>
      </c>
      <c r="R124" s="7" t="s">
        <v>1182</v>
      </c>
      <c r="S124" s="7" t="s">
        <v>617</v>
      </c>
      <c r="T124" s="7" t="s">
        <v>1176</v>
      </c>
      <c r="U124" s="28"/>
      <c r="V124" s="7">
        <v>36</v>
      </c>
      <c r="W124" s="7" t="s">
        <v>951</v>
      </c>
      <c r="X124" s="28"/>
      <c r="Y124" s="7" t="s">
        <v>1177</v>
      </c>
      <c r="Z124" s="7" t="s">
        <v>621</v>
      </c>
      <c r="AA124" s="7" t="s">
        <v>622</v>
      </c>
      <c r="AB124" s="7" t="s">
        <v>638</v>
      </c>
      <c r="AC124" s="7"/>
      <c r="AD124" s="7"/>
      <c r="AE124" s="7"/>
      <c r="AF124" s="7"/>
      <c r="AG124" s="7"/>
      <c r="AH124" s="7"/>
      <c r="AI124" s="7" t="s">
        <v>611</v>
      </c>
      <c r="AJ124" s="7" t="s">
        <v>623</v>
      </c>
      <c r="AK124" s="7">
        <v>10</v>
      </c>
      <c r="AL124" s="7">
        <v>9</v>
      </c>
      <c r="AM124" s="7" t="s">
        <v>624</v>
      </c>
      <c r="AN124" s="7" t="s">
        <v>625</v>
      </c>
      <c r="AO124" s="7" t="s">
        <v>626</v>
      </c>
      <c r="AP124" s="7" t="s">
        <v>627</v>
      </c>
      <c r="AQ124" s="7" t="s">
        <v>617</v>
      </c>
      <c r="AR124" s="7"/>
      <c r="AS124" s="7"/>
      <c r="AT124" s="7"/>
      <c r="AU124" s="6">
        <v>91002</v>
      </c>
      <c r="AV124" s="6" t="s">
        <v>255</v>
      </c>
      <c r="AW124" s="7"/>
      <c r="AX124" s="7"/>
      <c r="AY124" s="7"/>
      <c r="AZ124" s="7"/>
      <c r="BA124" s="6">
        <v>1214</v>
      </c>
      <c r="BB124" s="6" t="s">
        <v>628</v>
      </c>
      <c r="BC124" s="7"/>
      <c r="BD124" s="7"/>
      <c r="BE124" s="7"/>
      <c r="BF124" s="7"/>
      <c r="BG124" s="7">
        <v>0</v>
      </c>
      <c r="BH124" s="7">
        <v>0</v>
      </c>
      <c r="BI124" s="7">
        <v>0</v>
      </c>
      <c r="BJ124" s="7">
        <v>10</v>
      </c>
      <c r="BK124" s="7">
        <v>0</v>
      </c>
      <c r="BL124" s="7">
        <v>10</v>
      </c>
      <c r="BM124" s="7"/>
      <c r="BN124" s="7">
        <v>0</v>
      </c>
      <c r="BO124" s="7"/>
      <c r="BP124" s="7"/>
      <c r="BQ124" s="7">
        <v>0</v>
      </c>
      <c r="BR124" s="7">
        <v>380</v>
      </c>
      <c r="BS124" s="7" t="s">
        <v>629</v>
      </c>
      <c r="BT124" s="7"/>
      <c r="BU124" s="7"/>
      <c r="BV124" s="7">
        <v>0</v>
      </c>
      <c r="BW124" s="7"/>
      <c r="BX124" s="7"/>
      <c r="BY124" s="7">
        <v>10001</v>
      </c>
      <c r="BZ124" s="7" t="s">
        <v>1414</v>
      </c>
      <c r="CA124" s="7"/>
      <c r="CB124" s="7"/>
      <c r="CC124" s="7"/>
      <c r="CD124" s="7"/>
      <c r="CE124" s="7"/>
      <c r="CF124" s="7"/>
      <c r="CG124" s="7"/>
      <c r="CH124" s="7">
        <v>3567</v>
      </c>
      <c r="CI124" s="7" t="s">
        <v>1178</v>
      </c>
      <c r="CJ124" s="7"/>
      <c r="CK124" s="7"/>
      <c r="CL124" s="7"/>
      <c r="CM124" s="7"/>
      <c r="CN124" s="7">
        <v>0</v>
      </c>
      <c r="CO124" s="7"/>
      <c r="CP124" s="7"/>
      <c r="CQ124" s="7"/>
      <c r="CR124" s="7"/>
      <c r="CS124" s="7">
        <v>0</v>
      </c>
      <c r="CT124" s="7"/>
      <c r="CU124" s="7"/>
      <c r="CV124" s="7" t="s">
        <v>1183</v>
      </c>
      <c r="CW124" s="7" t="s">
        <v>345</v>
      </c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</row>
    <row r="125" spans="1:118" ht="13.5" customHeight="1">
      <c r="A125" s="7">
        <v>113</v>
      </c>
      <c r="B125" s="7"/>
      <c r="C125" s="7"/>
      <c r="D125" s="7"/>
      <c r="E125" s="6" t="s">
        <v>347</v>
      </c>
      <c r="F125" s="6"/>
      <c r="G125" s="7">
        <v>353068</v>
      </c>
      <c r="H125" s="7" t="s">
        <v>613</v>
      </c>
      <c r="I125" s="7">
        <v>30</v>
      </c>
      <c r="J125" s="6" t="s">
        <v>349</v>
      </c>
      <c r="K125" s="7">
        <v>37</v>
      </c>
      <c r="L125" s="7" t="s">
        <v>1184</v>
      </c>
      <c r="M125" s="7">
        <v>25</v>
      </c>
      <c r="N125" s="7" t="s">
        <v>1185</v>
      </c>
      <c r="O125" s="7">
        <v>15</v>
      </c>
      <c r="P125" s="7" t="s">
        <v>1186</v>
      </c>
      <c r="Q125" s="7">
        <v>15</v>
      </c>
      <c r="R125" s="7" t="s">
        <v>1186</v>
      </c>
      <c r="S125" s="7" t="s">
        <v>617</v>
      </c>
      <c r="T125" s="7" t="s">
        <v>1187</v>
      </c>
      <c r="U125" s="28"/>
      <c r="V125" s="7">
        <v>24</v>
      </c>
      <c r="W125" s="7" t="s">
        <v>1188</v>
      </c>
      <c r="X125" s="28"/>
      <c r="Y125" s="7" t="s">
        <v>1189</v>
      </c>
      <c r="Z125" s="7" t="s">
        <v>621</v>
      </c>
      <c r="AA125" s="7" t="s">
        <v>622</v>
      </c>
      <c r="AB125" s="7" t="s">
        <v>638</v>
      </c>
      <c r="AC125" s="7"/>
      <c r="AD125" s="7"/>
      <c r="AE125" s="7"/>
      <c r="AF125" s="7"/>
      <c r="AG125" s="7"/>
      <c r="AH125" s="7"/>
      <c r="AI125" s="7" t="s">
        <v>611</v>
      </c>
      <c r="AJ125" s="7" t="s">
        <v>623</v>
      </c>
      <c r="AK125" s="7">
        <v>10</v>
      </c>
      <c r="AL125" s="7">
        <v>9</v>
      </c>
      <c r="AM125" s="7" t="s">
        <v>624</v>
      </c>
      <c r="AN125" s="7" t="s">
        <v>625</v>
      </c>
      <c r="AO125" s="7" t="s">
        <v>626</v>
      </c>
      <c r="AP125" s="7" t="s">
        <v>627</v>
      </c>
      <c r="AQ125" s="7" t="s">
        <v>617</v>
      </c>
      <c r="AR125" s="7"/>
      <c r="AS125" s="7"/>
      <c r="AT125" s="7"/>
      <c r="AU125" s="6">
        <v>91002</v>
      </c>
      <c r="AV125" s="6" t="s">
        <v>255</v>
      </c>
      <c r="AW125" s="7"/>
      <c r="AX125" s="7"/>
      <c r="AY125" s="7"/>
      <c r="AZ125" s="7"/>
      <c r="BA125" s="6">
        <v>1214</v>
      </c>
      <c r="BB125" s="6" t="s">
        <v>628</v>
      </c>
      <c r="BC125" s="7"/>
      <c r="BD125" s="7"/>
      <c r="BE125" s="7"/>
      <c r="BF125" s="7"/>
      <c r="BG125" s="7">
        <v>0</v>
      </c>
      <c r="BH125" s="7">
        <v>0</v>
      </c>
      <c r="BI125" s="7">
        <v>0</v>
      </c>
      <c r="BJ125" s="7">
        <v>10</v>
      </c>
      <c r="BK125" s="7">
        <v>0</v>
      </c>
      <c r="BL125" s="7">
        <v>10</v>
      </c>
      <c r="BM125" s="7"/>
      <c r="BN125" s="7">
        <v>0</v>
      </c>
      <c r="BO125" s="7"/>
      <c r="BP125" s="7"/>
      <c r="BQ125" s="7">
        <v>0</v>
      </c>
      <c r="BR125" s="7">
        <v>380</v>
      </c>
      <c r="BS125" s="7" t="s">
        <v>629</v>
      </c>
      <c r="BT125" s="7"/>
      <c r="BU125" s="7"/>
      <c r="BV125" s="7">
        <v>0</v>
      </c>
      <c r="BW125" s="7"/>
      <c r="BX125" s="7"/>
      <c r="BY125" s="7">
        <v>10001</v>
      </c>
      <c r="BZ125" s="7" t="s">
        <v>1414</v>
      </c>
      <c r="CA125" s="7"/>
      <c r="CB125" s="7"/>
      <c r="CC125" s="7"/>
      <c r="CD125" s="7"/>
      <c r="CE125" s="7"/>
      <c r="CF125" s="7"/>
      <c r="CG125" s="7"/>
      <c r="CH125" s="7">
        <v>3567</v>
      </c>
      <c r="CI125" s="7" t="s">
        <v>1178</v>
      </c>
      <c r="CJ125" s="7"/>
      <c r="CK125" s="7"/>
      <c r="CL125" s="7"/>
      <c r="CM125" s="7"/>
      <c r="CN125" s="7">
        <v>0</v>
      </c>
      <c r="CO125" s="7"/>
      <c r="CP125" s="7"/>
      <c r="CQ125" s="7"/>
      <c r="CR125" s="7"/>
      <c r="CS125" s="7">
        <v>0</v>
      </c>
      <c r="CT125" s="7"/>
      <c r="CU125" s="7"/>
      <c r="CV125" s="7" t="s">
        <v>1190</v>
      </c>
      <c r="CW125" s="7" t="s">
        <v>348</v>
      </c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</row>
    <row r="126" spans="1:118" ht="13.5" customHeight="1">
      <c r="A126" s="7">
        <v>114</v>
      </c>
      <c r="B126" s="7"/>
      <c r="C126" s="7"/>
      <c r="D126" s="7"/>
      <c r="E126" s="6" t="s">
        <v>350</v>
      </c>
      <c r="F126" s="6"/>
      <c r="G126" s="7">
        <v>353069</v>
      </c>
      <c r="H126" s="7" t="s">
        <v>613</v>
      </c>
      <c r="I126" s="7">
        <v>36</v>
      </c>
      <c r="J126" s="6" t="s">
        <v>352</v>
      </c>
      <c r="K126" s="7">
        <v>47</v>
      </c>
      <c r="L126" s="7" t="s">
        <v>1191</v>
      </c>
      <c r="M126" s="7">
        <v>31</v>
      </c>
      <c r="N126" s="7" t="s">
        <v>1192</v>
      </c>
      <c r="O126" s="7">
        <v>20</v>
      </c>
      <c r="P126" s="7" t="s">
        <v>1193</v>
      </c>
      <c r="Q126" s="7">
        <v>20</v>
      </c>
      <c r="R126" s="7" t="s">
        <v>1193</v>
      </c>
      <c r="S126" s="7" t="s">
        <v>617</v>
      </c>
      <c r="T126" s="7" t="s">
        <v>1194</v>
      </c>
      <c r="U126" s="28"/>
      <c r="V126" s="7">
        <v>36</v>
      </c>
      <c r="W126" s="7" t="s">
        <v>1195</v>
      </c>
      <c r="X126" s="28"/>
      <c r="Y126" s="7" t="s">
        <v>1196</v>
      </c>
      <c r="Z126" s="7" t="s">
        <v>621</v>
      </c>
      <c r="AA126" s="7" t="s">
        <v>622</v>
      </c>
      <c r="AB126" s="7" t="s">
        <v>638</v>
      </c>
      <c r="AC126" s="7"/>
      <c r="AD126" s="7"/>
      <c r="AE126" s="7"/>
      <c r="AF126" s="7"/>
      <c r="AG126" s="7"/>
      <c r="AH126" s="7"/>
      <c r="AI126" s="7" t="s">
        <v>611</v>
      </c>
      <c r="AJ126" s="7" t="s">
        <v>623</v>
      </c>
      <c r="AK126" s="7">
        <v>10</v>
      </c>
      <c r="AL126" s="7">
        <v>9</v>
      </c>
      <c r="AM126" s="7" t="s">
        <v>624</v>
      </c>
      <c r="AN126" s="7" t="s">
        <v>625</v>
      </c>
      <c r="AO126" s="7" t="s">
        <v>626</v>
      </c>
      <c r="AP126" s="7" t="s">
        <v>627</v>
      </c>
      <c r="AQ126" s="7" t="s">
        <v>617</v>
      </c>
      <c r="AR126" s="7"/>
      <c r="AS126" s="7"/>
      <c r="AT126" s="7"/>
      <c r="AU126" s="6">
        <v>91002</v>
      </c>
      <c r="AV126" s="6" t="s">
        <v>255</v>
      </c>
      <c r="AW126" s="7"/>
      <c r="AX126" s="7"/>
      <c r="AY126" s="7"/>
      <c r="AZ126" s="7"/>
      <c r="BA126" s="6">
        <v>1214</v>
      </c>
      <c r="BB126" s="6" t="s">
        <v>628</v>
      </c>
      <c r="BC126" s="7"/>
      <c r="BD126" s="7"/>
      <c r="BE126" s="7"/>
      <c r="BF126" s="7"/>
      <c r="BG126" s="7">
        <v>0</v>
      </c>
      <c r="BH126" s="7">
        <v>0</v>
      </c>
      <c r="BI126" s="7">
        <v>0</v>
      </c>
      <c r="BJ126" s="7">
        <v>10</v>
      </c>
      <c r="BK126" s="7">
        <v>0</v>
      </c>
      <c r="BL126" s="7">
        <v>10</v>
      </c>
      <c r="BM126" s="7"/>
      <c r="BN126" s="7">
        <v>0</v>
      </c>
      <c r="BO126" s="7"/>
      <c r="BP126" s="7"/>
      <c r="BQ126" s="7">
        <v>0</v>
      </c>
      <c r="BR126" s="7">
        <v>380</v>
      </c>
      <c r="BS126" s="7" t="s">
        <v>629</v>
      </c>
      <c r="BT126" s="7"/>
      <c r="BU126" s="7"/>
      <c r="BV126" s="7">
        <v>0</v>
      </c>
      <c r="BW126" s="7"/>
      <c r="BX126" s="7"/>
      <c r="BY126" s="7">
        <v>10001</v>
      </c>
      <c r="BZ126" s="7" t="s">
        <v>1414</v>
      </c>
      <c r="CA126" s="7"/>
      <c r="CB126" s="7"/>
      <c r="CC126" s="7"/>
      <c r="CD126" s="7"/>
      <c r="CE126" s="7"/>
      <c r="CF126" s="7"/>
      <c r="CG126" s="7"/>
      <c r="CH126" s="7">
        <v>3567</v>
      </c>
      <c r="CI126" s="7" t="s">
        <v>1178</v>
      </c>
      <c r="CJ126" s="7"/>
      <c r="CK126" s="7"/>
      <c r="CL126" s="7"/>
      <c r="CM126" s="7"/>
      <c r="CN126" s="7">
        <v>0</v>
      </c>
      <c r="CO126" s="7"/>
      <c r="CP126" s="7"/>
      <c r="CQ126" s="7"/>
      <c r="CR126" s="7"/>
      <c r="CS126" s="7">
        <v>0</v>
      </c>
      <c r="CT126" s="7"/>
      <c r="CU126" s="7"/>
      <c r="CV126" s="7" t="s">
        <v>1197</v>
      </c>
      <c r="CW126" s="7" t="s">
        <v>351</v>
      </c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</row>
    <row r="127" spans="1:118" ht="13.5" customHeight="1">
      <c r="A127" s="7">
        <v>115</v>
      </c>
      <c r="B127" s="7"/>
      <c r="C127" s="7"/>
      <c r="D127" s="7"/>
      <c r="E127" s="6" t="s">
        <v>353</v>
      </c>
      <c r="F127" s="6"/>
      <c r="G127" s="7">
        <v>353070</v>
      </c>
      <c r="H127" s="7" t="s">
        <v>613</v>
      </c>
      <c r="I127" s="7">
        <v>34</v>
      </c>
      <c r="J127" s="6" t="s">
        <v>355</v>
      </c>
      <c r="K127" s="7">
        <v>47</v>
      </c>
      <c r="L127" s="7" t="s">
        <v>1198</v>
      </c>
      <c r="M127" s="7">
        <v>31</v>
      </c>
      <c r="N127" s="7" t="s">
        <v>1199</v>
      </c>
      <c r="O127" s="7">
        <v>20</v>
      </c>
      <c r="P127" s="7" t="s">
        <v>1200</v>
      </c>
      <c r="Q127" s="7">
        <v>20</v>
      </c>
      <c r="R127" s="7" t="s">
        <v>1200</v>
      </c>
      <c r="S127" s="7" t="s">
        <v>617</v>
      </c>
      <c r="T127" s="7" t="s">
        <v>1201</v>
      </c>
      <c r="U127" s="28"/>
      <c r="V127" s="7">
        <v>36</v>
      </c>
      <c r="W127" s="7" t="s">
        <v>738</v>
      </c>
      <c r="X127" s="28"/>
      <c r="Y127" s="7" t="s">
        <v>1202</v>
      </c>
      <c r="Z127" s="7" t="s">
        <v>621</v>
      </c>
      <c r="AA127" s="7" t="s">
        <v>622</v>
      </c>
      <c r="AB127" s="7" t="s">
        <v>638</v>
      </c>
      <c r="AC127" s="7"/>
      <c r="AD127" s="7"/>
      <c r="AE127" s="7"/>
      <c r="AF127" s="7"/>
      <c r="AG127" s="7"/>
      <c r="AH127" s="7"/>
      <c r="AI127" s="7" t="s">
        <v>611</v>
      </c>
      <c r="AJ127" s="7" t="s">
        <v>623</v>
      </c>
      <c r="AK127" s="7">
        <v>10</v>
      </c>
      <c r="AL127" s="7">
        <v>9</v>
      </c>
      <c r="AM127" s="7" t="s">
        <v>624</v>
      </c>
      <c r="AN127" s="7" t="s">
        <v>625</v>
      </c>
      <c r="AO127" s="7" t="s">
        <v>626</v>
      </c>
      <c r="AP127" s="7" t="s">
        <v>627</v>
      </c>
      <c r="AQ127" s="7" t="s">
        <v>617</v>
      </c>
      <c r="AR127" s="7"/>
      <c r="AS127" s="7"/>
      <c r="AT127" s="7"/>
      <c r="AU127" s="6">
        <v>91002</v>
      </c>
      <c r="AV127" s="6" t="s">
        <v>255</v>
      </c>
      <c r="AW127" s="7"/>
      <c r="AX127" s="7"/>
      <c r="AY127" s="7"/>
      <c r="AZ127" s="7"/>
      <c r="BA127" s="6">
        <v>1214</v>
      </c>
      <c r="BB127" s="6" t="s">
        <v>628</v>
      </c>
      <c r="BC127" s="7"/>
      <c r="BD127" s="7"/>
      <c r="BE127" s="7"/>
      <c r="BF127" s="7"/>
      <c r="BG127" s="7">
        <v>0</v>
      </c>
      <c r="BH127" s="7">
        <v>0</v>
      </c>
      <c r="BI127" s="7">
        <v>0</v>
      </c>
      <c r="BJ127" s="7">
        <v>10</v>
      </c>
      <c r="BK127" s="7">
        <v>0</v>
      </c>
      <c r="BL127" s="7">
        <v>10</v>
      </c>
      <c r="BM127" s="7"/>
      <c r="BN127" s="7">
        <v>0</v>
      </c>
      <c r="BO127" s="7"/>
      <c r="BP127" s="7"/>
      <c r="BQ127" s="7">
        <v>0</v>
      </c>
      <c r="BR127" s="7">
        <v>380</v>
      </c>
      <c r="BS127" s="7" t="s">
        <v>629</v>
      </c>
      <c r="BT127" s="7"/>
      <c r="BU127" s="7"/>
      <c r="BV127" s="7">
        <v>0</v>
      </c>
      <c r="BW127" s="7"/>
      <c r="BX127" s="7"/>
      <c r="BY127" s="7">
        <v>10001</v>
      </c>
      <c r="BZ127" s="7" t="s">
        <v>1414</v>
      </c>
      <c r="CA127" s="7"/>
      <c r="CB127" s="7"/>
      <c r="CC127" s="7"/>
      <c r="CD127" s="7"/>
      <c r="CE127" s="7"/>
      <c r="CF127" s="7"/>
      <c r="CG127" s="7"/>
      <c r="CH127" s="7">
        <v>3567</v>
      </c>
      <c r="CI127" s="7" t="s">
        <v>1178</v>
      </c>
      <c r="CJ127" s="7"/>
      <c r="CK127" s="7"/>
      <c r="CL127" s="7"/>
      <c r="CM127" s="7"/>
      <c r="CN127" s="7">
        <v>0</v>
      </c>
      <c r="CO127" s="7"/>
      <c r="CP127" s="7"/>
      <c r="CQ127" s="7"/>
      <c r="CR127" s="7"/>
      <c r="CS127" s="7">
        <v>0</v>
      </c>
      <c r="CT127" s="7"/>
      <c r="CU127" s="7"/>
      <c r="CV127" s="7" t="s">
        <v>1203</v>
      </c>
      <c r="CW127" s="7" t="s">
        <v>354</v>
      </c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</row>
    <row r="128" spans="1:118" ht="13.5" customHeight="1">
      <c r="A128" s="7">
        <v>116</v>
      </c>
      <c r="B128" s="7"/>
      <c r="C128" s="7"/>
      <c r="D128" s="7"/>
      <c r="E128" s="6" t="s">
        <v>356</v>
      </c>
      <c r="F128" s="6"/>
      <c r="G128" s="7">
        <v>353071</v>
      </c>
      <c r="H128" s="7" t="s">
        <v>613</v>
      </c>
      <c r="I128" s="7">
        <v>34</v>
      </c>
      <c r="J128" s="6" t="s">
        <v>358</v>
      </c>
      <c r="K128" s="7">
        <v>46</v>
      </c>
      <c r="L128" s="7" t="s">
        <v>1204</v>
      </c>
      <c r="M128" s="7">
        <v>30</v>
      </c>
      <c r="N128" s="7" t="s">
        <v>1205</v>
      </c>
      <c r="O128" s="7">
        <v>19</v>
      </c>
      <c r="P128" s="7" t="s">
        <v>1206</v>
      </c>
      <c r="Q128" s="7">
        <v>19</v>
      </c>
      <c r="R128" s="7" t="s">
        <v>1206</v>
      </c>
      <c r="S128" s="7" t="s">
        <v>617</v>
      </c>
      <c r="T128" s="7" t="s">
        <v>1201</v>
      </c>
      <c r="U128" s="28"/>
      <c r="V128" s="7">
        <v>36</v>
      </c>
      <c r="W128" s="7" t="s">
        <v>738</v>
      </c>
      <c r="X128" s="28"/>
      <c r="Y128" s="7" t="s">
        <v>1202</v>
      </c>
      <c r="Z128" s="7" t="s">
        <v>621</v>
      </c>
      <c r="AA128" s="7" t="s">
        <v>622</v>
      </c>
      <c r="AB128" s="7" t="s">
        <v>638</v>
      </c>
      <c r="AC128" s="7"/>
      <c r="AD128" s="7"/>
      <c r="AE128" s="7"/>
      <c r="AF128" s="7"/>
      <c r="AG128" s="7"/>
      <c r="AH128" s="7"/>
      <c r="AI128" s="7" t="s">
        <v>611</v>
      </c>
      <c r="AJ128" s="7" t="s">
        <v>623</v>
      </c>
      <c r="AK128" s="7">
        <v>10</v>
      </c>
      <c r="AL128" s="7">
        <v>9</v>
      </c>
      <c r="AM128" s="7" t="s">
        <v>624</v>
      </c>
      <c r="AN128" s="7" t="s">
        <v>625</v>
      </c>
      <c r="AO128" s="7" t="s">
        <v>626</v>
      </c>
      <c r="AP128" s="7" t="s">
        <v>627</v>
      </c>
      <c r="AQ128" s="7" t="s">
        <v>617</v>
      </c>
      <c r="AR128" s="7"/>
      <c r="AS128" s="7"/>
      <c r="AT128" s="7"/>
      <c r="AU128" s="6">
        <v>91002</v>
      </c>
      <c r="AV128" s="6" t="s">
        <v>255</v>
      </c>
      <c r="AW128" s="7"/>
      <c r="AX128" s="7"/>
      <c r="AY128" s="7"/>
      <c r="AZ128" s="7"/>
      <c r="BA128" s="6">
        <v>1214</v>
      </c>
      <c r="BB128" s="6" t="s">
        <v>628</v>
      </c>
      <c r="BC128" s="7"/>
      <c r="BD128" s="7"/>
      <c r="BE128" s="7"/>
      <c r="BF128" s="7"/>
      <c r="BG128" s="7">
        <v>0</v>
      </c>
      <c r="BH128" s="7">
        <v>0</v>
      </c>
      <c r="BI128" s="7">
        <v>0</v>
      </c>
      <c r="BJ128" s="7">
        <v>10</v>
      </c>
      <c r="BK128" s="7">
        <v>0</v>
      </c>
      <c r="BL128" s="7">
        <v>10</v>
      </c>
      <c r="BM128" s="7"/>
      <c r="BN128" s="7">
        <v>0</v>
      </c>
      <c r="BO128" s="7"/>
      <c r="BP128" s="7"/>
      <c r="BQ128" s="7">
        <v>0</v>
      </c>
      <c r="BR128" s="7">
        <v>380</v>
      </c>
      <c r="BS128" s="7" t="s">
        <v>629</v>
      </c>
      <c r="BT128" s="7"/>
      <c r="BU128" s="7"/>
      <c r="BV128" s="7">
        <v>0</v>
      </c>
      <c r="BW128" s="7"/>
      <c r="BX128" s="7"/>
      <c r="BY128" s="7">
        <v>10001</v>
      </c>
      <c r="BZ128" s="7" t="s">
        <v>1414</v>
      </c>
      <c r="CA128" s="7"/>
      <c r="CB128" s="7"/>
      <c r="CC128" s="7"/>
      <c r="CD128" s="7"/>
      <c r="CE128" s="7"/>
      <c r="CF128" s="7"/>
      <c r="CG128" s="7"/>
      <c r="CH128" s="7">
        <v>3567</v>
      </c>
      <c r="CI128" s="7" t="s">
        <v>1178</v>
      </c>
      <c r="CJ128" s="7"/>
      <c r="CK128" s="7"/>
      <c r="CL128" s="7"/>
      <c r="CM128" s="7"/>
      <c r="CN128" s="7">
        <v>0</v>
      </c>
      <c r="CO128" s="7"/>
      <c r="CP128" s="7"/>
      <c r="CQ128" s="7"/>
      <c r="CR128" s="7"/>
      <c r="CS128" s="7">
        <v>0</v>
      </c>
      <c r="CT128" s="7"/>
      <c r="CU128" s="7"/>
      <c r="CV128" s="7" t="s">
        <v>1207</v>
      </c>
      <c r="CW128" s="7" t="s">
        <v>357</v>
      </c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</row>
    <row r="129" spans="1:118" ht="13.5" customHeight="1">
      <c r="A129" s="7">
        <v>117</v>
      </c>
      <c r="B129" s="7"/>
      <c r="C129" s="7"/>
      <c r="D129" s="7"/>
      <c r="E129" s="6" t="s">
        <v>359</v>
      </c>
      <c r="F129" s="6"/>
      <c r="G129" s="7">
        <v>353072</v>
      </c>
      <c r="H129" s="7" t="s">
        <v>613</v>
      </c>
      <c r="I129" s="7">
        <v>40</v>
      </c>
      <c r="J129" s="6" t="s">
        <v>361</v>
      </c>
      <c r="K129" s="7">
        <v>50</v>
      </c>
      <c r="L129" s="7" t="s">
        <v>1208</v>
      </c>
      <c r="M129" s="7">
        <v>34</v>
      </c>
      <c r="N129" s="7" t="s">
        <v>1209</v>
      </c>
      <c r="O129" s="7">
        <v>20</v>
      </c>
      <c r="P129" s="7" t="s">
        <v>1210</v>
      </c>
      <c r="Q129" s="7">
        <v>20</v>
      </c>
      <c r="R129" s="7" t="s">
        <v>1210</v>
      </c>
      <c r="S129" s="7" t="s">
        <v>617</v>
      </c>
      <c r="T129" s="7" t="s">
        <v>1211</v>
      </c>
      <c r="U129" s="28"/>
      <c r="V129" s="7">
        <v>36</v>
      </c>
      <c r="W129" s="7" t="s">
        <v>1015</v>
      </c>
      <c r="X129" s="28"/>
      <c r="Y129" s="7" t="s">
        <v>1212</v>
      </c>
      <c r="Z129" s="7" t="s">
        <v>621</v>
      </c>
      <c r="AA129" s="7" t="s">
        <v>622</v>
      </c>
      <c r="AB129" s="7" t="s">
        <v>638</v>
      </c>
      <c r="AC129" s="7"/>
      <c r="AD129" s="7"/>
      <c r="AE129" s="7"/>
      <c r="AF129" s="7"/>
      <c r="AG129" s="7"/>
      <c r="AH129" s="7"/>
      <c r="AI129" s="7" t="s">
        <v>611</v>
      </c>
      <c r="AJ129" s="7" t="s">
        <v>623</v>
      </c>
      <c r="AK129" s="7">
        <v>10</v>
      </c>
      <c r="AL129" s="7">
        <v>9</v>
      </c>
      <c r="AM129" s="7" t="s">
        <v>624</v>
      </c>
      <c r="AN129" s="7" t="s">
        <v>625</v>
      </c>
      <c r="AO129" s="7" t="s">
        <v>626</v>
      </c>
      <c r="AP129" s="7" t="s">
        <v>627</v>
      </c>
      <c r="AQ129" s="7" t="s">
        <v>617</v>
      </c>
      <c r="AR129" s="7"/>
      <c r="AS129" s="7"/>
      <c r="AT129" s="7"/>
      <c r="AU129" s="6">
        <v>91002</v>
      </c>
      <c r="AV129" s="6" t="s">
        <v>255</v>
      </c>
      <c r="AW129" s="7"/>
      <c r="AX129" s="7"/>
      <c r="AY129" s="7"/>
      <c r="AZ129" s="7"/>
      <c r="BA129" s="6">
        <v>1214</v>
      </c>
      <c r="BB129" s="6" t="s">
        <v>628</v>
      </c>
      <c r="BC129" s="7"/>
      <c r="BD129" s="7"/>
      <c r="BE129" s="7"/>
      <c r="BF129" s="7"/>
      <c r="BG129" s="7">
        <v>0</v>
      </c>
      <c r="BH129" s="7">
        <v>0</v>
      </c>
      <c r="BI129" s="7">
        <v>0</v>
      </c>
      <c r="BJ129" s="7">
        <v>10</v>
      </c>
      <c r="BK129" s="7">
        <v>0</v>
      </c>
      <c r="BL129" s="7">
        <v>10</v>
      </c>
      <c r="BM129" s="7"/>
      <c r="BN129" s="7">
        <v>0</v>
      </c>
      <c r="BO129" s="7"/>
      <c r="BP129" s="7"/>
      <c r="BQ129" s="7">
        <v>0</v>
      </c>
      <c r="BR129" s="7">
        <v>380</v>
      </c>
      <c r="BS129" s="7" t="s">
        <v>629</v>
      </c>
      <c r="BT129" s="7"/>
      <c r="BU129" s="7"/>
      <c r="BV129" s="7">
        <v>0</v>
      </c>
      <c r="BW129" s="7"/>
      <c r="BX129" s="7"/>
      <c r="BY129" s="7">
        <v>10001</v>
      </c>
      <c r="BZ129" s="7" t="s">
        <v>1414</v>
      </c>
      <c r="CA129" s="7"/>
      <c r="CB129" s="7"/>
      <c r="CC129" s="7"/>
      <c r="CD129" s="7"/>
      <c r="CE129" s="7"/>
      <c r="CF129" s="7"/>
      <c r="CG129" s="7"/>
      <c r="CH129" s="7">
        <v>3567</v>
      </c>
      <c r="CI129" s="7" t="s">
        <v>1178</v>
      </c>
      <c r="CJ129" s="7"/>
      <c r="CK129" s="7"/>
      <c r="CL129" s="7"/>
      <c r="CM129" s="7"/>
      <c r="CN129" s="7">
        <v>0</v>
      </c>
      <c r="CO129" s="7"/>
      <c r="CP129" s="7"/>
      <c r="CQ129" s="7"/>
      <c r="CR129" s="7"/>
      <c r="CS129" s="7">
        <v>0</v>
      </c>
      <c r="CT129" s="7"/>
      <c r="CU129" s="7"/>
      <c r="CV129" s="7" t="s">
        <v>1213</v>
      </c>
      <c r="CW129" s="7" t="s">
        <v>360</v>
      </c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</row>
    <row r="130" spans="1:118" ht="13.5" customHeight="1">
      <c r="A130" s="7">
        <v>118</v>
      </c>
      <c r="B130" s="7"/>
      <c r="C130" s="7"/>
      <c r="D130" s="7"/>
      <c r="E130" s="6" t="s">
        <v>362</v>
      </c>
      <c r="F130" s="6"/>
      <c r="G130" s="7">
        <v>353073</v>
      </c>
      <c r="H130" s="7" t="s">
        <v>613</v>
      </c>
      <c r="I130" s="7">
        <v>36</v>
      </c>
      <c r="J130" s="6" t="s">
        <v>364</v>
      </c>
      <c r="K130" s="7">
        <v>49</v>
      </c>
      <c r="L130" s="7" t="s">
        <v>1214</v>
      </c>
      <c r="M130" s="7">
        <v>32</v>
      </c>
      <c r="N130" s="7" t="s">
        <v>1215</v>
      </c>
      <c r="O130" s="7">
        <v>19</v>
      </c>
      <c r="P130" s="7" t="s">
        <v>1216</v>
      </c>
      <c r="Q130" s="7">
        <v>19</v>
      </c>
      <c r="R130" s="7" t="s">
        <v>1216</v>
      </c>
      <c r="S130" s="7" t="s">
        <v>617</v>
      </c>
      <c r="T130" s="7" t="s">
        <v>1201</v>
      </c>
      <c r="U130" s="28"/>
      <c r="V130" s="7">
        <v>36</v>
      </c>
      <c r="W130" s="7" t="s">
        <v>738</v>
      </c>
      <c r="X130" s="28"/>
      <c r="Y130" s="7" t="s">
        <v>1202</v>
      </c>
      <c r="Z130" s="7" t="s">
        <v>621</v>
      </c>
      <c r="AA130" s="7" t="s">
        <v>622</v>
      </c>
      <c r="AB130" s="7" t="s">
        <v>638</v>
      </c>
      <c r="AC130" s="7"/>
      <c r="AD130" s="7"/>
      <c r="AE130" s="7"/>
      <c r="AF130" s="7"/>
      <c r="AG130" s="7"/>
      <c r="AH130" s="7"/>
      <c r="AI130" s="7" t="s">
        <v>611</v>
      </c>
      <c r="AJ130" s="7" t="s">
        <v>623</v>
      </c>
      <c r="AK130" s="7">
        <v>10</v>
      </c>
      <c r="AL130" s="7">
        <v>9</v>
      </c>
      <c r="AM130" s="7" t="s">
        <v>624</v>
      </c>
      <c r="AN130" s="7" t="s">
        <v>625</v>
      </c>
      <c r="AO130" s="7" t="s">
        <v>626</v>
      </c>
      <c r="AP130" s="7" t="s">
        <v>627</v>
      </c>
      <c r="AQ130" s="7" t="s">
        <v>617</v>
      </c>
      <c r="AR130" s="7"/>
      <c r="AS130" s="7"/>
      <c r="AT130" s="7"/>
      <c r="AU130" s="6">
        <v>91002</v>
      </c>
      <c r="AV130" s="6" t="s">
        <v>255</v>
      </c>
      <c r="AW130" s="7"/>
      <c r="AX130" s="7"/>
      <c r="AY130" s="7"/>
      <c r="AZ130" s="7"/>
      <c r="BA130" s="6">
        <v>1214</v>
      </c>
      <c r="BB130" s="6" t="s">
        <v>628</v>
      </c>
      <c r="BC130" s="7"/>
      <c r="BD130" s="7"/>
      <c r="BE130" s="7"/>
      <c r="BF130" s="7"/>
      <c r="BG130" s="7">
        <v>0</v>
      </c>
      <c r="BH130" s="7">
        <v>0</v>
      </c>
      <c r="BI130" s="7">
        <v>0</v>
      </c>
      <c r="BJ130" s="7">
        <v>10</v>
      </c>
      <c r="BK130" s="7">
        <v>0</v>
      </c>
      <c r="BL130" s="7">
        <v>10</v>
      </c>
      <c r="BM130" s="7"/>
      <c r="BN130" s="7">
        <v>0</v>
      </c>
      <c r="BO130" s="7"/>
      <c r="BP130" s="7"/>
      <c r="BQ130" s="7">
        <v>0</v>
      </c>
      <c r="BR130" s="7">
        <v>380</v>
      </c>
      <c r="BS130" s="7" t="s">
        <v>629</v>
      </c>
      <c r="BT130" s="7"/>
      <c r="BU130" s="7"/>
      <c r="BV130" s="7">
        <v>0</v>
      </c>
      <c r="BW130" s="7"/>
      <c r="BX130" s="7"/>
      <c r="BY130" s="7">
        <v>10001</v>
      </c>
      <c r="BZ130" s="7" t="s">
        <v>1414</v>
      </c>
      <c r="CA130" s="7"/>
      <c r="CB130" s="7"/>
      <c r="CC130" s="7"/>
      <c r="CD130" s="7"/>
      <c r="CE130" s="7"/>
      <c r="CF130" s="7"/>
      <c r="CG130" s="7"/>
      <c r="CH130" s="7">
        <v>3567</v>
      </c>
      <c r="CI130" s="7" t="s">
        <v>1178</v>
      </c>
      <c r="CJ130" s="7"/>
      <c r="CK130" s="7"/>
      <c r="CL130" s="7"/>
      <c r="CM130" s="7"/>
      <c r="CN130" s="7">
        <v>0</v>
      </c>
      <c r="CO130" s="7"/>
      <c r="CP130" s="7"/>
      <c r="CQ130" s="7"/>
      <c r="CR130" s="7"/>
      <c r="CS130" s="7">
        <v>0</v>
      </c>
      <c r="CT130" s="7"/>
      <c r="CU130" s="7"/>
      <c r="CV130" s="7" t="s">
        <v>1217</v>
      </c>
      <c r="CW130" s="7" t="s">
        <v>363</v>
      </c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</row>
    <row r="131" spans="1:118" ht="13.5" customHeight="1">
      <c r="A131" s="7">
        <v>119</v>
      </c>
      <c r="B131" s="7"/>
      <c r="C131" s="7"/>
      <c r="D131" s="7"/>
      <c r="E131" s="6" t="s">
        <v>366</v>
      </c>
      <c r="F131" s="6"/>
      <c r="G131" s="7">
        <v>353074</v>
      </c>
      <c r="H131" s="7" t="s">
        <v>613</v>
      </c>
      <c r="I131" s="7">
        <v>24</v>
      </c>
      <c r="J131" s="6" t="s">
        <v>368</v>
      </c>
      <c r="K131" s="7">
        <v>34</v>
      </c>
      <c r="L131" s="7" t="s">
        <v>1218</v>
      </c>
      <c r="M131" s="7">
        <v>19</v>
      </c>
      <c r="N131" s="7" t="s">
        <v>1219</v>
      </c>
      <c r="O131" s="7">
        <v>12</v>
      </c>
      <c r="P131" s="7" t="s">
        <v>1220</v>
      </c>
      <c r="Q131" s="7">
        <v>12</v>
      </c>
      <c r="R131" s="7" t="s">
        <v>1220</v>
      </c>
      <c r="S131" s="7" t="s">
        <v>617</v>
      </c>
      <c r="T131" s="7">
        <v>0</v>
      </c>
      <c r="U131" s="28"/>
      <c r="V131" s="7">
        <v>8</v>
      </c>
      <c r="W131" s="7" t="s">
        <v>1221</v>
      </c>
      <c r="X131" s="28"/>
      <c r="Y131" s="7" t="s">
        <v>1222</v>
      </c>
      <c r="Z131" s="7" t="s">
        <v>621</v>
      </c>
      <c r="AA131" s="7" t="s">
        <v>622</v>
      </c>
      <c r="AB131" s="7" t="s">
        <v>638</v>
      </c>
      <c r="AC131" s="7"/>
      <c r="AD131" s="7"/>
      <c r="AE131" s="7"/>
      <c r="AF131" s="7"/>
      <c r="AG131" s="7"/>
      <c r="AH131" s="7"/>
      <c r="AI131" s="7" t="s">
        <v>611</v>
      </c>
      <c r="AJ131" s="7" t="s">
        <v>623</v>
      </c>
      <c r="AK131" s="7">
        <v>10</v>
      </c>
      <c r="AL131" s="7">
        <v>9</v>
      </c>
      <c r="AM131" s="7" t="s">
        <v>624</v>
      </c>
      <c r="AN131" s="7" t="s">
        <v>625</v>
      </c>
      <c r="AO131" s="7" t="s">
        <v>626</v>
      </c>
      <c r="AP131" s="7" t="s">
        <v>627</v>
      </c>
      <c r="AQ131" s="7" t="s">
        <v>617</v>
      </c>
      <c r="AR131" s="7"/>
      <c r="AS131" s="7"/>
      <c r="AT131" s="7"/>
      <c r="AU131" s="6">
        <v>91039</v>
      </c>
      <c r="AV131" s="6" t="s">
        <v>365</v>
      </c>
      <c r="AW131" s="7"/>
      <c r="AX131" s="7"/>
      <c r="AY131" s="7"/>
      <c r="AZ131" s="7"/>
      <c r="BA131" s="6">
        <v>1214</v>
      </c>
      <c r="BB131" s="6" t="s">
        <v>628</v>
      </c>
      <c r="BC131" s="7"/>
      <c r="BD131" s="7"/>
      <c r="BE131" s="7"/>
      <c r="BF131" s="7"/>
      <c r="BG131" s="7">
        <v>0</v>
      </c>
      <c r="BH131" s="7">
        <v>0</v>
      </c>
      <c r="BI131" s="7">
        <v>0</v>
      </c>
      <c r="BJ131" s="7">
        <v>10</v>
      </c>
      <c r="BK131" s="7">
        <v>0</v>
      </c>
      <c r="BL131" s="7">
        <v>10</v>
      </c>
      <c r="BM131" s="7"/>
      <c r="BN131" s="7">
        <v>0</v>
      </c>
      <c r="BO131" s="7"/>
      <c r="BP131" s="7"/>
      <c r="BQ131" s="7">
        <v>0</v>
      </c>
      <c r="BR131" s="7">
        <v>380</v>
      </c>
      <c r="BS131" s="7" t="s">
        <v>629</v>
      </c>
      <c r="BT131" s="7"/>
      <c r="BU131" s="7"/>
      <c r="BV131" s="7">
        <v>0</v>
      </c>
      <c r="BW131" s="7"/>
      <c r="BX131" s="7"/>
      <c r="BY131" s="7">
        <v>10001</v>
      </c>
      <c r="BZ131" s="7" t="s">
        <v>1414</v>
      </c>
      <c r="CA131" s="7"/>
      <c r="CB131" s="7"/>
      <c r="CC131" s="7"/>
      <c r="CD131" s="7"/>
      <c r="CE131" s="7"/>
      <c r="CF131" s="7"/>
      <c r="CG131" s="7"/>
      <c r="CH131" s="7">
        <v>3567</v>
      </c>
      <c r="CI131" s="7" t="s">
        <v>1178</v>
      </c>
      <c r="CJ131" s="7"/>
      <c r="CK131" s="7"/>
      <c r="CL131" s="7"/>
      <c r="CM131" s="7"/>
      <c r="CN131" s="7">
        <v>0</v>
      </c>
      <c r="CO131" s="7"/>
      <c r="CP131" s="7"/>
      <c r="CQ131" s="7"/>
      <c r="CR131" s="7"/>
      <c r="CS131" s="7">
        <v>0</v>
      </c>
      <c r="CT131" s="7"/>
      <c r="CU131" s="7"/>
      <c r="CV131" s="7" t="s">
        <v>1223</v>
      </c>
      <c r="CW131" s="7" t="s">
        <v>367</v>
      </c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</row>
    <row r="132" spans="1:118" ht="13.5" customHeight="1">
      <c r="A132" s="7">
        <v>120</v>
      </c>
      <c r="B132" s="7"/>
      <c r="C132" s="7"/>
      <c r="D132" s="7"/>
      <c r="E132" s="6" t="s">
        <v>369</v>
      </c>
      <c r="F132" s="6"/>
      <c r="G132" s="6">
        <v>353196</v>
      </c>
      <c r="H132" s="7" t="s">
        <v>613</v>
      </c>
      <c r="I132" s="7">
        <v>22</v>
      </c>
      <c r="J132" s="6" t="s">
        <v>371</v>
      </c>
      <c r="K132" s="7">
        <v>34</v>
      </c>
      <c r="L132" s="7" t="s">
        <v>1224</v>
      </c>
      <c r="M132" s="7">
        <v>24</v>
      </c>
      <c r="N132" s="7" t="s">
        <v>1225</v>
      </c>
      <c r="O132" s="7">
        <v>10</v>
      </c>
      <c r="P132" s="7" t="s">
        <v>1226</v>
      </c>
      <c r="Q132" s="7">
        <v>10</v>
      </c>
      <c r="R132" s="7" t="s">
        <v>1226</v>
      </c>
      <c r="S132" s="7" t="s">
        <v>617</v>
      </c>
      <c r="T132" s="7" t="s">
        <v>886</v>
      </c>
      <c r="U132" s="28"/>
      <c r="V132" s="7">
        <v>24</v>
      </c>
      <c r="W132" s="7" t="s">
        <v>1015</v>
      </c>
      <c r="X132" s="28"/>
      <c r="Y132" s="7" t="s">
        <v>1227</v>
      </c>
      <c r="Z132" s="7" t="s">
        <v>621</v>
      </c>
      <c r="AA132" s="7" t="s">
        <v>622</v>
      </c>
      <c r="AB132" s="7" t="s">
        <v>638</v>
      </c>
      <c r="AC132" s="7"/>
      <c r="AD132" s="7"/>
      <c r="AE132" s="7"/>
      <c r="AF132" s="7"/>
      <c r="AG132" s="7"/>
      <c r="AH132" s="7"/>
      <c r="AI132" s="7" t="s">
        <v>611</v>
      </c>
      <c r="AJ132" s="7" t="s">
        <v>623</v>
      </c>
      <c r="AK132" s="7">
        <v>10</v>
      </c>
      <c r="AL132" s="7">
        <v>9</v>
      </c>
      <c r="AM132" s="7" t="s">
        <v>624</v>
      </c>
      <c r="AN132" s="7" t="s">
        <v>625</v>
      </c>
      <c r="AO132" s="7" t="s">
        <v>626</v>
      </c>
      <c r="AP132" s="7" t="s">
        <v>627</v>
      </c>
      <c r="AQ132" s="7" t="s">
        <v>617</v>
      </c>
      <c r="AR132" s="7"/>
      <c r="AS132" s="7"/>
      <c r="AT132" s="7"/>
      <c r="AU132" s="6">
        <v>91002</v>
      </c>
      <c r="AV132" s="6" t="s">
        <v>255</v>
      </c>
      <c r="AW132" s="7"/>
      <c r="AX132" s="7"/>
      <c r="AY132" s="7"/>
      <c r="AZ132" s="7"/>
      <c r="BA132" s="6">
        <v>1214</v>
      </c>
      <c r="BB132" s="6" t="s">
        <v>628</v>
      </c>
      <c r="BC132" s="7"/>
      <c r="BD132" s="7"/>
      <c r="BE132" s="7"/>
      <c r="BF132" s="7"/>
      <c r="BG132" s="7">
        <v>0</v>
      </c>
      <c r="BH132" s="7">
        <v>0</v>
      </c>
      <c r="BI132" s="7">
        <v>0</v>
      </c>
      <c r="BJ132" s="7">
        <v>10</v>
      </c>
      <c r="BK132" s="7">
        <v>0</v>
      </c>
      <c r="BL132" s="7">
        <v>10</v>
      </c>
      <c r="BM132" s="7"/>
      <c r="BN132" s="7">
        <v>0</v>
      </c>
      <c r="BO132" s="7"/>
      <c r="BP132" s="7"/>
      <c r="BQ132" s="7">
        <v>0</v>
      </c>
      <c r="BR132" s="7">
        <v>380</v>
      </c>
      <c r="BS132" s="7" t="s">
        <v>629</v>
      </c>
      <c r="BT132" s="7"/>
      <c r="BU132" s="7"/>
      <c r="BV132" s="7">
        <v>0</v>
      </c>
      <c r="BW132" s="7"/>
      <c r="BX132" s="7"/>
      <c r="BY132" s="7">
        <v>10001</v>
      </c>
      <c r="BZ132" s="7" t="s">
        <v>1414</v>
      </c>
      <c r="CA132" s="7"/>
      <c r="CB132" s="7"/>
      <c r="CC132" s="7"/>
      <c r="CD132" s="7"/>
      <c r="CE132" s="7"/>
      <c r="CF132" s="7"/>
      <c r="CG132" s="7"/>
      <c r="CH132" s="7">
        <v>3567</v>
      </c>
      <c r="CI132" s="7" t="s">
        <v>1178</v>
      </c>
      <c r="CJ132" s="7"/>
      <c r="CK132" s="7"/>
      <c r="CL132" s="7"/>
      <c r="CM132" s="7"/>
      <c r="CN132" s="7">
        <v>0</v>
      </c>
      <c r="CO132" s="7"/>
      <c r="CP132" s="7"/>
      <c r="CQ132" s="7"/>
      <c r="CR132" s="7"/>
      <c r="CS132" s="7">
        <v>0</v>
      </c>
      <c r="CT132" s="7"/>
      <c r="CU132" s="7"/>
      <c r="CV132" s="7" t="s">
        <v>1228</v>
      </c>
      <c r="CW132" s="7" t="s">
        <v>370</v>
      </c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</row>
    <row r="133" spans="1:118" ht="13.5" customHeight="1">
      <c r="A133" s="7">
        <v>121</v>
      </c>
      <c r="B133" s="7"/>
      <c r="C133" s="7"/>
      <c r="D133" s="7"/>
      <c r="E133" s="6" t="s">
        <v>372</v>
      </c>
      <c r="F133" s="6"/>
      <c r="G133" s="6">
        <v>353197</v>
      </c>
      <c r="H133" s="7" t="s">
        <v>613</v>
      </c>
      <c r="I133" s="7">
        <v>46</v>
      </c>
      <c r="J133" s="6" t="s">
        <v>374</v>
      </c>
      <c r="K133" s="7">
        <v>47</v>
      </c>
      <c r="L133" s="7" t="s">
        <v>1229</v>
      </c>
      <c r="M133" s="7">
        <v>37</v>
      </c>
      <c r="N133" s="7" t="s">
        <v>1230</v>
      </c>
      <c r="O133" s="7">
        <v>19</v>
      </c>
      <c r="P133" s="7" t="s">
        <v>1231</v>
      </c>
      <c r="Q133" s="7">
        <v>19</v>
      </c>
      <c r="R133" s="7" t="s">
        <v>1231</v>
      </c>
      <c r="S133" s="7" t="s">
        <v>617</v>
      </c>
      <c r="T133" s="7" t="s">
        <v>1232</v>
      </c>
      <c r="U133" s="28"/>
      <c r="V133" s="7">
        <v>24</v>
      </c>
      <c r="W133" s="7" t="s">
        <v>1233</v>
      </c>
      <c r="X133" s="28"/>
      <c r="Y133" s="7" t="s">
        <v>1234</v>
      </c>
      <c r="Z133" s="7" t="s">
        <v>621</v>
      </c>
      <c r="AA133" s="7" t="s">
        <v>622</v>
      </c>
      <c r="AB133" s="7" t="s">
        <v>638</v>
      </c>
      <c r="AC133" s="7"/>
      <c r="AD133" s="7"/>
      <c r="AE133" s="7"/>
      <c r="AF133" s="7"/>
      <c r="AG133" s="7"/>
      <c r="AH133" s="7"/>
      <c r="AI133" s="7" t="s">
        <v>611</v>
      </c>
      <c r="AJ133" s="7" t="s">
        <v>623</v>
      </c>
      <c r="AK133" s="7">
        <v>10</v>
      </c>
      <c r="AL133" s="7">
        <v>9</v>
      </c>
      <c r="AM133" s="7" t="s">
        <v>624</v>
      </c>
      <c r="AN133" s="7" t="s">
        <v>625</v>
      </c>
      <c r="AO133" s="7" t="s">
        <v>626</v>
      </c>
      <c r="AP133" s="7" t="s">
        <v>627</v>
      </c>
      <c r="AQ133" s="7" t="s">
        <v>617</v>
      </c>
      <c r="AR133" s="7"/>
      <c r="AS133" s="7"/>
      <c r="AT133" s="7"/>
      <c r="AU133" s="6">
        <v>91002</v>
      </c>
      <c r="AV133" s="6" t="s">
        <v>255</v>
      </c>
      <c r="AW133" s="7"/>
      <c r="AX133" s="7"/>
      <c r="AY133" s="7"/>
      <c r="AZ133" s="7"/>
      <c r="BA133" s="6">
        <v>1214</v>
      </c>
      <c r="BB133" s="6" t="s">
        <v>628</v>
      </c>
      <c r="BC133" s="7"/>
      <c r="BD133" s="7"/>
      <c r="BE133" s="7"/>
      <c r="BF133" s="7"/>
      <c r="BG133" s="7">
        <v>0</v>
      </c>
      <c r="BH133" s="7">
        <v>0</v>
      </c>
      <c r="BI133" s="7">
        <v>0</v>
      </c>
      <c r="BJ133" s="7">
        <v>10</v>
      </c>
      <c r="BK133" s="7">
        <v>0</v>
      </c>
      <c r="BL133" s="7">
        <v>10</v>
      </c>
      <c r="BM133" s="7"/>
      <c r="BN133" s="7">
        <v>0</v>
      </c>
      <c r="BO133" s="7"/>
      <c r="BP133" s="7"/>
      <c r="BQ133" s="7">
        <v>0</v>
      </c>
      <c r="BR133" s="7">
        <v>380</v>
      </c>
      <c r="BS133" s="7" t="s">
        <v>629</v>
      </c>
      <c r="BT133" s="7"/>
      <c r="BU133" s="7"/>
      <c r="BV133" s="7">
        <v>0</v>
      </c>
      <c r="BW133" s="7"/>
      <c r="BX133" s="7"/>
      <c r="BY133" s="7">
        <v>10001</v>
      </c>
      <c r="BZ133" s="7" t="s">
        <v>1414</v>
      </c>
      <c r="CA133" s="7"/>
      <c r="CB133" s="7"/>
      <c r="CC133" s="7"/>
      <c r="CD133" s="7"/>
      <c r="CE133" s="7"/>
      <c r="CF133" s="7"/>
      <c r="CG133" s="7"/>
      <c r="CH133" s="7">
        <v>3567</v>
      </c>
      <c r="CI133" s="7" t="s">
        <v>1178</v>
      </c>
      <c r="CJ133" s="7"/>
      <c r="CK133" s="7"/>
      <c r="CL133" s="7"/>
      <c r="CM133" s="7"/>
      <c r="CN133" s="7">
        <v>0</v>
      </c>
      <c r="CO133" s="7"/>
      <c r="CP133" s="7"/>
      <c r="CQ133" s="7"/>
      <c r="CR133" s="7"/>
      <c r="CS133" s="7">
        <v>0</v>
      </c>
      <c r="CT133" s="7"/>
      <c r="CU133" s="7"/>
      <c r="CV133" s="7" t="s">
        <v>1235</v>
      </c>
      <c r="CW133" s="7" t="s">
        <v>373</v>
      </c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</row>
    <row r="134" spans="1:118" ht="13.5" customHeight="1">
      <c r="A134" s="7">
        <v>122</v>
      </c>
      <c r="B134" s="7"/>
      <c r="C134" s="7"/>
      <c r="D134" s="7"/>
      <c r="E134" s="6" t="s">
        <v>375</v>
      </c>
      <c r="F134" s="6"/>
      <c r="G134" s="6">
        <v>353198</v>
      </c>
      <c r="H134" s="7" t="s">
        <v>613</v>
      </c>
      <c r="I134" s="7">
        <v>32</v>
      </c>
      <c r="J134" s="6" t="s">
        <v>377</v>
      </c>
      <c r="K134" s="7">
        <v>48</v>
      </c>
      <c r="L134" s="7" t="s">
        <v>1236</v>
      </c>
      <c r="M134" s="7">
        <v>31</v>
      </c>
      <c r="N134" s="7" t="s">
        <v>1237</v>
      </c>
      <c r="O134" s="7">
        <v>16</v>
      </c>
      <c r="P134" s="7" t="s">
        <v>1238</v>
      </c>
      <c r="Q134" s="7">
        <v>16</v>
      </c>
      <c r="R134" s="7" t="s">
        <v>1238</v>
      </c>
      <c r="S134" s="7" t="s">
        <v>617</v>
      </c>
      <c r="T134" s="7" t="s">
        <v>1239</v>
      </c>
      <c r="U134" s="28"/>
      <c r="V134" s="7">
        <v>36</v>
      </c>
      <c r="W134" s="7" t="s">
        <v>1015</v>
      </c>
      <c r="X134" s="28"/>
      <c r="Y134" s="7" t="s">
        <v>1240</v>
      </c>
      <c r="Z134" s="7" t="s">
        <v>621</v>
      </c>
      <c r="AA134" s="7" t="s">
        <v>622</v>
      </c>
      <c r="AB134" s="7" t="s">
        <v>638</v>
      </c>
      <c r="AC134" s="7"/>
      <c r="AD134" s="7"/>
      <c r="AE134" s="7"/>
      <c r="AF134" s="7"/>
      <c r="AG134" s="7"/>
      <c r="AH134" s="7"/>
      <c r="AI134" s="7" t="s">
        <v>611</v>
      </c>
      <c r="AJ134" s="7" t="s">
        <v>623</v>
      </c>
      <c r="AK134" s="7">
        <v>10</v>
      </c>
      <c r="AL134" s="7">
        <v>9</v>
      </c>
      <c r="AM134" s="7" t="s">
        <v>624</v>
      </c>
      <c r="AN134" s="7" t="s">
        <v>625</v>
      </c>
      <c r="AO134" s="7" t="s">
        <v>626</v>
      </c>
      <c r="AP134" s="7" t="s">
        <v>627</v>
      </c>
      <c r="AQ134" s="7" t="s">
        <v>617</v>
      </c>
      <c r="AR134" s="7"/>
      <c r="AS134" s="7"/>
      <c r="AT134" s="7"/>
      <c r="AU134" s="6">
        <v>91002</v>
      </c>
      <c r="AV134" s="6" t="s">
        <v>255</v>
      </c>
      <c r="AW134" s="7"/>
      <c r="AX134" s="7"/>
      <c r="AY134" s="7"/>
      <c r="AZ134" s="7"/>
      <c r="BA134" s="6">
        <v>1214</v>
      </c>
      <c r="BB134" s="6" t="s">
        <v>628</v>
      </c>
      <c r="BC134" s="7"/>
      <c r="BD134" s="7"/>
      <c r="BE134" s="7"/>
      <c r="BF134" s="7"/>
      <c r="BG134" s="7">
        <v>0</v>
      </c>
      <c r="BH134" s="7">
        <v>0</v>
      </c>
      <c r="BI134" s="7">
        <v>0</v>
      </c>
      <c r="BJ134" s="7">
        <v>10</v>
      </c>
      <c r="BK134" s="7">
        <v>0</v>
      </c>
      <c r="BL134" s="7">
        <v>10</v>
      </c>
      <c r="BM134" s="7"/>
      <c r="BN134" s="7">
        <v>0</v>
      </c>
      <c r="BO134" s="7"/>
      <c r="BP134" s="7"/>
      <c r="BQ134" s="7">
        <v>0</v>
      </c>
      <c r="BR134" s="7">
        <v>380</v>
      </c>
      <c r="BS134" s="7" t="s">
        <v>629</v>
      </c>
      <c r="BT134" s="7"/>
      <c r="BU134" s="7"/>
      <c r="BV134" s="7">
        <v>0</v>
      </c>
      <c r="BW134" s="7"/>
      <c r="BX134" s="7"/>
      <c r="BY134" s="7">
        <v>10001</v>
      </c>
      <c r="BZ134" s="7" t="s">
        <v>1414</v>
      </c>
      <c r="CA134" s="7"/>
      <c r="CB134" s="7"/>
      <c r="CC134" s="7"/>
      <c r="CD134" s="7"/>
      <c r="CE134" s="7"/>
      <c r="CF134" s="7"/>
      <c r="CG134" s="7"/>
      <c r="CH134" s="7">
        <v>3567</v>
      </c>
      <c r="CI134" s="7" t="s">
        <v>1178</v>
      </c>
      <c r="CJ134" s="7"/>
      <c r="CK134" s="7"/>
      <c r="CL134" s="7"/>
      <c r="CM134" s="7"/>
      <c r="CN134" s="7">
        <v>0</v>
      </c>
      <c r="CO134" s="7"/>
      <c r="CP134" s="7"/>
      <c r="CQ134" s="7"/>
      <c r="CR134" s="7"/>
      <c r="CS134" s="7">
        <v>0</v>
      </c>
      <c r="CT134" s="7"/>
      <c r="CU134" s="7"/>
      <c r="CV134" s="7" t="s">
        <v>1241</v>
      </c>
      <c r="CW134" s="7" t="s">
        <v>376</v>
      </c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</row>
    <row r="135" spans="1:118" ht="13.5" customHeight="1">
      <c r="A135" s="7">
        <v>123</v>
      </c>
      <c r="B135" s="7"/>
      <c r="C135" s="7"/>
      <c r="D135" s="7"/>
      <c r="E135" s="6" t="s">
        <v>378</v>
      </c>
      <c r="F135" s="6"/>
      <c r="G135" s="6">
        <v>353199</v>
      </c>
      <c r="H135" s="7" t="s">
        <v>613</v>
      </c>
      <c r="I135" s="7">
        <v>44</v>
      </c>
      <c r="J135" s="6" t="s">
        <v>380</v>
      </c>
      <c r="K135" s="7">
        <v>50</v>
      </c>
      <c r="L135" s="7" t="s">
        <v>1242</v>
      </c>
      <c r="M135" s="7">
        <v>39</v>
      </c>
      <c r="N135" s="7" t="s">
        <v>1243</v>
      </c>
      <c r="O135" s="7">
        <v>20</v>
      </c>
      <c r="P135" s="7" t="s">
        <v>1244</v>
      </c>
      <c r="Q135" s="7">
        <v>20</v>
      </c>
      <c r="R135" s="7" t="s">
        <v>1244</v>
      </c>
      <c r="S135" s="7" t="s">
        <v>617</v>
      </c>
      <c r="T135" s="7" t="s">
        <v>1201</v>
      </c>
      <c r="U135" s="28"/>
      <c r="V135" s="7">
        <v>36</v>
      </c>
      <c r="W135" s="7" t="s">
        <v>738</v>
      </c>
      <c r="X135" s="28"/>
      <c r="Y135" s="7" t="s">
        <v>1202</v>
      </c>
      <c r="Z135" s="7" t="s">
        <v>621</v>
      </c>
      <c r="AA135" s="7" t="s">
        <v>622</v>
      </c>
      <c r="AB135" s="7" t="s">
        <v>638</v>
      </c>
      <c r="AC135" s="7"/>
      <c r="AD135" s="7"/>
      <c r="AE135" s="7"/>
      <c r="AF135" s="7"/>
      <c r="AG135" s="7"/>
      <c r="AH135" s="7"/>
      <c r="AI135" s="7" t="s">
        <v>611</v>
      </c>
      <c r="AJ135" s="7" t="s">
        <v>623</v>
      </c>
      <c r="AK135" s="7">
        <v>10</v>
      </c>
      <c r="AL135" s="7">
        <v>9</v>
      </c>
      <c r="AM135" s="7" t="s">
        <v>624</v>
      </c>
      <c r="AN135" s="7" t="s">
        <v>625</v>
      </c>
      <c r="AO135" s="7" t="s">
        <v>626</v>
      </c>
      <c r="AP135" s="7" t="s">
        <v>627</v>
      </c>
      <c r="AQ135" s="7" t="s">
        <v>617</v>
      </c>
      <c r="AR135" s="7"/>
      <c r="AS135" s="7"/>
      <c r="AT135" s="7"/>
      <c r="AU135" s="6">
        <v>91002</v>
      </c>
      <c r="AV135" s="6" t="s">
        <v>255</v>
      </c>
      <c r="AW135" s="7"/>
      <c r="AX135" s="7"/>
      <c r="AY135" s="7"/>
      <c r="AZ135" s="7"/>
      <c r="BA135" s="6">
        <v>1214</v>
      </c>
      <c r="BB135" s="6" t="s">
        <v>628</v>
      </c>
      <c r="BC135" s="7"/>
      <c r="BD135" s="7"/>
      <c r="BE135" s="7"/>
      <c r="BF135" s="7"/>
      <c r="BG135" s="7">
        <v>0</v>
      </c>
      <c r="BH135" s="7">
        <v>0</v>
      </c>
      <c r="BI135" s="7">
        <v>0</v>
      </c>
      <c r="BJ135" s="7">
        <v>10</v>
      </c>
      <c r="BK135" s="7">
        <v>0</v>
      </c>
      <c r="BL135" s="7">
        <v>10</v>
      </c>
      <c r="BM135" s="7"/>
      <c r="BN135" s="7">
        <v>0</v>
      </c>
      <c r="BO135" s="7"/>
      <c r="BP135" s="7"/>
      <c r="BQ135" s="7">
        <v>0</v>
      </c>
      <c r="BR135" s="7">
        <v>380</v>
      </c>
      <c r="BS135" s="7" t="s">
        <v>629</v>
      </c>
      <c r="BT135" s="7"/>
      <c r="BU135" s="7"/>
      <c r="BV135" s="7">
        <v>0</v>
      </c>
      <c r="BW135" s="7"/>
      <c r="BX135" s="7"/>
      <c r="BY135" s="7">
        <v>10001</v>
      </c>
      <c r="BZ135" s="7" t="s">
        <v>1414</v>
      </c>
      <c r="CA135" s="7"/>
      <c r="CB135" s="7"/>
      <c r="CC135" s="7"/>
      <c r="CD135" s="7"/>
      <c r="CE135" s="7"/>
      <c r="CF135" s="7"/>
      <c r="CG135" s="7"/>
      <c r="CH135" s="7">
        <v>3567</v>
      </c>
      <c r="CI135" s="7" t="s">
        <v>1178</v>
      </c>
      <c r="CJ135" s="7"/>
      <c r="CK135" s="7"/>
      <c r="CL135" s="7"/>
      <c r="CM135" s="7"/>
      <c r="CN135" s="7">
        <v>0</v>
      </c>
      <c r="CO135" s="7"/>
      <c r="CP135" s="7"/>
      <c r="CQ135" s="7"/>
      <c r="CR135" s="7"/>
      <c r="CS135" s="7">
        <v>0</v>
      </c>
      <c r="CT135" s="7"/>
      <c r="CU135" s="7"/>
      <c r="CV135" s="7" t="s">
        <v>1245</v>
      </c>
      <c r="CW135" s="7" t="s">
        <v>379</v>
      </c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</row>
    <row r="136" spans="1:118" ht="13.5" customHeight="1">
      <c r="A136" s="7">
        <v>124</v>
      </c>
      <c r="B136" s="7"/>
      <c r="C136" s="7"/>
      <c r="D136" s="7"/>
      <c r="E136" s="6" t="s">
        <v>381</v>
      </c>
      <c r="F136" s="6"/>
      <c r="G136" s="6">
        <v>353200</v>
      </c>
      <c r="H136" s="7" t="s">
        <v>613</v>
      </c>
      <c r="I136" s="7">
        <v>34</v>
      </c>
      <c r="J136" s="6" t="s">
        <v>383</v>
      </c>
      <c r="K136" s="7">
        <v>49</v>
      </c>
      <c r="L136" s="7" t="s">
        <v>1246</v>
      </c>
      <c r="M136" s="7">
        <v>31</v>
      </c>
      <c r="N136" s="7" t="s">
        <v>1247</v>
      </c>
      <c r="O136" s="7">
        <v>17</v>
      </c>
      <c r="P136" s="7" t="s">
        <v>1248</v>
      </c>
      <c r="Q136" s="7">
        <v>17</v>
      </c>
      <c r="R136" s="7" t="s">
        <v>1248</v>
      </c>
      <c r="S136" s="7" t="s">
        <v>617</v>
      </c>
      <c r="T136" s="7" t="s">
        <v>1201</v>
      </c>
      <c r="U136" s="28"/>
      <c r="V136" s="7">
        <v>36</v>
      </c>
      <c r="W136" s="7" t="s">
        <v>738</v>
      </c>
      <c r="X136" s="28"/>
      <c r="Y136" s="7" t="s">
        <v>1202</v>
      </c>
      <c r="Z136" s="7" t="s">
        <v>621</v>
      </c>
      <c r="AA136" s="7" t="s">
        <v>622</v>
      </c>
      <c r="AB136" s="7" t="s">
        <v>638</v>
      </c>
      <c r="AC136" s="7"/>
      <c r="AD136" s="7"/>
      <c r="AE136" s="7"/>
      <c r="AF136" s="7"/>
      <c r="AG136" s="7"/>
      <c r="AH136" s="7"/>
      <c r="AI136" s="7" t="s">
        <v>611</v>
      </c>
      <c r="AJ136" s="7" t="s">
        <v>623</v>
      </c>
      <c r="AK136" s="7">
        <v>10</v>
      </c>
      <c r="AL136" s="7">
        <v>9</v>
      </c>
      <c r="AM136" s="7" t="s">
        <v>624</v>
      </c>
      <c r="AN136" s="7" t="s">
        <v>625</v>
      </c>
      <c r="AO136" s="7" t="s">
        <v>626</v>
      </c>
      <c r="AP136" s="7" t="s">
        <v>627</v>
      </c>
      <c r="AQ136" s="7" t="s">
        <v>617</v>
      </c>
      <c r="AR136" s="7"/>
      <c r="AS136" s="7"/>
      <c r="AT136" s="7"/>
      <c r="AU136" s="6">
        <v>91002</v>
      </c>
      <c r="AV136" s="6" t="s">
        <v>255</v>
      </c>
      <c r="AW136" s="7"/>
      <c r="AX136" s="7"/>
      <c r="AY136" s="7"/>
      <c r="AZ136" s="7"/>
      <c r="BA136" s="6">
        <v>1214</v>
      </c>
      <c r="BB136" s="6" t="s">
        <v>628</v>
      </c>
      <c r="BC136" s="7"/>
      <c r="BD136" s="7"/>
      <c r="BE136" s="7"/>
      <c r="BF136" s="7"/>
      <c r="BG136" s="7">
        <v>0</v>
      </c>
      <c r="BH136" s="7">
        <v>0</v>
      </c>
      <c r="BI136" s="7">
        <v>0</v>
      </c>
      <c r="BJ136" s="7">
        <v>10</v>
      </c>
      <c r="BK136" s="7">
        <v>0</v>
      </c>
      <c r="BL136" s="7">
        <v>10</v>
      </c>
      <c r="BM136" s="7"/>
      <c r="BN136" s="7">
        <v>0</v>
      </c>
      <c r="BO136" s="7"/>
      <c r="BP136" s="7"/>
      <c r="BQ136" s="7">
        <v>0</v>
      </c>
      <c r="BR136" s="7">
        <v>380</v>
      </c>
      <c r="BS136" s="7" t="s">
        <v>629</v>
      </c>
      <c r="BT136" s="7"/>
      <c r="BU136" s="7"/>
      <c r="BV136" s="7">
        <v>0</v>
      </c>
      <c r="BW136" s="7"/>
      <c r="BX136" s="7"/>
      <c r="BY136" s="7">
        <v>10001</v>
      </c>
      <c r="BZ136" s="7" t="s">
        <v>1414</v>
      </c>
      <c r="CA136" s="7"/>
      <c r="CB136" s="7"/>
      <c r="CC136" s="7"/>
      <c r="CD136" s="7"/>
      <c r="CE136" s="7"/>
      <c r="CF136" s="7"/>
      <c r="CG136" s="7"/>
      <c r="CH136" s="7">
        <v>3567</v>
      </c>
      <c r="CI136" s="7" t="s">
        <v>1178</v>
      </c>
      <c r="CJ136" s="7"/>
      <c r="CK136" s="7"/>
      <c r="CL136" s="7"/>
      <c r="CM136" s="7"/>
      <c r="CN136" s="7">
        <v>0</v>
      </c>
      <c r="CO136" s="7"/>
      <c r="CP136" s="7"/>
      <c r="CQ136" s="7"/>
      <c r="CR136" s="7"/>
      <c r="CS136" s="7">
        <v>0</v>
      </c>
      <c r="CT136" s="7"/>
      <c r="CU136" s="7"/>
      <c r="CV136" s="7" t="s">
        <v>1249</v>
      </c>
      <c r="CW136" s="7" t="s">
        <v>382</v>
      </c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</row>
    <row r="137" spans="1:118" ht="13.5" customHeight="1">
      <c r="A137" s="7">
        <v>125</v>
      </c>
      <c r="B137" s="7"/>
      <c r="C137" s="7"/>
      <c r="D137" s="7"/>
      <c r="E137" s="6" t="s">
        <v>384</v>
      </c>
      <c r="F137" s="6"/>
      <c r="G137" s="6">
        <v>353201</v>
      </c>
      <c r="H137" s="7" t="s">
        <v>613</v>
      </c>
      <c r="I137" s="7">
        <v>40</v>
      </c>
      <c r="J137" s="6" t="s">
        <v>386</v>
      </c>
      <c r="K137" s="7">
        <v>49</v>
      </c>
      <c r="L137" s="7" t="s">
        <v>1250</v>
      </c>
      <c r="M137" s="7">
        <v>31</v>
      </c>
      <c r="N137" s="7" t="s">
        <v>1251</v>
      </c>
      <c r="O137" s="7">
        <v>19</v>
      </c>
      <c r="P137" s="7" t="s">
        <v>1252</v>
      </c>
      <c r="Q137" s="7">
        <v>19</v>
      </c>
      <c r="R137" s="7" t="s">
        <v>1252</v>
      </c>
      <c r="S137" s="7" t="s">
        <v>617</v>
      </c>
      <c r="T137" s="7" t="s">
        <v>1211</v>
      </c>
      <c r="U137" s="28"/>
      <c r="V137" s="7">
        <v>36</v>
      </c>
      <c r="W137" s="7" t="s">
        <v>1015</v>
      </c>
      <c r="X137" s="28"/>
      <c r="Y137" s="7" t="s">
        <v>1212</v>
      </c>
      <c r="Z137" s="7" t="s">
        <v>621</v>
      </c>
      <c r="AA137" s="7" t="s">
        <v>622</v>
      </c>
      <c r="AB137" s="7" t="s">
        <v>638</v>
      </c>
      <c r="AC137" s="7"/>
      <c r="AD137" s="7"/>
      <c r="AE137" s="7"/>
      <c r="AF137" s="7"/>
      <c r="AG137" s="7"/>
      <c r="AH137" s="7"/>
      <c r="AI137" s="7" t="s">
        <v>611</v>
      </c>
      <c r="AJ137" s="7" t="s">
        <v>623</v>
      </c>
      <c r="AK137" s="7">
        <v>10</v>
      </c>
      <c r="AL137" s="7">
        <v>9</v>
      </c>
      <c r="AM137" s="7" t="s">
        <v>624</v>
      </c>
      <c r="AN137" s="7" t="s">
        <v>625</v>
      </c>
      <c r="AO137" s="7" t="s">
        <v>626</v>
      </c>
      <c r="AP137" s="7" t="s">
        <v>627</v>
      </c>
      <c r="AQ137" s="7" t="s">
        <v>617</v>
      </c>
      <c r="AR137" s="7"/>
      <c r="AS137" s="7"/>
      <c r="AT137" s="7"/>
      <c r="AU137" s="6">
        <v>91002</v>
      </c>
      <c r="AV137" s="6" t="s">
        <v>255</v>
      </c>
      <c r="AW137" s="7"/>
      <c r="AX137" s="7"/>
      <c r="AY137" s="7"/>
      <c r="AZ137" s="7"/>
      <c r="BA137" s="6">
        <v>1214</v>
      </c>
      <c r="BB137" s="6" t="s">
        <v>628</v>
      </c>
      <c r="BC137" s="7"/>
      <c r="BD137" s="7"/>
      <c r="BE137" s="7"/>
      <c r="BF137" s="7"/>
      <c r="BG137" s="7">
        <v>0</v>
      </c>
      <c r="BH137" s="7">
        <v>0</v>
      </c>
      <c r="BI137" s="7">
        <v>0</v>
      </c>
      <c r="BJ137" s="7">
        <v>10</v>
      </c>
      <c r="BK137" s="7">
        <v>0</v>
      </c>
      <c r="BL137" s="7">
        <v>10</v>
      </c>
      <c r="BM137" s="7"/>
      <c r="BN137" s="7">
        <v>0</v>
      </c>
      <c r="BO137" s="7"/>
      <c r="BP137" s="7"/>
      <c r="BQ137" s="7">
        <v>0</v>
      </c>
      <c r="BR137" s="7">
        <v>380</v>
      </c>
      <c r="BS137" s="7" t="s">
        <v>629</v>
      </c>
      <c r="BT137" s="7"/>
      <c r="BU137" s="7"/>
      <c r="BV137" s="7">
        <v>0</v>
      </c>
      <c r="BW137" s="7"/>
      <c r="BX137" s="7"/>
      <c r="BY137" s="7">
        <v>10001</v>
      </c>
      <c r="BZ137" s="7" t="s">
        <v>1414</v>
      </c>
      <c r="CA137" s="7"/>
      <c r="CB137" s="7"/>
      <c r="CC137" s="7"/>
      <c r="CD137" s="7"/>
      <c r="CE137" s="7"/>
      <c r="CF137" s="7"/>
      <c r="CG137" s="7"/>
      <c r="CH137" s="7">
        <v>3567</v>
      </c>
      <c r="CI137" s="7" t="s">
        <v>1178</v>
      </c>
      <c r="CJ137" s="7"/>
      <c r="CK137" s="7"/>
      <c r="CL137" s="7"/>
      <c r="CM137" s="7"/>
      <c r="CN137" s="7">
        <v>0</v>
      </c>
      <c r="CO137" s="7"/>
      <c r="CP137" s="7"/>
      <c r="CQ137" s="7"/>
      <c r="CR137" s="7"/>
      <c r="CS137" s="7">
        <v>0</v>
      </c>
      <c r="CT137" s="7"/>
      <c r="CU137" s="7"/>
      <c r="CV137" s="7" t="s">
        <v>1253</v>
      </c>
      <c r="CW137" s="7" t="s">
        <v>385</v>
      </c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</row>
    <row r="138" spans="1:118" ht="13.5" customHeight="1">
      <c r="A138" s="7">
        <v>126</v>
      </c>
      <c r="B138" s="7"/>
      <c r="C138" s="7"/>
      <c r="D138" s="7"/>
      <c r="E138" s="6" t="s">
        <v>388</v>
      </c>
      <c r="F138" s="6"/>
      <c r="G138" s="6">
        <v>353202</v>
      </c>
      <c r="H138" s="7" t="s">
        <v>613</v>
      </c>
      <c r="I138" s="7">
        <v>20</v>
      </c>
      <c r="J138" s="6" t="s">
        <v>390</v>
      </c>
      <c r="K138" s="7">
        <v>31</v>
      </c>
      <c r="L138" s="7" t="s">
        <v>1254</v>
      </c>
      <c r="M138" s="7">
        <v>21</v>
      </c>
      <c r="N138" s="7" t="s">
        <v>1255</v>
      </c>
      <c r="O138" s="7">
        <v>14</v>
      </c>
      <c r="P138" s="7" t="s">
        <v>1256</v>
      </c>
      <c r="Q138" s="7">
        <v>14</v>
      </c>
      <c r="R138" s="7" t="s">
        <v>1256</v>
      </c>
      <c r="S138" s="7" t="s">
        <v>617</v>
      </c>
      <c r="T138" s="7" t="s">
        <v>1257</v>
      </c>
      <c r="U138" s="28"/>
      <c r="V138" s="7">
        <v>12</v>
      </c>
      <c r="W138" s="7" t="s">
        <v>1258</v>
      </c>
      <c r="X138" s="28"/>
      <c r="Y138" s="7" t="s">
        <v>1259</v>
      </c>
      <c r="Z138" s="7" t="s">
        <v>621</v>
      </c>
      <c r="AA138" s="7" t="s">
        <v>622</v>
      </c>
      <c r="AB138" s="7" t="s">
        <v>638</v>
      </c>
      <c r="AC138" s="7"/>
      <c r="AD138" s="7"/>
      <c r="AE138" s="7"/>
      <c r="AF138" s="7"/>
      <c r="AG138" s="7"/>
      <c r="AH138" s="7"/>
      <c r="AI138" s="7" t="s">
        <v>611</v>
      </c>
      <c r="AJ138" s="7" t="s">
        <v>623</v>
      </c>
      <c r="AK138" s="7">
        <v>10</v>
      </c>
      <c r="AL138" s="7">
        <v>9</v>
      </c>
      <c r="AM138" s="7" t="s">
        <v>624</v>
      </c>
      <c r="AN138" s="7" t="s">
        <v>625</v>
      </c>
      <c r="AO138" s="7" t="s">
        <v>626</v>
      </c>
      <c r="AP138" s="7" t="s">
        <v>627</v>
      </c>
      <c r="AQ138" s="7" t="s">
        <v>617</v>
      </c>
      <c r="AR138" s="7"/>
      <c r="AS138" s="7"/>
      <c r="AT138" s="7"/>
      <c r="AU138" s="6">
        <v>91019</v>
      </c>
      <c r="AV138" s="6" t="s">
        <v>387</v>
      </c>
      <c r="AW138" s="7"/>
      <c r="AX138" s="7"/>
      <c r="AY138" s="7"/>
      <c r="AZ138" s="7"/>
      <c r="BA138" s="6">
        <v>1214</v>
      </c>
      <c r="BB138" s="6" t="s">
        <v>628</v>
      </c>
      <c r="BC138" s="7"/>
      <c r="BD138" s="7"/>
      <c r="BE138" s="7"/>
      <c r="BF138" s="7"/>
      <c r="BG138" s="7">
        <v>0</v>
      </c>
      <c r="BH138" s="7">
        <v>0</v>
      </c>
      <c r="BI138" s="7">
        <v>0</v>
      </c>
      <c r="BJ138" s="7">
        <v>10</v>
      </c>
      <c r="BK138" s="7">
        <v>0</v>
      </c>
      <c r="BL138" s="7">
        <v>10</v>
      </c>
      <c r="BM138" s="7"/>
      <c r="BN138" s="7">
        <v>0</v>
      </c>
      <c r="BO138" s="7"/>
      <c r="BP138" s="7"/>
      <c r="BQ138" s="7">
        <v>0</v>
      </c>
      <c r="BR138" s="7">
        <v>380</v>
      </c>
      <c r="BS138" s="7" t="s">
        <v>629</v>
      </c>
      <c r="BT138" s="7"/>
      <c r="BU138" s="7"/>
      <c r="BV138" s="7">
        <v>0</v>
      </c>
      <c r="BW138" s="7"/>
      <c r="BX138" s="7"/>
      <c r="BY138" s="7">
        <v>10001</v>
      </c>
      <c r="BZ138" s="7" t="s">
        <v>1414</v>
      </c>
      <c r="CA138" s="7"/>
      <c r="CB138" s="7"/>
      <c r="CC138" s="7"/>
      <c r="CD138" s="7"/>
      <c r="CE138" s="7"/>
      <c r="CF138" s="7"/>
      <c r="CG138" s="7"/>
      <c r="CH138" s="7">
        <v>3567</v>
      </c>
      <c r="CI138" s="7" t="s">
        <v>1178</v>
      </c>
      <c r="CJ138" s="7"/>
      <c r="CK138" s="7"/>
      <c r="CL138" s="7"/>
      <c r="CM138" s="7"/>
      <c r="CN138" s="7">
        <v>0</v>
      </c>
      <c r="CO138" s="7"/>
      <c r="CP138" s="7"/>
      <c r="CQ138" s="7"/>
      <c r="CR138" s="7"/>
      <c r="CS138" s="7">
        <v>0</v>
      </c>
      <c r="CT138" s="7"/>
      <c r="CU138" s="7"/>
      <c r="CV138" s="7" t="s">
        <v>1260</v>
      </c>
      <c r="CW138" s="7" t="s">
        <v>389</v>
      </c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</row>
    <row r="139" spans="1:118" ht="13.5" customHeight="1">
      <c r="A139" s="7">
        <v>127</v>
      </c>
      <c r="B139" s="7"/>
      <c r="C139" s="7"/>
      <c r="D139" s="7"/>
      <c r="E139" s="7" t="s">
        <v>391</v>
      </c>
      <c r="F139" s="7"/>
      <c r="G139" s="7">
        <v>353075</v>
      </c>
      <c r="H139" s="7" t="s">
        <v>613</v>
      </c>
      <c r="I139" s="7">
        <v>33</v>
      </c>
      <c r="J139" s="7" t="s">
        <v>393</v>
      </c>
      <c r="K139" s="7">
        <v>35</v>
      </c>
      <c r="L139" s="7" t="s">
        <v>1261</v>
      </c>
      <c r="M139" s="7">
        <v>24</v>
      </c>
      <c r="N139" s="7" t="s">
        <v>1262</v>
      </c>
      <c r="O139" s="7">
        <v>16</v>
      </c>
      <c r="P139" s="7" t="s">
        <v>1263</v>
      </c>
      <c r="Q139" s="7">
        <v>16</v>
      </c>
      <c r="R139" s="7" t="s">
        <v>1263</v>
      </c>
      <c r="S139" s="7" t="s">
        <v>617</v>
      </c>
      <c r="T139" s="7" t="s">
        <v>1264</v>
      </c>
      <c r="U139" s="28"/>
      <c r="V139" s="7">
        <v>4</v>
      </c>
      <c r="W139" s="7" t="s">
        <v>1265</v>
      </c>
      <c r="X139" s="28"/>
      <c r="Y139" s="7" t="s">
        <v>1266</v>
      </c>
      <c r="Z139" s="7" t="s">
        <v>621</v>
      </c>
      <c r="AA139" s="7" t="s">
        <v>622</v>
      </c>
      <c r="AB139" s="7" t="s">
        <v>638</v>
      </c>
      <c r="AC139" s="7"/>
      <c r="AD139" s="7"/>
      <c r="AE139" s="7"/>
      <c r="AF139" s="7"/>
      <c r="AG139" s="7"/>
      <c r="AH139" s="7"/>
      <c r="AI139" s="7" t="s">
        <v>611</v>
      </c>
      <c r="AJ139" s="7" t="s">
        <v>623</v>
      </c>
      <c r="AK139" s="7">
        <v>10</v>
      </c>
      <c r="AL139" s="7">
        <v>9</v>
      </c>
      <c r="AM139" s="7" t="s">
        <v>624</v>
      </c>
      <c r="AN139" s="7" t="s">
        <v>625</v>
      </c>
      <c r="AO139" s="7" t="s">
        <v>626</v>
      </c>
      <c r="AP139" s="7" t="s">
        <v>627</v>
      </c>
      <c r="AQ139" s="7" t="s">
        <v>617</v>
      </c>
      <c r="AR139" s="7"/>
      <c r="AS139" s="7"/>
      <c r="AT139" s="7"/>
      <c r="AU139" s="6">
        <v>91003</v>
      </c>
      <c r="AV139" s="6" t="s">
        <v>5</v>
      </c>
      <c r="AW139" s="7"/>
      <c r="AX139" s="7"/>
      <c r="AY139" s="7"/>
      <c r="AZ139" s="7"/>
      <c r="BA139" s="6">
        <v>1214</v>
      </c>
      <c r="BB139" s="6" t="s">
        <v>628</v>
      </c>
      <c r="BC139" s="7"/>
      <c r="BD139" s="7"/>
      <c r="BE139" s="7"/>
      <c r="BF139" s="7"/>
      <c r="BG139" s="7">
        <v>0</v>
      </c>
      <c r="BH139" s="7">
        <v>0</v>
      </c>
      <c r="BI139" s="7">
        <v>0</v>
      </c>
      <c r="BJ139" s="7">
        <v>10</v>
      </c>
      <c r="BK139" s="7">
        <v>0</v>
      </c>
      <c r="BL139" s="7">
        <v>10</v>
      </c>
      <c r="BM139" s="7"/>
      <c r="BN139" s="7">
        <v>0</v>
      </c>
      <c r="BO139" s="7"/>
      <c r="BP139" s="7"/>
      <c r="BQ139" s="7">
        <v>0</v>
      </c>
      <c r="BR139" s="7">
        <v>380</v>
      </c>
      <c r="BS139" s="7" t="s">
        <v>629</v>
      </c>
      <c r="BT139" s="7"/>
      <c r="BU139" s="7"/>
      <c r="BV139" s="7">
        <v>0</v>
      </c>
      <c r="BW139" s="7"/>
      <c r="BX139" s="7"/>
      <c r="BY139" s="7">
        <v>10001</v>
      </c>
      <c r="BZ139" s="7" t="s">
        <v>1414</v>
      </c>
      <c r="CA139" s="7"/>
      <c r="CB139" s="7"/>
      <c r="CC139" s="7"/>
      <c r="CD139" s="7"/>
      <c r="CE139" s="7"/>
      <c r="CF139" s="7"/>
      <c r="CG139" s="7"/>
      <c r="CH139" s="7">
        <v>3566</v>
      </c>
      <c r="CI139" s="7" t="s">
        <v>1267</v>
      </c>
      <c r="CJ139" s="7"/>
      <c r="CK139" s="7"/>
      <c r="CL139" s="7"/>
      <c r="CM139" s="7"/>
      <c r="CN139" s="7">
        <v>0</v>
      </c>
      <c r="CO139" s="7"/>
      <c r="CP139" s="7"/>
      <c r="CQ139" s="7"/>
      <c r="CR139" s="7"/>
      <c r="CS139" s="7">
        <v>0</v>
      </c>
      <c r="CT139" s="7"/>
      <c r="CU139" s="7"/>
      <c r="CV139" s="7" t="s">
        <v>1268</v>
      </c>
      <c r="CW139" s="7" t="s">
        <v>392</v>
      </c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</row>
    <row r="140" spans="1:118" ht="13.5" customHeight="1">
      <c r="A140" s="7">
        <v>128</v>
      </c>
      <c r="B140" s="7"/>
      <c r="C140" s="7"/>
      <c r="D140" s="7"/>
      <c r="E140" s="7" t="s">
        <v>394</v>
      </c>
      <c r="F140" s="7"/>
      <c r="G140" s="7">
        <v>353076</v>
      </c>
      <c r="H140" s="7" t="s">
        <v>613</v>
      </c>
      <c r="I140" s="7">
        <v>29</v>
      </c>
      <c r="J140" s="7" t="s">
        <v>396</v>
      </c>
      <c r="K140" s="7">
        <v>33</v>
      </c>
      <c r="L140" s="7" t="s">
        <v>1269</v>
      </c>
      <c r="M140" s="7">
        <v>22</v>
      </c>
      <c r="N140" s="7" t="s">
        <v>1270</v>
      </c>
      <c r="O140" s="7">
        <v>14</v>
      </c>
      <c r="P140" s="7" t="s">
        <v>1271</v>
      </c>
      <c r="Q140" s="7">
        <v>14</v>
      </c>
      <c r="R140" s="7" t="s">
        <v>1271</v>
      </c>
      <c r="S140" s="7" t="s">
        <v>617</v>
      </c>
      <c r="T140" s="7" t="s">
        <v>1272</v>
      </c>
      <c r="U140" s="28"/>
      <c r="V140" s="7">
        <v>4</v>
      </c>
      <c r="W140" s="7" t="s">
        <v>763</v>
      </c>
      <c r="X140" s="28"/>
      <c r="Y140" s="7" t="s">
        <v>1273</v>
      </c>
      <c r="Z140" s="7" t="s">
        <v>621</v>
      </c>
      <c r="AA140" s="7" t="s">
        <v>622</v>
      </c>
      <c r="AB140" s="7" t="s">
        <v>638</v>
      </c>
      <c r="AC140" s="7"/>
      <c r="AD140" s="7"/>
      <c r="AE140" s="7"/>
      <c r="AF140" s="7"/>
      <c r="AG140" s="7"/>
      <c r="AH140" s="7"/>
      <c r="AI140" s="7" t="s">
        <v>611</v>
      </c>
      <c r="AJ140" s="7" t="s">
        <v>623</v>
      </c>
      <c r="AK140" s="7">
        <v>10</v>
      </c>
      <c r="AL140" s="7">
        <v>9</v>
      </c>
      <c r="AM140" s="7" t="s">
        <v>624</v>
      </c>
      <c r="AN140" s="7" t="s">
        <v>625</v>
      </c>
      <c r="AO140" s="7" t="s">
        <v>626</v>
      </c>
      <c r="AP140" s="7" t="s">
        <v>627</v>
      </c>
      <c r="AQ140" s="7" t="s">
        <v>617</v>
      </c>
      <c r="AR140" s="7"/>
      <c r="AS140" s="7"/>
      <c r="AT140" s="7"/>
      <c r="AU140" s="6">
        <v>91003</v>
      </c>
      <c r="AV140" s="6" t="s">
        <v>5</v>
      </c>
      <c r="AW140" s="7"/>
      <c r="AX140" s="7"/>
      <c r="AY140" s="7"/>
      <c r="AZ140" s="7"/>
      <c r="BA140" s="6">
        <v>1214</v>
      </c>
      <c r="BB140" s="6" t="s">
        <v>628</v>
      </c>
      <c r="BC140" s="7"/>
      <c r="BD140" s="7"/>
      <c r="BE140" s="7"/>
      <c r="BF140" s="7"/>
      <c r="BG140" s="7">
        <v>0</v>
      </c>
      <c r="BH140" s="7">
        <v>0</v>
      </c>
      <c r="BI140" s="7">
        <v>0</v>
      </c>
      <c r="BJ140" s="7">
        <v>10</v>
      </c>
      <c r="BK140" s="7">
        <v>0</v>
      </c>
      <c r="BL140" s="7">
        <v>10</v>
      </c>
      <c r="BM140" s="7"/>
      <c r="BN140" s="7">
        <v>0</v>
      </c>
      <c r="BO140" s="7"/>
      <c r="BP140" s="7"/>
      <c r="BQ140" s="7">
        <v>0</v>
      </c>
      <c r="BR140" s="7">
        <v>380</v>
      </c>
      <c r="BS140" s="7" t="s">
        <v>629</v>
      </c>
      <c r="BT140" s="7"/>
      <c r="BU140" s="7"/>
      <c r="BV140" s="7">
        <v>0</v>
      </c>
      <c r="BW140" s="7"/>
      <c r="BX140" s="7"/>
      <c r="BY140" s="7">
        <v>10001</v>
      </c>
      <c r="BZ140" s="7" t="s">
        <v>1414</v>
      </c>
      <c r="CA140" s="7"/>
      <c r="CB140" s="7"/>
      <c r="CC140" s="7"/>
      <c r="CD140" s="7"/>
      <c r="CE140" s="7"/>
      <c r="CF140" s="7"/>
      <c r="CG140" s="7"/>
      <c r="CH140" s="7">
        <v>3566</v>
      </c>
      <c r="CI140" s="7" t="s">
        <v>1267</v>
      </c>
      <c r="CJ140" s="7"/>
      <c r="CK140" s="7"/>
      <c r="CL140" s="7"/>
      <c r="CM140" s="7"/>
      <c r="CN140" s="7">
        <v>0</v>
      </c>
      <c r="CO140" s="7"/>
      <c r="CP140" s="7"/>
      <c r="CQ140" s="7"/>
      <c r="CR140" s="7"/>
      <c r="CS140" s="7">
        <v>0</v>
      </c>
      <c r="CT140" s="7"/>
      <c r="CU140" s="7"/>
      <c r="CV140" s="7" t="s">
        <v>1274</v>
      </c>
      <c r="CW140" s="7" t="s">
        <v>395</v>
      </c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</row>
    <row r="141" spans="1:118" ht="13.5" customHeight="1">
      <c r="A141" s="7">
        <v>129</v>
      </c>
      <c r="B141" s="7"/>
      <c r="C141" s="7"/>
      <c r="D141" s="7"/>
      <c r="E141" s="7" t="s">
        <v>397</v>
      </c>
      <c r="F141" s="7"/>
      <c r="G141" s="7">
        <v>353077</v>
      </c>
      <c r="H141" s="7" t="s">
        <v>613</v>
      </c>
      <c r="I141" s="7">
        <v>37</v>
      </c>
      <c r="J141" s="7" t="s">
        <v>399</v>
      </c>
      <c r="K141" s="7">
        <v>38</v>
      </c>
      <c r="L141" s="7" t="s">
        <v>1275</v>
      </c>
      <c r="M141" s="7">
        <v>27</v>
      </c>
      <c r="N141" s="7" t="s">
        <v>1276</v>
      </c>
      <c r="O141" s="7">
        <v>19</v>
      </c>
      <c r="P141" s="7" t="s">
        <v>1277</v>
      </c>
      <c r="Q141" s="7">
        <v>19</v>
      </c>
      <c r="R141" s="7" t="s">
        <v>1277</v>
      </c>
      <c r="S141" s="7" t="s">
        <v>617</v>
      </c>
      <c r="T141" s="7" t="s">
        <v>1278</v>
      </c>
      <c r="U141" s="28"/>
      <c r="V141" s="7">
        <v>4</v>
      </c>
      <c r="W141" s="7" t="s">
        <v>1279</v>
      </c>
      <c r="X141" s="28"/>
      <c r="Y141" s="7" t="s">
        <v>1280</v>
      </c>
      <c r="Z141" s="7" t="s">
        <v>621</v>
      </c>
      <c r="AA141" s="7" t="s">
        <v>622</v>
      </c>
      <c r="AB141" s="7" t="s">
        <v>638</v>
      </c>
      <c r="AC141" s="7"/>
      <c r="AD141" s="7"/>
      <c r="AE141" s="7"/>
      <c r="AF141" s="7"/>
      <c r="AG141" s="7"/>
      <c r="AH141" s="7"/>
      <c r="AI141" s="7" t="s">
        <v>611</v>
      </c>
      <c r="AJ141" s="7" t="s">
        <v>623</v>
      </c>
      <c r="AK141" s="7">
        <v>10</v>
      </c>
      <c r="AL141" s="7">
        <v>9</v>
      </c>
      <c r="AM141" s="7" t="s">
        <v>624</v>
      </c>
      <c r="AN141" s="7" t="s">
        <v>625</v>
      </c>
      <c r="AO141" s="7" t="s">
        <v>626</v>
      </c>
      <c r="AP141" s="7" t="s">
        <v>627</v>
      </c>
      <c r="AQ141" s="7" t="s">
        <v>617</v>
      </c>
      <c r="AR141" s="7"/>
      <c r="AS141" s="7"/>
      <c r="AT141" s="7"/>
      <c r="AU141" s="6">
        <v>91003</v>
      </c>
      <c r="AV141" s="6" t="s">
        <v>5</v>
      </c>
      <c r="AW141" s="7"/>
      <c r="AX141" s="7"/>
      <c r="AY141" s="7"/>
      <c r="AZ141" s="7"/>
      <c r="BA141" s="6">
        <v>1214</v>
      </c>
      <c r="BB141" s="6" t="s">
        <v>628</v>
      </c>
      <c r="BC141" s="7"/>
      <c r="BD141" s="7"/>
      <c r="BE141" s="7"/>
      <c r="BF141" s="7"/>
      <c r="BG141" s="7">
        <v>0</v>
      </c>
      <c r="BH141" s="7">
        <v>0</v>
      </c>
      <c r="BI141" s="7">
        <v>0</v>
      </c>
      <c r="BJ141" s="7">
        <v>10</v>
      </c>
      <c r="BK141" s="7">
        <v>0</v>
      </c>
      <c r="BL141" s="7">
        <v>10</v>
      </c>
      <c r="BM141" s="7"/>
      <c r="BN141" s="7">
        <v>0</v>
      </c>
      <c r="BO141" s="7"/>
      <c r="BP141" s="7"/>
      <c r="BQ141" s="7">
        <v>0</v>
      </c>
      <c r="BR141" s="7">
        <v>380</v>
      </c>
      <c r="BS141" s="7" t="s">
        <v>629</v>
      </c>
      <c r="BT141" s="7"/>
      <c r="BU141" s="7"/>
      <c r="BV141" s="7">
        <v>0</v>
      </c>
      <c r="BW141" s="7"/>
      <c r="BX141" s="7"/>
      <c r="BY141" s="7">
        <v>10001</v>
      </c>
      <c r="BZ141" s="7" t="s">
        <v>1414</v>
      </c>
      <c r="CA141" s="7"/>
      <c r="CB141" s="7"/>
      <c r="CC141" s="7"/>
      <c r="CD141" s="7"/>
      <c r="CE141" s="7"/>
      <c r="CF141" s="7"/>
      <c r="CG141" s="7"/>
      <c r="CH141" s="7">
        <v>3566</v>
      </c>
      <c r="CI141" s="7" t="s">
        <v>1267</v>
      </c>
      <c r="CJ141" s="7"/>
      <c r="CK141" s="7"/>
      <c r="CL141" s="7"/>
      <c r="CM141" s="7"/>
      <c r="CN141" s="7">
        <v>0</v>
      </c>
      <c r="CO141" s="7"/>
      <c r="CP141" s="7"/>
      <c r="CQ141" s="7"/>
      <c r="CR141" s="7"/>
      <c r="CS141" s="7">
        <v>0</v>
      </c>
      <c r="CT141" s="7"/>
      <c r="CU141" s="7"/>
      <c r="CV141" s="7" t="s">
        <v>1281</v>
      </c>
      <c r="CW141" s="7" t="s">
        <v>398</v>
      </c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</row>
    <row r="142" spans="1:118" ht="13.5" customHeight="1">
      <c r="A142" s="7">
        <v>130</v>
      </c>
      <c r="B142" s="7"/>
      <c r="C142" s="7"/>
      <c r="D142" s="7"/>
      <c r="E142" s="7" t="s">
        <v>400</v>
      </c>
      <c r="F142" s="7"/>
      <c r="G142" s="7">
        <v>353078</v>
      </c>
      <c r="H142" s="7" t="s">
        <v>613</v>
      </c>
      <c r="I142" s="7">
        <v>26</v>
      </c>
      <c r="J142" s="7" t="s">
        <v>402</v>
      </c>
      <c r="K142" s="7">
        <v>29</v>
      </c>
      <c r="L142" s="7" t="s">
        <v>1282</v>
      </c>
      <c r="M142" s="7">
        <v>18</v>
      </c>
      <c r="N142" s="7" t="s">
        <v>1283</v>
      </c>
      <c r="O142" s="7">
        <v>10</v>
      </c>
      <c r="P142" s="7" t="s">
        <v>1284</v>
      </c>
      <c r="Q142" s="7">
        <v>10</v>
      </c>
      <c r="R142" s="7" t="s">
        <v>1284</v>
      </c>
      <c r="S142" s="7" t="s">
        <v>617</v>
      </c>
      <c r="T142" s="7" t="s">
        <v>1285</v>
      </c>
      <c r="U142" s="28"/>
      <c r="V142" s="7">
        <v>4</v>
      </c>
      <c r="W142" s="7" t="s">
        <v>1286</v>
      </c>
      <c r="X142" s="28"/>
      <c r="Y142" s="7" t="s">
        <v>1287</v>
      </c>
      <c r="Z142" s="7" t="s">
        <v>621</v>
      </c>
      <c r="AA142" s="7" t="s">
        <v>622</v>
      </c>
      <c r="AB142" s="7" t="s">
        <v>638</v>
      </c>
      <c r="AC142" s="7"/>
      <c r="AD142" s="7"/>
      <c r="AE142" s="7"/>
      <c r="AF142" s="7"/>
      <c r="AG142" s="7"/>
      <c r="AH142" s="7"/>
      <c r="AI142" s="7" t="s">
        <v>611</v>
      </c>
      <c r="AJ142" s="7" t="s">
        <v>623</v>
      </c>
      <c r="AK142" s="7">
        <v>10</v>
      </c>
      <c r="AL142" s="7">
        <v>9</v>
      </c>
      <c r="AM142" s="7" t="s">
        <v>624</v>
      </c>
      <c r="AN142" s="7" t="s">
        <v>625</v>
      </c>
      <c r="AO142" s="7" t="s">
        <v>626</v>
      </c>
      <c r="AP142" s="7" t="s">
        <v>627</v>
      </c>
      <c r="AQ142" s="7" t="s">
        <v>617</v>
      </c>
      <c r="AR142" s="7"/>
      <c r="AS142" s="7"/>
      <c r="AT142" s="7"/>
      <c r="AU142" s="6">
        <v>91003</v>
      </c>
      <c r="AV142" s="6" t="s">
        <v>5</v>
      </c>
      <c r="AW142" s="7"/>
      <c r="AX142" s="7"/>
      <c r="AY142" s="7"/>
      <c r="AZ142" s="7"/>
      <c r="BA142" s="6">
        <v>1214</v>
      </c>
      <c r="BB142" s="6" t="s">
        <v>628</v>
      </c>
      <c r="BC142" s="7"/>
      <c r="BD142" s="7"/>
      <c r="BE142" s="7"/>
      <c r="BF142" s="7"/>
      <c r="BG142" s="7">
        <v>0</v>
      </c>
      <c r="BH142" s="7">
        <v>0</v>
      </c>
      <c r="BI142" s="7">
        <v>0</v>
      </c>
      <c r="BJ142" s="7">
        <v>10</v>
      </c>
      <c r="BK142" s="7">
        <v>0</v>
      </c>
      <c r="BL142" s="7">
        <v>10</v>
      </c>
      <c r="BM142" s="7"/>
      <c r="BN142" s="7">
        <v>0</v>
      </c>
      <c r="BO142" s="7"/>
      <c r="BP142" s="7"/>
      <c r="BQ142" s="7">
        <v>0</v>
      </c>
      <c r="BR142" s="7">
        <v>380</v>
      </c>
      <c r="BS142" s="7" t="s">
        <v>629</v>
      </c>
      <c r="BT142" s="7"/>
      <c r="BU142" s="7"/>
      <c r="BV142" s="7">
        <v>0</v>
      </c>
      <c r="BW142" s="7"/>
      <c r="BX142" s="7"/>
      <c r="BY142" s="7">
        <v>10001</v>
      </c>
      <c r="BZ142" s="7" t="s">
        <v>1414</v>
      </c>
      <c r="CA142" s="7"/>
      <c r="CB142" s="7"/>
      <c r="CC142" s="7"/>
      <c r="CD142" s="7"/>
      <c r="CE142" s="7"/>
      <c r="CF142" s="7"/>
      <c r="CG142" s="7"/>
      <c r="CH142" s="7">
        <v>3566</v>
      </c>
      <c r="CI142" s="7" t="s">
        <v>1267</v>
      </c>
      <c r="CJ142" s="7"/>
      <c r="CK142" s="7"/>
      <c r="CL142" s="7"/>
      <c r="CM142" s="7"/>
      <c r="CN142" s="7">
        <v>0</v>
      </c>
      <c r="CO142" s="7"/>
      <c r="CP142" s="7"/>
      <c r="CQ142" s="7"/>
      <c r="CR142" s="7"/>
      <c r="CS142" s="7">
        <v>0</v>
      </c>
      <c r="CT142" s="7"/>
      <c r="CU142" s="7"/>
      <c r="CV142" s="7" t="s">
        <v>1288</v>
      </c>
      <c r="CW142" s="7" t="s">
        <v>401</v>
      </c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</row>
    <row r="143" spans="1:118" ht="13.5" customHeight="1">
      <c r="A143" s="7">
        <v>131</v>
      </c>
      <c r="B143" s="7"/>
      <c r="C143" s="7"/>
      <c r="D143" s="7"/>
      <c r="E143" s="7" t="s">
        <v>403</v>
      </c>
      <c r="F143" s="7"/>
      <c r="G143" s="7">
        <v>353079</v>
      </c>
      <c r="H143" s="7" t="s">
        <v>613</v>
      </c>
      <c r="I143" s="7">
        <v>22</v>
      </c>
      <c r="J143" s="7" t="s">
        <v>405</v>
      </c>
      <c r="K143" s="7">
        <v>27</v>
      </c>
      <c r="L143" s="7" t="s">
        <v>1289</v>
      </c>
      <c r="M143" s="7">
        <v>16</v>
      </c>
      <c r="N143" s="7" t="s">
        <v>1290</v>
      </c>
      <c r="O143" s="7">
        <v>8</v>
      </c>
      <c r="P143" s="7" t="s">
        <v>1291</v>
      </c>
      <c r="Q143" s="7">
        <v>8</v>
      </c>
      <c r="R143" s="7" t="s">
        <v>1291</v>
      </c>
      <c r="S143" s="7" t="s">
        <v>617</v>
      </c>
      <c r="T143" s="7" t="s">
        <v>1292</v>
      </c>
      <c r="U143" s="28"/>
      <c r="V143" s="7">
        <v>4</v>
      </c>
      <c r="W143" s="7" t="s">
        <v>1286</v>
      </c>
      <c r="X143" s="28"/>
      <c r="Y143" s="7" t="s">
        <v>1293</v>
      </c>
      <c r="Z143" s="7" t="s">
        <v>621</v>
      </c>
      <c r="AA143" s="7" t="s">
        <v>622</v>
      </c>
      <c r="AB143" s="7" t="s">
        <v>638</v>
      </c>
      <c r="AC143" s="7"/>
      <c r="AD143" s="7"/>
      <c r="AE143" s="7"/>
      <c r="AF143" s="7"/>
      <c r="AG143" s="7"/>
      <c r="AH143" s="7"/>
      <c r="AI143" s="7" t="s">
        <v>611</v>
      </c>
      <c r="AJ143" s="7" t="s">
        <v>623</v>
      </c>
      <c r="AK143" s="7">
        <v>10</v>
      </c>
      <c r="AL143" s="7">
        <v>9</v>
      </c>
      <c r="AM143" s="7" t="s">
        <v>624</v>
      </c>
      <c r="AN143" s="7" t="s">
        <v>625</v>
      </c>
      <c r="AO143" s="7" t="s">
        <v>626</v>
      </c>
      <c r="AP143" s="7" t="s">
        <v>627</v>
      </c>
      <c r="AQ143" s="7" t="s">
        <v>617</v>
      </c>
      <c r="AR143" s="7"/>
      <c r="AS143" s="7"/>
      <c r="AT143" s="7"/>
      <c r="AU143" s="6">
        <v>91003</v>
      </c>
      <c r="AV143" s="6" t="s">
        <v>5</v>
      </c>
      <c r="AW143" s="7"/>
      <c r="AX143" s="7"/>
      <c r="AY143" s="7"/>
      <c r="AZ143" s="7"/>
      <c r="BA143" s="6">
        <v>1214</v>
      </c>
      <c r="BB143" s="6" t="s">
        <v>628</v>
      </c>
      <c r="BC143" s="7"/>
      <c r="BD143" s="7"/>
      <c r="BE143" s="7"/>
      <c r="BF143" s="7"/>
      <c r="BG143" s="7">
        <v>0</v>
      </c>
      <c r="BH143" s="7">
        <v>0</v>
      </c>
      <c r="BI143" s="7">
        <v>0</v>
      </c>
      <c r="BJ143" s="7">
        <v>10</v>
      </c>
      <c r="BK143" s="7">
        <v>0</v>
      </c>
      <c r="BL143" s="7">
        <v>10</v>
      </c>
      <c r="BM143" s="7"/>
      <c r="BN143" s="7">
        <v>0</v>
      </c>
      <c r="BO143" s="7"/>
      <c r="BP143" s="7"/>
      <c r="BQ143" s="7">
        <v>0</v>
      </c>
      <c r="BR143" s="7">
        <v>380</v>
      </c>
      <c r="BS143" s="7" t="s">
        <v>629</v>
      </c>
      <c r="BT143" s="7"/>
      <c r="BU143" s="7"/>
      <c r="BV143" s="7">
        <v>0</v>
      </c>
      <c r="BW143" s="7"/>
      <c r="BX143" s="7"/>
      <c r="BY143" s="7">
        <v>10001</v>
      </c>
      <c r="BZ143" s="7" t="s">
        <v>1414</v>
      </c>
      <c r="CA143" s="7"/>
      <c r="CB143" s="7"/>
      <c r="CC143" s="7"/>
      <c r="CD143" s="7"/>
      <c r="CE143" s="7"/>
      <c r="CF143" s="7"/>
      <c r="CG143" s="7"/>
      <c r="CH143" s="7">
        <v>3566</v>
      </c>
      <c r="CI143" s="7" t="s">
        <v>1267</v>
      </c>
      <c r="CJ143" s="7"/>
      <c r="CK143" s="7"/>
      <c r="CL143" s="7"/>
      <c r="CM143" s="7"/>
      <c r="CN143" s="7">
        <v>0</v>
      </c>
      <c r="CO143" s="7"/>
      <c r="CP143" s="7"/>
      <c r="CQ143" s="7"/>
      <c r="CR143" s="7"/>
      <c r="CS143" s="7">
        <v>0</v>
      </c>
      <c r="CT143" s="7"/>
      <c r="CU143" s="7"/>
      <c r="CV143" s="7" t="s">
        <v>1294</v>
      </c>
      <c r="CW143" s="7" t="s">
        <v>404</v>
      </c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</row>
    <row r="144" spans="1:118" ht="13.5" customHeight="1">
      <c r="A144" s="7">
        <v>132</v>
      </c>
      <c r="B144" s="7"/>
      <c r="C144" s="7"/>
      <c r="D144" s="7"/>
      <c r="E144" s="7" t="s">
        <v>406</v>
      </c>
      <c r="F144" s="7"/>
      <c r="G144" s="7">
        <v>353080</v>
      </c>
      <c r="H144" s="7" t="s">
        <v>613</v>
      </c>
      <c r="I144" s="7">
        <v>30</v>
      </c>
      <c r="J144" s="7" t="s">
        <v>408</v>
      </c>
      <c r="K144" s="7">
        <v>32</v>
      </c>
      <c r="L144" s="7" t="s">
        <v>1295</v>
      </c>
      <c r="M144" s="7">
        <v>21</v>
      </c>
      <c r="N144" s="7" t="s">
        <v>1296</v>
      </c>
      <c r="O144" s="7">
        <v>13</v>
      </c>
      <c r="P144" s="7" t="s">
        <v>1297</v>
      </c>
      <c r="Q144" s="7">
        <v>13</v>
      </c>
      <c r="R144" s="7" t="s">
        <v>1297</v>
      </c>
      <c r="S144" s="7" t="s">
        <v>617</v>
      </c>
      <c r="T144" s="7" t="s">
        <v>618</v>
      </c>
      <c r="U144" s="28"/>
      <c r="V144" s="7">
        <v>4</v>
      </c>
      <c r="W144" s="7" t="s">
        <v>1298</v>
      </c>
      <c r="X144" s="28"/>
      <c r="Y144" s="7" t="s">
        <v>1299</v>
      </c>
      <c r="Z144" s="7" t="s">
        <v>621</v>
      </c>
      <c r="AA144" s="7" t="s">
        <v>622</v>
      </c>
      <c r="AB144" s="7" t="s">
        <v>638</v>
      </c>
      <c r="AC144" s="7"/>
      <c r="AD144" s="7"/>
      <c r="AE144" s="7"/>
      <c r="AF144" s="7"/>
      <c r="AG144" s="7"/>
      <c r="AH144" s="7"/>
      <c r="AI144" s="7" t="s">
        <v>611</v>
      </c>
      <c r="AJ144" s="7" t="s">
        <v>623</v>
      </c>
      <c r="AK144" s="7">
        <v>10</v>
      </c>
      <c r="AL144" s="7">
        <v>9</v>
      </c>
      <c r="AM144" s="7" t="s">
        <v>624</v>
      </c>
      <c r="AN144" s="7" t="s">
        <v>625</v>
      </c>
      <c r="AO144" s="7" t="s">
        <v>626</v>
      </c>
      <c r="AP144" s="7" t="s">
        <v>627</v>
      </c>
      <c r="AQ144" s="7" t="s">
        <v>617</v>
      </c>
      <c r="AR144" s="7"/>
      <c r="AS144" s="7"/>
      <c r="AT144" s="7"/>
      <c r="AU144" s="6">
        <v>91003</v>
      </c>
      <c r="AV144" s="6" t="s">
        <v>5</v>
      </c>
      <c r="AW144" s="7"/>
      <c r="AX144" s="7"/>
      <c r="AY144" s="7"/>
      <c r="AZ144" s="7"/>
      <c r="BA144" s="6">
        <v>1214</v>
      </c>
      <c r="BB144" s="6" t="s">
        <v>628</v>
      </c>
      <c r="BC144" s="7"/>
      <c r="BD144" s="7"/>
      <c r="BE144" s="7"/>
      <c r="BF144" s="7"/>
      <c r="BG144" s="7">
        <v>0</v>
      </c>
      <c r="BH144" s="7">
        <v>0</v>
      </c>
      <c r="BI144" s="7">
        <v>0</v>
      </c>
      <c r="BJ144" s="7">
        <v>10</v>
      </c>
      <c r="BK144" s="7">
        <v>0</v>
      </c>
      <c r="BL144" s="7">
        <v>10</v>
      </c>
      <c r="BM144" s="7"/>
      <c r="BN144" s="7">
        <v>0</v>
      </c>
      <c r="BO144" s="7"/>
      <c r="BP144" s="7"/>
      <c r="BQ144" s="7">
        <v>0</v>
      </c>
      <c r="BR144" s="7">
        <v>380</v>
      </c>
      <c r="BS144" s="7" t="s">
        <v>629</v>
      </c>
      <c r="BT144" s="7"/>
      <c r="BU144" s="7"/>
      <c r="BV144" s="7">
        <v>0</v>
      </c>
      <c r="BW144" s="7"/>
      <c r="BX144" s="7"/>
      <c r="BY144" s="7">
        <v>10001</v>
      </c>
      <c r="BZ144" s="7" t="s">
        <v>1414</v>
      </c>
      <c r="CA144" s="7"/>
      <c r="CB144" s="7"/>
      <c r="CC144" s="7"/>
      <c r="CD144" s="7"/>
      <c r="CE144" s="7"/>
      <c r="CF144" s="7"/>
      <c r="CG144" s="7"/>
      <c r="CH144" s="7">
        <v>3566</v>
      </c>
      <c r="CI144" s="7" t="s">
        <v>1267</v>
      </c>
      <c r="CJ144" s="7"/>
      <c r="CK144" s="7"/>
      <c r="CL144" s="7"/>
      <c r="CM144" s="7"/>
      <c r="CN144" s="7">
        <v>0</v>
      </c>
      <c r="CO144" s="7"/>
      <c r="CP144" s="7"/>
      <c r="CQ144" s="7"/>
      <c r="CR144" s="7"/>
      <c r="CS144" s="7">
        <v>0</v>
      </c>
      <c r="CT144" s="7"/>
      <c r="CU144" s="7"/>
      <c r="CV144" s="7" t="s">
        <v>1300</v>
      </c>
      <c r="CW144" s="7" t="s">
        <v>407</v>
      </c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</row>
    <row r="145" spans="1:118" ht="13.5" customHeight="1">
      <c r="A145" s="7">
        <v>133</v>
      </c>
      <c r="B145" s="7"/>
      <c r="C145" s="7"/>
      <c r="D145" s="7"/>
      <c r="E145" s="6" t="s">
        <v>409</v>
      </c>
      <c r="F145" s="6"/>
      <c r="G145" s="7">
        <v>353081</v>
      </c>
      <c r="H145" s="7" t="s">
        <v>613</v>
      </c>
      <c r="I145" s="7">
        <v>90</v>
      </c>
      <c r="J145" s="6" t="s">
        <v>411</v>
      </c>
      <c r="K145" s="7">
        <v>49</v>
      </c>
      <c r="L145" s="7" t="s">
        <v>1301</v>
      </c>
      <c r="M145" s="7">
        <v>35</v>
      </c>
      <c r="N145" s="7" t="s">
        <v>1302</v>
      </c>
      <c r="O145" s="7">
        <v>16</v>
      </c>
      <c r="P145" s="7" t="s">
        <v>1303</v>
      </c>
      <c r="Q145" s="7">
        <v>16</v>
      </c>
      <c r="R145" s="7" t="s">
        <v>1303</v>
      </c>
      <c r="S145" s="7" t="s">
        <v>617</v>
      </c>
      <c r="T145" s="7" t="s">
        <v>1304</v>
      </c>
      <c r="U145" s="28"/>
      <c r="V145" s="7">
        <v>6</v>
      </c>
      <c r="W145" s="7" t="s">
        <v>757</v>
      </c>
      <c r="X145" s="28"/>
      <c r="Y145" s="7" t="s">
        <v>1305</v>
      </c>
      <c r="Z145" s="7" t="s">
        <v>621</v>
      </c>
      <c r="AA145" s="7" t="s">
        <v>622</v>
      </c>
      <c r="AB145" s="7" t="s">
        <v>638</v>
      </c>
      <c r="AC145" s="7"/>
      <c r="AD145" s="7"/>
      <c r="AE145" s="7"/>
      <c r="AF145" s="7"/>
      <c r="AG145" s="7"/>
      <c r="AH145" s="7"/>
      <c r="AI145" s="7" t="s">
        <v>611</v>
      </c>
      <c r="AJ145" s="7" t="s">
        <v>623</v>
      </c>
      <c r="AK145" s="7">
        <v>10</v>
      </c>
      <c r="AL145" s="7">
        <v>9</v>
      </c>
      <c r="AM145" s="7" t="s">
        <v>624</v>
      </c>
      <c r="AN145" s="7" t="s">
        <v>625</v>
      </c>
      <c r="AO145" s="7" t="s">
        <v>626</v>
      </c>
      <c r="AP145" s="7" t="s">
        <v>627</v>
      </c>
      <c r="AQ145" s="7" t="s">
        <v>617</v>
      </c>
      <c r="AR145" s="7"/>
      <c r="AS145" s="7"/>
      <c r="AT145" s="7"/>
      <c r="AU145" s="6">
        <v>91020</v>
      </c>
      <c r="AV145" s="6" t="s">
        <v>92</v>
      </c>
      <c r="AW145" s="7"/>
      <c r="AX145" s="7"/>
      <c r="AY145" s="7"/>
      <c r="AZ145" s="7"/>
      <c r="BA145" s="6">
        <v>1214</v>
      </c>
      <c r="BB145" s="6" t="s">
        <v>628</v>
      </c>
      <c r="BC145" s="7"/>
      <c r="BD145" s="7"/>
      <c r="BE145" s="7"/>
      <c r="BF145" s="7"/>
      <c r="BG145" s="7">
        <v>0</v>
      </c>
      <c r="BH145" s="7">
        <v>0</v>
      </c>
      <c r="BI145" s="7">
        <v>0</v>
      </c>
      <c r="BJ145" s="7">
        <v>10</v>
      </c>
      <c r="BK145" s="7">
        <v>0</v>
      </c>
      <c r="BL145" s="7">
        <v>10</v>
      </c>
      <c r="BM145" s="7"/>
      <c r="BN145" s="7">
        <v>0</v>
      </c>
      <c r="BO145" s="7"/>
      <c r="BP145" s="7"/>
      <c r="BQ145" s="7">
        <v>0</v>
      </c>
      <c r="BR145" s="7">
        <v>380</v>
      </c>
      <c r="BS145" s="7" t="s">
        <v>629</v>
      </c>
      <c r="BT145" s="7"/>
      <c r="BU145" s="7"/>
      <c r="BV145" s="7">
        <v>0</v>
      </c>
      <c r="BW145" s="7"/>
      <c r="BX145" s="7"/>
      <c r="BY145" s="7">
        <v>10001</v>
      </c>
      <c r="BZ145" s="7" t="s">
        <v>1414</v>
      </c>
      <c r="CA145" s="7"/>
      <c r="CB145" s="7"/>
      <c r="CC145" s="7"/>
      <c r="CD145" s="7"/>
      <c r="CE145" s="7"/>
      <c r="CF145" s="7"/>
      <c r="CG145" s="7"/>
      <c r="CH145" s="7">
        <v>1685</v>
      </c>
      <c r="CI145" s="7" t="s">
        <v>1306</v>
      </c>
      <c r="CJ145" s="7"/>
      <c r="CK145" s="7"/>
      <c r="CL145" s="7"/>
      <c r="CM145" s="7"/>
      <c r="CN145" s="7">
        <v>0</v>
      </c>
      <c r="CO145" s="7"/>
      <c r="CP145" s="7"/>
      <c r="CQ145" s="7"/>
      <c r="CR145" s="7"/>
      <c r="CS145" s="7">
        <v>0</v>
      </c>
      <c r="CT145" s="7"/>
      <c r="CU145" s="7"/>
      <c r="CV145" s="7" t="s">
        <v>1307</v>
      </c>
      <c r="CW145" s="7" t="s">
        <v>410</v>
      </c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</row>
    <row r="146" spans="1:118" ht="13.5" customHeight="1">
      <c r="A146" s="7">
        <v>134</v>
      </c>
      <c r="B146" s="7"/>
      <c r="C146" s="7"/>
      <c r="D146" s="7"/>
      <c r="E146" s="6" t="s">
        <v>412</v>
      </c>
      <c r="F146" s="6"/>
      <c r="G146" s="7">
        <v>353082</v>
      </c>
      <c r="H146" s="7" t="s">
        <v>613</v>
      </c>
      <c r="I146" s="7">
        <v>82</v>
      </c>
      <c r="J146" s="6" t="s">
        <v>414</v>
      </c>
      <c r="K146" s="7">
        <v>50</v>
      </c>
      <c r="L146" s="7" t="s">
        <v>1308</v>
      </c>
      <c r="M146" s="7">
        <v>36</v>
      </c>
      <c r="N146" s="7" t="s">
        <v>1309</v>
      </c>
      <c r="O146" s="7">
        <v>18</v>
      </c>
      <c r="P146" s="7" t="s">
        <v>1310</v>
      </c>
      <c r="Q146" s="7">
        <v>18</v>
      </c>
      <c r="R146" s="7" t="s">
        <v>1310</v>
      </c>
      <c r="S146" s="7" t="s">
        <v>617</v>
      </c>
      <c r="T146" s="7" t="s">
        <v>802</v>
      </c>
      <c r="U146" s="28"/>
      <c r="V146" s="7">
        <v>6</v>
      </c>
      <c r="W146" s="7" t="s">
        <v>1311</v>
      </c>
      <c r="X146" s="28"/>
      <c r="Y146" s="7" t="s">
        <v>1312</v>
      </c>
      <c r="Z146" s="7" t="s">
        <v>621</v>
      </c>
      <c r="AA146" s="7" t="s">
        <v>622</v>
      </c>
      <c r="AB146" s="7" t="s">
        <v>638</v>
      </c>
      <c r="AC146" s="7"/>
      <c r="AD146" s="7"/>
      <c r="AE146" s="7"/>
      <c r="AF146" s="7"/>
      <c r="AG146" s="7"/>
      <c r="AH146" s="7"/>
      <c r="AI146" s="7" t="s">
        <v>611</v>
      </c>
      <c r="AJ146" s="7" t="s">
        <v>623</v>
      </c>
      <c r="AK146" s="7">
        <v>10</v>
      </c>
      <c r="AL146" s="7">
        <v>9</v>
      </c>
      <c r="AM146" s="7" t="s">
        <v>624</v>
      </c>
      <c r="AN146" s="7" t="s">
        <v>625</v>
      </c>
      <c r="AO146" s="7" t="s">
        <v>626</v>
      </c>
      <c r="AP146" s="7" t="s">
        <v>627</v>
      </c>
      <c r="AQ146" s="7" t="s">
        <v>617</v>
      </c>
      <c r="AR146" s="7"/>
      <c r="AS146" s="7"/>
      <c r="AT146" s="7"/>
      <c r="AU146" s="6">
        <v>91020</v>
      </c>
      <c r="AV146" s="6" t="s">
        <v>92</v>
      </c>
      <c r="AW146" s="7"/>
      <c r="AX146" s="7"/>
      <c r="AY146" s="7"/>
      <c r="AZ146" s="7"/>
      <c r="BA146" s="6">
        <v>1214</v>
      </c>
      <c r="BB146" s="6" t="s">
        <v>628</v>
      </c>
      <c r="BC146" s="7"/>
      <c r="BD146" s="7"/>
      <c r="BE146" s="7"/>
      <c r="BF146" s="7"/>
      <c r="BG146" s="7">
        <v>0</v>
      </c>
      <c r="BH146" s="7">
        <v>0</v>
      </c>
      <c r="BI146" s="7">
        <v>0</v>
      </c>
      <c r="BJ146" s="7">
        <v>10</v>
      </c>
      <c r="BK146" s="7">
        <v>0</v>
      </c>
      <c r="BL146" s="7">
        <v>10</v>
      </c>
      <c r="BM146" s="7"/>
      <c r="BN146" s="7">
        <v>0</v>
      </c>
      <c r="BO146" s="7"/>
      <c r="BP146" s="7"/>
      <c r="BQ146" s="7">
        <v>0</v>
      </c>
      <c r="BR146" s="7">
        <v>380</v>
      </c>
      <c r="BS146" s="7" t="s">
        <v>629</v>
      </c>
      <c r="BT146" s="7"/>
      <c r="BU146" s="7"/>
      <c r="BV146" s="7">
        <v>0</v>
      </c>
      <c r="BW146" s="7"/>
      <c r="BX146" s="7"/>
      <c r="BY146" s="7">
        <v>10001</v>
      </c>
      <c r="BZ146" s="7" t="s">
        <v>1414</v>
      </c>
      <c r="CA146" s="7"/>
      <c r="CB146" s="7"/>
      <c r="CC146" s="7"/>
      <c r="CD146" s="7"/>
      <c r="CE146" s="7"/>
      <c r="CF146" s="7"/>
      <c r="CG146" s="7"/>
      <c r="CH146" s="7">
        <v>1685</v>
      </c>
      <c r="CI146" s="7" t="s">
        <v>1306</v>
      </c>
      <c r="CJ146" s="7"/>
      <c r="CK146" s="7"/>
      <c r="CL146" s="7"/>
      <c r="CM146" s="7"/>
      <c r="CN146" s="7">
        <v>0</v>
      </c>
      <c r="CO146" s="7"/>
      <c r="CP146" s="7"/>
      <c r="CQ146" s="7"/>
      <c r="CR146" s="7"/>
      <c r="CS146" s="7">
        <v>0</v>
      </c>
      <c r="CT146" s="7"/>
      <c r="CU146" s="7"/>
      <c r="CV146" s="7" t="s">
        <v>1313</v>
      </c>
      <c r="CW146" s="7" t="s">
        <v>413</v>
      </c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</row>
    <row r="147" spans="1:118" ht="13.5" customHeight="1">
      <c r="A147" s="7">
        <v>135</v>
      </c>
      <c r="B147" s="7"/>
      <c r="C147" s="7"/>
      <c r="D147" s="7"/>
      <c r="E147" s="6" t="s">
        <v>415</v>
      </c>
      <c r="F147" s="6"/>
      <c r="G147" s="7">
        <v>353083</v>
      </c>
      <c r="H147" s="7" t="s">
        <v>613</v>
      </c>
      <c r="I147" s="7">
        <v>60</v>
      </c>
      <c r="J147" s="6" t="s">
        <v>417</v>
      </c>
      <c r="K147" s="7">
        <v>49</v>
      </c>
      <c r="L147" s="7" t="s">
        <v>1314</v>
      </c>
      <c r="M147" s="7">
        <v>36</v>
      </c>
      <c r="N147" s="7" t="s">
        <v>1315</v>
      </c>
      <c r="O147" s="7">
        <v>17</v>
      </c>
      <c r="P147" s="7" t="s">
        <v>1316</v>
      </c>
      <c r="Q147" s="7">
        <v>17</v>
      </c>
      <c r="R147" s="7" t="s">
        <v>1316</v>
      </c>
      <c r="S147" s="7" t="s">
        <v>617</v>
      </c>
      <c r="T147" s="7" t="s">
        <v>1304</v>
      </c>
      <c r="U147" s="28"/>
      <c r="V147" s="7">
        <v>6</v>
      </c>
      <c r="W147" s="7" t="s">
        <v>757</v>
      </c>
      <c r="X147" s="28"/>
      <c r="Y147" s="7" t="s">
        <v>1305</v>
      </c>
      <c r="Z147" s="7" t="s">
        <v>621</v>
      </c>
      <c r="AA147" s="7" t="s">
        <v>622</v>
      </c>
      <c r="AB147" s="7" t="s">
        <v>638</v>
      </c>
      <c r="AC147" s="7"/>
      <c r="AD147" s="7"/>
      <c r="AE147" s="7"/>
      <c r="AF147" s="7"/>
      <c r="AG147" s="7"/>
      <c r="AH147" s="7"/>
      <c r="AI147" s="7" t="s">
        <v>611</v>
      </c>
      <c r="AJ147" s="7" t="s">
        <v>623</v>
      </c>
      <c r="AK147" s="7">
        <v>10</v>
      </c>
      <c r="AL147" s="7">
        <v>9</v>
      </c>
      <c r="AM147" s="7" t="s">
        <v>624</v>
      </c>
      <c r="AN147" s="7" t="s">
        <v>625</v>
      </c>
      <c r="AO147" s="7" t="s">
        <v>626</v>
      </c>
      <c r="AP147" s="7" t="s">
        <v>627</v>
      </c>
      <c r="AQ147" s="7" t="s">
        <v>617</v>
      </c>
      <c r="AR147" s="7"/>
      <c r="AS147" s="7"/>
      <c r="AT147" s="7"/>
      <c r="AU147" s="6">
        <v>91020</v>
      </c>
      <c r="AV147" s="6" t="s">
        <v>92</v>
      </c>
      <c r="AW147" s="7"/>
      <c r="AX147" s="7"/>
      <c r="AY147" s="7"/>
      <c r="AZ147" s="7"/>
      <c r="BA147" s="6">
        <v>1214</v>
      </c>
      <c r="BB147" s="6" t="s">
        <v>628</v>
      </c>
      <c r="BC147" s="7"/>
      <c r="BD147" s="7"/>
      <c r="BE147" s="7"/>
      <c r="BF147" s="7"/>
      <c r="BG147" s="7">
        <v>0</v>
      </c>
      <c r="BH147" s="7">
        <v>0</v>
      </c>
      <c r="BI147" s="7">
        <v>0</v>
      </c>
      <c r="BJ147" s="7">
        <v>10</v>
      </c>
      <c r="BK147" s="7">
        <v>0</v>
      </c>
      <c r="BL147" s="7">
        <v>10</v>
      </c>
      <c r="BM147" s="7"/>
      <c r="BN147" s="7">
        <v>0</v>
      </c>
      <c r="BO147" s="7"/>
      <c r="BP147" s="7"/>
      <c r="BQ147" s="7">
        <v>0</v>
      </c>
      <c r="BR147" s="7">
        <v>380</v>
      </c>
      <c r="BS147" s="7" t="s">
        <v>629</v>
      </c>
      <c r="BT147" s="7"/>
      <c r="BU147" s="7"/>
      <c r="BV147" s="7">
        <v>0</v>
      </c>
      <c r="BW147" s="7"/>
      <c r="BX147" s="7"/>
      <c r="BY147" s="7">
        <v>10001</v>
      </c>
      <c r="BZ147" s="7" t="s">
        <v>1414</v>
      </c>
      <c r="CA147" s="7"/>
      <c r="CB147" s="7"/>
      <c r="CC147" s="7"/>
      <c r="CD147" s="7"/>
      <c r="CE147" s="7"/>
      <c r="CF147" s="7"/>
      <c r="CG147" s="7"/>
      <c r="CH147" s="7">
        <v>1685</v>
      </c>
      <c r="CI147" s="7" t="s">
        <v>1306</v>
      </c>
      <c r="CJ147" s="7"/>
      <c r="CK147" s="7"/>
      <c r="CL147" s="7"/>
      <c r="CM147" s="7"/>
      <c r="CN147" s="7">
        <v>0</v>
      </c>
      <c r="CO147" s="7"/>
      <c r="CP147" s="7"/>
      <c r="CQ147" s="7"/>
      <c r="CR147" s="7"/>
      <c r="CS147" s="7">
        <v>0</v>
      </c>
      <c r="CT147" s="7"/>
      <c r="CU147" s="7"/>
      <c r="CV147" s="7" t="s">
        <v>1317</v>
      </c>
      <c r="CW147" s="7" t="s">
        <v>416</v>
      </c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</row>
    <row r="148" spans="1:118" ht="13.5" customHeight="1">
      <c r="A148" s="7">
        <v>136</v>
      </c>
      <c r="B148" s="7"/>
      <c r="C148" s="7"/>
      <c r="D148" s="7"/>
      <c r="E148" s="6" t="s">
        <v>418</v>
      </c>
      <c r="F148" s="6"/>
      <c r="G148" s="7">
        <v>353084</v>
      </c>
      <c r="H148" s="7" t="s">
        <v>613</v>
      </c>
      <c r="I148" s="7">
        <v>67</v>
      </c>
      <c r="J148" s="6" t="s">
        <v>420</v>
      </c>
      <c r="K148" s="7">
        <v>45</v>
      </c>
      <c r="L148" s="7" t="s">
        <v>1318</v>
      </c>
      <c r="M148" s="7">
        <v>38</v>
      </c>
      <c r="N148" s="7" t="s">
        <v>1319</v>
      </c>
      <c r="O148" s="7">
        <v>16</v>
      </c>
      <c r="P148" s="7" t="s">
        <v>1320</v>
      </c>
      <c r="Q148" s="7">
        <v>16</v>
      </c>
      <c r="R148" s="7" t="s">
        <v>1320</v>
      </c>
      <c r="S148" s="7" t="s">
        <v>617</v>
      </c>
      <c r="T148" s="7" t="s">
        <v>1304</v>
      </c>
      <c r="U148" s="28"/>
      <c r="V148" s="7">
        <v>6</v>
      </c>
      <c r="W148" s="7" t="s">
        <v>757</v>
      </c>
      <c r="X148" s="28"/>
      <c r="Y148" s="7" t="s">
        <v>1305</v>
      </c>
      <c r="Z148" s="7" t="s">
        <v>621</v>
      </c>
      <c r="AA148" s="7" t="s">
        <v>622</v>
      </c>
      <c r="AB148" s="7" t="s">
        <v>638</v>
      </c>
      <c r="AC148" s="7"/>
      <c r="AD148" s="7"/>
      <c r="AE148" s="7"/>
      <c r="AF148" s="7"/>
      <c r="AG148" s="7"/>
      <c r="AH148" s="7"/>
      <c r="AI148" s="7" t="s">
        <v>611</v>
      </c>
      <c r="AJ148" s="7" t="s">
        <v>623</v>
      </c>
      <c r="AK148" s="7">
        <v>10</v>
      </c>
      <c r="AL148" s="7">
        <v>9</v>
      </c>
      <c r="AM148" s="7" t="s">
        <v>624</v>
      </c>
      <c r="AN148" s="7" t="s">
        <v>625</v>
      </c>
      <c r="AO148" s="7" t="s">
        <v>626</v>
      </c>
      <c r="AP148" s="7" t="s">
        <v>627</v>
      </c>
      <c r="AQ148" s="7" t="s">
        <v>617</v>
      </c>
      <c r="AR148" s="7"/>
      <c r="AS148" s="7"/>
      <c r="AT148" s="7"/>
      <c r="AU148" s="6">
        <v>91020</v>
      </c>
      <c r="AV148" s="6" t="s">
        <v>92</v>
      </c>
      <c r="AW148" s="7"/>
      <c r="AX148" s="7"/>
      <c r="AY148" s="7"/>
      <c r="AZ148" s="7"/>
      <c r="BA148" s="6">
        <v>1214</v>
      </c>
      <c r="BB148" s="6" t="s">
        <v>628</v>
      </c>
      <c r="BC148" s="7"/>
      <c r="BD148" s="7"/>
      <c r="BE148" s="7"/>
      <c r="BF148" s="7"/>
      <c r="BG148" s="7">
        <v>0</v>
      </c>
      <c r="BH148" s="7">
        <v>0</v>
      </c>
      <c r="BI148" s="7">
        <v>0</v>
      </c>
      <c r="BJ148" s="7">
        <v>10</v>
      </c>
      <c r="BK148" s="7">
        <v>0</v>
      </c>
      <c r="BL148" s="7">
        <v>10</v>
      </c>
      <c r="BM148" s="7"/>
      <c r="BN148" s="7">
        <v>0</v>
      </c>
      <c r="BO148" s="7"/>
      <c r="BP148" s="7"/>
      <c r="BQ148" s="7">
        <v>0</v>
      </c>
      <c r="BR148" s="7">
        <v>380</v>
      </c>
      <c r="BS148" s="7" t="s">
        <v>629</v>
      </c>
      <c r="BT148" s="7"/>
      <c r="BU148" s="7"/>
      <c r="BV148" s="7">
        <v>0</v>
      </c>
      <c r="BW148" s="7"/>
      <c r="BX148" s="7"/>
      <c r="BY148" s="7">
        <v>10001</v>
      </c>
      <c r="BZ148" s="7" t="s">
        <v>1414</v>
      </c>
      <c r="CA148" s="7"/>
      <c r="CB148" s="7"/>
      <c r="CC148" s="7"/>
      <c r="CD148" s="7"/>
      <c r="CE148" s="7"/>
      <c r="CF148" s="7"/>
      <c r="CG148" s="7"/>
      <c r="CH148" s="7">
        <v>1685</v>
      </c>
      <c r="CI148" s="7" t="s">
        <v>1306</v>
      </c>
      <c r="CJ148" s="7"/>
      <c r="CK148" s="7"/>
      <c r="CL148" s="7"/>
      <c r="CM148" s="7"/>
      <c r="CN148" s="7">
        <v>0</v>
      </c>
      <c r="CO148" s="7"/>
      <c r="CP148" s="7"/>
      <c r="CQ148" s="7"/>
      <c r="CR148" s="7"/>
      <c r="CS148" s="7">
        <v>0</v>
      </c>
      <c r="CT148" s="7"/>
      <c r="CU148" s="7"/>
      <c r="CV148" s="7" t="s">
        <v>1321</v>
      </c>
      <c r="CW148" s="7" t="s">
        <v>419</v>
      </c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</row>
    <row r="149" spans="1:118" ht="13.5" customHeight="1">
      <c r="A149" s="7">
        <v>137</v>
      </c>
      <c r="B149" s="7"/>
      <c r="C149" s="7"/>
      <c r="D149" s="7"/>
      <c r="E149" s="6" t="s">
        <v>421</v>
      </c>
      <c r="F149" s="6"/>
      <c r="G149" s="7">
        <v>353085</v>
      </c>
      <c r="H149" s="7" t="s">
        <v>613</v>
      </c>
      <c r="I149" s="7">
        <v>80</v>
      </c>
      <c r="J149" s="6" t="s">
        <v>423</v>
      </c>
      <c r="K149" s="7">
        <v>49</v>
      </c>
      <c r="L149" s="7" t="s">
        <v>1322</v>
      </c>
      <c r="M149" s="7">
        <v>38</v>
      </c>
      <c r="N149" s="7" t="s">
        <v>1323</v>
      </c>
      <c r="O149" s="7">
        <v>18</v>
      </c>
      <c r="P149" s="7" t="s">
        <v>1324</v>
      </c>
      <c r="Q149" s="7">
        <v>18</v>
      </c>
      <c r="R149" s="7" t="s">
        <v>1324</v>
      </c>
      <c r="S149" s="7" t="s">
        <v>617</v>
      </c>
      <c r="T149" s="7" t="s">
        <v>802</v>
      </c>
      <c r="U149" s="28"/>
      <c r="V149" s="7">
        <v>6</v>
      </c>
      <c r="W149" s="7" t="s">
        <v>1311</v>
      </c>
      <c r="X149" s="28"/>
      <c r="Y149" s="7" t="s">
        <v>1312</v>
      </c>
      <c r="Z149" s="7" t="s">
        <v>621</v>
      </c>
      <c r="AA149" s="7" t="s">
        <v>622</v>
      </c>
      <c r="AB149" s="7" t="s">
        <v>638</v>
      </c>
      <c r="AC149" s="7"/>
      <c r="AD149" s="7"/>
      <c r="AE149" s="7"/>
      <c r="AF149" s="7"/>
      <c r="AG149" s="7"/>
      <c r="AH149" s="7"/>
      <c r="AI149" s="7" t="s">
        <v>611</v>
      </c>
      <c r="AJ149" s="7" t="s">
        <v>623</v>
      </c>
      <c r="AK149" s="7">
        <v>10</v>
      </c>
      <c r="AL149" s="7">
        <v>9</v>
      </c>
      <c r="AM149" s="7" t="s">
        <v>624</v>
      </c>
      <c r="AN149" s="7" t="s">
        <v>625</v>
      </c>
      <c r="AO149" s="7" t="s">
        <v>626</v>
      </c>
      <c r="AP149" s="7" t="s">
        <v>627</v>
      </c>
      <c r="AQ149" s="7" t="s">
        <v>617</v>
      </c>
      <c r="AR149" s="7"/>
      <c r="AS149" s="7"/>
      <c r="AT149" s="7"/>
      <c r="AU149" s="6">
        <v>91020</v>
      </c>
      <c r="AV149" s="6" t="s">
        <v>92</v>
      </c>
      <c r="AW149" s="7"/>
      <c r="AX149" s="7"/>
      <c r="AY149" s="7"/>
      <c r="AZ149" s="7"/>
      <c r="BA149" s="6">
        <v>1214</v>
      </c>
      <c r="BB149" s="6" t="s">
        <v>628</v>
      </c>
      <c r="BC149" s="7"/>
      <c r="BD149" s="7"/>
      <c r="BE149" s="7"/>
      <c r="BF149" s="7"/>
      <c r="BG149" s="7">
        <v>0</v>
      </c>
      <c r="BH149" s="7">
        <v>0</v>
      </c>
      <c r="BI149" s="7">
        <v>0</v>
      </c>
      <c r="BJ149" s="7">
        <v>10</v>
      </c>
      <c r="BK149" s="7">
        <v>0</v>
      </c>
      <c r="BL149" s="7">
        <v>10</v>
      </c>
      <c r="BM149" s="7"/>
      <c r="BN149" s="7">
        <v>0</v>
      </c>
      <c r="BO149" s="7"/>
      <c r="BP149" s="7"/>
      <c r="BQ149" s="7">
        <v>0</v>
      </c>
      <c r="BR149" s="7">
        <v>380</v>
      </c>
      <c r="BS149" s="7" t="s">
        <v>629</v>
      </c>
      <c r="BT149" s="7"/>
      <c r="BU149" s="7"/>
      <c r="BV149" s="7">
        <v>0</v>
      </c>
      <c r="BW149" s="7"/>
      <c r="BX149" s="7"/>
      <c r="BY149" s="7">
        <v>10001</v>
      </c>
      <c r="BZ149" s="7" t="s">
        <v>1414</v>
      </c>
      <c r="CA149" s="7"/>
      <c r="CB149" s="7"/>
      <c r="CC149" s="7"/>
      <c r="CD149" s="7"/>
      <c r="CE149" s="7"/>
      <c r="CF149" s="7"/>
      <c r="CG149" s="7"/>
      <c r="CH149" s="7">
        <v>1685</v>
      </c>
      <c r="CI149" s="7" t="s">
        <v>1306</v>
      </c>
      <c r="CJ149" s="7"/>
      <c r="CK149" s="7"/>
      <c r="CL149" s="7"/>
      <c r="CM149" s="7"/>
      <c r="CN149" s="7">
        <v>0</v>
      </c>
      <c r="CO149" s="7"/>
      <c r="CP149" s="7"/>
      <c r="CQ149" s="7"/>
      <c r="CR149" s="7"/>
      <c r="CS149" s="7">
        <v>0</v>
      </c>
      <c r="CT149" s="7"/>
      <c r="CU149" s="7"/>
      <c r="CV149" s="7" t="s">
        <v>1325</v>
      </c>
      <c r="CW149" s="7" t="s">
        <v>422</v>
      </c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</row>
    <row r="150" spans="1:118" ht="13.5" customHeight="1">
      <c r="A150" s="7">
        <v>138</v>
      </c>
      <c r="B150" s="7"/>
      <c r="C150" s="7"/>
      <c r="D150" s="7"/>
      <c r="E150" s="6" t="s">
        <v>424</v>
      </c>
      <c r="F150" s="6"/>
      <c r="G150" s="7">
        <v>353086</v>
      </c>
      <c r="H150" s="7" t="s">
        <v>613</v>
      </c>
      <c r="I150" s="7">
        <v>84</v>
      </c>
      <c r="J150" s="6" t="s">
        <v>426</v>
      </c>
      <c r="K150" s="7">
        <v>47</v>
      </c>
      <c r="L150" s="7" t="s">
        <v>1326</v>
      </c>
      <c r="M150" s="7">
        <v>36</v>
      </c>
      <c r="N150" s="7" t="s">
        <v>1327</v>
      </c>
      <c r="O150" s="7">
        <v>16</v>
      </c>
      <c r="P150" s="7" t="s">
        <v>1328</v>
      </c>
      <c r="Q150" s="7">
        <v>16</v>
      </c>
      <c r="R150" s="7" t="s">
        <v>1328</v>
      </c>
      <c r="S150" s="7" t="s">
        <v>617</v>
      </c>
      <c r="T150" s="7" t="s">
        <v>1304</v>
      </c>
      <c r="U150" s="28"/>
      <c r="V150" s="7">
        <v>6</v>
      </c>
      <c r="W150" s="7" t="s">
        <v>757</v>
      </c>
      <c r="X150" s="28"/>
      <c r="Y150" s="7" t="s">
        <v>1305</v>
      </c>
      <c r="Z150" s="7" t="s">
        <v>621</v>
      </c>
      <c r="AA150" s="7" t="s">
        <v>622</v>
      </c>
      <c r="AB150" s="7" t="s">
        <v>638</v>
      </c>
      <c r="AC150" s="7"/>
      <c r="AD150" s="7"/>
      <c r="AE150" s="7"/>
      <c r="AF150" s="7"/>
      <c r="AG150" s="7"/>
      <c r="AH150" s="7"/>
      <c r="AI150" s="7" t="s">
        <v>611</v>
      </c>
      <c r="AJ150" s="7" t="s">
        <v>623</v>
      </c>
      <c r="AK150" s="7">
        <v>10</v>
      </c>
      <c r="AL150" s="7">
        <v>9</v>
      </c>
      <c r="AM150" s="7" t="s">
        <v>624</v>
      </c>
      <c r="AN150" s="7" t="s">
        <v>625</v>
      </c>
      <c r="AO150" s="7" t="s">
        <v>626</v>
      </c>
      <c r="AP150" s="7" t="s">
        <v>627</v>
      </c>
      <c r="AQ150" s="7" t="s">
        <v>617</v>
      </c>
      <c r="AR150" s="7"/>
      <c r="AS150" s="7"/>
      <c r="AT150" s="7"/>
      <c r="AU150" s="6">
        <v>91020</v>
      </c>
      <c r="AV150" s="6" t="s">
        <v>92</v>
      </c>
      <c r="AW150" s="7"/>
      <c r="AX150" s="7"/>
      <c r="AY150" s="7"/>
      <c r="AZ150" s="7"/>
      <c r="BA150" s="6">
        <v>1214</v>
      </c>
      <c r="BB150" s="6" t="s">
        <v>628</v>
      </c>
      <c r="BC150" s="7"/>
      <c r="BD150" s="7"/>
      <c r="BE150" s="7"/>
      <c r="BF150" s="7"/>
      <c r="BG150" s="7">
        <v>0</v>
      </c>
      <c r="BH150" s="7">
        <v>0</v>
      </c>
      <c r="BI150" s="7">
        <v>0</v>
      </c>
      <c r="BJ150" s="7">
        <v>10</v>
      </c>
      <c r="BK150" s="7">
        <v>0</v>
      </c>
      <c r="BL150" s="7">
        <v>10</v>
      </c>
      <c r="BM150" s="7"/>
      <c r="BN150" s="7">
        <v>0</v>
      </c>
      <c r="BO150" s="7"/>
      <c r="BP150" s="7"/>
      <c r="BQ150" s="7">
        <v>0</v>
      </c>
      <c r="BR150" s="7">
        <v>380</v>
      </c>
      <c r="BS150" s="7" t="s">
        <v>629</v>
      </c>
      <c r="BT150" s="7"/>
      <c r="BU150" s="7"/>
      <c r="BV150" s="7">
        <v>0</v>
      </c>
      <c r="BW150" s="7"/>
      <c r="BX150" s="7"/>
      <c r="BY150" s="7">
        <v>10001</v>
      </c>
      <c r="BZ150" s="7" t="s">
        <v>1414</v>
      </c>
      <c r="CA150" s="7"/>
      <c r="CB150" s="7"/>
      <c r="CC150" s="7"/>
      <c r="CD150" s="7"/>
      <c r="CE150" s="7"/>
      <c r="CF150" s="7"/>
      <c r="CG150" s="7"/>
      <c r="CH150" s="7">
        <v>1685</v>
      </c>
      <c r="CI150" s="7" t="s">
        <v>1306</v>
      </c>
      <c r="CJ150" s="7"/>
      <c r="CK150" s="7"/>
      <c r="CL150" s="7"/>
      <c r="CM150" s="7"/>
      <c r="CN150" s="7">
        <v>0</v>
      </c>
      <c r="CO150" s="7"/>
      <c r="CP150" s="7"/>
      <c r="CQ150" s="7"/>
      <c r="CR150" s="7"/>
      <c r="CS150" s="7">
        <v>0</v>
      </c>
      <c r="CT150" s="7"/>
      <c r="CU150" s="7"/>
      <c r="CV150" s="7" t="s">
        <v>1329</v>
      </c>
      <c r="CW150" s="7" t="s">
        <v>425</v>
      </c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</row>
    <row r="151" spans="1:118" ht="13.5" customHeight="1">
      <c r="A151" s="7">
        <v>139</v>
      </c>
      <c r="B151" s="7"/>
      <c r="C151" s="7"/>
      <c r="D151" s="7"/>
      <c r="E151" s="6" t="s">
        <v>427</v>
      </c>
      <c r="F151" s="6"/>
      <c r="G151" s="7">
        <v>353087</v>
      </c>
      <c r="H151" s="7" t="s">
        <v>613</v>
      </c>
      <c r="I151" s="7">
        <v>60</v>
      </c>
      <c r="J151" s="6" t="s">
        <v>429</v>
      </c>
      <c r="K151" s="7">
        <v>47</v>
      </c>
      <c r="L151" s="7" t="s">
        <v>1330</v>
      </c>
      <c r="M151" s="7">
        <v>35</v>
      </c>
      <c r="N151" s="7" t="s">
        <v>1331</v>
      </c>
      <c r="O151" s="7">
        <v>20</v>
      </c>
      <c r="P151" s="7" t="s">
        <v>1332</v>
      </c>
      <c r="Q151" s="7">
        <v>20</v>
      </c>
      <c r="R151" s="7" t="s">
        <v>1332</v>
      </c>
      <c r="S151" s="7" t="s">
        <v>617</v>
      </c>
      <c r="T151" s="7" t="s">
        <v>903</v>
      </c>
      <c r="U151" s="28"/>
      <c r="V151" s="7">
        <v>12</v>
      </c>
      <c r="W151" s="7" t="s">
        <v>977</v>
      </c>
      <c r="X151" s="28"/>
      <c r="Y151" s="7" t="s">
        <v>1333</v>
      </c>
      <c r="Z151" s="7" t="s">
        <v>621</v>
      </c>
      <c r="AA151" s="7" t="s">
        <v>622</v>
      </c>
      <c r="AB151" s="7" t="s">
        <v>638</v>
      </c>
      <c r="AC151" s="7"/>
      <c r="AD151" s="7"/>
      <c r="AE151" s="7"/>
      <c r="AF151" s="7"/>
      <c r="AG151" s="7"/>
      <c r="AH151" s="7"/>
      <c r="AI151" s="7" t="s">
        <v>611</v>
      </c>
      <c r="AJ151" s="7" t="s">
        <v>623</v>
      </c>
      <c r="AK151" s="7">
        <v>10</v>
      </c>
      <c r="AL151" s="7">
        <v>9</v>
      </c>
      <c r="AM151" s="7" t="s">
        <v>624</v>
      </c>
      <c r="AN151" s="7" t="s">
        <v>625</v>
      </c>
      <c r="AO151" s="7" t="s">
        <v>626</v>
      </c>
      <c r="AP151" s="7" t="s">
        <v>627</v>
      </c>
      <c r="AQ151" s="7" t="s">
        <v>617</v>
      </c>
      <c r="AR151" s="7"/>
      <c r="AS151" s="7"/>
      <c r="AT151" s="7"/>
      <c r="AU151" s="6">
        <v>91022</v>
      </c>
      <c r="AV151" s="6" t="s">
        <v>197</v>
      </c>
      <c r="AW151" s="7"/>
      <c r="AX151" s="7"/>
      <c r="AY151" s="7"/>
      <c r="AZ151" s="7"/>
      <c r="BA151" s="6">
        <v>1214</v>
      </c>
      <c r="BB151" s="6" t="s">
        <v>628</v>
      </c>
      <c r="BC151" s="7"/>
      <c r="BD151" s="7"/>
      <c r="BE151" s="7"/>
      <c r="BF151" s="7"/>
      <c r="BG151" s="7">
        <v>0</v>
      </c>
      <c r="BH151" s="7">
        <v>0</v>
      </c>
      <c r="BI151" s="7">
        <v>0</v>
      </c>
      <c r="BJ151" s="7">
        <v>10</v>
      </c>
      <c r="BK151" s="7">
        <v>0</v>
      </c>
      <c r="BL151" s="7">
        <v>10</v>
      </c>
      <c r="BM151" s="7"/>
      <c r="BN151" s="7">
        <v>0</v>
      </c>
      <c r="BO151" s="7"/>
      <c r="BP151" s="7"/>
      <c r="BQ151" s="7">
        <v>0</v>
      </c>
      <c r="BR151" s="7">
        <v>380</v>
      </c>
      <c r="BS151" s="7" t="s">
        <v>629</v>
      </c>
      <c r="BT151" s="7"/>
      <c r="BU151" s="7"/>
      <c r="BV151" s="7">
        <v>0</v>
      </c>
      <c r="BW151" s="7"/>
      <c r="BX151" s="7"/>
      <c r="BY151" s="7">
        <v>10001</v>
      </c>
      <c r="BZ151" s="7" t="s">
        <v>1414</v>
      </c>
      <c r="CA151" s="7"/>
      <c r="CB151" s="7"/>
      <c r="CC151" s="7"/>
      <c r="CD151" s="7"/>
      <c r="CE151" s="7"/>
      <c r="CF151" s="7"/>
      <c r="CG151" s="7"/>
      <c r="CH151" s="7">
        <v>1685</v>
      </c>
      <c r="CI151" s="7" t="s">
        <v>1306</v>
      </c>
      <c r="CJ151" s="7"/>
      <c r="CK151" s="7"/>
      <c r="CL151" s="7"/>
      <c r="CM151" s="7"/>
      <c r="CN151" s="7">
        <v>0</v>
      </c>
      <c r="CO151" s="7"/>
      <c r="CP151" s="7"/>
      <c r="CQ151" s="7"/>
      <c r="CR151" s="7"/>
      <c r="CS151" s="7">
        <v>0</v>
      </c>
      <c r="CT151" s="7"/>
      <c r="CU151" s="7"/>
      <c r="CV151" s="7" t="s">
        <v>1334</v>
      </c>
      <c r="CW151" s="7" t="s">
        <v>428</v>
      </c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</row>
    <row r="152" spans="1:118" ht="13.5" customHeight="1">
      <c r="A152" s="7">
        <v>140</v>
      </c>
      <c r="B152" s="7"/>
      <c r="C152" s="7"/>
      <c r="D152" s="7"/>
      <c r="E152" s="6" t="s">
        <v>430</v>
      </c>
      <c r="F152" s="6"/>
      <c r="G152" s="7">
        <v>353088</v>
      </c>
      <c r="H152" s="7" t="s">
        <v>613</v>
      </c>
      <c r="I152" s="7">
        <v>64</v>
      </c>
      <c r="J152" s="6" t="s">
        <v>432</v>
      </c>
      <c r="K152" s="7">
        <v>47</v>
      </c>
      <c r="L152" s="7" t="s">
        <v>1335</v>
      </c>
      <c r="M152" s="7">
        <v>34</v>
      </c>
      <c r="N152" s="7" t="s">
        <v>1336</v>
      </c>
      <c r="O152" s="7">
        <v>20</v>
      </c>
      <c r="P152" s="7" t="s">
        <v>1337</v>
      </c>
      <c r="Q152" s="7">
        <v>20</v>
      </c>
      <c r="R152" s="7" t="s">
        <v>1337</v>
      </c>
      <c r="S152" s="7" t="s">
        <v>617</v>
      </c>
      <c r="T152" s="7" t="s">
        <v>903</v>
      </c>
      <c r="U152" s="28"/>
      <c r="V152" s="7">
        <v>12</v>
      </c>
      <c r="W152" s="7" t="s">
        <v>977</v>
      </c>
      <c r="X152" s="28"/>
      <c r="Y152" s="7" t="s">
        <v>1333</v>
      </c>
      <c r="Z152" s="7" t="s">
        <v>621</v>
      </c>
      <c r="AA152" s="7" t="s">
        <v>622</v>
      </c>
      <c r="AB152" s="7" t="s">
        <v>638</v>
      </c>
      <c r="AC152" s="7"/>
      <c r="AD152" s="7"/>
      <c r="AE152" s="7"/>
      <c r="AF152" s="7"/>
      <c r="AG152" s="7"/>
      <c r="AH152" s="7"/>
      <c r="AI152" s="7" t="s">
        <v>611</v>
      </c>
      <c r="AJ152" s="7" t="s">
        <v>623</v>
      </c>
      <c r="AK152" s="7">
        <v>10</v>
      </c>
      <c r="AL152" s="7">
        <v>9</v>
      </c>
      <c r="AM152" s="7" t="s">
        <v>624</v>
      </c>
      <c r="AN152" s="7" t="s">
        <v>625</v>
      </c>
      <c r="AO152" s="7" t="s">
        <v>626</v>
      </c>
      <c r="AP152" s="7" t="s">
        <v>627</v>
      </c>
      <c r="AQ152" s="7" t="s">
        <v>617</v>
      </c>
      <c r="AR152" s="7"/>
      <c r="AS152" s="7"/>
      <c r="AT152" s="7"/>
      <c r="AU152" s="6">
        <v>91022</v>
      </c>
      <c r="AV152" s="6" t="s">
        <v>197</v>
      </c>
      <c r="AW152" s="7"/>
      <c r="AX152" s="7"/>
      <c r="AY152" s="7"/>
      <c r="AZ152" s="7"/>
      <c r="BA152" s="6">
        <v>1214</v>
      </c>
      <c r="BB152" s="6" t="s">
        <v>628</v>
      </c>
      <c r="BC152" s="7"/>
      <c r="BD152" s="7"/>
      <c r="BE152" s="7"/>
      <c r="BF152" s="7"/>
      <c r="BG152" s="7">
        <v>0</v>
      </c>
      <c r="BH152" s="7">
        <v>0</v>
      </c>
      <c r="BI152" s="7">
        <v>0</v>
      </c>
      <c r="BJ152" s="7">
        <v>10</v>
      </c>
      <c r="BK152" s="7">
        <v>0</v>
      </c>
      <c r="BL152" s="7">
        <v>10</v>
      </c>
      <c r="BM152" s="7"/>
      <c r="BN152" s="7">
        <v>0</v>
      </c>
      <c r="BO152" s="7"/>
      <c r="BP152" s="7"/>
      <c r="BQ152" s="7">
        <v>0</v>
      </c>
      <c r="BR152" s="7">
        <v>380</v>
      </c>
      <c r="BS152" s="7" t="s">
        <v>629</v>
      </c>
      <c r="BT152" s="7"/>
      <c r="BU152" s="7"/>
      <c r="BV152" s="7">
        <v>0</v>
      </c>
      <c r="BW152" s="7"/>
      <c r="BX152" s="7"/>
      <c r="BY152" s="7">
        <v>10001</v>
      </c>
      <c r="BZ152" s="7" t="s">
        <v>1414</v>
      </c>
      <c r="CA152" s="7"/>
      <c r="CB152" s="7"/>
      <c r="CC152" s="7"/>
      <c r="CD152" s="7"/>
      <c r="CE152" s="7"/>
      <c r="CF152" s="7"/>
      <c r="CG152" s="7"/>
      <c r="CH152" s="7">
        <v>1685</v>
      </c>
      <c r="CI152" s="7" t="s">
        <v>1306</v>
      </c>
      <c r="CJ152" s="7"/>
      <c r="CK152" s="7"/>
      <c r="CL152" s="7"/>
      <c r="CM152" s="7"/>
      <c r="CN152" s="7">
        <v>0</v>
      </c>
      <c r="CO152" s="7"/>
      <c r="CP152" s="7"/>
      <c r="CQ152" s="7"/>
      <c r="CR152" s="7"/>
      <c r="CS152" s="7">
        <v>0</v>
      </c>
      <c r="CT152" s="7"/>
      <c r="CU152" s="7"/>
      <c r="CV152" s="7" t="s">
        <v>1338</v>
      </c>
      <c r="CW152" s="7" t="s">
        <v>431</v>
      </c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</row>
    <row r="153" spans="1:118" ht="13.5" customHeight="1">
      <c r="A153" s="7">
        <v>141</v>
      </c>
      <c r="B153" s="7"/>
      <c r="C153" s="7"/>
      <c r="D153" s="7"/>
      <c r="E153" s="6" t="s">
        <v>433</v>
      </c>
      <c r="F153" s="6"/>
      <c r="G153" s="7">
        <v>353089</v>
      </c>
      <c r="H153" s="7" t="s">
        <v>613</v>
      </c>
      <c r="I153" s="7">
        <v>46</v>
      </c>
      <c r="J153" s="6" t="s">
        <v>435</v>
      </c>
      <c r="K153" s="7">
        <v>36</v>
      </c>
      <c r="L153" s="7" t="s">
        <v>1339</v>
      </c>
      <c r="M153" s="7">
        <v>24</v>
      </c>
      <c r="N153" s="7" t="s">
        <v>1340</v>
      </c>
      <c r="O153" s="7">
        <v>14</v>
      </c>
      <c r="P153" s="7" t="s">
        <v>1341</v>
      </c>
      <c r="Q153" s="7">
        <v>14</v>
      </c>
      <c r="R153" s="7" t="s">
        <v>1341</v>
      </c>
      <c r="S153" s="7" t="s">
        <v>617</v>
      </c>
      <c r="T153" s="7" t="s">
        <v>903</v>
      </c>
      <c r="U153" s="28"/>
      <c r="V153" s="7">
        <v>12</v>
      </c>
      <c r="W153" s="7" t="s">
        <v>977</v>
      </c>
      <c r="X153" s="28"/>
      <c r="Y153" s="7" t="s">
        <v>1333</v>
      </c>
      <c r="Z153" s="7" t="s">
        <v>621</v>
      </c>
      <c r="AA153" s="7" t="s">
        <v>622</v>
      </c>
      <c r="AB153" s="7" t="s">
        <v>638</v>
      </c>
      <c r="AC153" s="7"/>
      <c r="AD153" s="7"/>
      <c r="AE153" s="7"/>
      <c r="AF153" s="7"/>
      <c r="AG153" s="7"/>
      <c r="AH153" s="7"/>
      <c r="AI153" s="7" t="s">
        <v>611</v>
      </c>
      <c r="AJ153" s="7" t="s">
        <v>623</v>
      </c>
      <c r="AK153" s="7">
        <v>10</v>
      </c>
      <c r="AL153" s="7">
        <v>9</v>
      </c>
      <c r="AM153" s="7" t="s">
        <v>624</v>
      </c>
      <c r="AN153" s="7" t="s">
        <v>625</v>
      </c>
      <c r="AO153" s="7" t="s">
        <v>626</v>
      </c>
      <c r="AP153" s="7" t="s">
        <v>627</v>
      </c>
      <c r="AQ153" s="7" t="s">
        <v>617</v>
      </c>
      <c r="AR153" s="7"/>
      <c r="AS153" s="7"/>
      <c r="AT153" s="7"/>
      <c r="AU153" s="6">
        <v>91022</v>
      </c>
      <c r="AV153" s="6" t="s">
        <v>197</v>
      </c>
      <c r="AW153" s="7"/>
      <c r="AX153" s="7"/>
      <c r="AY153" s="7"/>
      <c r="AZ153" s="7"/>
      <c r="BA153" s="6">
        <v>1214</v>
      </c>
      <c r="BB153" s="6" t="s">
        <v>628</v>
      </c>
      <c r="BC153" s="7"/>
      <c r="BD153" s="7"/>
      <c r="BE153" s="7"/>
      <c r="BF153" s="7"/>
      <c r="BG153" s="7">
        <v>0</v>
      </c>
      <c r="BH153" s="7">
        <v>0</v>
      </c>
      <c r="BI153" s="7">
        <v>0</v>
      </c>
      <c r="BJ153" s="7">
        <v>10</v>
      </c>
      <c r="BK153" s="7">
        <v>0</v>
      </c>
      <c r="BL153" s="7">
        <v>10</v>
      </c>
      <c r="BM153" s="7"/>
      <c r="BN153" s="7">
        <v>0</v>
      </c>
      <c r="BO153" s="7"/>
      <c r="BP153" s="7"/>
      <c r="BQ153" s="7">
        <v>0</v>
      </c>
      <c r="BR153" s="7">
        <v>380</v>
      </c>
      <c r="BS153" s="7" t="s">
        <v>629</v>
      </c>
      <c r="BT153" s="7"/>
      <c r="BU153" s="7"/>
      <c r="BV153" s="7">
        <v>0</v>
      </c>
      <c r="BW153" s="7"/>
      <c r="BX153" s="7"/>
      <c r="BY153" s="7">
        <v>10001</v>
      </c>
      <c r="BZ153" s="7" t="s">
        <v>1414</v>
      </c>
      <c r="CA153" s="7"/>
      <c r="CB153" s="7"/>
      <c r="CC153" s="7"/>
      <c r="CD153" s="7"/>
      <c r="CE153" s="7"/>
      <c r="CF153" s="7"/>
      <c r="CG153" s="7"/>
      <c r="CH153" s="7">
        <v>1685</v>
      </c>
      <c r="CI153" s="7" t="s">
        <v>1306</v>
      </c>
      <c r="CJ153" s="7"/>
      <c r="CK153" s="7"/>
      <c r="CL153" s="7"/>
      <c r="CM153" s="7"/>
      <c r="CN153" s="7">
        <v>0</v>
      </c>
      <c r="CO153" s="7"/>
      <c r="CP153" s="7"/>
      <c r="CQ153" s="7"/>
      <c r="CR153" s="7"/>
      <c r="CS153" s="7">
        <v>0</v>
      </c>
      <c r="CT153" s="7"/>
      <c r="CU153" s="7"/>
      <c r="CV153" s="7" t="s">
        <v>1342</v>
      </c>
      <c r="CW153" s="7" t="s">
        <v>434</v>
      </c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</row>
    <row r="154" spans="1:118" ht="13.5" customHeight="1">
      <c r="A154" s="7">
        <v>142</v>
      </c>
      <c r="B154" s="7"/>
      <c r="C154" s="7"/>
      <c r="D154" s="7"/>
      <c r="E154" s="6" t="s">
        <v>436</v>
      </c>
      <c r="F154" s="6"/>
      <c r="G154" s="7">
        <v>353090</v>
      </c>
      <c r="H154" s="7" t="s">
        <v>613</v>
      </c>
      <c r="I154" s="7">
        <v>42</v>
      </c>
      <c r="J154" s="6" t="s">
        <v>438</v>
      </c>
      <c r="K154" s="7">
        <v>40</v>
      </c>
      <c r="L154" s="7" t="s">
        <v>1343</v>
      </c>
      <c r="M154" s="7">
        <v>26</v>
      </c>
      <c r="N154" s="7" t="s">
        <v>1344</v>
      </c>
      <c r="O154" s="7">
        <v>16</v>
      </c>
      <c r="P154" s="7" t="s">
        <v>1345</v>
      </c>
      <c r="Q154" s="7">
        <v>16</v>
      </c>
      <c r="R154" s="7" t="s">
        <v>1345</v>
      </c>
      <c r="S154" s="7" t="s">
        <v>617</v>
      </c>
      <c r="T154" s="7" t="s">
        <v>903</v>
      </c>
      <c r="U154" s="28"/>
      <c r="V154" s="7">
        <v>12</v>
      </c>
      <c r="W154" s="7" t="s">
        <v>977</v>
      </c>
      <c r="X154" s="28"/>
      <c r="Y154" s="7" t="s">
        <v>1333</v>
      </c>
      <c r="Z154" s="7" t="s">
        <v>621</v>
      </c>
      <c r="AA154" s="7" t="s">
        <v>622</v>
      </c>
      <c r="AB154" s="7" t="s">
        <v>638</v>
      </c>
      <c r="AC154" s="7"/>
      <c r="AD154" s="7"/>
      <c r="AE154" s="7"/>
      <c r="AF154" s="7"/>
      <c r="AG154" s="7"/>
      <c r="AH154" s="7"/>
      <c r="AI154" s="7" t="s">
        <v>611</v>
      </c>
      <c r="AJ154" s="7" t="s">
        <v>623</v>
      </c>
      <c r="AK154" s="7">
        <v>10</v>
      </c>
      <c r="AL154" s="7">
        <v>9</v>
      </c>
      <c r="AM154" s="7" t="s">
        <v>624</v>
      </c>
      <c r="AN154" s="7" t="s">
        <v>625</v>
      </c>
      <c r="AO154" s="7" t="s">
        <v>626</v>
      </c>
      <c r="AP154" s="7" t="s">
        <v>627</v>
      </c>
      <c r="AQ154" s="7" t="s">
        <v>617</v>
      </c>
      <c r="AR154" s="7"/>
      <c r="AS154" s="7"/>
      <c r="AT154" s="7"/>
      <c r="AU154" s="6">
        <v>91022</v>
      </c>
      <c r="AV154" s="6" t="s">
        <v>197</v>
      </c>
      <c r="AW154" s="7"/>
      <c r="AX154" s="7"/>
      <c r="AY154" s="7"/>
      <c r="AZ154" s="7"/>
      <c r="BA154" s="6">
        <v>1214</v>
      </c>
      <c r="BB154" s="6" t="s">
        <v>628</v>
      </c>
      <c r="BC154" s="7"/>
      <c r="BD154" s="7"/>
      <c r="BE154" s="7"/>
      <c r="BF154" s="7"/>
      <c r="BG154" s="7">
        <v>0</v>
      </c>
      <c r="BH154" s="7">
        <v>0</v>
      </c>
      <c r="BI154" s="7">
        <v>0</v>
      </c>
      <c r="BJ154" s="7">
        <v>10</v>
      </c>
      <c r="BK154" s="7">
        <v>0</v>
      </c>
      <c r="BL154" s="7">
        <v>10</v>
      </c>
      <c r="BM154" s="7"/>
      <c r="BN154" s="7">
        <v>0</v>
      </c>
      <c r="BO154" s="7"/>
      <c r="BP154" s="7"/>
      <c r="BQ154" s="7">
        <v>0</v>
      </c>
      <c r="BR154" s="7">
        <v>380</v>
      </c>
      <c r="BS154" s="7" t="s">
        <v>629</v>
      </c>
      <c r="BT154" s="7"/>
      <c r="BU154" s="7"/>
      <c r="BV154" s="7">
        <v>0</v>
      </c>
      <c r="BW154" s="7"/>
      <c r="BX154" s="7"/>
      <c r="BY154" s="7">
        <v>10001</v>
      </c>
      <c r="BZ154" s="7" t="s">
        <v>1414</v>
      </c>
      <c r="CA154" s="7"/>
      <c r="CB154" s="7"/>
      <c r="CC154" s="7"/>
      <c r="CD154" s="7"/>
      <c r="CE154" s="7"/>
      <c r="CF154" s="7"/>
      <c r="CG154" s="7"/>
      <c r="CH154" s="7">
        <v>1685</v>
      </c>
      <c r="CI154" s="7" t="s">
        <v>1306</v>
      </c>
      <c r="CJ154" s="7"/>
      <c r="CK154" s="7"/>
      <c r="CL154" s="7"/>
      <c r="CM154" s="7"/>
      <c r="CN154" s="7">
        <v>0</v>
      </c>
      <c r="CO154" s="7"/>
      <c r="CP154" s="7"/>
      <c r="CQ154" s="7"/>
      <c r="CR154" s="7"/>
      <c r="CS154" s="7">
        <v>0</v>
      </c>
      <c r="CT154" s="7"/>
      <c r="CU154" s="7"/>
      <c r="CV154" s="7" t="s">
        <v>1346</v>
      </c>
      <c r="CW154" s="7" t="s">
        <v>437</v>
      </c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</row>
    <row r="155" spans="1:118" ht="13.5" customHeight="1">
      <c r="A155" s="7">
        <v>143</v>
      </c>
      <c r="B155" s="7"/>
      <c r="C155" s="7"/>
      <c r="D155" s="7"/>
      <c r="E155" s="6" t="s">
        <v>439</v>
      </c>
      <c r="F155" s="6"/>
      <c r="G155" s="7">
        <v>353091</v>
      </c>
      <c r="H155" s="7" t="s">
        <v>613</v>
      </c>
      <c r="I155" s="7">
        <v>50</v>
      </c>
      <c r="J155" s="6" t="s">
        <v>441</v>
      </c>
      <c r="K155" s="7">
        <v>38</v>
      </c>
      <c r="L155" s="7" t="s">
        <v>1347</v>
      </c>
      <c r="M155" s="7">
        <v>26</v>
      </c>
      <c r="N155" s="7" t="s">
        <v>1348</v>
      </c>
      <c r="O155" s="7">
        <v>16</v>
      </c>
      <c r="P155" s="7" t="s">
        <v>1349</v>
      </c>
      <c r="Q155" s="7">
        <v>16</v>
      </c>
      <c r="R155" s="7" t="s">
        <v>1349</v>
      </c>
      <c r="S155" s="7" t="s">
        <v>617</v>
      </c>
      <c r="T155" s="7" t="s">
        <v>903</v>
      </c>
      <c r="U155" s="28"/>
      <c r="V155" s="7">
        <v>12</v>
      </c>
      <c r="W155" s="7" t="s">
        <v>977</v>
      </c>
      <c r="X155" s="28"/>
      <c r="Y155" s="7" t="s">
        <v>1333</v>
      </c>
      <c r="Z155" s="7" t="s">
        <v>621</v>
      </c>
      <c r="AA155" s="7" t="s">
        <v>622</v>
      </c>
      <c r="AB155" s="7" t="s">
        <v>638</v>
      </c>
      <c r="AC155" s="7"/>
      <c r="AD155" s="7"/>
      <c r="AE155" s="7"/>
      <c r="AF155" s="7"/>
      <c r="AG155" s="7"/>
      <c r="AH155" s="7"/>
      <c r="AI155" s="7" t="s">
        <v>611</v>
      </c>
      <c r="AJ155" s="7" t="s">
        <v>623</v>
      </c>
      <c r="AK155" s="7">
        <v>10</v>
      </c>
      <c r="AL155" s="7">
        <v>9</v>
      </c>
      <c r="AM155" s="7" t="s">
        <v>624</v>
      </c>
      <c r="AN155" s="7" t="s">
        <v>625</v>
      </c>
      <c r="AO155" s="7" t="s">
        <v>626</v>
      </c>
      <c r="AP155" s="7" t="s">
        <v>627</v>
      </c>
      <c r="AQ155" s="7" t="s">
        <v>617</v>
      </c>
      <c r="AR155" s="7"/>
      <c r="AS155" s="7"/>
      <c r="AT155" s="7"/>
      <c r="AU155" s="6">
        <v>91022</v>
      </c>
      <c r="AV155" s="6" t="s">
        <v>197</v>
      </c>
      <c r="AW155" s="7"/>
      <c r="AX155" s="7"/>
      <c r="AY155" s="7"/>
      <c r="AZ155" s="7"/>
      <c r="BA155" s="6">
        <v>1214</v>
      </c>
      <c r="BB155" s="6" t="s">
        <v>628</v>
      </c>
      <c r="BC155" s="7"/>
      <c r="BD155" s="7"/>
      <c r="BE155" s="7"/>
      <c r="BF155" s="7"/>
      <c r="BG155" s="7">
        <v>0</v>
      </c>
      <c r="BH155" s="7">
        <v>0</v>
      </c>
      <c r="BI155" s="7">
        <v>0</v>
      </c>
      <c r="BJ155" s="7">
        <v>10</v>
      </c>
      <c r="BK155" s="7">
        <v>0</v>
      </c>
      <c r="BL155" s="7">
        <v>10</v>
      </c>
      <c r="BM155" s="7"/>
      <c r="BN155" s="7">
        <v>0</v>
      </c>
      <c r="BO155" s="7"/>
      <c r="BP155" s="7"/>
      <c r="BQ155" s="7">
        <v>0</v>
      </c>
      <c r="BR155" s="7">
        <v>380</v>
      </c>
      <c r="BS155" s="7" t="s">
        <v>629</v>
      </c>
      <c r="BT155" s="7"/>
      <c r="BU155" s="7"/>
      <c r="BV155" s="7">
        <v>0</v>
      </c>
      <c r="BW155" s="7"/>
      <c r="BX155" s="7"/>
      <c r="BY155" s="7">
        <v>10001</v>
      </c>
      <c r="BZ155" s="7" t="s">
        <v>1414</v>
      </c>
      <c r="CA155" s="7"/>
      <c r="CB155" s="7"/>
      <c r="CC155" s="7"/>
      <c r="CD155" s="7"/>
      <c r="CE155" s="7"/>
      <c r="CF155" s="7"/>
      <c r="CG155" s="7"/>
      <c r="CH155" s="7">
        <v>1685</v>
      </c>
      <c r="CI155" s="7" t="s">
        <v>1306</v>
      </c>
      <c r="CJ155" s="7"/>
      <c r="CK155" s="7"/>
      <c r="CL155" s="7"/>
      <c r="CM155" s="7"/>
      <c r="CN155" s="7">
        <v>0</v>
      </c>
      <c r="CO155" s="7"/>
      <c r="CP155" s="7"/>
      <c r="CQ155" s="7"/>
      <c r="CR155" s="7"/>
      <c r="CS155" s="7">
        <v>0</v>
      </c>
      <c r="CT155" s="7"/>
      <c r="CU155" s="7"/>
      <c r="CV155" s="7" t="s">
        <v>1350</v>
      </c>
      <c r="CW155" s="7" t="s">
        <v>440</v>
      </c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</row>
    <row r="156" spans="1:118" ht="13.5" customHeight="1">
      <c r="A156" s="7">
        <v>144</v>
      </c>
      <c r="B156" s="7"/>
      <c r="C156" s="7"/>
      <c r="D156" s="7"/>
      <c r="E156" s="6" t="s">
        <v>442</v>
      </c>
      <c r="F156" s="6"/>
      <c r="G156" s="7">
        <v>353101</v>
      </c>
      <c r="H156" s="7" t="s">
        <v>613</v>
      </c>
      <c r="I156" s="7">
        <v>78</v>
      </c>
      <c r="J156" s="6" t="s">
        <v>444</v>
      </c>
      <c r="K156" s="7">
        <v>50</v>
      </c>
      <c r="L156" s="7" t="s">
        <v>1351</v>
      </c>
      <c r="M156" s="7">
        <v>42</v>
      </c>
      <c r="N156" s="7" t="s">
        <v>1352</v>
      </c>
      <c r="O156" s="7">
        <v>18</v>
      </c>
      <c r="P156" s="7" t="s">
        <v>1353</v>
      </c>
      <c r="Q156" s="7">
        <v>18</v>
      </c>
      <c r="R156" s="7" t="s">
        <v>1353</v>
      </c>
      <c r="S156" s="7" t="s">
        <v>617</v>
      </c>
      <c r="T156" s="7" t="s">
        <v>1354</v>
      </c>
      <c r="U156" s="28"/>
      <c r="V156" s="7">
        <v>4</v>
      </c>
      <c r="W156" s="7" t="s">
        <v>1195</v>
      </c>
      <c r="X156" s="28"/>
      <c r="Y156" s="7" t="s">
        <v>1355</v>
      </c>
      <c r="Z156" s="7" t="s">
        <v>621</v>
      </c>
      <c r="AA156" s="7" t="s">
        <v>622</v>
      </c>
      <c r="AB156" s="7" t="s">
        <v>638</v>
      </c>
      <c r="AC156" s="7"/>
      <c r="AD156" s="7"/>
      <c r="AE156" s="7"/>
      <c r="AF156" s="7"/>
      <c r="AG156" s="7"/>
      <c r="AH156" s="7"/>
      <c r="AI156" s="7" t="s">
        <v>611</v>
      </c>
      <c r="AJ156" s="7" t="s">
        <v>623</v>
      </c>
      <c r="AK156" s="7">
        <v>10</v>
      </c>
      <c r="AL156" s="7">
        <v>9</v>
      </c>
      <c r="AM156" s="7" t="s">
        <v>624</v>
      </c>
      <c r="AN156" s="7" t="s">
        <v>625</v>
      </c>
      <c r="AO156" s="7" t="s">
        <v>626</v>
      </c>
      <c r="AP156" s="7" t="s">
        <v>627</v>
      </c>
      <c r="AQ156" s="7" t="s">
        <v>617</v>
      </c>
      <c r="AR156" s="7"/>
      <c r="AS156" s="7"/>
      <c r="AT156" s="7"/>
      <c r="AU156" s="6">
        <v>91000</v>
      </c>
      <c r="AV156" s="6" t="s">
        <v>182</v>
      </c>
      <c r="AW156" s="7"/>
      <c r="AX156" s="7"/>
      <c r="AY156" s="7"/>
      <c r="AZ156" s="7"/>
      <c r="BA156" s="6">
        <v>1214</v>
      </c>
      <c r="BB156" s="6" t="s">
        <v>628</v>
      </c>
      <c r="BC156" s="7"/>
      <c r="BD156" s="7"/>
      <c r="BE156" s="7"/>
      <c r="BF156" s="7"/>
      <c r="BG156" s="7">
        <v>0</v>
      </c>
      <c r="BH156" s="7">
        <v>0</v>
      </c>
      <c r="BI156" s="7">
        <v>0</v>
      </c>
      <c r="BJ156" s="7">
        <v>10</v>
      </c>
      <c r="BK156" s="7">
        <v>0</v>
      </c>
      <c r="BL156" s="7">
        <v>10</v>
      </c>
      <c r="BM156" s="7"/>
      <c r="BN156" s="7">
        <v>0</v>
      </c>
      <c r="BO156" s="7"/>
      <c r="BP156" s="7"/>
      <c r="BQ156" s="7">
        <v>0</v>
      </c>
      <c r="BR156" s="7">
        <v>380</v>
      </c>
      <c r="BS156" s="7" t="s">
        <v>629</v>
      </c>
      <c r="BT156" s="7"/>
      <c r="BU156" s="7"/>
      <c r="BV156" s="7">
        <v>0</v>
      </c>
      <c r="BW156" s="7"/>
      <c r="BX156" s="7"/>
      <c r="BY156" s="7">
        <v>10001</v>
      </c>
      <c r="BZ156" s="7" t="s">
        <v>1414</v>
      </c>
      <c r="CA156" s="7"/>
      <c r="CB156" s="7"/>
      <c r="CC156" s="7"/>
      <c r="CD156" s="7"/>
      <c r="CE156" s="7"/>
      <c r="CF156" s="7"/>
      <c r="CG156" s="7"/>
      <c r="CH156" s="7">
        <v>1685</v>
      </c>
      <c r="CI156" s="7" t="s">
        <v>1306</v>
      </c>
      <c r="CJ156" s="7"/>
      <c r="CK156" s="7"/>
      <c r="CL156" s="7"/>
      <c r="CM156" s="7"/>
      <c r="CN156" s="7">
        <v>0</v>
      </c>
      <c r="CO156" s="7"/>
      <c r="CP156" s="7"/>
      <c r="CQ156" s="7"/>
      <c r="CR156" s="7"/>
      <c r="CS156" s="7">
        <v>0</v>
      </c>
      <c r="CT156" s="7"/>
      <c r="CU156" s="7"/>
      <c r="CV156" s="7" t="s">
        <v>1356</v>
      </c>
      <c r="CW156" s="7" t="s">
        <v>443</v>
      </c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</row>
    <row r="157" spans="1:118" ht="13.5" customHeight="1">
      <c r="A157" s="7">
        <v>145</v>
      </c>
      <c r="B157" s="7"/>
      <c r="C157" s="7"/>
      <c r="D157" s="7"/>
      <c r="E157" s="6" t="s">
        <v>445</v>
      </c>
      <c r="F157" s="6"/>
      <c r="G157" s="7">
        <v>353102</v>
      </c>
      <c r="H157" s="7" t="s">
        <v>613</v>
      </c>
      <c r="I157" s="7">
        <v>58</v>
      </c>
      <c r="J157" s="6" t="s">
        <v>447</v>
      </c>
      <c r="K157" s="7">
        <v>50</v>
      </c>
      <c r="L157" s="7" t="s">
        <v>1357</v>
      </c>
      <c r="M157" s="7">
        <v>35</v>
      </c>
      <c r="N157" s="7" t="s">
        <v>1358</v>
      </c>
      <c r="O157" s="7">
        <v>20</v>
      </c>
      <c r="P157" s="7" t="s">
        <v>1359</v>
      </c>
      <c r="Q157" s="7">
        <v>20</v>
      </c>
      <c r="R157" s="7" t="s">
        <v>1359</v>
      </c>
      <c r="S157" s="7" t="s">
        <v>617</v>
      </c>
      <c r="T157" s="7" t="s">
        <v>1354</v>
      </c>
      <c r="U157" s="28"/>
      <c r="V157" s="7">
        <v>4</v>
      </c>
      <c r="W157" s="7" t="s">
        <v>1195</v>
      </c>
      <c r="X157" s="28"/>
      <c r="Y157" s="7" t="s">
        <v>1355</v>
      </c>
      <c r="Z157" s="7" t="s">
        <v>621</v>
      </c>
      <c r="AA157" s="7" t="s">
        <v>622</v>
      </c>
      <c r="AB157" s="7" t="s">
        <v>638</v>
      </c>
      <c r="AC157" s="7"/>
      <c r="AD157" s="7"/>
      <c r="AE157" s="7"/>
      <c r="AF157" s="7"/>
      <c r="AG157" s="7"/>
      <c r="AH157" s="7"/>
      <c r="AI157" s="7" t="s">
        <v>611</v>
      </c>
      <c r="AJ157" s="7" t="s">
        <v>623</v>
      </c>
      <c r="AK157" s="7">
        <v>10</v>
      </c>
      <c r="AL157" s="7">
        <v>9</v>
      </c>
      <c r="AM157" s="7" t="s">
        <v>624</v>
      </c>
      <c r="AN157" s="7" t="s">
        <v>625</v>
      </c>
      <c r="AO157" s="7" t="s">
        <v>626</v>
      </c>
      <c r="AP157" s="7" t="s">
        <v>627</v>
      </c>
      <c r="AQ157" s="7" t="s">
        <v>617</v>
      </c>
      <c r="AR157" s="7"/>
      <c r="AS157" s="7"/>
      <c r="AT157" s="7"/>
      <c r="AU157" s="6">
        <v>91000</v>
      </c>
      <c r="AV157" s="6" t="s">
        <v>182</v>
      </c>
      <c r="AW157" s="7"/>
      <c r="AX157" s="7"/>
      <c r="AY157" s="7"/>
      <c r="AZ157" s="7"/>
      <c r="BA157" s="6">
        <v>1214</v>
      </c>
      <c r="BB157" s="6" t="s">
        <v>628</v>
      </c>
      <c r="BC157" s="7"/>
      <c r="BD157" s="7"/>
      <c r="BE157" s="7"/>
      <c r="BF157" s="7"/>
      <c r="BG157" s="7">
        <v>0</v>
      </c>
      <c r="BH157" s="7">
        <v>0</v>
      </c>
      <c r="BI157" s="7">
        <v>0</v>
      </c>
      <c r="BJ157" s="7">
        <v>10</v>
      </c>
      <c r="BK157" s="7">
        <v>0</v>
      </c>
      <c r="BL157" s="7">
        <v>10</v>
      </c>
      <c r="BM157" s="7"/>
      <c r="BN157" s="7">
        <v>0</v>
      </c>
      <c r="BO157" s="7"/>
      <c r="BP157" s="7"/>
      <c r="BQ157" s="7">
        <v>0</v>
      </c>
      <c r="BR157" s="7">
        <v>380</v>
      </c>
      <c r="BS157" s="7" t="s">
        <v>629</v>
      </c>
      <c r="BT157" s="7"/>
      <c r="BU157" s="7"/>
      <c r="BV157" s="7">
        <v>0</v>
      </c>
      <c r="BW157" s="7"/>
      <c r="BX157" s="7"/>
      <c r="BY157" s="7">
        <v>10001</v>
      </c>
      <c r="BZ157" s="7" t="s">
        <v>1414</v>
      </c>
      <c r="CA157" s="7"/>
      <c r="CB157" s="7"/>
      <c r="CC157" s="7"/>
      <c r="CD157" s="7"/>
      <c r="CE157" s="7"/>
      <c r="CF157" s="7"/>
      <c r="CG157" s="7"/>
      <c r="CH157" s="7">
        <v>1685</v>
      </c>
      <c r="CI157" s="7" t="s">
        <v>1306</v>
      </c>
      <c r="CJ157" s="7"/>
      <c r="CK157" s="7"/>
      <c r="CL157" s="7"/>
      <c r="CM157" s="7"/>
      <c r="CN157" s="7">
        <v>0</v>
      </c>
      <c r="CO157" s="7"/>
      <c r="CP157" s="7"/>
      <c r="CQ157" s="7"/>
      <c r="CR157" s="7"/>
      <c r="CS157" s="7">
        <v>0</v>
      </c>
      <c r="CT157" s="7"/>
      <c r="CU157" s="7"/>
      <c r="CV157" s="7" t="s">
        <v>1360</v>
      </c>
      <c r="CW157" s="7" t="s">
        <v>446</v>
      </c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</row>
    <row r="158" spans="1:118" ht="13.5" customHeight="1">
      <c r="A158" s="7">
        <v>146</v>
      </c>
      <c r="B158" s="7"/>
      <c r="C158" s="7"/>
      <c r="D158" s="7"/>
      <c r="E158" s="6" t="s">
        <v>448</v>
      </c>
      <c r="F158" s="6"/>
      <c r="G158" s="7">
        <v>353103</v>
      </c>
      <c r="H158" s="7" t="s">
        <v>613</v>
      </c>
      <c r="I158" s="7">
        <v>78</v>
      </c>
      <c r="J158" s="6" t="s">
        <v>450</v>
      </c>
      <c r="K158" s="7">
        <v>50</v>
      </c>
      <c r="L158" s="7" t="s">
        <v>1361</v>
      </c>
      <c r="M158" s="7">
        <v>43</v>
      </c>
      <c r="N158" s="7" t="s">
        <v>1362</v>
      </c>
      <c r="O158" s="7">
        <v>20</v>
      </c>
      <c r="P158" s="7" t="s">
        <v>1363</v>
      </c>
      <c r="Q158" s="7">
        <v>20</v>
      </c>
      <c r="R158" s="7" t="s">
        <v>1363</v>
      </c>
      <c r="S158" s="7" t="s">
        <v>617</v>
      </c>
      <c r="T158" s="7" t="s">
        <v>1354</v>
      </c>
      <c r="U158" s="28"/>
      <c r="V158" s="7">
        <v>4</v>
      </c>
      <c r="W158" s="7" t="s">
        <v>1195</v>
      </c>
      <c r="X158" s="28"/>
      <c r="Y158" s="7" t="s">
        <v>1355</v>
      </c>
      <c r="Z158" s="7" t="s">
        <v>621</v>
      </c>
      <c r="AA158" s="7" t="s">
        <v>622</v>
      </c>
      <c r="AB158" s="7" t="s">
        <v>638</v>
      </c>
      <c r="AC158" s="7"/>
      <c r="AD158" s="7"/>
      <c r="AE158" s="7"/>
      <c r="AF158" s="7"/>
      <c r="AG158" s="7"/>
      <c r="AH158" s="7"/>
      <c r="AI158" s="7" t="s">
        <v>611</v>
      </c>
      <c r="AJ158" s="7" t="s">
        <v>623</v>
      </c>
      <c r="AK158" s="7">
        <v>10</v>
      </c>
      <c r="AL158" s="7">
        <v>9</v>
      </c>
      <c r="AM158" s="7" t="s">
        <v>624</v>
      </c>
      <c r="AN158" s="7" t="s">
        <v>625</v>
      </c>
      <c r="AO158" s="7" t="s">
        <v>626</v>
      </c>
      <c r="AP158" s="7" t="s">
        <v>627</v>
      </c>
      <c r="AQ158" s="7" t="s">
        <v>617</v>
      </c>
      <c r="AR158" s="7"/>
      <c r="AS158" s="7"/>
      <c r="AT158" s="7"/>
      <c r="AU158" s="6">
        <v>91000</v>
      </c>
      <c r="AV158" s="6" t="s">
        <v>182</v>
      </c>
      <c r="AW158" s="7"/>
      <c r="AX158" s="7"/>
      <c r="AY158" s="7"/>
      <c r="AZ158" s="7"/>
      <c r="BA158" s="6">
        <v>1214</v>
      </c>
      <c r="BB158" s="6" t="s">
        <v>628</v>
      </c>
      <c r="BC158" s="7"/>
      <c r="BD158" s="7"/>
      <c r="BE158" s="7"/>
      <c r="BF158" s="7"/>
      <c r="BG158" s="7">
        <v>0</v>
      </c>
      <c r="BH158" s="7">
        <v>0</v>
      </c>
      <c r="BI158" s="7">
        <v>0</v>
      </c>
      <c r="BJ158" s="7">
        <v>10</v>
      </c>
      <c r="BK158" s="7">
        <v>0</v>
      </c>
      <c r="BL158" s="7">
        <v>10</v>
      </c>
      <c r="BM158" s="7"/>
      <c r="BN158" s="7">
        <v>0</v>
      </c>
      <c r="BO158" s="7"/>
      <c r="BP158" s="7"/>
      <c r="BQ158" s="7">
        <v>0</v>
      </c>
      <c r="BR158" s="7">
        <v>380</v>
      </c>
      <c r="BS158" s="7" t="s">
        <v>629</v>
      </c>
      <c r="BT158" s="7"/>
      <c r="BU158" s="7"/>
      <c r="BV158" s="7">
        <v>0</v>
      </c>
      <c r="BW158" s="7"/>
      <c r="BX158" s="7"/>
      <c r="BY158" s="7">
        <v>10001</v>
      </c>
      <c r="BZ158" s="7" t="s">
        <v>1414</v>
      </c>
      <c r="CA158" s="7"/>
      <c r="CB158" s="7"/>
      <c r="CC158" s="7"/>
      <c r="CD158" s="7"/>
      <c r="CE158" s="7"/>
      <c r="CF158" s="7"/>
      <c r="CG158" s="7"/>
      <c r="CH158" s="7">
        <v>1685</v>
      </c>
      <c r="CI158" s="7" t="s">
        <v>1306</v>
      </c>
      <c r="CJ158" s="7"/>
      <c r="CK158" s="7"/>
      <c r="CL158" s="7"/>
      <c r="CM158" s="7"/>
      <c r="CN158" s="7">
        <v>0</v>
      </c>
      <c r="CO158" s="7"/>
      <c r="CP158" s="7"/>
      <c r="CQ158" s="7"/>
      <c r="CR158" s="7"/>
      <c r="CS158" s="7">
        <v>0</v>
      </c>
      <c r="CT158" s="7"/>
      <c r="CU158" s="7"/>
      <c r="CV158" s="7" t="s">
        <v>1364</v>
      </c>
      <c r="CW158" s="7" t="s">
        <v>449</v>
      </c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</row>
    <row r="159" spans="1:118" ht="13.5" customHeight="1">
      <c r="A159" s="7">
        <v>147</v>
      </c>
      <c r="B159" s="7"/>
      <c r="C159" s="7"/>
      <c r="D159" s="7"/>
      <c r="E159" s="6" t="s">
        <v>451</v>
      </c>
      <c r="F159" s="6"/>
      <c r="G159" s="7">
        <v>353104</v>
      </c>
      <c r="H159" s="7" t="s">
        <v>613</v>
      </c>
      <c r="I159" s="7">
        <v>62</v>
      </c>
      <c r="J159" s="6" t="s">
        <v>453</v>
      </c>
      <c r="K159" s="7">
        <v>49</v>
      </c>
      <c r="L159" s="7" t="s">
        <v>1365</v>
      </c>
      <c r="M159" s="7">
        <v>41</v>
      </c>
      <c r="N159" s="7" t="s">
        <v>1366</v>
      </c>
      <c r="O159" s="7">
        <v>19</v>
      </c>
      <c r="P159" s="7" t="s">
        <v>1367</v>
      </c>
      <c r="Q159" s="7">
        <v>19</v>
      </c>
      <c r="R159" s="7" t="s">
        <v>1367</v>
      </c>
      <c r="S159" s="7" t="s">
        <v>617</v>
      </c>
      <c r="T159" s="7" t="s">
        <v>1354</v>
      </c>
      <c r="U159" s="28"/>
      <c r="V159" s="7">
        <v>4</v>
      </c>
      <c r="W159" s="7" t="s">
        <v>1195</v>
      </c>
      <c r="X159" s="28"/>
      <c r="Y159" s="7" t="s">
        <v>1355</v>
      </c>
      <c r="Z159" s="7" t="s">
        <v>621</v>
      </c>
      <c r="AA159" s="7" t="s">
        <v>622</v>
      </c>
      <c r="AB159" s="7" t="s">
        <v>638</v>
      </c>
      <c r="AC159" s="7"/>
      <c r="AD159" s="7"/>
      <c r="AE159" s="7"/>
      <c r="AF159" s="7"/>
      <c r="AG159" s="7"/>
      <c r="AH159" s="7"/>
      <c r="AI159" s="7" t="s">
        <v>611</v>
      </c>
      <c r="AJ159" s="7" t="s">
        <v>623</v>
      </c>
      <c r="AK159" s="7">
        <v>10</v>
      </c>
      <c r="AL159" s="7">
        <v>9</v>
      </c>
      <c r="AM159" s="7" t="s">
        <v>624</v>
      </c>
      <c r="AN159" s="7" t="s">
        <v>625</v>
      </c>
      <c r="AO159" s="7" t="s">
        <v>626</v>
      </c>
      <c r="AP159" s="7" t="s">
        <v>627</v>
      </c>
      <c r="AQ159" s="7" t="s">
        <v>617</v>
      </c>
      <c r="AR159" s="7"/>
      <c r="AS159" s="7"/>
      <c r="AT159" s="7"/>
      <c r="AU159" s="6">
        <v>91000</v>
      </c>
      <c r="AV159" s="6" t="s">
        <v>182</v>
      </c>
      <c r="AW159" s="7"/>
      <c r="AX159" s="7"/>
      <c r="AY159" s="7"/>
      <c r="AZ159" s="7"/>
      <c r="BA159" s="6">
        <v>1214</v>
      </c>
      <c r="BB159" s="6" t="s">
        <v>628</v>
      </c>
      <c r="BC159" s="7"/>
      <c r="BD159" s="7"/>
      <c r="BE159" s="7"/>
      <c r="BF159" s="7"/>
      <c r="BG159" s="7">
        <v>0</v>
      </c>
      <c r="BH159" s="7">
        <v>0</v>
      </c>
      <c r="BI159" s="7">
        <v>0</v>
      </c>
      <c r="BJ159" s="7">
        <v>10</v>
      </c>
      <c r="BK159" s="7">
        <v>0</v>
      </c>
      <c r="BL159" s="7">
        <v>10</v>
      </c>
      <c r="BM159" s="7"/>
      <c r="BN159" s="7">
        <v>0</v>
      </c>
      <c r="BO159" s="7"/>
      <c r="BP159" s="7"/>
      <c r="BQ159" s="7">
        <v>0</v>
      </c>
      <c r="BR159" s="7">
        <v>380</v>
      </c>
      <c r="BS159" s="7" t="s">
        <v>629</v>
      </c>
      <c r="BT159" s="7"/>
      <c r="BU159" s="7"/>
      <c r="BV159" s="7">
        <v>0</v>
      </c>
      <c r="BW159" s="7"/>
      <c r="BX159" s="7"/>
      <c r="BY159" s="7">
        <v>10001</v>
      </c>
      <c r="BZ159" s="7" t="s">
        <v>1414</v>
      </c>
      <c r="CA159" s="7"/>
      <c r="CB159" s="7"/>
      <c r="CC159" s="7"/>
      <c r="CD159" s="7"/>
      <c r="CE159" s="7"/>
      <c r="CF159" s="7"/>
      <c r="CG159" s="7"/>
      <c r="CH159" s="7">
        <v>1685</v>
      </c>
      <c r="CI159" s="7" t="s">
        <v>1306</v>
      </c>
      <c r="CJ159" s="7"/>
      <c r="CK159" s="7"/>
      <c r="CL159" s="7"/>
      <c r="CM159" s="7"/>
      <c r="CN159" s="7">
        <v>0</v>
      </c>
      <c r="CO159" s="7"/>
      <c r="CP159" s="7"/>
      <c r="CQ159" s="7"/>
      <c r="CR159" s="7"/>
      <c r="CS159" s="7">
        <v>0</v>
      </c>
      <c r="CT159" s="7"/>
      <c r="CU159" s="7"/>
      <c r="CV159" s="7" t="s">
        <v>1368</v>
      </c>
      <c r="CW159" s="7" t="s">
        <v>452</v>
      </c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</row>
    <row r="160" spans="1:118" ht="13.5" customHeight="1">
      <c r="A160" s="7">
        <v>148</v>
      </c>
      <c r="B160" s="7"/>
      <c r="C160" s="7"/>
      <c r="D160" s="7"/>
      <c r="E160" s="6" t="s">
        <v>454</v>
      </c>
      <c r="F160" s="6"/>
      <c r="G160" s="6">
        <v>353203</v>
      </c>
      <c r="H160" s="7" t="s">
        <v>613</v>
      </c>
      <c r="I160" s="7">
        <v>58</v>
      </c>
      <c r="J160" s="6" t="s">
        <v>456</v>
      </c>
      <c r="K160" s="7">
        <v>45</v>
      </c>
      <c r="L160" s="7" t="s">
        <v>1369</v>
      </c>
      <c r="M160" s="7">
        <v>32</v>
      </c>
      <c r="N160" s="7" t="s">
        <v>1370</v>
      </c>
      <c r="O160" s="7">
        <v>19</v>
      </c>
      <c r="P160" s="7" t="s">
        <v>1371</v>
      </c>
      <c r="Q160" s="7">
        <v>19</v>
      </c>
      <c r="R160" s="7" t="s">
        <v>1371</v>
      </c>
      <c r="S160" s="7" t="s">
        <v>617</v>
      </c>
      <c r="T160" s="7" t="s">
        <v>1372</v>
      </c>
      <c r="U160" s="28"/>
      <c r="V160" s="7">
        <v>6</v>
      </c>
      <c r="W160" s="7" t="s">
        <v>1265</v>
      </c>
      <c r="X160" s="28"/>
      <c r="Y160" s="7" t="s">
        <v>1373</v>
      </c>
      <c r="Z160" s="7" t="s">
        <v>621</v>
      </c>
      <c r="AA160" s="7" t="s">
        <v>622</v>
      </c>
      <c r="AB160" s="7" t="s">
        <v>638</v>
      </c>
      <c r="AC160" s="7"/>
      <c r="AD160" s="7"/>
      <c r="AE160" s="7"/>
      <c r="AF160" s="7"/>
      <c r="AG160" s="7"/>
      <c r="AH160" s="7"/>
      <c r="AI160" s="7" t="s">
        <v>611</v>
      </c>
      <c r="AJ160" s="7" t="s">
        <v>623</v>
      </c>
      <c r="AK160" s="7">
        <v>10</v>
      </c>
      <c r="AL160" s="7">
        <v>9</v>
      </c>
      <c r="AM160" s="7" t="s">
        <v>624</v>
      </c>
      <c r="AN160" s="7" t="s">
        <v>625</v>
      </c>
      <c r="AO160" s="7" t="s">
        <v>626</v>
      </c>
      <c r="AP160" s="7" t="s">
        <v>627</v>
      </c>
      <c r="AQ160" s="7" t="s">
        <v>617</v>
      </c>
      <c r="AR160" s="7"/>
      <c r="AS160" s="7"/>
      <c r="AT160" s="7"/>
      <c r="AU160" s="6">
        <v>91020</v>
      </c>
      <c r="AV160" s="6" t="s">
        <v>92</v>
      </c>
      <c r="AW160" s="7"/>
      <c r="AX160" s="7"/>
      <c r="AY160" s="7"/>
      <c r="AZ160" s="7"/>
      <c r="BA160" s="6">
        <v>1214</v>
      </c>
      <c r="BB160" s="6" t="s">
        <v>628</v>
      </c>
      <c r="BC160" s="7"/>
      <c r="BD160" s="7"/>
      <c r="BE160" s="7"/>
      <c r="BF160" s="7"/>
      <c r="BG160" s="7">
        <v>0</v>
      </c>
      <c r="BH160" s="7">
        <v>0</v>
      </c>
      <c r="BI160" s="7">
        <v>0</v>
      </c>
      <c r="BJ160" s="7">
        <v>10</v>
      </c>
      <c r="BK160" s="7">
        <v>0</v>
      </c>
      <c r="BL160" s="7">
        <v>10</v>
      </c>
      <c r="BM160" s="7"/>
      <c r="BN160" s="7">
        <v>0</v>
      </c>
      <c r="BO160" s="7"/>
      <c r="BP160" s="7"/>
      <c r="BQ160" s="7">
        <v>0</v>
      </c>
      <c r="BR160" s="7">
        <v>380</v>
      </c>
      <c r="BS160" s="7" t="s">
        <v>629</v>
      </c>
      <c r="BT160" s="7"/>
      <c r="BU160" s="7"/>
      <c r="BV160" s="7">
        <v>0</v>
      </c>
      <c r="BW160" s="7"/>
      <c r="BX160" s="7"/>
      <c r="BY160" s="7">
        <v>10001</v>
      </c>
      <c r="BZ160" s="7" t="s">
        <v>1414</v>
      </c>
      <c r="CA160" s="7"/>
      <c r="CB160" s="7"/>
      <c r="CC160" s="7"/>
      <c r="CD160" s="7"/>
      <c r="CE160" s="7"/>
      <c r="CF160" s="7"/>
      <c r="CG160" s="7"/>
      <c r="CH160" s="7">
        <v>1685</v>
      </c>
      <c r="CI160" s="7" t="s">
        <v>1306</v>
      </c>
      <c r="CJ160" s="7"/>
      <c r="CK160" s="7"/>
      <c r="CL160" s="7"/>
      <c r="CM160" s="7"/>
      <c r="CN160" s="7">
        <v>0</v>
      </c>
      <c r="CO160" s="7"/>
      <c r="CP160" s="7"/>
      <c r="CQ160" s="7"/>
      <c r="CR160" s="7"/>
      <c r="CS160" s="7">
        <v>0</v>
      </c>
      <c r="CT160" s="7"/>
      <c r="CU160" s="7"/>
      <c r="CV160" s="7" t="s">
        <v>1374</v>
      </c>
      <c r="CW160" s="7" t="s">
        <v>455</v>
      </c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</row>
    <row r="161" spans="1:118" ht="13.5" customHeight="1">
      <c r="A161" s="7">
        <v>149</v>
      </c>
      <c r="B161" s="7"/>
      <c r="C161" s="7"/>
      <c r="D161" s="7"/>
      <c r="E161" s="6" t="s">
        <v>457</v>
      </c>
      <c r="F161" s="6"/>
      <c r="G161" s="6">
        <v>353204</v>
      </c>
      <c r="H161" s="7" t="s">
        <v>613</v>
      </c>
      <c r="I161" s="7">
        <v>90</v>
      </c>
      <c r="J161" s="6" t="s">
        <v>459</v>
      </c>
      <c r="K161" s="7">
        <v>50</v>
      </c>
      <c r="L161" s="7" t="s">
        <v>1375</v>
      </c>
      <c r="M161" s="7">
        <v>40</v>
      </c>
      <c r="N161" s="7" t="s">
        <v>1376</v>
      </c>
      <c r="O161" s="7">
        <v>14</v>
      </c>
      <c r="P161" s="7" t="s">
        <v>1377</v>
      </c>
      <c r="Q161" s="7">
        <v>14</v>
      </c>
      <c r="R161" s="7" t="s">
        <v>1377</v>
      </c>
      <c r="S161" s="7" t="s">
        <v>617</v>
      </c>
      <c r="T161" s="7" t="s">
        <v>1304</v>
      </c>
      <c r="U161" s="28"/>
      <c r="V161" s="7">
        <v>6</v>
      </c>
      <c r="W161" s="7" t="s">
        <v>757</v>
      </c>
      <c r="X161" s="28"/>
      <c r="Y161" s="7" t="s">
        <v>1305</v>
      </c>
      <c r="Z161" s="7" t="s">
        <v>621</v>
      </c>
      <c r="AA161" s="7" t="s">
        <v>622</v>
      </c>
      <c r="AB161" s="7" t="s">
        <v>638</v>
      </c>
      <c r="AC161" s="7"/>
      <c r="AD161" s="7"/>
      <c r="AE161" s="7"/>
      <c r="AF161" s="7"/>
      <c r="AG161" s="7"/>
      <c r="AH161" s="7"/>
      <c r="AI161" s="7" t="s">
        <v>611</v>
      </c>
      <c r="AJ161" s="7" t="s">
        <v>623</v>
      </c>
      <c r="AK161" s="7">
        <v>10</v>
      </c>
      <c r="AL161" s="7">
        <v>9</v>
      </c>
      <c r="AM161" s="7" t="s">
        <v>624</v>
      </c>
      <c r="AN161" s="7" t="s">
        <v>625</v>
      </c>
      <c r="AO161" s="7" t="s">
        <v>626</v>
      </c>
      <c r="AP161" s="7" t="s">
        <v>627</v>
      </c>
      <c r="AQ161" s="7" t="s">
        <v>617</v>
      </c>
      <c r="AR161" s="7"/>
      <c r="AS161" s="7"/>
      <c r="AT161" s="7"/>
      <c r="AU161" s="6">
        <v>91020</v>
      </c>
      <c r="AV161" s="6" t="s">
        <v>92</v>
      </c>
      <c r="AW161" s="7"/>
      <c r="AX161" s="7"/>
      <c r="AY161" s="7"/>
      <c r="AZ161" s="7"/>
      <c r="BA161" s="6">
        <v>1214</v>
      </c>
      <c r="BB161" s="6" t="s">
        <v>628</v>
      </c>
      <c r="BC161" s="7"/>
      <c r="BD161" s="7"/>
      <c r="BE161" s="7"/>
      <c r="BF161" s="7"/>
      <c r="BG161" s="7">
        <v>0</v>
      </c>
      <c r="BH161" s="7">
        <v>0</v>
      </c>
      <c r="BI161" s="7">
        <v>0</v>
      </c>
      <c r="BJ161" s="7">
        <v>10</v>
      </c>
      <c r="BK161" s="7">
        <v>0</v>
      </c>
      <c r="BL161" s="7">
        <v>10</v>
      </c>
      <c r="BM161" s="7"/>
      <c r="BN161" s="7">
        <v>0</v>
      </c>
      <c r="BO161" s="7"/>
      <c r="BP161" s="7"/>
      <c r="BQ161" s="7">
        <v>0</v>
      </c>
      <c r="BR161" s="7">
        <v>380</v>
      </c>
      <c r="BS161" s="7" t="s">
        <v>629</v>
      </c>
      <c r="BT161" s="7"/>
      <c r="BU161" s="7"/>
      <c r="BV161" s="7">
        <v>0</v>
      </c>
      <c r="BW161" s="7"/>
      <c r="BX161" s="7"/>
      <c r="BY161" s="7">
        <v>10001</v>
      </c>
      <c r="BZ161" s="7" t="s">
        <v>1414</v>
      </c>
      <c r="CA161" s="7"/>
      <c r="CB161" s="7"/>
      <c r="CC161" s="7"/>
      <c r="CD161" s="7"/>
      <c r="CE161" s="7"/>
      <c r="CF161" s="7"/>
      <c r="CG161" s="7"/>
      <c r="CH161" s="7">
        <v>1685</v>
      </c>
      <c r="CI161" s="7" t="s">
        <v>1306</v>
      </c>
      <c r="CJ161" s="7"/>
      <c r="CK161" s="7"/>
      <c r="CL161" s="7"/>
      <c r="CM161" s="7"/>
      <c r="CN161" s="7">
        <v>0</v>
      </c>
      <c r="CO161" s="7"/>
      <c r="CP161" s="7"/>
      <c r="CQ161" s="7"/>
      <c r="CR161" s="7"/>
      <c r="CS161" s="7">
        <v>0</v>
      </c>
      <c r="CT161" s="7"/>
      <c r="CU161" s="7"/>
      <c r="CV161" s="7" t="s">
        <v>1378</v>
      </c>
      <c r="CW161" s="7" t="s">
        <v>458</v>
      </c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</row>
    <row r="162" spans="1:118" ht="13.5" customHeight="1">
      <c r="A162" s="7">
        <v>150</v>
      </c>
      <c r="B162" s="7"/>
      <c r="C162" s="7"/>
      <c r="D162" s="7"/>
      <c r="E162" s="6" t="s">
        <v>460</v>
      </c>
      <c r="F162" s="6"/>
      <c r="G162" s="6">
        <v>353205</v>
      </c>
      <c r="H162" s="7" t="s">
        <v>613</v>
      </c>
      <c r="I162" s="7">
        <v>86</v>
      </c>
      <c r="J162" s="6" t="s">
        <v>462</v>
      </c>
      <c r="K162" s="7">
        <v>50</v>
      </c>
      <c r="L162" s="7" t="s">
        <v>1379</v>
      </c>
      <c r="M162" s="7">
        <v>37</v>
      </c>
      <c r="N162" s="7" t="s">
        <v>1380</v>
      </c>
      <c r="O162" s="7">
        <v>17</v>
      </c>
      <c r="P162" s="7" t="s">
        <v>1381</v>
      </c>
      <c r="Q162" s="7">
        <v>17</v>
      </c>
      <c r="R162" s="7" t="s">
        <v>1381</v>
      </c>
      <c r="S162" s="7" t="s">
        <v>617</v>
      </c>
      <c r="T162" s="7" t="s">
        <v>1304</v>
      </c>
      <c r="U162" s="28"/>
      <c r="V162" s="7">
        <v>6</v>
      </c>
      <c r="W162" s="7" t="s">
        <v>757</v>
      </c>
      <c r="X162" s="28"/>
      <c r="Y162" s="7" t="s">
        <v>1305</v>
      </c>
      <c r="Z162" s="7" t="s">
        <v>621</v>
      </c>
      <c r="AA162" s="7" t="s">
        <v>622</v>
      </c>
      <c r="AB162" s="7" t="s">
        <v>638</v>
      </c>
      <c r="AC162" s="7"/>
      <c r="AD162" s="7"/>
      <c r="AE162" s="7"/>
      <c r="AF162" s="7"/>
      <c r="AG162" s="7"/>
      <c r="AH162" s="7"/>
      <c r="AI162" s="7" t="s">
        <v>611</v>
      </c>
      <c r="AJ162" s="7" t="s">
        <v>623</v>
      </c>
      <c r="AK162" s="7">
        <v>10</v>
      </c>
      <c r="AL162" s="7">
        <v>9</v>
      </c>
      <c r="AM162" s="7" t="s">
        <v>624</v>
      </c>
      <c r="AN162" s="7" t="s">
        <v>625</v>
      </c>
      <c r="AO162" s="7" t="s">
        <v>626</v>
      </c>
      <c r="AP162" s="7" t="s">
        <v>627</v>
      </c>
      <c r="AQ162" s="7" t="s">
        <v>617</v>
      </c>
      <c r="AR162" s="7"/>
      <c r="AS162" s="7"/>
      <c r="AT162" s="7"/>
      <c r="AU162" s="6">
        <v>91020</v>
      </c>
      <c r="AV162" s="6" t="s">
        <v>92</v>
      </c>
      <c r="AW162" s="7"/>
      <c r="AX162" s="7"/>
      <c r="AY162" s="7"/>
      <c r="AZ162" s="7"/>
      <c r="BA162" s="6">
        <v>1214</v>
      </c>
      <c r="BB162" s="6" t="s">
        <v>628</v>
      </c>
      <c r="BC162" s="7"/>
      <c r="BD162" s="7"/>
      <c r="BE162" s="7"/>
      <c r="BF162" s="7"/>
      <c r="BG162" s="7">
        <v>0</v>
      </c>
      <c r="BH162" s="7">
        <v>0</v>
      </c>
      <c r="BI162" s="7">
        <v>0</v>
      </c>
      <c r="BJ162" s="7">
        <v>10</v>
      </c>
      <c r="BK162" s="7">
        <v>0</v>
      </c>
      <c r="BL162" s="7">
        <v>10</v>
      </c>
      <c r="BM162" s="7"/>
      <c r="BN162" s="7">
        <v>0</v>
      </c>
      <c r="BO162" s="7"/>
      <c r="BP162" s="7"/>
      <c r="BQ162" s="7">
        <v>0</v>
      </c>
      <c r="BR162" s="7">
        <v>380</v>
      </c>
      <c r="BS162" s="7" t="s">
        <v>629</v>
      </c>
      <c r="BT162" s="7"/>
      <c r="BU162" s="7"/>
      <c r="BV162" s="7">
        <v>0</v>
      </c>
      <c r="BW162" s="7"/>
      <c r="BX162" s="7"/>
      <c r="BY162" s="7">
        <v>10001</v>
      </c>
      <c r="BZ162" s="7" t="s">
        <v>1414</v>
      </c>
      <c r="CA162" s="7"/>
      <c r="CB162" s="7"/>
      <c r="CC162" s="7"/>
      <c r="CD162" s="7"/>
      <c r="CE162" s="7"/>
      <c r="CF162" s="7"/>
      <c r="CG162" s="7"/>
      <c r="CH162" s="7">
        <v>1685</v>
      </c>
      <c r="CI162" s="7" t="s">
        <v>1306</v>
      </c>
      <c r="CJ162" s="7"/>
      <c r="CK162" s="7"/>
      <c r="CL162" s="7"/>
      <c r="CM162" s="7"/>
      <c r="CN162" s="7">
        <v>0</v>
      </c>
      <c r="CO162" s="7"/>
      <c r="CP162" s="7"/>
      <c r="CQ162" s="7"/>
      <c r="CR162" s="7"/>
      <c r="CS162" s="7">
        <v>0</v>
      </c>
      <c r="CT162" s="7"/>
      <c r="CU162" s="7"/>
      <c r="CV162" s="7" t="s">
        <v>1382</v>
      </c>
      <c r="CW162" s="7" t="s">
        <v>461</v>
      </c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</row>
    <row r="163" spans="1:118" ht="13.5" customHeight="1">
      <c r="A163" s="7">
        <v>151</v>
      </c>
      <c r="B163" s="7"/>
      <c r="C163" s="7"/>
      <c r="D163" s="7"/>
      <c r="E163" s="6" t="s">
        <v>463</v>
      </c>
      <c r="F163" s="6"/>
      <c r="G163" s="6">
        <v>353206</v>
      </c>
      <c r="H163" s="7" t="s">
        <v>613</v>
      </c>
      <c r="I163" s="7">
        <v>58</v>
      </c>
      <c r="J163" s="6" t="s">
        <v>465</v>
      </c>
      <c r="K163" s="7">
        <v>45</v>
      </c>
      <c r="L163" s="7" t="s">
        <v>1383</v>
      </c>
      <c r="M163" s="7">
        <v>32</v>
      </c>
      <c r="N163" s="7" t="s">
        <v>1384</v>
      </c>
      <c r="O163" s="7">
        <v>19</v>
      </c>
      <c r="P163" s="7" t="s">
        <v>1385</v>
      </c>
      <c r="Q163" s="7">
        <v>19</v>
      </c>
      <c r="R163" s="7" t="s">
        <v>1385</v>
      </c>
      <c r="S163" s="7" t="s">
        <v>617</v>
      </c>
      <c r="T163" s="7" t="s">
        <v>1372</v>
      </c>
      <c r="U163" s="28"/>
      <c r="V163" s="7">
        <v>6</v>
      </c>
      <c r="W163" s="7" t="s">
        <v>1265</v>
      </c>
      <c r="X163" s="28"/>
      <c r="Y163" s="7" t="s">
        <v>1373</v>
      </c>
      <c r="Z163" s="7" t="s">
        <v>621</v>
      </c>
      <c r="AA163" s="7" t="s">
        <v>622</v>
      </c>
      <c r="AB163" s="7" t="s">
        <v>638</v>
      </c>
      <c r="AC163" s="7"/>
      <c r="AD163" s="7"/>
      <c r="AE163" s="7"/>
      <c r="AF163" s="7"/>
      <c r="AG163" s="7"/>
      <c r="AH163" s="7"/>
      <c r="AI163" s="7" t="s">
        <v>611</v>
      </c>
      <c r="AJ163" s="7" t="s">
        <v>623</v>
      </c>
      <c r="AK163" s="7">
        <v>10</v>
      </c>
      <c r="AL163" s="7">
        <v>9</v>
      </c>
      <c r="AM163" s="7" t="s">
        <v>624</v>
      </c>
      <c r="AN163" s="7" t="s">
        <v>625</v>
      </c>
      <c r="AO163" s="7" t="s">
        <v>626</v>
      </c>
      <c r="AP163" s="7" t="s">
        <v>627</v>
      </c>
      <c r="AQ163" s="7" t="s">
        <v>617</v>
      </c>
      <c r="AR163" s="7"/>
      <c r="AS163" s="7"/>
      <c r="AT163" s="7"/>
      <c r="AU163" s="6">
        <v>91020</v>
      </c>
      <c r="AV163" s="6" t="s">
        <v>92</v>
      </c>
      <c r="AW163" s="7"/>
      <c r="AX163" s="7"/>
      <c r="AY163" s="7"/>
      <c r="AZ163" s="7"/>
      <c r="BA163" s="6">
        <v>1214</v>
      </c>
      <c r="BB163" s="6" t="s">
        <v>628</v>
      </c>
      <c r="BC163" s="7"/>
      <c r="BD163" s="7"/>
      <c r="BE163" s="7"/>
      <c r="BF163" s="7"/>
      <c r="BG163" s="7">
        <v>0</v>
      </c>
      <c r="BH163" s="7">
        <v>0</v>
      </c>
      <c r="BI163" s="7">
        <v>0</v>
      </c>
      <c r="BJ163" s="7">
        <v>10</v>
      </c>
      <c r="BK163" s="7">
        <v>0</v>
      </c>
      <c r="BL163" s="7">
        <v>10</v>
      </c>
      <c r="BM163" s="7"/>
      <c r="BN163" s="7">
        <v>0</v>
      </c>
      <c r="BO163" s="7"/>
      <c r="BP163" s="7"/>
      <c r="BQ163" s="7">
        <v>0</v>
      </c>
      <c r="BR163" s="7">
        <v>380</v>
      </c>
      <c r="BS163" s="7" t="s">
        <v>629</v>
      </c>
      <c r="BT163" s="7"/>
      <c r="BU163" s="7"/>
      <c r="BV163" s="7">
        <v>0</v>
      </c>
      <c r="BW163" s="7"/>
      <c r="BX163" s="7"/>
      <c r="BY163" s="7">
        <v>10001</v>
      </c>
      <c r="BZ163" s="7" t="s">
        <v>1414</v>
      </c>
      <c r="CA163" s="7"/>
      <c r="CB163" s="7"/>
      <c r="CC163" s="7"/>
      <c r="CD163" s="7"/>
      <c r="CE163" s="7"/>
      <c r="CF163" s="7"/>
      <c r="CG163" s="7"/>
      <c r="CH163" s="7">
        <v>1685</v>
      </c>
      <c r="CI163" s="7" t="s">
        <v>1306</v>
      </c>
      <c r="CJ163" s="7"/>
      <c r="CK163" s="7"/>
      <c r="CL163" s="7"/>
      <c r="CM163" s="7"/>
      <c r="CN163" s="7">
        <v>0</v>
      </c>
      <c r="CO163" s="7"/>
      <c r="CP163" s="7"/>
      <c r="CQ163" s="7"/>
      <c r="CR163" s="7"/>
      <c r="CS163" s="7">
        <v>0</v>
      </c>
      <c r="CT163" s="7"/>
      <c r="CU163" s="7"/>
      <c r="CV163" s="7" t="s">
        <v>1386</v>
      </c>
      <c r="CW163" s="7" t="s">
        <v>464</v>
      </c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</row>
    <row r="164" spans="1:118" ht="13.5" customHeight="1">
      <c r="A164" s="7">
        <v>152</v>
      </c>
      <c r="B164" s="7"/>
      <c r="C164" s="7"/>
      <c r="D164" s="7"/>
      <c r="E164" s="6" t="s">
        <v>466</v>
      </c>
      <c r="F164" s="6"/>
      <c r="G164" s="6">
        <v>353215</v>
      </c>
      <c r="H164" s="7" t="s">
        <v>613</v>
      </c>
      <c r="I164" s="7">
        <v>70</v>
      </c>
      <c r="J164" s="6" t="s">
        <v>468</v>
      </c>
      <c r="K164" s="7">
        <v>49</v>
      </c>
      <c r="L164" s="7" t="s">
        <v>1387</v>
      </c>
      <c r="M164" s="7">
        <v>38</v>
      </c>
      <c r="N164" s="7" t="s">
        <v>1388</v>
      </c>
      <c r="O164" s="7">
        <v>20</v>
      </c>
      <c r="P164" s="7" t="s">
        <v>1389</v>
      </c>
      <c r="Q164" s="7">
        <v>20</v>
      </c>
      <c r="R164" s="7" t="s">
        <v>1389</v>
      </c>
      <c r="S164" s="7" t="s">
        <v>617</v>
      </c>
      <c r="T164" s="7" t="s">
        <v>1354</v>
      </c>
      <c r="U164" s="28"/>
      <c r="V164" s="7">
        <v>4</v>
      </c>
      <c r="W164" s="7" t="s">
        <v>1195</v>
      </c>
      <c r="X164" s="28"/>
      <c r="Y164" s="7" t="s">
        <v>1355</v>
      </c>
      <c r="Z164" s="7" t="s">
        <v>621</v>
      </c>
      <c r="AA164" s="7" t="s">
        <v>622</v>
      </c>
      <c r="AB164" s="7" t="s">
        <v>638</v>
      </c>
      <c r="AC164" s="7"/>
      <c r="AD164" s="7"/>
      <c r="AE164" s="7"/>
      <c r="AF164" s="7"/>
      <c r="AG164" s="7"/>
      <c r="AH164" s="7"/>
      <c r="AI164" s="7" t="s">
        <v>611</v>
      </c>
      <c r="AJ164" s="7" t="s">
        <v>623</v>
      </c>
      <c r="AK164" s="7">
        <v>10</v>
      </c>
      <c r="AL164" s="7">
        <v>9</v>
      </c>
      <c r="AM164" s="7" t="s">
        <v>624</v>
      </c>
      <c r="AN164" s="7" t="s">
        <v>625</v>
      </c>
      <c r="AO164" s="7" t="s">
        <v>626</v>
      </c>
      <c r="AP164" s="7" t="s">
        <v>627</v>
      </c>
      <c r="AQ164" s="7" t="s">
        <v>617</v>
      </c>
      <c r="AR164" s="7"/>
      <c r="AS164" s="7"/>
      <c r="AT164" s="7"/>
      <c r="AU164" s="6">
        <v>91000</v>
      </c>
      <c r="AV164" s="6" t="s">
        <v>182</v>
      </c>
      <c r="AW164" s="7"/>
      <c r="AX164" s="7"/>
      <c r="AY164" s="7"/>
      <c r="AZ164" s="7"/>
      <c r="BA164" s="6">
        <v>1214</v>
      </c>
      <c r="BB164" s="6" t="s">
        <v>628</v>
      </c>
      <c r="BC164" s="7"/>
      <c r="BD164" s="7"/>
      <c r="BE164" s="7"/>
      <c r="BF164" s="7"/>
      <c r="BG164" s="7">
        <v>0</v>
      </c>
      <c r="BH164" s="7">
        <v>0</v>
      </c>
      <c r="BI164" s="7">
        <v>0</v>
      </c>
      <c r="BJ164" s="7">
        <v>10</v>
      </c>
      <c r="BK164" s="7">
        <v>0</v>
      </c>
      <c r="BL164" s="7">
        <v>10</v>
      </c>
      <c r="BM164" s="7"/>
      <c r="BN164" s="7">
        <v>0</v>
      </c>
      <c r="BO164" s="7"/>
      <c r="BP164" s="7"/>
      <c r="BQ164" s="7">
        <v>0</v>
      </c>
      <c r="BR164" s="7">
        <v>380</v>
      </c>
      <c r="BS164" s="7" t="s">
        <v>629</v>
      </c>
      <c r="BT164" s="7"/>
      <c r="BU164" s="7"/>
      <c r="BV164" s="7">
        <v>0</v>
      </c>
      <c r="BW164" s="7"/>
      <c r="BX164" s="7"/>
      <c r="BY164" s="7">
        <v>10001</v>
      </c>
      <c r="BZ164" s="7" t="s">
        <v>1414</v>
      </c>
      <c r="CA164" s="7"/>
      <c r="CB164" s="7"/>
      <c r="CC164" s="7"/>
      <c r="CD164" s="7"/>
      <c r="CE164" s="7"/>
      <c r="CF164" s="7"/>
      <c r="CG164" s="7"/>
      <c r="CH164" s="7">
        <v>1685</v>
      </c>
      <c r="CI164" s="7" t="s">
        <v>1306</v>
      </c>
      <c r="CJ164" s="7"/>
      <c r="CK164" s="7"/>
      <c r="CL164" s="7"/>
      <c r="CM164" s="7"/>
      <c r="CN164" s="7">
        <v>0</v>
      </c>
      <c r="CO164" s="7"/>
      <c r="CP164" s="7"/>
      <c r="CQ164" s="7"/>
      <c r="CR164" s="7"/>
      <c r="CS164" s="7">
        <v>0</v>
      </c>
      <c r="CT164" s="7"/>
      <c r="CU164" s="7"/>
      <c r="CV164" s="7" t="s">
        <v>1390</v>
      </c>
      <c r="CW164" s="7" t="s">
        <v>467</v>
      </c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</row>
    <row r="165" spans="1:118" ht="13.5" customHeight="1">
      <c r="A165" s="7">
        <v>153</v>
      </c>
      <c r="B165" s="7"/>
      <c r="C165" s="7"/>
      <c r="D165" s="7"/>
      <c r="E165" s="6" t="s">
        <v>469</v>
      </c>
      <c r="F165" s="6"/>
      <c r="G165" s="6">
        <v>353216</v>
      </c>
      <c r="H165" s="7" t="s">
        <v>613</v>
      </c>
      <c r="I165" s="7">
        <v>64</v>
      </c>
      <c r="J165" s="6" t="s">
        <v>471</v>
      </c>
      <c r="K165" s="7">
        <v>46</v>
      </c>
      <c r="L165" s="7" t="s">
        <v>1391</v>
      </c>
      <c r="M165" s="7">
        <v>34</v>
      </c>
      <c r="N165" s="7" t="s">
        <v>1392</v>
      </c>
      <c r="O165" s="7">
        <v>19</v>
      </c>
      <c r="P165" s="7" t="s">
        <v>1393</v>
      </c>
      <c r="Q165" s="7">
        <v>19</v>
      </c>
      <c r="R165" s="7" t="s">
        <v>1393</v>
      </c>
      <c r="S165" s="7" t="s">
        <v>617</v>
      </c>
      <c r="T165" s="7" t="s">
        <v>1354</v>
      </c>
      <c r="U165" s="28"/>
      <c r="V165" s="7">
        <v>4</v>
      </c>
      <c r="W165" s="7" t="s">
        <v>1195</v>
      </c>
      <c r="X165" s="28"/>
      <c r="Y165" s="7" t="s">
        <v>1355</v>
      </c>
      <c r="Z165" s="7" t="s">
        <v>621</v>
      </c>
      <c r="AA165" s="7" t="s">
        <v>622</v>
      </c>
      <c r="AB165" s="7" t="s">
        <v>638</v>
      </c>
      <c r="AC165" s="7"/>
      <c r="AD165" s="7"/>
      <c r="AE165" s="7"/>
      <c r="AF165" s="7"/>
      <c r="AG165" s="7"/>
      <c r="AH165" s="7"/>
      <c r="AI165" s="7" t="s">
        <v>611</v>
      </c>
      <c r="AJ165" s="7" t="s">
        <v>623</v>
      </c>
      <c r="AK165" s="7">
        <v>10</v>
      </c>
      <c r="AL165" s="7">
        <v>9</v>
      </c>
      <c r="AM165" s="7" t="s">
        <v>624</v>
      </c>
      <c r="AN165" s="7" t="s">
        <v>625</v>
      </c>
      <c r="AO165" s="7" t="s">
        <v>626</v>
      </c>
      <c r="AP165" s="7" t="s">
        <v>627</v>
      </c>
      <c r="AQ165" s="7" t="s">
        <v>617</v>
      </c>
      <c r="AR165" s="7"/>
      <c r="AS165" s="7"/>
      <c r="AT165" s="7"/>
      <c r="AU165" s="6">
        <v>91000</v>
      </c>
      <c r="AV165" s="6" t="s">
        <v>182</v>
      </c>
      <c r="AW165" s="7"/>
      <c r="AX165" s="7"/>
      <c r="AY165" s="7"/>
      <c r="AZ165" s="7"/>
      <c r="BA165" s="6">
        <v>1214</v>
      </c>
      <c r="BB165" s="6" t="s">
        <v>628</v>
      </c>
      <c r="BC165" s="7"/>
      <c r="BD165" s="7"/>
      <c r="BE165" s="7"/>
      <c r="BF165" s="7"/>
      <c r="BG165" s="7">
        <v>0</v>
      </c>
      <c r="BH165" s="7">
        <v>0</v>
      </c>
      <c r="BI165" s="7">
        <v>0</v>
      </c>
      <c r="BJ165" s="7">
        <v>10</v>
      </c>
      <c r="BK165" s="7">
        <v>0</v>
      </c>
      <c r="BL165" s="7">
        <v>10</v>
      </c>
      <c r="BM165" s="7"/>
      <c r="BN165" s="7">
        <v>0</v>
      </c>
      <c r="BO165" s="7"/>
      <c r="BP165" s="7"/>
      <c r="BQ165" s="7">
        <v>0</v>
      </c>
      <c r="BR165" s="7">
        <v>380</v>
      </c>
      <c r="BS165" s="7" t="s">
        <v>629</v>
      </c>
      <c r="BT165" s="7"/>
      <c r="BU165" s="7"/>
      <c r="BV165" s="7">
        <v>0</v>
      </c>
      <c r="BW165" s="7"/>
      <c r="BX165" s="7"/>
      <c r="BY165" s="7">
        <v>10001</v>
      </c>
      <c r="BZ165" s="7" t="s">
        <v>1414</v>
      </c>
      <c r="CA165" s="7"/>
      <c r="CB165" s="7"/>
      <c r="CC165" s="7"/>
      <c r="CD165" s="7"/>
      <c r="CE165" s="7"/>
      <c r="CF165" s="7"/>
      <c r="CG165" s="7"/>
      <c r="CH165" s="7">
        <v>1685</v>
      </c>
      <c r="CI165" s="7" t="s">
        <v>1306</v>
      </c>
      <c r="CJ165" s="7"/>
      <c r="CK165" s="7"/>
      <c r="CL165" s="7"/>
      <c r="CM165" s="7"/>
      <c r="CN165" s="7">
        <v>0</v>
      </c>
      <c r="CO165" s="7"/>
      <c r="CP165" s="7"/>
      <c r="CQ165" s="7"/>
      <c r="CR165" s="7"/>
      <c r="CS165" s="7">
        <v>0</v>
      </c>
      <c r="CT165" s="7"/>
      <c r="CU165" s="7"/>
      <c r="CV165" s="7" t="s">
        <v>1394</v>
      </c>
      <c r="CW165" s="7" t="s">
        <v>470</v>
      </c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</row>
  </sheetData>
  <customSheetViews>
    <customSheetView guid="{4A49014B-6EB8-41BC-821C-AA758C89CB00}" scale="80" showPageBreaks="1" state="hidden">
      <selection activeCell="AV23" sqref="AV23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</customSheetView>
  </customSheetViews>
  <phoneticPr fontId="3"/>
  <conditionalFormatting sqref="I12">
    <cfRule type="expression" dxfId="69" priority="27" stopIfTrue="1">
      <formula>"51＜"</formula>
    </cfRule>
    <cfRule type="expression" priority="28" stopIfTrue="1">
      <formula>"51＜"</formula>
    </cfRule>
  </conditionalFormatting>
  <conditionalFormatting sqref="K12:K65542">
    <cfRule type="expression" dxfId="68" priority="49" stopIfTrue="1">
      <formula>"51＜"</formula>
    </cfRule>
    <cfRule type="expression" priority="50" stopIfTrue="1">
      <formula>"51＜"</formula>
    </cfRule>
  </conditionalFormatting>
  <conditionalFormatting sqref="M12:M65542">
    <cfRule type="expression" dxfId="67" priority="39" stopIfTrue="1">
      <formula>"51＜"</formula>
    </cfRule>
    <cfRule type="expression" priority="40" stopIfTrue="1">
      <formula>"51＜"</formula>
    </cfRule>
  </conditionalFormatting>
  <conditionalFormatting sqref="O12:O65542 Q12:Q65542">
    <cfRule type="expression" dxfId="66" priority="29" stopIfTrue="1">
      <formula>"51＜"</formula>
    </cfRule>
    <cfRule type="expression" priority="30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N112"/>
  <sheetViews>
    <sheetView topLeftCell="AG1" zoomScale="80" zoomScaleNormal="80" workbookViewId="0">
      <selection activeCell="BO14" sqref="BO14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16.77734375" style="5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0.6640625" style="2" customWidth="1"/>
    <col min="68" max="68" width="8.6640625" style="2" customWidth="1"/>
    <col min="69" max="69" width="10.6640625" style="2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00" width="5.6640625" style="88" customWidth="1"/>
    <col min="101" max="101" width="9.6640625" style="88" customWidth="1"/>
    <col min="102" max="102" width="5.6640625" style="88" customWidth="1"/>
    <col min="103" max="104" width="11.21875" style="100" customWidth="1"/>
    <col min="105" max="105" width="5.6640625" style="104" customWidth="1"/>
    <col min="106" max="106" width="11.21875" style="100" customWidth="1"/>
    <col min="107" max="107" width="6.6640625" style="88" customWidth="1"/>
    <col min="108" max="108" width="10.109375" style="88" bestFit="1" customWidth="1"/>
    <col min="109" max="109" width="6.6640625" style="88" customWidth="1"/>
    <col min="110" max="110" width="6.6640625" style="100" customWidth="1"/>
    <col min="111" max="111" width="10.109375" style="100" customWidth="1"/>
    <col min="112" max="112" width="6.6640625" style="100" customWidth="1"/>
    <col min="113" max="113" width="11.21875" style="100" customWidth="1"/>
    <col min="114" max="114" width="8.6640625" style="100" customWidth="1"/>
    <col min="115" max="115" width="11.21875" style="100" customWidth="1"/>
    <col min="116" max="116" width="8.6640625" style="100" customWidth="1"/>
    <col min="117" max="123" width="5.6640625" style="88" customWidth="1"/>
    <col min="124" max="124" width="11.21875" style="101" customWidth="1"/>
    <col min="125" max="125" width="11.21875" style="100" customWidth="1"/>
    <col min="126" max="136" width="5.6640625" style="88" customWidth="1"/>
    <col min="137" max="146" width="7.6640625" style="88" customWidth="1"/>
    <col min="147" max="153" width="13.6640625" style="88" customWidth="1"/>
    <col min="154" max="168" width="5.6640625" style="88" customWidth="1"/>
    <col min="169" max="170" width="7.6640625" style="88" customWidth="1"/>
    <col min="171" max="175" width="11.6640625" style="88" customWidth="1"/>
    <col min="176" max="180" width="6.6640625" style="88" customWidth="1"/>
    <col min="181" max="181" width="6.6640625" style="2" customWidth="1"/>
    <col min="182" max="182" width="10.6640625" style="2" customWidth="1"/>
    <col min="183" max="183" width="9" style="4"/>
    <col min="184" max="184" width="10.6640625" style="4" customWidth="1"/>
    <col min="185" max="186" width="9" style="4"/>
    <col min="187" max="187" width="5.6640625" style="56" customWidth="1"/>
    <col min="188" max="188" width="10.6640625" style="56" customWidth="1"/>
    <col min="189" max="189" width="9" style="2" customWidth="1"/>
    <col min="190" max="190" width="25.6640625" style="2" customWidth="1"/>
    <col min="191" max="191" width="9" style="2" customWidth="1"/>
    <col min="192" max="192" width="25.6640625" style="2" customWidth="1"/>
    <col min="193" max="193" width="5.6640625" style="2" customWidth="1"/>
    <col min="194" max="195" width="11.6640625" style="2" bestFit="1" customWidth="1"/>
    <col min="196" max="198" width="5.6640625" style="2" customWidth="1"/>
    <col min="199" max="201" width="9" style="2" customWidth="1"/>
    <col min="202" max="212" width="9" style="4"/>
    <col min="213" max="214" width="9" style="56"/>
    <col min="215" max="226" width="9" style="2"/>
    <col min="227" max="227" width="9" style="56"/>
    <col min="228" max="232" width="9" style="2"/>
    <col min="233" max="260" width="5.6640625" style="2" customWidth="1"/>
    <col min="261" max="262" width="11.6640625" style="2" bestFit="1" customWidth="1"/>
    <col min="263" max="268" width="9" style="33"/>
    <col min="269" max="270" width="50.6640625" style="2" customWidth="1"/>
    <col min="271" max="274" width="5.6640625" style="33" customWidth="1"/>
    <col min="275" max="16384" width="9" style="2"/>
  </cols>
  <sheetData>
    <row r="1" spans="1:274">
      <c r="A1" s="2" t="s">
        <v>3402</v>
      </c>
      <c r="B1" s="19"/>
      <c r="C1" s="19"/>
      <c r="F1" s="2" t="s">
        <v>3400</v>
      </c>
      <c r="H1" s="2" t="s">
        <v>3401</v>
      </c>
    </row>
    <row r="2" spans="1:274" s="16" customFormat="1">
      <c r="A2" s="2" t="s">
        <v>3407</v>
      </c>
      <c r="B2" s="2"/>
      <c r="C2" s="2"/>
      <c r="D2" s="102"/>
      <c r="F2" s="2"/>
      <c r="H2" s="2"/>
      <c r="I2" s="3"/>
      <c r="J2" s="2"/>
      <c r="K2" s="3"/>
      <c r="L2" s="2"/>
      <c r="Q2" s="2"/>
      <c r="AV2" s="1"/>
      <c r="AW2" s="1"/>
      <c r="AY2" s="43"/>
      <c r="AZ2" s="1"/>
      <c r="BH2" s="46"/>
      <c r="BS2" s="46"/>
      <c r="CV2" s="83"/>
      <c r="CW2" s="83"/>
      <c r="CX2" s="83"/>
      <c r="CY2" s="84"/>
      <c r="CZ2" s="84"/>
      <c r="DA2" s="83"/>
      <c r="DB2" s="84"/>
      <c r="DC2" s="83"/>
      <c r="DD2" s="83"/>
      <c r="DE2" s="83"/>
      <c r="DF2" s="84"/>
      <c r="DG2" s="84"/>
      <c r="DH2" s="84"/>
      <c r="DI2" s="84"/>
      <c r="DJ2" s="84"/>
      <c r="DK2" s="84"/>
      <c r="DL2" s="84"/>
      <c r="DM2" s="83"/>
      <c r="DN2" s="83"/>
      <c r="DO2" s="83"/>
      <c r="DP2" s="83"/>
      <c r="DQ2" s="83"/>
      <c r="DR2" s="83"/>
      <c r="DS2" s="83"/>
      <c r="DT2" s="84"/>
      <c r="DU2" s="84"/>
      <c r="DV2" s="83"/>
      <c r="DW2" s="83"/>
      <c r="DX2" s="83"/>
      <c r="DY2" s="83"/>
      <c r="DZ2" s="83"/>
      <c r="EA2" s="83"/>
      <c r="EB2" s="83"/>
      <c r="EC2" s="83"/>
      <c r="ED2" s="83"/>
      <c r="EE2" s="83"/>
      <c r="EF2" s="83"/>
      <c r="EG2" s="83"/>
      <c r="EH2" s="83"/>
      <c r="EI2" s="83"/>
      <c r="EJ2" s="83"/>
      <c r="EK2" s="83"/>
      <c r="EL2" s="83"/>
      <c r="EM2" s="83"/>
      <c r="EN2" s="83"/>
      <c r="EO2" s="83"/>
      <c r="EP2" s="83"/>
      <c r="EQ2" s="83"/>
      <c r="ER2" s="83"/>
      <c r="ES2" s="83"/>
      <c r="ET2" s="83"/>
      <c r="EU2" s="83"/>
      <c r="EV2" s="83"/>
      <c r="EW2" s="83"/>
      <c r="EX2" s="83"/>
      <c r="EY2" s="83"/>
      <c r="EZ2" s="83"/>
      <c r="FA2" s="83"/>
      <c r="FB2" s="83"/>
      <c r="FC2" s="83"/>
      <c r="FD2" s="83"/>
      <c r="FE2" s="83"/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83"/>
      <c r="FS2" s="83"/>
      <c r="FT2" s="83"/>
      <c r="FU2" s="83"/>
      <c r="FV2" s="83"/>
      <c r="FW2" s="83"/>
      <c r="FX2" s="83"/>
      <c r="FY2" s="2"/>
      <c r="FZ2" s="2"/>
      <c r="GA2" s="17"/>
      <c r="GB2" s="17"/>
      <c r="GC2" s="17"/>
      <c r="GD2" s="17"/>
      <c r="GE2" s="56"/>
      <c r="GF2" s="56"/>
      <c r="GT2" s="17"/>
      <c r="GU2" s="17"/>
      <c r="GV2" s="17"/>
      <c r="GW2" s="17"/>
      <c r="GX2" s="17"/>
      <c r="GY2" s="17"/>
      <c r="GZ2" s="17"/>
      <c r="HA2" s="17"/>
      <c r="HB2" s="17"/>
      <c r="HC2" s="17"/>
      <c r="HD2" s="17"/>
      <c r="HE2" s="56"/>
      <c r="HF2" s="56"/>
      <c r="HS2" s="81"/>
      <c r="HT2" s="59" t="s">
        <v>2033</v>
      </c>
      <c r="HU2" s="59" t="s">
        <v>2033</v>
      </c>
      <c r="HV2" s="59" t="s">
        <v>2033</v>
      </c>
      <c r="HW2" s="59" t="s">
        <v>2033</v>
      </c>
      <c r="HX2" s="59" t="s">
        <v>2033</v>
      </c>
      <c r="HY2" s="62" t="s">
        <v>2033</v>
      </c>
      <c r="HZ2" s="62" t="s">
        <v>2033</v>
      </c>
      <c r="IA2" s="62" t="s">
        <v>2033</v>
      </c>
      <c r="IB2" s="62" t="s">
        <v>2033</v>
      </c>
      <c r="IC2" s="62" t="s">
        <v>2033</v>
      </c>
      <c r="ID2" s="62" t="s">
        <v>2033</v>
      </c>
      <c r="IE2" s="62" t="s">
        <v>2033</v>
      </c>
      <c r="IF2" s="62" t="s">
        <v>2033</v>
      </c>
      <c r="IG2" s="62" t="s">
        <v>2033</v>
      </c>
      <c r="IH2" s="62" t="s">
        <v>2033</v>
      </c>
      <c r="II2" s="62" t="s">
        <v>2033</v>
      </c>
      <c r="IJ2" s="62" t="s">
        <v>2033</v>
      </c>
      <c r="IK2" s="62" t="s">
        <v>2033</v>
      </c>
      <c r="IL2" s="62" t="s">
        <v>2033</v>
      </c>
      <c r="IM2" s="62" t="s">
        <v>2033</v>
      </c>
      <c r="IN2" s="62" t="s">
        <v>2033</v>
      </c>
      <c r="IO2" s="62" t="s">
        <v>2033</v>
      </c>
      <c r="IP2" s="62" t="s">
        <v>2033</v>
      </c>
      <c r="IQ2" s="62" t="s">
        <v>2033</v>
      </c>
      <c r="IR2" s="62" t="s">
        <v>2033</v>
      </c>
      <c r="IS2" s="62" t="s">
        <v>2033</v>
      </c>
      <c r="IT2" s="62" t="s">
        <v>2033</v>
      </c>
      <c r="IU2" s="62" t="s">
        <v>2033</v>
      </c>
      <c r="IV2" s="62" t="s">
        <v>2033</v>
      </c>
      <c r="IW2" s="62" t="s">
        <v>2033</v>
      </c>
      <c r="IX2" s="65" t="s">
        <v>2033</v>
      </c>
      <c r="IY2" s="65" t="s">
        <v>2033</v>
      </c>
      <c r="IZ2" s="65" t="s">
        <v>2033</v>
      </c>
      <c r="JA2" s="65" t="s">
        <v>2033</v>
      </c>
      <c r="JB2" s="65" t="s">
        <v>2033</v>
      </c>
      <c r="JC2" s="65" t="s">
        <v>2033</v>
      </c>
      <c r="JD2" s="65" t="s">
        <v>2033</v>
      </c>
      <c r="JE2" s="65" t="s">
        <v>2033</v>
      </c>
      <c r="JF2" s="65" t="s">
        <v>2033</v>
      </c>
      <c r="JG2" s="65" t="s">
        <v>2033</v>
      </c>
      <c r="JH2" s="65" t="s">
        <v>2033</v>
      </c>
      <c r="JI2" s="65" t="s">
        <v>2033</v>
      </c>
      <c r="JJ2" s="65" t="s">
        <v>2033</v>
      </c>
      <c r="JK2" s="65" t="s">
        <v>2033</v>
      </c>
      <c r="JL2" s="65" t="s">
        <v>2033</v>
      </c>
      <c r="JM2" s="65" t="s">
        <v>2033</v>
      </c>
      <c r="JN2" s="65" t="s">
        <v>2033</v>
      </c>
    </row>
    <row r="3" spans="1:274" s="16" customFormat="1">
      <c r="A3" s="2" t="s">
        <v>3406</v>
      </c>
      <c r="B3" s="2"/>
      <c r="C3" s="2"/>
      <c r="D3" s="102"/>
      <c r="F3" s="2"/>
      <c r="H3" s="2"/>
      <c r="I3" s="3"/>
      <c r="J3" s="2"/>
      <c r="K3" s="3"/>
      <c r="L3" s="2"/>
      <c r="P3" s="32"/>
      <c r="Q3" s="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  <c r="CV3" s="83"/>
      <c r="CW3" s="83"/>
      <c r="CX3" s="83"/>
      <c r="CY3" s="84"/>
      <c r="CZ3" s="84"/>
      <c r="DA3" s="83"/>
      <c r="DB3" s="84"/>
      <c r="DC3" s="83"/>
      <c r="DD3" s="105"/>
      <c r="DE3" s="105"/>
      <c r="DF3" s="84"/>
      <c r="DG3" s="84"/>
      <c r="DH3" s="84"/>
      <c r="DI3" s="84"/>
      <c r="DJ3" s="84"/>
      <c r="DK3" s="84"/>
      <c r="DL3" s="84"/>
      <c r="DM3" s="83"/>
      <c r="DN3" s="83"/>
      <c r="DO3" s="83"/>
      <c r="DP3" s="83"/>
      <c r="DQ3" s="83"/>
      <c r="DR3" s="83"/>
      <c r="DS3" s="83"/>
      <c r="DT3" s="84"/>
      <c r="DU3" s="84"/>
      <c r="DV3" s="83"/>
      <c r="DW3" s="83"/>
      <c r="DX3" s="83"/>
      <c r="DY3" s="83"/>
      <c r="DZ3" s="83"/>
      <c r="EA3" s="83"/>
      <c r="EB3" s="83"/>
      <c r="EC3" s="83"/>
      <c r="ED3" s="83"/>
      <c r="EE3" s="83"/>
      <c r="EF3" s="83"/>
      <c r="EG3" s="83"/>
      <c r="EH3" s="83"/>
      <c r="EI3" s="83"/>
      <c r="EJ3" s="83"/>
      <c r="EK3" s="83"/>
      <c r="EL3" s="83"/>
      <c r="EM3" s="83"/>
      <c r="EN3" s="83"/>
      <c r="EO3" s="83"/>
      <c r="EP3" s="83"/>
      <c r="EQ3" s="83"/>
      <c r="ER3" s="83"/>
      <c r="ES3" s="83"/>
      <c r="ET3" s="83"/>
      <c r="EU3" s="83"/>
      <c r="EV3" s="83"/>
      <c r="EW3" s="83"/>
      <c r="EX3" s="83"/>
      <c r="EY3" s="83"/>
      <c r="EZ3" s="83"/>
      <c r="FA3" s="83"/>
      <c r="FB3" s="83"/>
      <c r="FC3" s="83"/>
      <c r="FD3" s="83"/>
      <c r="FE3" s="83"/>
      <c r="FF3" s="83"/>
      <c r="FG3" s="83"/>
      <c r="FH3" s="83"/>
      <c r="FI3" s="83"/>
      <c r="FJ3" s="83"/>
      <c r="FK3" s="83"/>
      <c r="FL3" s="83"/>
      <c r="FM3" s="83"/>
      <c r="FN3" s="83"/>
      <c r="FO3" s="83"/>
      <c r="FP3" s="83"/>
      <c r="FQ3" s="83"/>
      <c r="FR3" s="83"/>
      <c r="FS3" s="83"/>
      <c r="FT3" s="83"/>
      <c r="FU3" s="83"/>
      <c r="FV3" s="83"/>
      <c r="FW3" s="83"/>
      <c r="FX3" s="83"/>
      <c r="FY3" s="2"/>
      <c r="FZ3" s="2"/>
      <c r="GA3" s="17"/>
      <c r="GB3" s="17"/>
      <c r="GC3" s="17"/>
      <c r="GD3" s="17"/>
      <c r="GE3" s="56"/>
      <c r="GF3" s="56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56"/>
      <c r="HF3" s="56"/>
      <c r="HS3" s="81"/>
      <c r="HT3" s="59"/>
      <c r="HU3" s="59"/>
      <c r="HV3" s="59"/>
      <c r="HW3" s="59"/>
      <c r="HX3" s="59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  <c r="IW3" s="62"/>
      <c r="IX3" s="65"/>
      <c r="IY3" s="65"/>
      <c r="IZ3" s="65"/>
      <c r="JA3" s="65"/>
      <c r="JB3" s="65"/>
      <c r="JC3" s="66"/>
      <c r="JD3" s="66"/>
      <c r="JE3" s="66"/>
      <c r="JF3" s="66"/>
      <c r="JG3" s="66"/>
      <c r="JH3" s="66"/>
      <c r="JI3" s="65"/>
      <c r="JJ3" s="65"/>
      <c r="JK3" s="66"/>
      <c r="JL3" s="66"/>
      <c r="JM3" s="66"/>
      <c r="JN3" s="66"/>
    </row>
    <row r="4" spans="1:274">
      <c r="A4" s="2" t="s">
        <v>3404</v>
      </c>
      <c r="B4" s="2"/>
      <c r="C4" s="2"/>
      <c r="D4" s="129"/>
      <c r="F4" s="2" t="s">
        <v>3403</v>
      </c>
      <c r="G4" s="130"/>
      <c r="M4" s="2"/>
      <c r="P4" s="33"/>
      <c r="R4" s="131"/>
      <c r="S4" s="131"/>
      <c r="T4" s="131"/>
      <c r="U4" s="131"/>
      <c r="V4" s="131"/>
      <c r="W4" s="131"/>
      <c r="X4" s="131"/>
      <c r="Y4" s="131"/>
      <c r="Z4" s="131"/>
      <c r="AA4" s="131"/>
      <c r="DA4" s="88"/>
      <c r="DD4" s="132"/>
      <c r="DE4" s="133"/>
      <c r="DT4" s="100"/>
      <c r="HT4" s="60"/>
      <c r="HU4" s="60"/>
      <c r="HV4" s="60"/>
      <c r="HW4" s="60"/>
      <c r="HX4" s="60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3"/>
      <c r="IT4" s="63"/>
      <c r="IU4" s="63"/>
      <c r="IV4" s="63"/>
      <c r="IW4" s="63"/>
      <c r="IX4" s="67"/>
      <c r="IY4" s="67"/>
      <c r="IZ4" s="67"/>
      <c r="JA4" s="67"/>
      <c r="JB4" s="67"/>
      <c r="JC4" s="134"/>
      <c r="JD4" s="134"/>
      <c r="JE4" s="134"/>
      <c r="JF4" s="134"/>
      <c r="JG4" s="134"/>
      <c r="JH4" s="134"/>
      <c r="JI4" s="67"/>
      <c r="JJ4" s="67"/>
      <c r="JK4" s="134"/>
      <c r="JL4" s="134"/>
      <c r="JM4" s="134"/>
      <c r="JN4" s="134"/>
    </row>
    <row r="5" spans="1:274">
      <c r="A5" s="2" t="s">
        <v>3405</v>
      </c>
      <c r="B5" s="2"/>
      <c r="C5" s="135"/>
      <c r="D5" s="129"/>
      <c r="G5" s="130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CV5" s="88" t="s">
        <v>1955</v>
      </c>
      <c r="CY5" s="88"/>
      <c r="CZ5" s="88"/>
      <c r="DA5" s="88"/>
      <c r="DB5" s="88"/>
      <c r="DD5" s="132"/>
      <c r="DE5" s="132"/>
      <c r="DF5" s="88"/>
      <c r="DG5" s="88"/>
      <c r="DH5" s="88"/>
      <c r="DI5" s="88"/>
      <c r="DJ5" s="88"/>
      <c r="DK5" s="88"/>
      <c r="DL5" s="88"/>
      <c r="DT5" s="88"/>
      <c r="DU5" s="88"/>
      <c r="FY5" s="2" t="s">
        <v>2004</v>
      </c>
      <c r="GE5" s="136" t="s">
        <v>1940</v>
      </c>
      <c r="GF5" s="136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2" t="s">
        <v>1442</v>
      </c>
      <c r="HC5" s="2"/>
      <c r="HD5" s="2"/>
      <c r="HE5" s="56" t="s">
        <v>2008</v>
      </c>
      <c r="HJ5" s="56" t="s">
        <v>1939</v>
      </c>
      <c r="HN5" s="2" t="s">
        <v>1929</v>
      </c>
      <c r="HT5" s="60" t="s">
        <v>1408</v>
      </c>
      <c r="HU5" s="60"/>
      <c r="HV5" s="60"/>
      <c r="HW5" s="60"/>
      <c r="HX5" s="60"/>
      <c r="HY5" s="137" t="s">
        <v>1441</v>
      </c>
      <c r="HZ5" s="137"/>
      <c r="IA5" s="137"/>
      <c r="IB5" s="137"/>
      <c r="IC5" s="137"/>
      <c r="ID5" s="137"/>
      <c r="IE5" s="137"/>
      <c r="IF5" s="137"/>
      <c r="IG5" s="137"/>
      <c r="IH5" s="137"/>
      <c r="II5" s="137"/>
      <c r="IJ5" s="137"/>
      <c r="IK5" s="137"/>
      <c r="IL5" s="137"/>
      <c r="IM5" s="137"/>
      <c r="IN5" s="137"/>
      <c r="IO5" s="137"/>
      <c r="IP5" s="137"/>
      <c r="IQ5" s="137"/>
      <c r="IR5" s="137"/>
      <c r="IS5" s="137"/>
      <c r="IT5" s="137"/>
      <c r="IU5" s="137"/>
      <c r="IV5" s="137"/>
      <c r="IW5" s="137"/>
      <c r="IX5" s="67" t="s">
        <v>1943</v>
      </c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</row>
    <row r="6" spans="1:274">
      <c r="A6" s="2" t="s">
        <v>3408</v>
      </c>
      <c r="B6" s="135"/>
      <c r="C6" s="135"/>
      <c r="D6" s="129"/>
      <c r="G6" s="130"/>
      <c r="M6" s="2"/>
      <c r="P6" s="33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CY6" s="88"/>
      <c r="CZ6" s="88"/>
      <c r="DA6" s="88"/>
      <c r="DB6" s="88"/>
      <c r="DD6" s="132"/>
      <c r="DE6" s="133"/>
      <c r="DF6" s="88"/>
      <c r="DG6" s="88"/>
      <c r="DH6" s="88"/>
      <c r="DI6" s="88"/>
      <c r="DJ6" s="88"/>
      <c r="DK6" s="88"/>
      <c r="DL6" s="88"/>
      <c r="DT6" s="88"/>
      <c r="DU6" s="88"/>
      <c r="HT6" s="60"/>
      <c r="HU6" s="60"/>
      <c r="HV6" s="60"/>
      <c r="HW6" s="60"/>
      <c r="HX6" s="60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3"/>
      <c r="IP6" s="63"/>
      <c r="IQ6" s="63"/>
      <c r="IR6" s="63"/>
      <c r="IS6" s="63"/>
      <c r="IT6" s="63"/>
      <c r="IU6" s="63"/>
      <c r="IV6" s="63"/>
      <c r="IW6" s="63"/>
      <c r="IX6" s="67"/>
      <c r="IY6" s="67"/>
      <c r="IZ6" s="67"/>
      <c r="JA6" s="67"/>
      <c r="JB6" s="67"/>
      <c r="JC6" s="134"/>
      <c r="JD6" s="134"/>
      <c r="JE6" s="134"/>
      <c r="JF6" s="134"/>
      <c r="JG6" s="134"/>
      <c r="JH6" s="134"/>
      <c r="JI6" s="67"/>
      <c r="JJ6" s="67"/>
      <c r="JK6" s="134"/>
      <c r="JL6" s="134"/>
      <c r="JM6" s="134"/>
      <c r="JN6" s="134"/>
    </row>
    <row r="7" spans="1:274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  <c r="CV7" s="85" t="s">
        <v>473</v>
      </c>
      <c r="CW7" s="85" t="s">
        <v>473</v>
      </c>
      <c r="CX7" s="85" t="s">
        <v>473</v>
      </c>
      <c r="CY7" s="86" t="s">
        <v>473</v>
      </c>
      <c r="CZ7" s="86" t="s">
        <v>473</v>
      </c>
      <c r="DA7" s="85" t="s">
        <v>473</v>
      </c>
      <c r="DB7" s="85" t="s">
        <v>473</v>
      </c>
      <c r="DC7" s="85" t="s">
        <v>473</v>
      </c>
      <c r="DD7" s="85" t="s">
        <v>473</v>
      </c>
      <c r="DE7" s="85" t="s">
        <v>473</v>
      </c>
      <c r="DF7" s="85" t="s">
        <v>473</v>
      </c>
      <c r="DG7" s="85" t="s">
        <v>473</v>
      </c>
      <c r="DH7" s="85" t="s">
        <v>473</v>
      </c>
      <c r="DI7" s="85" t="s">
        <v>473</v>
      </c>
      <c r="DJ7" s="85" t="s">
        <v>473</v>
      </c>
      <c r="DK7" s="85" t="s">
        <v>473</v>
      </c>
      <c r="DL7" s="85" t="s">
        <v>473</v>
      </c>
      <c r="DM7" s="85" t="s">
        <v>473</v>
      </c>
      <c r="DN7" s="85" t="s">
        <v>473</v>
      </c>
      <c r="DO7" s="85" t="s">
        <v>473</v>
      </c>
      <c r="DP7" s="85" t="s">
        <v>473</v>
      </c>
      <c r="DQ7" s="85" t="s">
        <v>473</v>
      </c>
      <c r="DR7" s="85" t="s">
        <v>473</v>
      </c>
      <c r="DS7" s="85" t="s">
        <v>473</v>
      </c>
      <c r="DT7" s="87" t="s">
        <v>473</v>
      </c>
      <c r="DU7" s="85" t="s">
        <v>473</v>
      </c>
      <c r="DV7" s="85" t="s">
        <v>473</v>
      </c>
      <c r="DW7" s="85" t="s">
        <v>473</v>
      </c>
      <c r="DX7" s="85" t="s">
        <v>473</v>
      </c>
      <c r="DY7" s="85" t="s">
        <v>473</v>
      </c>
      <c r="DZ7" s="85" t="s">
        <v>473</v>
      </c>
      <c r="EA7" s="85" t="s">
        <v>473</v>
      </c>
      <c r="EB7" s="85" t="s">
        <v>473</v>
      </c>
      <c r="EC7" s="85" t="s">
        <v>473</v>
      </c>
      <c r="ED7" s="85" t="s">
        <v>473</v>
      </c>
      <c r="EE7" s="85" t="s">
        <v>473</v>
      </c>
      <c r="EF7" s="85" t="s">
        <v>473</v>
      </c>
      <c r="EG7" s="85" t="s">
        <v>473</v>
      </c>
      <c r="EH7" s="85" t="s">
        <v>473</v>
      </c>
      <c r="EI7" s="85" t="s">
        <v>473</v>
      </c>
      <c r="EJ7" s="85" t="s">
        <v>473</v>
      </c>
      <c r="EK7" s="85" t="s">
        <v>473</v>
      </c>
      <c r="EL7" s="85" t="s">
        <v>473</v>
      </c>
      <c r="EM7" s="85" t="s">
        <v>473</v>
      </c>
      <c r="EN7" s="85" t="s">
        <v>473</v>
      </c>
      <c r="EO7" s="85" t="s">
        <v>473</v>
      </c>
      <c r="EP7" s="85" t="s">
        <v>473</v>
      </c>
      <c r="EQ7" s="85" t="s">
        <v>473</v>
      </c>
      <c r="ER7" s="85" t="s">
        <v>473</v>
      </c>
      <c r="ES7" s="85" t="s">
        <v>473</v>
      </c>
      <c r="ET7" s="85" t="s">
        <v>473</v>
      </c>
      <c r="EU7" s="85" t="s">
        <v>473</v>
      </c>
      <c r="EV7" s="85" t="s">
        <v>473</v>
      </c>
      <c r="EW7" s="85" t="s">
        <v>473</v>
      </c>
      <c r="EX7" s="85" t="s">
        <v>473</v>
      </c>
      <c r="EY7" s="85" t="s">
        <v>473</v>
      </c>
      <c r="EZ7" s="85" t="s">
        <v>473</v>
      </c>
      <c r="FA7" s="85" t="s">
        <v>473</v>
      </c>
      <c r="FB7" s="85" t="s">
        <v>473</v>
      </c>
      <c r="FC7" s="85" t="s">
        <v>473</v>
      </c>
      <c r="FD7" s="85" t="s">
        <v>473</v>
      </c>
      <c r="FE7" s="85" t="s">
        <v>473</v>
      </c>
      <c r="FF7" s="85" t="s">
        <v>473</v>
      </c>
      <c r="FG7" s="85" t="s">
        <v>473</v>
      </c>
      <c r="FH7" s="85" t="s">
        <v>473</v>
      </c>
      <c r="FI7" s="85" t="s">
        <v>473</v>
      </c>
      <c r="FJ7" s="85" t="s">
        <v>473</v>
      </c>
      <c r="FK7" s="85" t="s">
        <v>473</v>
      </c>
      <c r="FL7" s="85" t="s">
        <v>473</v>
      </c>
      <c r="FM7" s="85" t="s">
        <v>473</v>
      </c>
      <c r="FN7" s="85" t="s">
        <v>473</v>
      </c>
      <c r="FO7" s="85" t="s">
        <v>473</v>
      </c>
      <c r="FP7" s="85" t="s">
        <v>473</v>
      </c>
      <c r="FQ7" s="85" t="s">
        <v>473</v>
      </c>
      <c r="FR7" s="85" t="s">
        <v>473</v>
      </c>
      <c r="FS7" s="85" t="s">
        <v>473</v>
      </c>
      <c r="FT7" s="85" t="s">
        <v>473</v>
      </c>
      <c r="FU7" s="85" t="s">
        <v>473</v>
      </c>
      <c r="FV7" s="85" t="s">
        <v>473</v>
      </c>
      <c r="FW7" s="85" t="s">
        <v>473</v>
      </c>
      <c r="FX7" s="85" t="s">
        <v>473</v>
      </c>
      <c r="FY7" s="2" t="s">
        <v>472</v>
      </c>
      <c r="FZ7" s="2" t="s">
        <v>472</v>
      </c>
      <c r="GA7" s="2" t="s">
        <v>472</v>
      </c>
      <c r="GB7" s="2" t="s">
        <v>472</v>
      </c>
      <c r="GC7" s="2" t="s">
        <v>472</v>
      </c>
      <c r="GD7" s="2" t="s">
        <v>472</v>
      </c>
      <c r="GE7" s="56" t="s">
        <v>472</v>
      </c>
      <c r="GF7" s="56" t="s">
        <v>472</v>
      </c>
      <c r="GG7" s="2" t="s">
        <v>472</v>
      </c>
      <c r="GH7" s="2" t="s">
        <v>472</v>
      </c>
      <c r="GI7" s="2" t="s">
        <v>472</v>
      </c>
      <c r="GJ7" s="2" t="s">
        <v>472</v>
      </c>
      <c r="GK7" s="2" t="s">
        <v>472</v>
      </c>
      <c r="GL7" s="2" t="s">
        <v>472</v>
      </c>
      <c r="GM7" s="2" t="s">
        <v>472</v>
      </c>
      <c r="GN7" s="2" t="s">
        <v>472</v>
      </c>
      <c r="GO7" s="2" t="s">
        <v>472</v>
      </c>
      <c r="GP7" s="2" t="s">
        <v>472</v>
      </c>
      <c r="GQ7" s="2" t="s">
        <v>472</v>
      </c>
      <c r="GR7" s="2" t="s">
        <v>472</v>
      </c>
      <c r="GS7" s="2" t="s">
        <v>472</v>
      </c>
      <c r="GT7" s="2" t="s">
        <v>472</v>
      </c>
      <c r="GU7" s="2" t="s">
        <v>472</v>
      </c>
      <c r="GV7" s="2" t="s">
        <v>472</v>
      </c>
      <c r="GW7" s="2" t="s">
        <v>472</v>
      </c>
      <c r="GX7" s="2" t="s">
        <v>472</v>
      </c>
      <c r="GY7" s="2" t="s">
        <v>472</v>
      </c>
      <c r="GZ7" s="2" t="s">
        <v>472</v>
      </c>
      <c r="HA7" s="2" t="s">
        <v>472</v>
      </c>
      <c r="HB7" s="2" t="s">
        <v>472</v>
      </c>
      <c r="HC7" s="2" t="s">
        <v>472</v>
      </c>
      <c r="HD7" s="2" t="s">
        <v>472</v>
      </c>
      <c r="HE7" s="2" t="s">
        <v>472</v>
      </c>
      <c r="HF7" s="2" t="s">
        <v>472</v>
      </c>
      <c r="HG7" s="2" t="s">
        <v>472</v>
      </c>
      <c r="HH7" s="2" t="s">
        <v>472</v>
      </c>
      <c r="HI7" s="2" t="s">
        <v>472</v>
      </c>
      <c r="HJ7" s="2" t="s">
        <v>472</v>
      </c>
      <c r="HK7" s="2" t="s">
        <v>472</v>
      </c>
      <c r="HL7" s="2" t="s">
        <v>472</v>
      </c>
      <c r="HM7" s="2" t="s">
        <v>472</v>
      </c>
      <c r="HN7" s="2" t="s">
        <v>472</v>
      </c>
      <c r="HO7" s="2" t="s">
        <v>472</v>
      </c>
      <c r="HP7" s="2" t="s">
        <v>472</v>
      </c>
      <c r="HQ7" s="2" t="s">
        <v>472</v>
      </c>
      <c r="HR7" s="2" t="s">
        <v>472</v>
      </c>
      <c r="HS7" s="56" t="s">
        <v>472</v>
      </c>
      <c r="HT7" s="60" t="s">
        <v>472</v>
      </c>
      <c r="HU7" s="60" t="s">
        <v>472</v>
      </c>
      <c r="HV7" s="60" t="s">
        <v>472</v>
      </c>
      <c r="HW7" s="60" t="s">
        <v>472</v>
      </c>
      <c r="HX7" s="60" t="s">
        <v>472</v>
      </c>
      <c r="HY7" s="63" t="s">
        <v>472</v>
      </c>
      <c r="HZ7" s="63" t="s">
        <v>472</v>
      </c>
      <c r="IA7" s="63" t="s">
        <v>472</v>
      </c>
      <c r="IB7" s="63" t="s">
        <v>472</v>
      </c>
      <c r="IC7" s="63" t="s">
        <v>472</v>
      </c>
      <c r="ID7" s="63" t="s">
        <v>472</v>
      </c>
      <c r="IE7" s="63" t="s">
        <v>472</v>
      </c>
      <c r="IF7" s="63" t="s">
        <v>472</v>
      </c>
      <c r="IG7" s="63" t="s">
        <v>472</v>
      </c>
      <c r="IH7" s="63" t="s">
        <v>472</v>
      </c>
      <c r="II7" s="63" t="s">
        <v>472</v>
      </c>
      <c r="IJ7" s="63" t="s">
        <v>472</v>
      </c>
      <c r="IK7" s="63" t="s">
        <v>472</v>
      </c>
      <c r="IL7" s="63" t="s">
        <v>472</v>
      </c>
      <c r="IM7" s="63" t="s">
        <v>472</v>
      </c>
      <c r="IN7" s="63" t="s">
        <v>472</v>
      </c>
      <c r="IO7" s="63" t="s">
        <v>472</v>
      </c>
      <c r="IP7" s="63" t="s">
        <v>472</v>
      </c>
      <c r="IQ7" s="63" t="s">
        <v>472</v>
      </c>
      <c r="IR7" s="63" t="s">
        <v>472</v>
      </c>
      <c r="IS7" s="63" t="s">
        <v>472</v>
      </c>
      <c r="IT7" s="63" t="s">
        <v>472</v>
      </c>
      <c r="IU7" s="63" t="s">
        <v>472</v>
      </c>
      <c r="IV7" s="63" t="s">
        <v>472</v>
      </c>
      <c r="IW7" s="63" t="s">
        <v>472</v>
      </c>
      <c r="IX7" s="67" t="s">
        <v>1429</v>
      </c>
      <c r="IY7" s="67" t="s">
        <v>1429</v>
      </c>
      <c r="IZ7" s="67" t="s">
        <v>1429</v>
      </c>
      <c r="JA7" s="67" t="s">
        <v>1429</v>
      </c>
      <c r="JB7" s="67" t="s">
        <v>1429</v>
      </c>
      <c r="JC7" s="67" t="s">
        <v>1429</v>
      </c>
      <c r="JD7" s="67" t="s">
        <v>1429</v>
      </c>
      <c r="JE7" s="67" t="s">
        <v>1429</v>
      </c>
      <c r="JF7" s="67" t="s">
        <v>1429</v>
      </c>
      <c r="JG7" s="67" t="s">
        <v>1429</v>
      </c>
      <c r="JH7" s="67" t="s">
        <v>1429</v>
      </c>
      <c r="JI7" s="67" t="s">
        <v>1429</v>
      </c>
      <c r="JJ7" s="67" t="s">
        <v>1429</v>
      </c>
      <c r="JK7" s="67" t="s">
        <v>1429</v>
      </c>
      <c r="JL7" s="67" t="s">
        <v>1429</v>
      </c>
      <c r="JM7" s="67" t="s">
        <v>1429</v>
      </c>
      <c r="JN7" s="67" t="s">
        <v>1429</v>
      </c>
    </row>
    <row r="8" spans="1:274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  <c r="CV8" s="85"/>
      <c r="CW8" s="85"/>
      <c r="CX8" s="85"/>
      <c r="CY8" s="86"/>
      <c r="CZ8" s="86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7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2" t="s">
        <v>2002</v>
      </c>
      <c r="GA8" s="2" t="s">
        <v>2002</v>
      </c>
      <c r="GB8" s="2"/>
      <c r="GC8" s="2" t="s">
        <v>2002</v>
      </c>
      <c r="GD8" s="2" t="s">
        <v>2002</v>
      </c>
      <c r="GE8" s="2" t="s">
        <v>2002</v>
      </c>
      <c r="GF8" s="2"/>
      <c r="GG8" s="2" t="s">
        <v>2002</v>
      </c>
      <c r="GI8" s="2" t="s">
        <v>2002</v>
      </c>
      <c r="GK8" s="2" t="s">
        <v>2002</v>
      </c>
      <c r="GL8" s="2" t="s">
        <v>2002</v>
      </c>
      <c r="GM8" s="2" t="s">
        <v>2002</v>
      </c>
      <c r="GN8" s="2" t="s">
        <v>2002</v>
      </c>
      <c r="GO8" s="2" t="s">
        <v>2002</v>
      </c>
      <c r="GP8" s="2" t="s">
        <v>2002</v>
      </c>
      <c r="GR8" s="2" t="s">
        <v>2002</v>
      </c>
      <c r="GS8" s="2" t="s">
        <v>2002</v>
      </c>
      <c r="GT8" s="2" t="s">
        <v>2002</v>
      </c>
      <c r="GU8" s="2" t="s">
        <v>2002</v>
      </c>
      <c r="GV8" s="2" t="s">
        <v>2002</v>
      </c>
      <c r="GW8" s="2" t="s">
        <v>2002</v>
      </c>
      <c r="GX8" s="2" t="s">
        <v>2002</v>
      </c>
      <c r="GY8" s="2"/>
      <c r="GZ8" s="2" t="s">
        <v>2002</v>
      </c>
      <c r="HA8" s="2"/>
      <c r="HB8" s="2" t="s">
        <v>2002</v>
      </c>
      <c r="HC8" s="2" t="s">
        <v>2002</v>
      </c>
      <c r="HD8" s="2" t="s">
        <v>2002</v>
      </c>
      <c r="HE8" s="2" t="s">
        <v>2002</v>
      </c>
      <c r="HF8" s="2" t="s">
        <v>2002</v>
      </c>
      <c r="HG8" s="2" t="s">
        <v>2002</v>
      </c>
      <c r="HH8" s="2" t="s">
        <v>2002</v>
      </c>
      <c r="HI8" s="2" t="s">
        <v>2002</v>
      </c>
      <c r="HJ8" s="2" t="s">
        <v>2002</v>
      </c>
      <c r="HK8" s="2" t="s">
        <v>2002</v>
      </c>
      <c r="HL8" s="2" t="s">
        <v>2002</v>
      </c>
      <c r="HM8" s="2" t="s">
        <v>2002</v>
      </c>
      <c r="HQ8" s="2" t="s">
        <v>2002</v>
      </c>
      <c r="HR8" s="2" t="s">
        <v>2002</v>
      </c>
      <c r="HS8" s="2" t="s">
        <v>2002</v>
      </c>
      <c r="HT8" s="60"/>
      <c r="HU8" s="60"/>
      <c r="HV8" s="60"/>
      <c r="HW8" s="60"/>
      <c r="HX8" s="60"/>
      <c r="HY8" s="63"/>
      <c r="HZ8" s="63"/>
      <c r="IA8" s="63"/>
      <c r="IB8" s="63"/>
      <c r="IC8" s="63"/>
      <c r="ID8" s="63"/>
      <c r="IE8" s="63"/>
      <c r="IF8" s="63"/>
      <c r="IG8" s="63"/>
      <c r="IH8" s="63"/>
      <c r="II8" s="63"/>
      <c r="IJ8" s="63"/>
      <c r="IK8" s="63"/>
      <c r="IL8" s="63"/>
      <c r="IM8" s="63"/>
      <c r="IN8" s="63"/>
      <c r="IO8" s="63"/>
      <c r="IP8" s="63"/>
      <c r="IQ8" s="63"/>
      <c r="IR8" s="63"/>
      <c r="IS8" s="63"/>
      <c r="IT8" s="63"/>
      <c r="IU8" s="63"/>
      <c r="IV8" s="63"/>
      <c r="IW8" s="63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</row>
    <row r="9" spans="1:274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  <c r="CV9" s="88" t="s">
        <v>1990</v>
      </c>
      <c r="CW9" s="88" t="s">
        <v>1990</v>
      </c>
      <c r="CX9" s="88" t="s">
        <v>1990</v>
      </c>
      <c r="CY9" s="88" t="s">
        <v>1990</v>
      </c>
      <c r="CZ9" s="88" t="s">
        <v>1990</v>
      </c>
      <c r="DA9" s="104" t="s">
        <v>1990</v>
      </c>
      <c r="DB9" s="88" t="s">
        <v>1990</v>
      </c>
      <c r="DC9" s="88" t="s">
        <v>1990</v>
      </c>
      <c r="DD9" s="88" t="s">
        <v>1990</v>
      </c>
      <c r="DE9" s="88" t="s">
        <v>1990</v>
      </c>
      <c r="DF9" s="88" t="s">
        <v>1990</v>
      </c>
      <c r="DG9" s="88" t="s">
        <v>1990</v>
      </c>
      <c r="DH9" s="88" t="s">
        <v>1990</v>
      </c>
      <c r="DI9" s="88" t="s">
        <v>1990</v>
      </c>
      <c r="DJ9" s="88" t="s">
        <v>1990</v>
      </c>
      <c r="DK9" s="88" t="s">
        <v>1990</v>
      </c>
      <c r="DL9" s="88" t="s">
        <v>1990</v>
      </c>
      <c r="DM9" s="88" t="s">
        <v>1990</v>
      </c>
      <c r="DN9" s="88" t="s">
        <v>1990</v>
      </c>
      <c r="DO9" s="88" t="s">
        <v>1990</v>
      </c>
      <c r="DP9" s="88" t="s">
        <v>1990</v>
      </c>
      <c r="DQ9" s="88" t="s">
        <v>1990</v>
      </c>
      <c r="DR9" s="88" t="s">
        <v>1990</v>
      </c>
      <c r="DS9" s="88" t="s">
        <v>1990</v>
      </c>
      <c r="DT9" s="88" t="s">
        <v>1990</v>
      </c>
      <c r="DU9" s="88" t="s">
        <v>1990</v>
      </c>
      <c r="DV9" s="88" t="s">
        <v>1990</v>
      </c>
      <c r="DW9" s="88" t="s">
        <v>1990</v>
      </c>
      <c r="DX9" s="88" t="s">
        <v>1990</v>
      </c>
      <c r="DY9" s="88" t="s">
        <v>1990</v>
      </c>
      <c r="DZ9" s="88" t="s">
        <v>1990</v>
      </c>
      <c r="EA9" s="88" t="s">
        <v>1990</v>
      </c>
      <c r="EB9" s="88" t="s">
        <v>1990</v>
      </c>
      <c r="EC9" s="88" t="s">
        <v>1990</v>
      </c>
      <c r="ED9" s="88" t="s">
        <v>1990</v>
      </c>
      <c r="EE9" s="88" t="s">
        <v>1990</v>
      </c>
      <c r="EF9" s="88" t="s">
        <v>1990</v>
      </c>
      <c r="EG9" s="88" t="s">
        <v>1990</v>
      </c>
      <c r="EH9" s="88" t="s">
        <v>1990</v>
      </c>
      <c r="EI9" s="88" t="s">
        <v>1990</v>
      </c>
      <c r="EJ9" s="88" t="s">
        <v>1990</v>
      </c>
      <c r="EK9" s="88" t="s">
        <v>1990</v>
      </c>
      <c r="EL9" s="88" t="s">
        <v>1990</v>
      </c>
      <c r="EM9" s="88" t="s">
        <v>1990</v>
      </c>
      <c r="EN9" s="88" t="s">
        <v>1990</v>
      </c>
      <c r="EO9" s="88" t="s">
        <v>1990</v>
      </c>
      <c r="EP9" s="88" t="s">
        <v>1990</v>
      </c>
      <c r="EQ9" s="88" t="s">
        <v>1991</v>
      </c>
      <c r="ER9" s="88" t="s">
        <v>1991</v>
      </c>
      <c r="ES9" s="88" t="s">
        <v>1991</v>
      </c>
      <c r="ET9" s="88" t="s">
        <v>1991</v>
      </c>
      <c r="EU9" s="88" t="s">
        <v>1991</v>
      </c>
      <c r="EV9" s="88" t="s">
        <v>1991</v>
      </c>
      <c r="EW9" s="88" t="s">
        <v>1991</v>
      </c>
      <c r="EX9" s="88" t="s">
        <v>1991</v>
      </c>
      <c r="EY9" s="88" t="s">
        <v>1991</v>
      </c>
      <c r="EZ9" s="88" t="s">
        <v>1991</v>
      </c>
      <c r="FA9" s="88" t="s">
        <v>1991</v>
      </c>
      <c r="FB9" s="88" t="s">
        <v>1991</v>
      </c>
      <c r="FC9" s="88" t="s">
        <v>1991</v>
      </c>
      <c r="FD9" s="88" t="s">
        <v>1991</v>
      </c>
      <c r="FE9" s="88" t="s">
        <v>1991</v>
      </c>
      <c r="FF9" s="88" t="s">
        <v>1991</v>
      </c>
      <c r="FG9" s="88" t="s">
        <v>1991</v>
      </c>
      <c r="FH9" s="88" t="s">
        <v>1991</v>
      </c>
      <c r="FI9" s="88" t="s">
        <v>1991</v>
      </c>
      <c r="FJ9" s="88" t="s">
        <v>1991</v>
      </c>
      <c r="FK9" s="88" t="s">
        <v>1991</v>
      </c>
      <c r="FL9" s="88" t="s">
        <v>1991</v>
      </c>
      <c r="FM9" s="88" t="s">
        <v>1991</v>
      </c>
      <c r="FN9" s="88" t="s">
        <v>1991</v>
      </c>
      <c r="FO9" s="88" t="s">
        <v>2024</v>
      </c>
      <c r="FP9" s="88" t="s">
        <v>2024</v>
      </c>
      <c r="FQ9" s="88" t="s">
        <v>2024</v>
      </c>
      <c r="FR9" s="88" t="s">
        <v>2024</v>
      </c>
      <c r="FS9" s="88" t="s">
        <v>2024</v>
      </c>
      <c r="FT9" s="88" t="s">
        <v>2024</v>
      </c>
      <c r="FU9" s="88" t="s">
        <v>2024</v>
      </c>
      <c r="FV9" s="88" t="s">
        <v>2024</v>
      </c>
      <c r="FW9" s="88" t="s">
        <v>2024</v>
      </c>
      <c r="FX9" s="88" t="s">
        <v>2024</v>
      </c>
      <c r="FY9" s="2" t="s">
        <v>1923</v>
      </c>
      <c r="FZ9" s="2" t="s">
        <v>1923</v>
      </c>
      <c r="GA9" s="2" t="s">
        <v>1923</v>
      </c>
      <c r="GB9" s="2" t="s">
        <v>1923</v>
      </c>
      <c r="GC9" s="2" t="s">
        <v>1923</v>
      </c>
      <c r="GD9" s="2" t="s">
        <v>1923</v>
      </c>
      <c r="GE9" s="56" t="s">
        <v>1940</v>
      </c>
      <c r="GF9" s="56" t="s">
        <v>1940</v>
      </c>
      <c r="GG9" s="2" t="s">
        <v>1940</v>
      </c>
      <c r="GH9" s="2" t="s">
        <v>1940</v>
      </c>
      <c r="GI9" s="2" t="s">
        <v>1940</v>
      </c>
      <c r="GJ9" s="2" t="s">
        <v>1940</v>
      </c>
      <c r="GK9" s="2" t="s">
        <v>1940</v>
      </c>
      <c r="GL9" s="2" t="s">
        <v>1940</v>
      </c>
      <c r="GM9" s="2" t="s">
        <v>1940</v>
      </c>
      <c r="GN9" s="2" t="s">
        <v>1940</v>
      </c>
      <c r="GO9" s="2" t="s">
        <v>1940</v>
      </c>
      <c r="GP9" s="2" t="s">
        <v>1940</v>
      </c>
      <c r="GQ9" s="2" t="s">
        <v>1923</v>
      </c>
      <c r="GR9" s="2" t="s">
        <v>1923</v>
      </c>
      <c r="GS9" s="2" t="s">
        <v>1923</v>
      </c>
      <c r="GT9" s="2" t="s">
        <v>1923</v>
      </c>
      <c r="GU9" s="2" t="s">
        <v>1923</v>
      </c>
      <c r="GV9" s="2" t="s">
        <v>1923</v>
      </c>
      <c r="GW9" s="2" t="s">
        <v>1923</v>
      </c>
      <c r="GX9" s="2" t="s">
        <v>1923</v>
      </c>
      <c r="GY9" s="2" t="s">
        <v>1923</v>
      </c>
      <c r="GZ9" s="2" t="s">
        <v>1923</v>
      </c>
      <c r="HA9" s="2" t="s">
        <v>1923</v>
      </c>
      <c r="HB9" s="2" t="s">
        <v>1923</v>
      </c>
      <c r="HC9" s="2" t="s">
        <v>1923</v>
      </c>
      <c r="HD9" s="2" t="s">
        <v>1923</v>
      </c>
      <c r="HE9" s="56" t="s">
        <v>1934</v>
      </c>
      <c r="HF9" s="56" t="s">
        <v>1934</v>
      </c>
      <c r="HG9" s="56" t="s">
        <v>1934</v>
      </c>
      <c r="HH9" s="56" t="s">
        <v>1934</v>
      </c>
      <c r="HI9" s="56" t="s">
        <v>1934</v>
      </c>
      <c r="HJ9" s="56" t="s">
        <v>1939</v>
      </c>
      <c r="HK9" s="56" t="s">
        <v>1939</v>
      </c>
      <c r="HL9" s="56" t="s">
        <v>1939</v>
      </c>
      <c r="HM9" s="56" t="s">
        <v>1939</v>
      </c>
      <c r="HN9" s="2" t="s">
        <v>1933</v>
      </c>
      <c r="HO9" s="2" t="s">
        <v>1933</v>
      </c>
      <c r="HP9" s="2" t="s">
        <v>1933</v>
      </c>
      <c r="HQ9" s="2" t="s">
        <v>1933</v>
      </c>
      <c r="HR9" s="2" t="s">
        <v>1933</v>
      </c>
      <c r="HS9" s="2" t="s">
        <v>1933</v>
      </c>
      <c r="HT9" s="60" t="s">
        <v>1953</v>
      </c>
      <c r="HU9" s="60" t="s">
        <v>1953</v>
      </c>
      <c r="HV9" s="60" t="s">
        <v>1953</v>
      </c>
      <c r="HW9" s="60" t="s">
        <v>1953</v>
      </c>
      <c r="HX9" s="60" t="s">
        <v>1953</v>
      </c>
      <c r="HY9" s="63" t="s">
        <v>1441</v>
      </c>
      <c r="HZ9" s="63" t="s">
        <v>1441</v>
      </c>
      <c r="IA9" s="63" t="s">
        <v>1441</v>
      </c>
      <c r="IB9" s="63" t="s">
        <v>1441</v>
      </c>
      <c r="IC9" s="63" t="s">
        <v>1441</v>
      </c>
      <c r="ID9" s="63" t="s">
        <v>1441</v>
      </c>
      <c r="IE9" s="63" t="s">
        <v>1441</v>
      </c>
      <c r="IF9" s="63" t="s">
        <v>1441</v>
      </c>
      <c r="IG9" s="63" t="s">
        <v>1441</v>
      </c>
      <c r="IH9" s="63" t="s">
        <v>1441</v>
      </c>
      <c r="II9" s="63" t="s">
        <v>1441</v>
      </c>
      <c r="IJ9" s="63" t="s">
        <v>1441</v>
      </c>
      <c r="IK9" s="63" t="s">
        <v>1441</v>
      </c>
      <c r="IL9" s="63" t="s">
        <v>1441</v>
      </c>
      <c r="IM9" s="63" t="s">
        <v>1441</v>
      </c>
      <c r="IN9" s="63" t="s">
        <v>1441</v>
      </c>
      <c r="IO9" s="63" t="s">
        <v>1441</v>
      </c>
      <c r="IP9" s="63" t="s">
        <v>1441</v>
      </c>
      <c r="IQ9" s="63" t="s">
        <v>1441</v>
      </c>
      <c r="IR9" s="63" t="s">
        <v>1441</v>
      </c>
      <c r="IS9" s="63" t="s">
        <v>1441</v>
      </c>
      <c r="IT9" s="63" t="s">
        <v>1441</v>
      </c>
      <c r="IU9" s="63" t="s">
        <v>1441</v>
      </c>
      <c r="IV9" s="63" t="s">
        <v>1441</v>
      </c>
      <c r="IW9" s="63" t="s">
        <v>1441</v>
      </c>
      <c r="IX9" s="67" t="s">
        <v>1943</v>
      </c>
      <c r="IY9" s="67" t="s">
        <v>1943</v>
      </c>
      <c r="IZ9" s="67" t="s">
        <v>1943</v>
      </c>
      <c r="JA9" s="67" t="s">
        <v>1943</v>
      </c>
      <c r="JB9" s="67" t="s">
        <v>1943</v>
      </c>
      <c r="JC9" s="67" t="s">
        <v>1943</v>
      </c>
      <c r="JD9" s="67" t="s">
        <v>1943</v>
      </c>
      <c r="JE9" s="67" t="s">
        <v>1943</v>
      </c>
      <c r="JF9" s="67" t="s">
        <v>1943</v>
      </c>
      <c r="JG9" s="67" t="s">
        <v>1943</v>
      </c>
      <c r="JH9" s="67" t="s">
        <v>1943</v>
      </c>
      <c r="JI9" s="67" t="s">
        <v>1943</v>
      </c>
      <c r="JJ9" s="67" t="s">
        <v>1943</v>
      </c>
      <c r="JK9" s="67" t="s">
        <v>1943</v>
      </c>
      <c r="JL9" s="67" t="s">
        <v>1943</v>
      </c>
      <c r="JM9" s="67" t="s">
        <v>1943</v>
      </c>
      <c r="JN9" s="67" t="s">
        <v>1943</v>
      </c>
    </row>
    <row r="10" spans="1:274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1901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1906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1903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  <c r="CV10" s="89" t="s">
        <v>1963</v>
      </c>
      <c r="CW10" s="89" t="s">
        <v>1963</v>
      </c>
      <c r="CX10" s="89" t="s">
        <v>1963</v>
      </c>
      <c r="CY10" s="89" t="s">
        <v>1963</v>
      </c>
      <c r="CZ10" s="89" t="s">
        <v>1963</v>
      </c>
      <c r="DA10" s="89" t="s">
        <v>1894</v>
      </c>
      <c r="DB10" s="89" t="s">
        <v>1963</v>
      </c>
      <c r="DC10" s="89" t="s">
        <v>1894</v>
      </c>
      <c r="DD10" s="89" t="s">
        <v>1894</v>
      </c>
      <c r="DE10" s="89" t="s">
        <v>1894</v>
      </c>
      <c r="DF10" s="89" t="s">
        <v>1963</v>
      </c>
      <c r="DG10" s="89" t="s">
        <v>1963</v>
      </c>
      <c r="DH10" s="89" t="s">
        <v>1963</v>
      </c>
      <c r="DI10" s="89" t="s">
        <v>1963</v>
      </c>
      <c r="DJ10" s="89" t="s">
        <v>1963</v>
      </c>
      <c r="DK10" s="89" t="s">
        <v>1963</v>
      </c>
      <c r="DL10" s="89" t="s">
        <v>1963</v>
      </c>
      <c r="DM10" s="89" t="s">
        <v>1963</v>
      </c>
      <c r="DN10" s="89" t="s">
        <v>1963</v>
      </c>
      <c r="DO10" s="89" t="s">
        <v>1963</v>
      </c>
      <c r="DP10" s="89" t="s">
        <v>1963</v>
      </c>
      <c r="DQ10" s="89" t="s">
        <v>1963</v>
      </c>
      <c r="DR10" s="89" t="s">
        <v>1963</v>
      </c>
      <c r="DS10" s="89" t="s">
        <v>1963</v>
      </c>
      <c r="DT10" s="89" t="s">
        <v>1963</v>
      </c>
      <c r="DU10" s="89" t="s">
        <v>1964</v>
      </c>
      <c r="DV10" s="89" t="s">
        <v>1963</v>
      </c>
      <c r="DW10" s="89" t="s">
        <v>1963</v>
      </c>
      <c r="DX10" s="89" t="s">
        <v>1963</v>
      </c>
      <c r="DY10" s="89" t="s">
        <v>1963</v>
      </c>
      <c r="DZ10" s="89" t="s">
        <v>1963</v>
      </c>
      <c r="EA10" s="89" t="s">
        <v>1963</v>
      </c>
      <c r="EB10" s="89" t="s">
        <v>1963</v>
      </c>
      <c r="EC10" s="89" t="s">
        <v>1963</v>
      </c>
      <c r="ED10" s="89" t="s">
        <v>1963</v>
      </c>
      <c r="EE10" s="89" t="s">
        <v>1963</v>
      </c>
      <c r="EF10" s="89" t="s">
        <v>1963</v>
      </c>
      <c r="EG10" s="89" t="s">
        <v>1963</v>
      </c>
      <c r="EH10" s="89" t="s">
        <v>1963</v>
      </c>
      <c r="EI10" s="89" t="s">
        <v>1963</v>
      </c>
      <c r="EJ10" s="89" t="s">
        <v>1963</v>
      </c>
      <c r="EK10" s="89" t="s">
        <v>1963</v>
      </c>
      <c r="EL10" s="89" t="s">
        <v>1963</v>
      </c>
      <c r="EM10" s="89" t="s">
        <v>1963</v>
      </c>
      <c r="EN10" s="89" t="s">
        <v>1963</v>
      </c>
      <c r="EO10" s="89" t="s">
        <v>1963</v>
      </c>
      <c r="EP10" s="89" t="s">
        <v>1963</v>
      </c>
      <c r="EQ10" s="89" t="s">
        <v>1989</v>
      </c>
      <c r="ER10" s="89" t="s">
        <v>1989</v>
      </c>
      <c r="ES10" s="89" t="s">
        <v>1989</v>
      </c>
      <c r="ET10" s="89" t="s">
        <v>1989</v>
      </c>
      <c r="EU10" s="89" t="s">
        <v>1989</v>
      </c>
      <c r="EV10" s="89" t="s">
        <v>1989</v>
      </c>
      <c r="EW10" s="89" t="s">
        <v>1989</v>
      </c>
      <c r="EX10" s="89" t="s">
        <v>1989</v>
      </c>
      <c r="EY10" s="89" t="s">
        <v>1989</v>
      </c>
      <c r="EZ10" s="89" t="s">
        <v>1989</v>
      </c>
      <c r="FA10" s="89" t="s">
        <v>1989</v>
      </c>
      <c r="FB10" s="89" t="s">
        <v>1989</v>
      </c>
      <c r="FC10" s="89" t="s">
        <v>1989</v>
      </c>
      <c r="FD10" s="89" t="s">
        <v>1989</v>
      </c>
      <c r="FE10" s="89" t="s">
        <v>1989</v>
      </c>
      <c r="FF10" s="89" t="s">
        <v>1989</v>
      </c>
      <c r="FG10" s="89" t="s">
        <v>1989</v>
      </c>
      <c r="FH10" s="89" t="s">
        <v>1989</v>
      </c>
      <c r="FI10" s="89" t="s">
        <v>1998</v>
      </c>
      <c r="FJ10" s="89" t="s">
        <v>1998</v>
      </c>
      <c r="FK10" s="89" t="s">
        <v>1998</v>
      </c>
      <c r="FL10" s="89" t="s">
        <v>1998</v>
      </c>
      <c r="FM10" s="89" t="s">
        <v>1998</v>
      </c>
      <c r="FN10" s="89" t="s">
        <v>1998</v>
      </c>
      <c r="FO10" s="89" t="s">
        <v>2023</v>
      </c>
      <c r="FP10" s="89" t="s">
        <v>2023</v>
      </c>
      <c r="FQ10" s="89" t="s">
        <v>2023</v>
      </c>
      <c r="FR10" s="89" t="s">
        <v>2023</v>
      </c>
      <c r="FS10" s="89" t="s">
        <v>2023</v>
      </c>
      <c r="FT10" s="89" t="s">
        <v>2023</v>
      </c>
      <c r="FU10" s="89" t="s">
        <v>2023</v>
      </c>
      <c r="FV10" s="89" t="s">
        <v>2023</v>
      </c>
      <c r="FW10" s="89" t="s">
        <v>2023</v>
      </c>
      <c r="FX10" s="89" t="s">
        <v>2023</v>
      </c>
      <c r="FY10" s="15" t="s">
        <v>1944</v>
      </c>
      <c r="FZ10" s="55" t="s">
        <v>1900</v>
      </c>
      <c r="GA10" s="55" t="s">
        <v>1944</v>
      </c>
      <c r="GB10" s="55" t="s">
        <v>1900</v>
      </c>
      <c r="GC10" s="55" t="s">
        <v>1944</v>
      </c>
      <c r="GD10" s="55" t="s">
        <v>1944</v>
      </c>
      <c r="GE10" s="78" t="s">
        <v>1944</v>
      </c>
      <c r="GF10" s="55" t="s">
        <v>1900</v>
      </c>
      <c r="GG10" s="55" t="s">
        <v>1944</v>
      </c>
      <c r="GH10" s="55" t="s">
        <v>1900</v>
      </c>
      <c r="GI10" s="55" t="s">
        <v>1944</v>
      </c>
      <c r="GJ10" s="55" t="s">
        <v>1900</v>
      </c>
      <c r="GK10" s="55" t="s">
        <v>1944</v>
      </c>
      <c r="GL10" s="55" t="s">
        <v>1944</v>
      </c>
      <c r="GM10" s="55" t="s">
        <v>1944</v>
      </c>
      <c r="GN10" s="55" t="s">
        <v>1944</v>
      </c>
      <c r="GO10" s="55" t="s">
        <v>1944</v>
      </c>
      <c r="GP10" s="55" t="s">
        <v>1944</v>
      </c>
      <c r="GQ10" s="55" t="s">
        <v>1944</v>
      </c>
      <c r="GR10" s="55" t="s">
        <v>1944</v>
      </c>
      <c r="GS10" s="55" t="s">
        <v>1944</v>
      </c>
      <c r="GT10" s="55" t="s">
        <v>1944</v>
      </c>
      <c r="GU10" s="55" t="s">
        <v>1944</v>
      </c>
      <c r="GV10" s="55" t="s">
        <v>1944</v>
      </c>
      <c r="GW10" s="55" t="s">
        <v>1944</v>
      </c>
      <c r="GX10" s="55" t="s">
        <v>1944</v>
      </c>
      <c r="GY10" s="55" t="s">
        <v>1944</v>
      </c>
      <c r="GZ10" s="55" t="s">
        <v>1944</v>
      </c>
      <c r="HA10" s="55" t="s">
        <v>1944</v>
      </c>
      <c r="HB10" s="55" t="s">
        <v>1944</v>
      </c>
      <c r="HC10" s="55" t="s">
        <v>1944</v>
      </c>
      <c r="HD10" s="55" t="s">
        <v>1944</v>
      </c>
      <c r="HE10" s="57" t="s">
        <v>1952</v>
      </c>
      <c r="HF10" s="57" t="s">
        <v>1952</v>
      </c>
      <c r="HG10" s="57" t="s">
        <v>1952</v>
      </c>
      <c r="HH10" s="57" t="s">
        <v>1952</v>
      </c>
      <c r="HI10" s="57" t="s">
        <v>1952</v>
      </c>
      <c r="HJ10" s="57" t="s">
        <v>1952</v>
      </c>
      <c r="HK10" s="57" t="s">
        <v>1952</v>
      </c>
      <c r="HL10" s="57" t="s">
        <v>1952</v>
      </c>
      <c r="HM10" s="57" t="s">
        <v>1952</v>
      </c>
      <c r="HN10" s="57" t="s">
        <v>1952</v>
      </c>
      <c r="HO10" s="55" t="s">
        <v>2012</v>
      </c>
      <c r="HP10" s="57" t="s">
        <v>1952</v>
      </c>
      <c r="HQ10" s="57" t="s">
        <v>1952</v>
      </c>
      <c r="HR10" s="57" t="s">
        <v>1952</v>
      </c>
      <c r="HS10" s="57" t="s">
        <v>1952</v>
      </c>
      <c r="HT10" s="61"/>
      <c r="HU10" s="61"/>
      <c r="HV10" s="61"/>
      <c r="HW10" s="61"/>
      <c r="HX10" s="61"/>
      <c r="HY10" s="64"/>
      <c r="HZ10" s="64"/>
      <c r="IA10" s="64"/>
      <c r="IB10" s="64"/>
      <c r="IC10" s="64"/>
      <c r="ID10" s="64"/>
      <c r="IE10" s="64"/>
      <c r="IF10" s="64"/>
      <c r="IG10" s="64"/>
      <c r="IH10" s="64"/>
      <c r="II10" s="64"/>
      <c r="IJ10" s="64"/>
      <c r="IK10" s="64"/>
      <c r="IL10" s="64"/>
      <c r="IM10" s="64"/>
      <c r="IN10" s="64"/>
      <c r="IO10" s="64"/>
      <c r="IP10" s="64"/>
      <c r="IQ10" s="64"/>
      <c r="IR10" s="64"/>
      <c r="IS10" s="64"/>
      <c r="IT10" s="64"/>
      <c r="IU10" s="64"/>
      <c r="IV10" s="64"/>
      <c r="IW10" s="64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</row>
    <row r="11" spans="1:274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35"/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/>
      <c r="CE11" s="50"/>
      <c r="CF11" s="50"/>
      <c r="CG11" s="50"/>
      <c r="CH11" s="50"/>
      <c r="CI11" s="50"/>
      <c r="CJ11" s="50"/>
      <c r="CK11" s="50"/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  <c r="CV11" s="90" t="s">
        <v>1683</v>
      </c>
      <c r="CW11" s="90" t="s">
        <v>1683</v>
      </c>
      <c r="CX11" s="90" t="s">
        <v>1683</v>
      </c>
      <c r="CY11" s="90" t="s">
        <v>1683</v>
      </c>
      <c r="CZ11" s="90" t="s">
        <v>1683</v>
      </c>
      <c r="DA11" s="93"/>
      <c r="DB11" s="90" t="s">
        <v>1683</v>
      </c>
      <c r="DC11" s="90"/>
      <c r="DD11" s="90"/>
      <c r="DE11" s="90"/>
      <c r="DF11" s="90" t="s">
        <v>1683</v>
      </c>
      <c r="DG11" s="90" t="s">
        <v>1683</v>
      </c>
      <c r="DH11" s="90" t="s">
        <v>1683</v>
      </c>
      <c r="DI11" s="90" t="s">
        <v>1683</v>
      </c>
      <c r="DJ11" s="90" t="s">
        <v>1683</v>
      </c>
      <c r="DK11" s="90" t="s">
        <v>1683</v>
      </c>
      <c r="DL11" s="90" t="s">
        <v>1683</v>
      </c>
      <c r="DM11" s="91"/>
      <c r="DN11" s="91"/>
      <c r="DO11" s="91"/>
      <c r="DP11" s="91"/>
      <c r="DQ11" s="91"/>
      <c r="DR11" s="91"/>
      <c r="DS11" s="91"/>
      <c r="DT11" s="90" t="s">
        <v>1683</v>
      </c>
      <c r="DU11" s="92"/>
      <c r="DV11" s="93"/>
      <c r="DW11" s="93"/>
      <c r="DX11" s="93"/>
      <c r="DY11" s="93"/>
      <c r="DZ11" s="90" t="s">
        <v>1683</v>
      </c>
      <c r="EA11" s="90" t="s">
        <v>1683</v>
      </c>
      <c r="EB11" s="90" t="s">
        <v>1683</v>
      </c>
      <c r="EC11" s="90" t="s">
        <v>1683</v>
      </c>
      <c r="ED11" s="90" t="s">
        <v>1683</v>
      </c>
      <c r="EE11" s="93"/>
      <c r="EF11" s="93"/>
      <c r="EG11" s="93"/>
      <c r="EH11" s="93"/>
      <c r="EI11" s="93"/>
      <c r="EJ11" s="93"/>
      <c r="EK11" s="93"/>
      <c r="EL11" s="93"/>
      <c r="EM11" s="93"/>
      <c r="EN11" s="93"/>
      <c r="EO11" s="93"/>
      <c r="EP11" s="93"/>
      <c r="EQ11" s="93"/>
      <c r="ER11" s="93"/>
      <c r="ES11" s="93"/>
      <c r="ET11" s="93"/>
      <c r="EU11" s="93"/>
      <c r="EV11" s="93"/>
      <c r="EW11" s="93"/>
      <c r="EX11" s="93"/>
      <c r="EY11" s="93"/>
      <c r="EZ11" s="93"/>
      <c r="FA11" s="93"/>
      <c r="FB11" s="93"/>
      <c r="FC11" s="93"/>
      <c r="FD11" s="93"/>
      <c r="FE11" s="93"/>
      <c r="FF11" s="93"/>
      <c r="FG11" s="93"/>
      <c r="FH11" s="93"/>
      <c r="FI11" s="93"/>
      <c r="FJ11" s="93"/>
      <c r="FK11" s="93"/>
      <c r="FL11" s="93"/>
      <c r="FM11" s="93"/>
      <c r="FN11" s="93"/>
      <c r="FO11" s="93"/>
      <c r="FP11" s="93"/>
      <c r="FQ11" s="93"/>
      <c r="FR11" s="93"/>
      <c r="FS11" s="93"/>
      <c r="FT11" s="93"/>
      <c r="FU11" s="93"/>
      <c r="FV11" s="93"/>
      <c r="FW11" s="93"/>
      <c r="FX11" s="93"/>
      <c r="FY11" s="50" t="s">
        <v>1683</v>
      </c>
      <c r="FZ11" s="35"/>
      <c r="GA11" s="50" t="s">
        <v>1683</v>
      </c>
      <c r="GB11" s="34"/>
      <c r="GC11" s="50" t="s">
        <v>1683</v>
      </c>
      <c r="GD11" s="50" t="s">
        <v>1683</v>
      </c>
      <c r="GE11" s="50" t="s">
        <v>1683</v>
      </c>
      <c r="GF11" s="34"/>
      <c r="GG11" s="50" t="s">
        <v>1683</v>
      </c>
      <c r="GH11" s="50" t="s">
        <v>1683</v>
      </c>
      <c r="GI11" s="50" t="s">
        <v>1683</v>
      </c>
      <c r="GJ11" s="50" t="s">
        <v>1683</v>
      </c>
      <c r="GK11" s="50" t="s">
        <v>1683</v>
      </c>
      <c r="GL11" s="50" t="s">
        <v>1683</v>
      </c>
      <c r="GM11" s="50" t="s">
        <v>1683</v>
      </c>
      <c r="GN11" s="50" t="s">
        <v>1683</v>
      </c>
      <c r="GO11" s="50" t="s">
        <v>1683</v>
      </c>
      <c r="GP11" s="50" t="s">
        <v>1683</v>
      </c>
      <c r="GQ11" s="35"/>
      <c r="GR11" s="50" t="s">
        <v>1683</v>
      </c>
      <c r="GS11" s="50" t="s">
        <v>1683</v>
      </c>
      <c r="GT11" s="50" t="s">
        <v>1683</v>
      </c>
      <c r="GU11" s="50" t="s">
        <v>1683</v>
      </c>
      <c r="GV11" s="50" t="s">
        <v>1683</v>
      </c>
      <c r="GW11" s="50" t="s">
        <v>1683</v>
      </c>
      <c r="GX11" s="50" t="s">
        <v>1683</v>
      </c>
      <c r="GY11" s="50" t="s">
        <v>1683</v>
      </c>
      <c r="GZ11" s="50" t="s">
        <v>1683</v>
      </c>
      <c r="HA11" s="50" t="s">
        <v>1683</v>
      </c>
      <c r="HB11" s="50" t="s">
        <v>1683</v>
      </c>
      <c r="HC11" s="50" t="s">
        <v>1683</v>
      </c>
      <c r="HD11" s="50" t="s">
        <v>1683</v>
      </c>
      <c r="HE11" s="50" t="s">
        <v>1683</v>
      </c>
      <c r="HF11" s="50" t="s">
        <v>1683</v>
      </c>
      <c r="HG11" s="50" t="s">
        <v>1683</v>
      </c>
      <c r="HH11" s="50" t="s">
        <v>1683</v>
      </c>
      <c r="HI11" s="50" t="s">
        <v>1683</v>
      </c>
      <c r="HJ11" s="50" t="s">
        <v>1683</v>
      </c>
      <c r="HK11" s="50" t="s">
        <v>1683</v>
      </c>
      <c r="HL11" s="50" t="s">
        <v>1683</v>
      </c>
      <c r="HM11" s="50" t="s">
        <v>1683</v>
      </c>
      <c r="HN11" s="50" t="s">
        <v>1683</v>
      </c>
      <c r="HO11" s="34"/>
      <c r="HP11" s="50" t="s">
        <v>1683</v>
      </c>
      <c r="HQ11" s="50" t="s">
        <v>1683</v>
      </c>
      <c r="HR11" s="50" t="s">
        <v>1683</v>
      </c>
      <c r="HS11" s="50" t="s">
        <v>1683</v>
      </c>
      <c r="HT11" s="38"/>
      <c r="HU11" s="39"/>
      <c r="HV11" s="39"/>
      <c r="HW11" s="40"/>
      <c r="HX11" s="40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73"/>
      <c r="IY11" s="73"/>
      <c r="IZ11" s="73"/>
      <c r="JA11" s="74"/>
      <c r="JB11" s="74"/>
      <c r="JC11" s="70"/>
      <c r="JD11" s="70"/>
      <c r="JE11" s="70"/>
      <c r="JF11" s="70"/>
      <c r="JG11" s="70"/>
      <c r="JH11" s="70"/>
      <c r="JI11" s="69"/>
      <c r="JJ11" s="69"/>
      <c r="JK11" s="70"/>
      <c r="JL11" s="70"/>
      <c r="JM11" s="70"/>
      <c r="JN11" s="70"/>
    </row>
    <row r="12" spans="1:274" s="113" customFormat="1" ht="92.4">
      <c r="A12" s="13" t="s">
        <v>1432</v>
      </c>
      <c r="B12" s="13" t="s">
        <v>2242</v>
      </c>
      <c r="C12" s="13" t="s">
        <v>2785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2786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3388</v>
      </c>
      <c r="CD12" s="27" t="s">
        <v>3388</v>
      </c>
      <c r="CE12" s="13" t="s">
        <v>3389</v>
      </c>
      <c r="CF12" s="27" t="s">
        <v>3389</v>
      </c>
      <c r="CG12" s="12" t="s">
        <v>2673</v>
      </c>
      <c r="CH12" s="119" t="s">
        <v>2673</v>
      </c>
      <c r="CI12" s="12" t="s">
        <v>2812</v>
      </c>
      <c r="CJ12" s="119" t="s">
        <v>2812</v>
      </c>
      <c r="CK12" s="13" t="s">
        <v>3392</v>
      </c>
      <c r="CL12" s="13" t="s">
        <v>564</v>
      </c>
      <c r="CM12" s="13" t="s">
        <v>2821</v>
      </c>
      <c r="CN12" s="13" t="s">
        <v>568</v>
      </c>
      <c r="CO12" s="13" t="s">
        <v>2209</v>
      </c>
      <c r="CP12" s="13" t="s">
        <v>569</v>
      </c>
      <c r="CQ12" s="13" t="s">
        <v>2822</v>
      </c>
      <c r="CR12" s="13" t="s">
        <v>574</v>
      </c>
      <c r="CS12" s="13" t="s">
        <v>2782</v>
      </c>
      <c r="CT12" s="13" t="s">
        <v>2783</v>
      </c>
      <c r="CU12" s="13" t="s">
        <v>585</v>
      </c>
      <c r="CV12" s="94" t="s">
        <v>2014</v>
      </c>
      <c r="CW12" s="94" t="s">
        <v>2015</v>
      </c>
      <c r="CX12" s="94" t="s">
        <v>1954</v>
      </c>
      <c r="CY12" s="95" t="s">
        <v>586</v>
      </c>
      <c r="CZ12" s="95" t="s">
        <v>587</v>
      </c>
      <c r="DA12" s="94" t="s">
        <v>479</v>
      </c>
      <c r="DB12" s="95" t="s">
        <v>2034</v>
      </c>
      <c r="DC12" s="94" t="s">
        <v>485</v>
      </c>
      <c r="DD12" s="94" t="s">
        <v>4</v>
      </c>
      <c r="DE12" s="94" t="s">
        <v>486</v>
      </c>
      <c r="DF12" s="95" t="s">
        <v>2018</v>
      </c>
      <c r="DG12" s="95" t="s">
        <v>2019</v>
      </c>
      <c r="DH12" s="95" t="s">
        <v>2020</v>
      </c>
      <c r="DI12" s="95" t="s">
        <v>588</v>
      </c>
      <c r="DJ12" s="95" t="s">
        <v>2016</v>
      </c>
      <c r="DK12" s="95" t="s">
        <v>589</v>
      </c>
      <c r="DL12" s="95" t="s">
        <v>2017</v>
      </c>
      <c r="DM12" s="94" t="s">
        <v>1956</v>
      </c>
      <c r="DN12" s="94" t="s">
        <v>1957</v>
      </c>
      <c r="DO12" s="94" t="s">
        <v>1958</v>
      </c>
      <c r="DP12" s="94" t="s">
        <v>1959</v>
      </c>
      <c r="DQ12" s="94" t="s">
        <v>1960</v>
      </c>
      <c r="DR12" s="94" t="s">
        <v>1961</v>
      </c>
      <c r="DS12" s="94" t="s">
        <v>1962</v>
      </c>
      <c r="DT12" s="96" t="s">
        <v>590</v>
      </c>
      <c r="DU12" s="95" t="s">
        <v>591</v>
      </c>
      <c r="DV12" s="94" t="s">
        <v>592</v>
      </c>
      <c r="DW12" s="94" t="s">
        <v>593</v>
      </c>
      <c r="DX12" s="94" t="s">
        <v>1965</v>
      </c>
      <c r="DY12" s="94" t="s">
        <v>1966</v>
      </c>
      <c r="DZ12" s="94" t="s">
        <v>1967</v>
      </c>
      <c r="EA12" s="94" t="s">
        <v>594</v>
      </c>
      <c r="EB12" s="94" t="s">
        <v>595</v>
      </c>
      <c r="EC12" s="94" t="s">
        <v>596</v>
      </c>
      <c r="ED12" s="94" t="s">
        <v>597</v>
      </c>
      <c r="EE12" s="94" t="s">
        <v>598</v>
      </c>
      <c r="EF12" s="94" t="s">
        <v>1968</v>
      </c>
      <c r="EG12" s="94" t="s">
        <v>1969</v>
      </c>
      <c r="EH12" s="94" t="s">
        <v>1970</v>
      </c>
      <c r="EI12" s="94" t="s">
        <v>1971</v>
      </c>
      <c r="EJ12" s="94" t="s">
        <v>1972</v>
      </c>
      <c r="EK12" s="94" t="s">
        <v>1973</v>
      </c>
      <c r="EL12" s="94" t="s">
        <v>1974</v>
      </c>
      <c r="EM12" s="94" t="s">
        <v>1975</v>
      </c>
      <c r="EN12" s="94" t="s">
        <v>1976</v>
      </c>
      <c r="EO12" s="94" t="s">
        <v>1977</v>
      </c>
      <c r="EP12" s="94" t="s">
        <v>1978</v>
      </c>
      <c r="EQ12" s="94" t="s">
        <v>599</v>
      </c>
      <c r="ER12" s="94" t="s">
        <v>1979</v>
      </c>
      <c r="ES12" s="94" t="s">
        <v>1980</v>
      </c>
      <c r="ET12" s="94" t="s">
        <v>1981</v>
      </c>
      <c r="EU12" s="94" t="s">
        <v>1980</v>
      </c>
      <c r="EV12" s="94" t="s">
        <v>600</v>
      </c>
      <c r="EW12" s="94" t="s">
        <v>601</v>
      </c>
      <c r="EX12" s="94" t="s">
        <v>602</v>
      </c>
      <c r="EY12" s="94" t="s">
        <v>603</v>
      </c>
      <c r="EZ12" s="94" t="s">
        <v>604</v>
      </c>
      <c r="FA12" s="94" t="s">
        <v>605</v>
      </c>
      <c r="FB12" s="94" t="s">
        <v>1982</v>
      </c>
      <c r="FC12" s="94" t="s">
        <v>1983</v>
      </c>
      <c r="FD12" s="94" t="s">
        <v>1984</v>
      </c>
      <c r="FE12" s="94" t="s">
        <v>1985</v>
      </c>
      <c r="FF12" s="94" t="s">
        <v>1986</v>
      </c>
      <c r="FG12" s="94" t="s">
        <v>1987</v>
      </c>
      <c r="FH12" s="94" t="s">
        <v>1988</v>
      </c>
      <c r="FI12" s="94" t="s">
        <v>1992</v>
      </c>
      <c r="FJ12" s="94" t="s">
        <v>1993</v>
      </c>
      <c r="FK12" s="94" t="s">
        <v>1994</v>
      </c>
      <c r="FL12" s="94" t="s">
        <v>1995</v>
      </c>
      <c r="FM12" s="94" t="s">
        <v>1996</v>
      </c>
      <c r="FN12" s="94" t="s">
        <v>1997</v>
      </c>
      <c r="FO12" s="94" t="s">
        <v>2021</v>
      </c>
      <c r="FP12" s="94" t="s">
        <v>2022</v>
      </c>
      <c r="FQ12" s="94" t="s">
        <v>2025</v>
      </c>
      <c r="FR12" s="94" t="s">
        <v>2026</v>
      </c>
      <c r="FS12" s="94" t="s">
        <v>2027</v>
      </c>
      <c r="FT12" s="94" t="s">
        <v>2028</v>
      </c>
      <c r="FU12" s="94" t="s">
        <v>2029</v>
      </c>
      <c r="FV12" s="94" t="s">
        <v>2030</v>
      </c>
      <c r="FW12" s="94" t="s">
        <v>2031</v>
      </c>
      <c r="FX12" s="94" t="s">
        <v>2032</v>
      </c>
      <c r="FY12" s="77" t="s">
        <v>2005</v>
      </c>
      <c r="FZ12" s="77" t="s">
        <v>2220</v>
      </c>
      <c r="GA12" s="48" t="s">
        <v>2210</v>
      </c>
      <c r="GB12" s="48" t="s">
        <v>2221</v>
      </c>
      <c r="GC12" s="48" t="s">
        <v>1924</v>
      </c>
      <c r="GD12" s="48" t="s">
        <v>1925</v>
      </c>
      <c r="GE12" s="79" t="s">
        <v>2005</v>
      </c>
      <c r="GF12" s="79" t="s">
        <v>2220</v>
      </c>
      <c r="GG12" s="14" t="s">
        <v>608</v>
      </c>
      <c r="GH12" s="13" t="s">
        <v>609</v>
      </c>
      <c r="GI12" s="14" t="s">
        <v>606</v>
      </c>
      <c r="GJ12" s="13" t="s">
        <v>607</v>
      </c>
      <c r="GK12" s="13" t="s">
        <v>1440</v>
      </c>
      <c r="GL12" s="12" t="s">
        <v>2006</v>
      </c>
      <c r="GM12" s="12" t="s">
        <v>2007</v>
      </c>
      <c r="GN12" s="14" t="s">
        <v>1412</v>
      </c>
      <c r="GO12" s="14" t="s">
        <v>1941</v>
      </c>
      <c r="GP12" s="14" t="s">
        <v>1942</v>
      </c>
      <c r="GQ12" s="13" t="s">
        <v>1915</v>
      </c>
      <c r="GR12" s="13" t="s">
        <v>1914</v>
      </c>
      <c r="GS12" s="13" t="s">
        <v>1916</v>
      </c>
      <c r="GT12" s="47" t="s">
        <v>1919</v>
      </c>
      <c r="GU12" s="47" t="s">
        <v>1918</v>
      </c>
      <c r="GV12" s="47" t="s">
        <v>1917</v>
      </c>
      <c r="GW12" s="48" t="s">
        <v>1920</v>
      </c>
      <c r="GX12" s="48" t="s">
        <v>2211</v>
      </c>
      <c r="GY12" s="48" t="s">
        <v>1921</v>
      </c>
      <c r="GZ12" s="48" t="s">
        <v>2212</v>
      </c>
      <c r="HA12" s="48" t="s">
        <v>1922</v>
      </c>
      <c r="HB12" s="48" t="s">
        <v>2213</v>
      </c>
      <c r="HC12" s="48" t="s">
        <v>2214</v>
      </c>
      <c r="HD12" s="48" t="s">
        <v>2003</v>
      </c>
      <c r="HE12" s="14" t="s">
        <v>1930</v>
      </c>
      <c r="HF12" s="14" t="s">
        <v>1931</v>
      </c>
      <c r="HG12" s="14" t="s">
        <v>2215</v>
      </c>
      <c r="HH12" s="14" t="s">
        <v>2216</v>
      </c>
      <c r="HI12" s="14" t="s">
        <v>1932</v>
      </c>
      <c r="HJ12" s="14" t="s">
        <v>1935</v>
      </c>
      <c r="HK12" s="14" t="s">
        <v>1936</v>
      </c>
      <c r="HL12" s="14" t="s">
        <v>1937</v>
      </c>
      <c r="HM12" s="14" t="s">
        <v>1938</v>
      </c>
      <c r="HN12" s="14" t="s">
        <v>1926</v>
      </c>
      <c r="HO12" s="14" t="s">
        <v>1927</v>
      </c>
      <c r="HP12" s="14" t="s">
        <v>2217</v>
      </c>
      <c r="HQ12" s="14" t="s">
        <v>2009</v>
      </c>
      <c r="HR12" s="14" t="s">
        <v>2010</v>
      </c>
      <c r="HS12" s="14" t="s">
        <v>1928</v>
      </c>
      <c r="HT12" s="25" t="s">
        <v>1409</v>
      </c>
      <c r="HU12" s="21" t="s">
        <v>1406</v>
      </c>
      <c r="HV12" s="21" t="s">
        <v>1404</v>
      </c>
      <c r="HW12" s="22" t="s">
        <v>1407</v>
      </c>
      <c r="HX12" s="22" t="s">
        <v>1405</v>
      </c>
      <c r="HY12" s="52" t="s">
        <v>1434</v>
      </c>
      <c r="HZ12" s="52" t="s">
        <v>1435</v>
      </c>
      <c r="IA12" s="52" t="s">
        <v>1436</v>
      </c>
      <c r="IB12" s="52" t="s">
        <v>1437</v>
      </c>
      <c r="IC12" s="52" t="s">
        <v>1438</v>
      </c>
      <c r="ID12" s="52" t="s">
        <v>1439</v>
      </c>
      <c r="IE12" s="52" t="s">
        <v>1443</v>
      </c>
      <c r="IF12" s="52" t="s">
        <v>1444</v>
      </c>
      <c r="IG12" s="52" t="s">
        <v>1445</v>
      </c>
      <c r="IH12" s="52" t="s">
        <v>1446</v>
      </c>
      <c r="II12" s="52" t="s">
        <v>1447</v>
      </c>
      <c r="IJ12" s="52" t="s">
        <v>1448</v>
      </c>
      <c r="IK12" s="52" t="s">
        <v>1449</v>
      </c>
      <c r="IL12" s="52" t="s">
        <v>1450</v>
      </c>
      <c r="IM12" s="52" t="s">
        <v>1451</v>
      </c>
      <c r="IN12" s="52" t="s">
        <v>1452</v>
      </c>
      <c r="IO12" s="52" t="s">
        <v>1453</v>
      </c>
      <c r="IP12" s="52" t="s">
        <v>1454</v>
      </c>
      <c r="IQ12" s="52" t="s">
        <v>1455</v>
      </c>
      <c r="IR12" s="52" t="s">
        <v>1456</v>
      </c>
      <c r="IS12" s="52" t="s">
        <v>1457</v>
      </c>
      <c r="IT12" s="52" t="s">
        <v>1458</v>
      </c>
      <c r="IU12" s="52" t="s">
        <v>1459</v>
      </c>
      <c r="IV12" s="52" t="s">
        <v>1460</v>
      </c>
      <c r="IW12" s="52" t="s">
        <v>1461</v>
      </c>
      <c r="IX12" s="75" t="s">
        <v>1947</v>
      </c>
      <c r="IY12" s="75" t="s">
        <v>1949</v>
      </c>
      <c r="IZ12" s="75" t="s">
        <v>1950</v>
      </c>
      <c r="JA12" s="114" t="s">
        <v>1945</v>
      </c>
      <c r="JB12" s="114" t="s">
        <v>1946</v>
      </c>
      <c r="JC12" s="115" t="s">
        <v>1418</v>
      </c>
      <c r="JD12" s="115" t="s">
        <v>1419</v>
      </c>
      <c r="JE12" s="115" t="s">
        <v>1420</v>
      </c>
      <c r="JF12" s="115" t="s">
        <v>1421</v>
      </c>
      <c r="JG12" s="115" t="s">
        <v>1422</v>
      </c>
      <c r="JH12" s="115" t="s">
        <v>1423</v>
      </c>
      <c r="JI12" s="114" t="s">
        <v>1416</v>
      </c>
      <c r="JJ12" s="114" t="s">
        <v>1417</v>
      </c>
      <c r="JK12" s="116" t="s">
        <v>1424</v>
      </c>
      <c r="JL12" s="116" t="s">
        <v>1425</v>
      </c>
      <c r="JM12" s="116" t="s">
        <v>1951</v>
      </c>
      <c r="JN12" s="116" t="s">
        <v>1426</v>
      </c>
    </row>
    <row r="13" spans="1:274" ht="13.5" customHeight="1">
      <c r="A13" s="7">
        <v>1</v>
      </c>
      <c r="B13" s="7"/>
      <c r="C13" s="7">
        <f>ABS(LEFT(D13,1))</f>
        <v>0</v>
      </c>
      <c r="D13" s="28" t="s">
        <v>2255</v>
      </c>
      <c r="E13" s="7">
        <f t="shared" ref="E13:E76" si="0">LENB(F13)</f>
        <v>33</v>
      </c>
      <c r="F13" s="7" t="s">
        <v>2657</v>
      </c>
      <c r="G13" s="7">
        <f t="shared" ref="G13:G76" si="1">LENB(H13)</f>
        <v>35</v>
      </c>
      <c r="H13" s="7" t="s">
        <v>2658</v>
      </c>
      <c r="I13" s="7">
        <f t="shared" ref="I13:I76" si="2">LENB(J13)</f>
        <v>35</v>
      </c>
      <c r="J13" s="7" t="s">
        <v>2659</v>
      </c>
      <c r="K13" s="7">
        <f>LENB(L13)</f>
        <v>18</v>
      </c>
      <c r="L13" s="7" t="s">
        <v>2660</v>
      </c>
      <c r="M13" s="7">
        <f>LENB(N13)</f>
        <v>18</v>
      </c>
      <c r="N13" s="7" t="s">
        <v>2660</v>
      </c>
      <c r="O13" s="7">
        <v>750</v>
      </c>
      <c r="P13" s="7" t="s">
        <v>2661</v>
      </c>
      <c r="Q13" s="53"/>
      <c r="R13" s="7">
        <v>12</v>
      </c>
      <c r="S13" s="7">
        <v>15.9</v>
      </c>
      <c r="T13" s="53"/>
      <c r="U13" s="7">
        <v>1325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/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4617</v>
      </c>
      <c r="AW13" s="28" t="s">
        <v>2302</v>
      </c>
      <c r="AX13" s="7">
        <v>0</v>
      </c>
      <c r="AY13" s="7">
        <f>ABS(LEFT(AZ13,4))</f>
        <v>601</v>
      </c>
      <c r="AZ13" s="28" t="s">
        <v>2369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11</v>
      </c>
      <c r="BG13" s="28" t="s">
        <v>2663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11</v>
      </c>
      <c r="BM13" s="7">
        <v>11</v>
      </c>
      <c r="BN13" s="7">
        <f>ABS(LEFT(BO13,5))</f>
        <v>10201</v>
      </c>
      <c r="BO13" s="28" t="s">
        <v>2511</v>
      </c>
      <c r="BP13" s="7">
        <f>ABS(LEFT(BQ13,5))</f>
        <v>20304</v>
      </c>
      <c r="BQ13" s="28" t="s">
        <v>3384</v>
      </c>
      <c r="BR13" s="7"/>
      <c r="BS13" s="7">
        <f>ABS(LEFT(BT13,2))</f>
        <v>6</v>
      </c>
      <c r="BT13" s="28" t="s">
        <v>2665</v>
      </c>
      <c r="BU13" s="7">
        <v>225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2666</v>
      </c>
      <c r="CB13" s="54" t="s">
        <v>2667</v>
      </c>
      <c r="CC13" s="7" t="e">
        <f>ABS(LEFT(CD13,1))</f>
        <v>#VALUE!</v>
      </c>
      <c r="CD13" s="28"/>
      <c r="CE13" s="7" t="e">
        <f>ABS(LEFT(CF13,1))</f>
        <v>#VALUE!</v>
      </c>
      <c r="CF13" s="28"/>
      <c r="CG13" s="7" t="e">
        <f>ABS(LEFT(CH13,1))</f>
        <v>#VALUE!</v>
      </c>
      <c r="CH13" s="28"/>
      <c r="CI13" s="7" t="e">
        <f>ABS(LEFT(CJ13,1))</f>
        <v>#VALUE!</v>
      </c>
      <c r="CJ13" s="28"/>
      <c r="CK13" s="7"/>
      <c r="CL13" s="7"/>
      <c r="CM13" s="7"/>
      <c r="CN13" s="7"/>
      <c r="CO13" s="7"/>
      <c r="CP13" s="7"/>
      <c r="CQ13" s="7"/>
      <c r="CR13" s="7"/>
      <c r="CS13" s="126">
        <f t="shared" ref="CS13:CS44" si="3">O13*(BM13/100)*0.8</f>
        <v>66</v>
      </c>
      <c r="CT13" s="7"/>
      <c r="CU13" s="7" t="e">
        <f ca="1">[1]!sITFコード(B13)</f>
        <v>#NAME?</v>
      </c>
      <c r="CV13" s="97"/>
      <c r="CW13" s="97"/>
      <c r="CX13" s="97"/>
      <c r="CY13" s="98">
        <v>44502</v>
      </c>
      <c r="CZ13" s="98">
        <v>44502</v>
      </c>
      <c r="DA13" s="97">
        <f>LENB(DB13)</f>
        <v>0</v>
      </c>
      <c r="DB13" s="98"/>
      <c r="DC13" s="97" t="e">
        <f ca="1">[1]!s容量(CT13)</f>
        <v>#NAME?</v>
      </c>
      <c r="DD13" s="97" t="s">
        <v>1684</v>
      </c>
      <c r="DE13" s="97" t="s">
        <v>1682</v>
      </c>
      <c r="DF13" s="98"/>
      <c r="DG13" s="98"/>
      <c r="DH13" s="98"/>
      <c r="DI13" s="98">
        <v>44500</v>
      </c>
      <c r="DJ13" s="98"/>
      <c r="DK13" s="98">
        <v>44500</v>
      </c>
      <c r="DL13" s="98"/>
      <c r="DM13" s="97"/>
      <c r="DN13" s="97"/>
      <c r="DO13" s="97"/>
      <c r="DP13" s="97"/>
      <c r="DQ13" s="97"/>
      <c r="DR13" s="97"/>
      <c r="DS13" s="97"/>
      <c r="DT13" s="99">
        <v>8002001</v>
      </c>
      <c r="DU13" s="98" t="s">
        <v>1427</v>
      </c>
      <c r="DV13" s="97"/>
      <c r="DW13" s="97"/>
      <c r="DX13" s="97"/>
      <c r="DY13" s="97"/>
      <c r="DZ13" s="97"/>
      <c r="EA13" s="97">
        <v>3</v>
      </c>
      <c r="EB13" s="97">
        <v>3</v>
      </c>
      <c r="EC13" s="97">
        <v>0</v>
      </c>
      <c r="ED13" s="97" t="s">
        <v>1428</v>
      </c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97"/>
      <c r="EP13" s="97"/>
      <c r="EQ13" s="97" t="e">
        <f ca="1">[1]!sBtoCキャッチコピー(B13)</f>
        <v>#NAME?</v>
      </c>
      <c r="ER13" s="97"/>
      <c r="ES13" s="97"/>
      <c r="ET13" s="97"/>
      <c r="EU13" s="97"/>
      <c r="EV13" s="97" t="e">
        <f ca="1">[1]!sBtoC商品説明(B13)</f>
        <v>#NAME?</v>
      </c>
      <c r="EW13" s="97" t="e">
        <f ca="1">[1]!sBtoCひとこと(B13)</f>
        <v>#NAME?</v>
      </c>
      <c r="EX13" s="97"/>
      <c r="EY13" s="97"/>
      <c r="EZ13" s="97"/>
      <c r="FA13" s="97"/>
      <c r="FB13" s="97"/>
      <c r="FC13" s="97"/>
      <c r="FD13" s="97"/>
      <c r="FE13" s="97"/>
      <c r="FF13" s="97"/>
      <c r="FG13" s="97"/>
      <c r="FH13" s="97"/>
      <c r="FI13" s="97"/>
      <c r="FJ13" s="97"/>
      <c r="FK13" s="97"/>
      <c r="FL13" s="97"/>
      <c r="FM13" s="97"/>
      <c r="FN13" s="97"/>
      <c r="FO13" s="103"/>
      <c r="FP13" s="97"/>
      <c r="FQ13" s="103"/>
      <c r="FR13" s="97"/>
      <c r="FS13" s="97"/>
      <c r="FT13" s="97"/>
      <c r="FU13" s="97"/>
      <c r="FV13" s="97"/>
      <c r="FW13" s="97"/>
      <c r="FX13" s="97"/>
      <c r="FY13" s="6">
        <v>0</v>
      </c>
      <c r="FZ13" s="7" t="str">
        <f>IF(FY13="","",VLOOKUP(FY13,MT商品ﾏｽﾀ参照シート!AM:AN,2,0))</f>
        <v>共通部署</v>
      </c>
      <c r="GA13" s="8"/>
      <c r="GB13" s="7"/>
      <c r="GC13" s="8"/>
      <c r="GD13" s="8"/>
      <c r="GE13" s="58">
        <v>0</v>
      </c>
      <c r="GF13" s="7" t="str">
        <f>IF(GE13="","",VLOOKUP(GE13,MT商品ﾏｽﾀ参照シート!AO:AP,2,0))</f>
        <v>使用不可</v>
      </c>
      <c r="GG13" s="7">
        <v>400123</v>
      </c>
      <c r="GH13" s="7" t="e">
        <f ca="1">[1]!t仕入先名(GG13)</f>
        <v>#NAME?</v>
      </c>
      <c r="GI13" s="7" t="s">
        <v>612</v>
      </c>
      <c r="GJ13" s="7" t="e">
        <f ca="1">[1]!t発注先名(GI13)</f>
        <v>#NAME?</v>
      </c>
      <c r="GK13" s="49"/>
      <c r="GL13" s="29">
        <v>44497</v>
      </c>
      <c r="GM13" s="29">
        <v>73415</v>
      </c>
      <c r="GN13" s="7"/>
      <c r="GO13" s="7"/>
      <c r="GP13" s="7"/>
      <c r="GQ13" s="7"/>
      <c r="GR13" s="7">
        <v>3128</v>
      </c>
      <c r="GS13" s="7">
        <v>3680</v>
      </c>
      <c r="GT13" s="7">
        <v>3680</v>
      </c>
      <c r="GU13" s="7">
        <v>3680</v>
      </c>
      <c r="GV13" s="7">
        <v>3680</v>
      </c>
      <c r="GW13" s="7">
        <v>870</v>
      </c>
      <c r="GX13" s="8"/>
      <c r="GY13" s="8"/>
      <c r="GZ13" s="8"/>
      <c r="HA13" s="8"/>
      <c r="HB13" s="8"/>
      <c r="HC13" s="8"/>
      <c r="HD13" s="8"/>
      <c r="HE13" s="58"/>
      <c r="HF13" s="58"/>
      <c r="HG13" s="7" t="e">
        <f ca="1">[1]!POS_BT(B13)</f>
        <v>#NAME?</v>
      </c>
      <c r="HH13" s="7" t="e">
        <f ca="1">[1]!POS_BT(D13)</f>
        <v>#NAME?</v>
      </c>
      <c r="HI13" s="7"/>
      <c r="HJ13" s="7"/>
      <c r="HK13" s="7"/>
      <c r="HL13" s="7"/>
      <c r="HM13" s="7"/>
      <c r="HN13" s="7"/>
      <c r="HO13" s="7"/>
      <c r="HP13" s="7"/>
      <c r="HQ13" s="82"/>
      <c r="HR13" s="82"/>
      <c r="HS13" s="82"/>
      <c r="HT13" s="26"/>
      <c r="HU13" s="23"/>
      <c r="HV13" s="23"/>
      <c r="HW13" s="24"/>
      <c r="HX13" s="24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76" t="s">
        <v>1948</v>
      </c>
      <c r="IY13" s="76"/>
      <c r="IZ13" s="76"/>
      <c r="JA13" s="74">
        <v>44497</v>
      </c>
      <c r="JB13" s="74">
        <v>73415</v>
      </c>
      <c r="JC13" s="72">
        <v>1</v>
      </c>
      <c r="JD13" s="72">
        <v>1</v>
      </c>
      <c r="JE13" s="72">
        <v>1</v>
      </c>
      <c r="JF13" s="72">
        <v>1</v>
      </c>
      <c r="JG13" s="72">
        <v>1</v>
      </c>
      <c r="JH13" s="72">
        <v>0</v>
      </c>
      <c r="JI13" s="71"/>
      <c r="JJ13" s="71"/>
      <c r="JK13" s="72">
        <v>2</v>
      </c>
      <c r="JL13" s="72">
        <v>0</v>
      </c>
      <c r="JM13" s="72">
        <v>0</v>
      </c>
      <c r="JN13" s="72">
        <v>0</v>
      </c>
    </row>
    <row r="14" spans="1:274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 t="e">
        <f t="shared" ca="1" si="1"/>
        <v>#NAME?</v>
      </c>
      <c r="H14" s="7" t="e">
        <f ca="1">[1]!s商品名(B14)</f>
        <v>#NAME?</v>
      </c>
      <c r="I14" s="7">
        <f t="shared" si="2"/>
        <v>0</v>
      </c>
      <c r="J14" s="7"/>
      <c r="K14" s="7"/>
      <c r="L14" s="7"/>
      <c r="M14" s="7"/>
      <c r="N14" s="7"/>
      <c r="O14" s="7"/>
      <c r="P14" s="7"/>
      <c r="Q14" s="53"/>
      <c r="R14" s="7"/>
      <c r="S14" s="7"/>
      <c r="T14" s="53"/>
      <c r="U14" s="7"/>
      <c r="V14" s="7" t="e">
        <f t="shared" ref="V14:X77" si="4">ABS(LEFT(W14,2))</f>
        <v>#VALUE!</v>
      </c>
      <c r="W14" s="28"/>
      <c r="X14" s="7" t="e">
        <f t="shared" si="4"/>
        <v>#VALUE!</v>
      </c>
      <c r="Y14" s="28"/>
      <c r="Z14" s="7" t="e">
        <f t="shared" ref="Z14:Z77" si="5">ABS(LEFT(AA14,1))</f>
        <v>#VALUE!</v>
      </c>
      <c r="AA14" s="28"/>
      <c r="AB14" s="7"/>
      <c r="AC14" s="7"/>
      <c r="AD14" s="7"/>
      <c r="AE14" s="7"/>
      <c r="AF14" s="7"/>
      <c r="AG14" s="7" t="e">
        <f t="shared" ref="AG14:AG77" si="6">ABS(LEFT(AH14,1))</f>
        <v>#VALUE!</v>
      </c>
      <c r="AH14" s="28"/>
      <c r="AI14" s="7"/>
      <c r="AJ14" s="7" t="e">
        <f t="shared" ref="AJ14:AJ77" si="7">ABS(LEFT(AK14,2))</f>
        <v>#VALUE!</v>
      </c>
      <c r="AK14" s="28"/>
      <c r="AL14" s="7" t="e">
        <f t="shared" ref="AL14:AL77" si="8">ABS(LEFT(AM14,1))</f>
        <v>#VALUE!</v>
      </c>
      <c r="AM14" s="28"/>
      <c r="AN14" s="7" t="e">
        <f t="shared" ref="AN14:AN77" si="9">ABS(LEFT(AO14,1))</f>
        <v>#VALUE!</v>
      </c>
      <c r="AO14" s="28"/>
      <c r="AP14" s="7" t="e">
        <f t="shared" ref="AP14:AP77" si="10">ABS(LEFT(AQ14,1))</f>
        <v>#VALUE!</v>
      </c>
      <c r="AQ14" s="28"/>
      <c r="AR14" s="7"/>
      <c r="AS14" s="7"/>
      <c r="AT14" s="7"/>
      <c r="AU14" s="7"/>
      <c r="AV14" s="7" t="e">
        <f t="shared" ref="AV14:AV77" si="11">ABS(LEFT(AW14,10))</f>
        <v>#VALUE!</v>
      </c>
      <c r="AW14" s="28"/>
      <c r="AX14" s="7">
        <v>0</v>
      </c>
      <c r="AY14" s="7" t="e">
        <f t="shared" ref="AY14:AY77" si="12">ABS(LEFT(AZ14,4))</f>
        <v>#VALUE!</v>
      </c>
      <c r="AZ14" s="28"/>
      <c r="BA14" s="7">
        <v>0</v>
      </c>
      <c r="BB14" s="7">
        <v>10</v>
      </c>
      <c r="BC14" s="7">
        <v>0</v>
      </c>
      <c r="BD14" s="7">
        <v>10</v>
      </c>
      <c r="BE14" s="7"/>
      <c r="BF14" s="7" t="e">
        <f t="shared" ref="BF14:BF77" si="13">ABS(LEFT(BG14,3))</f>
        <v>#VALUE!</v>
      </c>
      <c r="BG14" s="28"/>
      <c r="BH14" s="7" t="e">
        <f t="shared" ref="BH14:BH77" si="14">ABS(LEFT(BI14,4))</f>
        <v>#VALUE!</v>
      </c>
      <c r="BI14" s="28"/>
      <c r="BJ14" s="7" t="e">
        <f t="shared" ref="BJ14:BJ77" si="15">ABS(LEFT(BK14,1))</f>
        <v>#VALUE!</v>
      </c>
      <c r="BK14" s="28"/>
      <c r="BL14" s="7"/>
      <c r="BM14" s="7"/>
      <c r="BN14" s="7" t="e">
        <f t="shared" ref="BN14:BN77" si="16">ABS(LEFT(BO14,5))</f>
        <v>#VALUE!</v>
      </c>
      <c r="BO14" s="28"/>
      <c r="BP14" s="7">
        <f t="shared" ref="BP14:BP77" si="17">ABS(LEFT(BQ14,5))</f>
        <v>20301</v>
      </c>
      <c r="BQ14" s="28" t="s">
        <v>3381</v>
      </c>
      <c r="BR14" s="7"/>
      <c r="BS14" s="7">
        <f t="shared" ref="BS14:BS77" si="18">ABS(LEFT(BT14,2))</f>
        <v>3</v>
      </c>
      <c r="BT14" s="28" t="s">
        <v>2628</v>
      </c>
      <c r="BU14" s="7">
        <v>14</v>
      </c>
      <c r="BV14" s="7" t="e">
        <f ca="1">[1]!tメーカー名(BU14)</f>
        <v>#NAME?</v>
      </c>
      <c r="BW14" s="7">
        <f t="shared" ref="BW14:BW77" si="19">ABS(LEFT(BX14,1))</f>
        <v>0</v>
      </c>
      <c r="BX14" s="28" t="s">
        <v>2641</v>
      </c>
      <c r="BY14" s="7" t="e">
        <f t="shared" ref="BY14:BY77" si="20">ABS(LEFT(BZ14,1))</f>
        <v>#VALUE!</v>
      </c>
      <c r="BZ14" s="28"/>
      <c r="CA14" s="54" t="s">
        <v>2666</v>
      </c>
      <c r="CB14" s="54" t="s">
        <v>2670</v>
      </c>
      <c r="CC14" s="7" t="e">
        <f t="shared" ref="CC14:CC77" si="21">ABS(LEFT(CD14,1))</f>
        <v>#VALUE!</v>
      </c>
      <c r="CD14" s="28"/>
      <c r="CE14" s="7" t="e">
        <f t="shared" ref="CE14:CE77" si="22">ABS(LEFT(CF14,1))</f>
        <v>#VALUE!</v>
      </c>
      <c r="CF14" s="28"/>
      <c r="CG14" s="7" t="e">
        <f t="shared" ref="CG14:CG77" si="23">ABS(LEFT(CH14,1))</f>
        <v>#VALUE!</v>
      </c>
      <c r="CH14" s="28"/>
      <c r="CI14" s="7" t="e">
        <f t="shared" ref="CI14:CI77" si="24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6">
        <f t="shared" si="3"/>
        <v>0</v>
      </c>
      <c r="CT14" s="7"/>
      <c r="CU14" s="7"/>
      <c r="CV14" s="97"/>
      <c r="CW14" s="97"/>
      <c r="CX14" s="97"/>
      <c r="CY14" s="98"/>
      <c r="CZ14" s="98"/>
      <c r="DA14" s="97"/>
      <c r="DB14" s="98"/>
      <c r="DC14" s="97"/>
      <c r="DD14" s="97" t="s">
        <v>1685</v>
      </c>
      <c r="DE14" s="97" t="s">
        <v>1682</v>
      </c>
      <c r="DF14" s="98"/>
      <c r="DG14" s="98"/>
      <c r="DH14" s="98"/>
      <c r="DI14" s="98"/>
      <c r="DJ14" s="98"/>
      <c r="DK14" s="98"/>
      <c r="DL14" s="98"/>
      <c r="DM14" s="97"/>
      <c r="DN14" s="97"/>
      <c r="DO14" s="97"/>
      <c r="DP14" s="97"/>
      <c r="DQ14" s="97"/>
      <c r="DR14" s="97"/>
      <c r="DS14" s="97"/>
      <c r="DT14" s="99"/>
      <c r="DU14" s="98"/>
      <c r="DV14" s="97"/>
      <c r="DW14" s="97"/>
      <c r="DX14" s="97"/>
      <c r="DY14" s="97"/>
      <c r="DZ14" s="97"/>
      <c r="EA14" s="97"/>
      <c r="EB14" s="97"/>
      <c r="EC14" s="97"/>
      <c r="ED14" s="97"/>
      <c r="EE14" s="97"/>
      <c r="EF14" s="97"/>
      <c r="EG14" s="97"/>
      <c r="EH14" s="97"/>
      <c r="EI14" s="97"/>
      <c r="EJ14" s="97"/>
      <c r="EK14" s="97"/>
      <c r="EL14" s="97"/>
      <c r="EM14" s="97"/>
      <c r="EN14" s="97"/>
      <c r="EO14" s="97"/>
      <c r="EP14" s="97"/>
      <c r="EQ14" s="97"/>
      <c r="ER14" s="97"/>
      <c r="ES14" s="97"/>
      <c r="ET14" s="97"/>
      <c r="EU14" s="97"/>
      <c r="EV14" s="97"/>
      <c r="EW14" s="97"/>
      <c r="EX14" s="97"/>
      <c r="EY14" s="97"/>
      <c r="EZ14" s="97"/>
      <c r="FA14" s="97"/>
      <c r="FB14" s="97"/>
      <c r="FC14" s="97"/>
      <c r="FD14" s="97"/>
      <c r="FE14" s="97"/>
      <c r="FF14" s="97"/>
      <c r="FG14" s="97"/>
      <c r="FH14" s="97"/>
      <c r="FI14" s="97"/>
      <c r="FJ14" s="97"/>
      <c r="FK14" s="97"/>
      <c r="FL14" s="97"/>
      <c r="FM14" s="97"/>
      <c r="FN14" s="97"/>
      <c r="FO14" s="97"/>
      <c r="FP14" s="97"/>
      <c r="FQ14" s="97"/>
      <c r="FR14" s="97"/>
      <c r="FS14" s="97"/>
      <c r="FT14" s="97"/>
      <c r="FU14" s="97"/>
      <c r="FV14" s="97"/>
      <c r="FW14" s="97"/>
      <c r="FX14" s="97"/>
      <c r="FY14" s="6">
        <v>100</v>
      </c>
      <c r="FZ14" s="7" t="str">
        <f>IF(FY14="","",VLOOKUP(FY14,MT商品ﾏｽﾀ参照シート!AM:AN,2,0))</f>
        <v>センター共通</v>
      </c>
      <c r="GA14" s="8"/>
      <c r="GB14" s="8"/>
      <c r="GC14" s="8"/>
      <c r="GD14" s="8"/>
      <c r="GE14" s="58">
        <v>100</v>
      </c>
      <c r="GF14" s="7" t="str">
        <f>IF(GE14="","",VLOOKUP(GE14,MT商品ﾏｽﾀ参照シート!AO:AP,2,0))</f>
        <v>センター共通</v>
      </c>
      <c r="GG14" s="7"/>
      <c r="GH14" s="7"/>
      <c r="GI14" s="7"/>
      <c r="GJ14" s="7"/>
      <c r="GK14" s="49"/>
      <c r="GL14" s="6"/>
      <c r="GM14" s="6"/>
      <c r="GN14" s="7"/>
      <c r="GO14" s="7"/>
      <c r="GP14" s="7"/>
      <c r="GQ14" s="7"/>
      <c r="GR14" s="7">
        <v>4233</v>
      </c>
      <c r="GS14" s="7">
        <v>4980</v>
      </c>
      <c r="GT14" s="7">
        <v>4980</v>
      </c>
      <c r="GU14" s="7">
        <v>4980</v>
      </c>
      <c r="GV14" s="7">
        <v>4980</v>
      </c>
      <c r="GW14" s="8"/>
      <c r="GX14" s="8"/>
      <c r="GY14" s="8"/>
      <c r="GZ14" s="8"/>
      <c r="HA14" s="8"/>
      <c r="HB14" s="8"/>
      <c r="HC14" s="8"/>
      <c r="HD14" s="8"/>
      <c r="HE14" s="58"/>
      <c r="HF14" s="58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82"/>
      <c r="HR14" s="82"/>
      <c r="HS14" s="82"/>
      <c r="HT14" s="26"/>
      <c r="HU14" s="23"/>
      <c r="HV14" s="23"/>
      <c r="HW14" s="24"/>
      <c r="HX14" s="24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76"/>
      <c r="IY14" s="76"/>
      <c r="IZ14" s="76"/>
      <c r="JA14" s="71"/>
      <c r="JB14" s="71"/>
      <c r="JC14" s="72"/>
      <c r="JD14" s="72"/>
      <c r="JE14" s="72"/>
      <c r="JF14" s="72"/>
      <c r="JG14" s="72"/>
      <c r="JH14" s="72"/>
      <c r="JI14" s="71"/>
      <c r="JJ14" s="71"/>
      <c r="JK14" s="72"/>
      <c r="JL14" s="72"/>
      <c r="JM14" s="72"/>
      <c r="JN14" s="72"/>
    </row>
    <row r="15" spans="1:274" ht="13.5" customHeight="1">
      <c r="A15" s="7">
        <v>3</v>
      </c>
      <c r="B15" s="7"/>
      <c r="C15" s="7" t="e">
        <f t="shared" ref="C15:C78" si="25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/>
      <c r="L15" s="7"/>
      <c r="M15" s="7"/>
      <c r="N15" s="7"/>
      <c r="O15" s="7"/>
      <c r="P15" s="7"/>
      <c r="Q15" s="53"/>
      <c r="R15" s="7"/>
      <c r="S15" s="7"/>
      <c r="T15" s="53"/>
      <c r="U15" s="7"/>
      <c r="V15" s="7" t="e">
        <f t="shared" si="4"/>
        <v>#VALUE!</v>
      </c>
      <c r="W15" s="28"/>
      <c r="X15" s="7" t="e">
        <f t="shared" si="4"/>
        <v>#VALUE!</v>
      </c>
      <c r="Y15" s="28"/>
      <c r="Z15" s="7" t="e">
        <f t="shared" si="5"/>
        <v>#VALUE!</v>
      </c>
      <c r="AA15" s="28"/>
      <c r="AB15" s="7"/>
      <c r="AC15" s="7"/>
      <c r="AD15" s="7"/>
      <c r="AE15" s="7"/>
      <c r="AF15" s="7">
        <v>0</v>
      </c>
      <c r="AG15" s="7" t="e">
        <f t="shared" si="6"/>
        <v>#VALUE!</v>
      </c>
      <c r="AH15" s="28"/>
      <c r="AI15" s="7"/>
      <c r="AJ15" s="7" t="e">
        <f t="shared" si="7"/>
        <v>#VALUE!</v>
      </c>
      <c r="AK15" s="28"/>
      <c r="AL15" s="7" t="e">
        <f t="shared" si="8"/>
        <v>#VALUE!</v>
      </c>
      <c r="AM15" s="28"/>
      <c r="AN15" s="7" t="e">
        <f t="shared" si="9"/>
        <v>#VALUE!</v>
      </c>
      <c r="AO15" s="28"/>
      <c r="AP15" s="7">
        <f t="shared" si="10"/>
        <v>2</v>
      </c>
      <c r="AQ15" s="28" t="s">
        <v>2301</v>
      </c>
      <c r="AR15" s="7"/>
      <c r="AS15" s="7"/>
      <c r="AT15" s="7"/>
      <c r="AU15" s="7"/>
      <c r="AV15" s="7">
        <f t="shared" si="11"/>
        <v>99999</v>
      </c>
      <c r="AW15" s="28" t="s">
        <v>3394</v>
      </c>
      <c r="AX15" s="7">
        <v>1</v>
      </c>
      <c r="AY15" s="7" t="e">
        <f t="shared" si="12"/>
        <v>#VALUE!</v>
      </c>
      <c r="AZ15" s="28"/>
      <c r="BA15" s="7">
        <v>0</v>
      </c>
      <c r="BB15" s="7">
        <v>10</v>
      </c>
      <c r="BC15" s="7">
        <v>0</v>
      </c>
      <c r="BD15" s="7">
        <v>10</v>
      </c>
      <c r="BE15" s="7"/>
      <c r="BF15" s="7" t="e">
        <f t="shared" si="13"/>
        <v>#VALUE!</v>
      </c>
      <c r="BG15" s="28"/>
      <c r="BH15" s="7" t="e">
        <f t="shared" si="14"/>
        <v>#VALUE!</v>
      </c>
      <c r="BI15" s="28"/>
      <c r="BJ15" s="7" t="e">
        <f t="shared" si="15"/>
        <v>#VALUE!</v>
      </c>
      <c r="BK15" s="28"/>
      <c r="BL15" s="7"/>
      <c r="BM15" s="7"/>
      <c r="BN15" s="7" t="e">
        <f t="shared" si="16"/>
        <v>#VALUE!</v>
      </c>
      <c r="BO15" s="28"/>
      <c r="BP15" s="7" t="e">
        <f t="shared" si="17"/>
        <v>#VALUE!</v>
      </c>
      <c r="BQ15" s="28"/>
      <c r="BR15" s="7"/>
      <c r="BS15" s="7" t="e">
        <f t="shared" si="18"/>
        <v>#VALUE!</v>
      </c>
      <c r="BT15" s="28"/>
      <c r="BU15" s="7"/>
      <c r="BV15" s="7" t="e">
        <f ca="1">[1]!tメーカー名(BU15)</f>
        <v>#NAME?</v>
      </c>
      <c r="BW15" s="7" t="e">
        <f t="shared" si="19"/>
        <v>#VALUE!</v>
      </c>
      <c r="BX15" s="28"/>
      <c r="BY15" s="7" t="e">
        <f t="shared" si="20"/>
        <v>#VALUE!</v>
      </c>
      <c r="BZ15" s="28"/>
      <c r="CA15" s="54"/>
      <c r="CB15" s="54"/>
      <c r="CC15" s="7" t="e">
        <f t="shared" si="21"/>
        <v>#VALUE!</v>
      </c>
      <c r="CD15" s="28"/>
      <c r="CE15" s="7" t="e">
        <f t="shared" si="22"/>
        <v>#VALUE!</v>
      </c>
      <c r="CF15" s="28"/>
      <c r="CG15" s="7" t="e">
        <f t="shared" si="23"/>
        <v>#VALUE!</v>
      </c>
      <c r="CH15" s="28"/>
      <c r="CI15" s="7" t="e">
        <f t="shared" si="24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6">
        <f t="shared" si="3"/>
        <v>0</v>
      </c>
      <c r="CT15" s="7"/>
      <c r="CU15" s="7"/>
      <c r="CV15" s="97"/>
      <c r="CW15" s="97"/>
      <c r="CX15" s="97"/>
      <c r="CY15" s="98"/>
      <c r="CZ15" s="98"/>
      <c r="DA15" s="97"/>
      <c r="DB15" s="98"/>
      <c r="DC15" s="97"/>
      <c r="DD15" s="97" t="s">
        <v>1686</v>
      </c>
      <c r="DE15" s="97" t="s">
        <v>1682</v>
      </c>
      <c r="DF15" s="98"/>
      <c r="DG15" s="98"/>
      <c r="DH15" s="98"/>
      <c r="DI15" s="98"/>
      <c r="DJ15" s="98"/>
      <c r="DK15" s="98"/>
      <c r="DL15" s="98"/>
      <c r="DM15" s="97"/>
      <c r="DN15" s="97"/>
      <c r="DO15" s="97"/>
      <c r="DP15" s="97"/>
      <c r="DQ15" s="97"/>
      <c r="DR15" s="97"/>
      <c r="DS15" s="97"/>
      <c r="DT15" s="99"/>
      <c r="DU15" s="98"/>
      <c r="DV15" s="97"/>
      <c r="DW15" s="97"/>
      <c r="DX15" s="97"/>
      <c r="DY15" s="97"/>
      <c r="DZ15" s="97"/>
      <c r="EA15" s="97"/>
      <c r="EB15" s="97"/>
      <c r="EC15" s="97"/>
      <c r="ED15" s="97"/>
      <c r="EE15" s="97"/>
      <c r="EF15" s="97"/>
      <c r="EG15" s="97"/>
      <c r="EH15" s="97"/>
      <c r="EI15" s="97"/>
      <c r="EJ15" s="97"/>
      <c r="EK15" s="97"/>
      <c r="EL15" s="97"/>
      <c r="EM15" s="97"/>
      <c r="EN15" s="97"/>
      <c r="EO15" s="97"/>
      <c r="EP15" s="97"/>
      <c r="EQ15" s="97"/>
      <c r="ER15" s="97"/>
      <c r="ES15" s="97"/>
      <c r="ET15" s="97"/>
      <c r="EU15" s="97"/>
      <c r="EV15" s="97"/>
      <c r="EW15" s="97"/>
      <c r="EX15" s="97"/>
      <c r="EY15" s="97"/>
      <c r="EZ15" s="97"/>
      <c r="FA15" s="97"/>
      <c r="FB15" s="97"/>
      <c r="FC15" s="97"/>
      <c r="FD15" s="97"/>
      <c r="FE15" s="97"/>
      <c r="FF15" s="97"/>
      <c r="FG15" s="97"/>
      <c r="FH15" s="97"/>
      <c r="FI15" s="97"/>
      <c r="FJ15" s="97"/>
      <c r="FK15" s="97"/>
      <c r="FL15" s="97"/>
      <c r="FM15" s="97"/>
      <c r="FN15" s="97"/>
      <c r="FO15" s="97"/>
      <c r="FP15" s="97"/>
      <c r="FQ15" s="97"/>
      <c r="FR15" s="97"/>
      <c r="FS15" s="97"/>
      <c r="FT15" s="97"/>
      <c r="FU15" s="97"/>
      <c r="FV15" s="97"/>
      <c r="FW15" s="97"/>
      <c r="FX15" s="97"/>
      <c r="FY15" s="6">
        <v>112</v>
      </c>
      <c r="FZ15" s="7" t="str">
        <f>IF(FY15="","",VLOOKUP(FY15,MT商品ﾏｽﾀ参照シート!AM:AN,2,0))</f>
        <v>WEB物流</v>
      </c>
      <c r="GA15" s="8"/>
      <c r="GB15" s="8"/>
      <c r="GC15" s="8"/>
      <c r="GD15" s="8"/>
      <c r="GE15" s="58">
        <v>112</v>
      </c>
      <c r="GF15" s="7" t="str">
        <f>IF(GE15="","",VLOOKUP(GE15,MT商品ﾏｽﾀ参照シート!AO:AP,2,0))</f>
        <v>WEB物流</v>
      </c>
      <c r="GG15" s="7"/>
      <c r="GH15" s="7"/>
      <c r="GI15" s="7"/>
      <c r="GJ15" s="7"/>
      <c r="GK15" s="49"/>
      <c r="GL15" s="6"/>
      <c r="GM15" s="6"/>
      <c r="GN15" s="7"/>
      <c r="GO15" s="7"/>
      <c r="GP15" s="7"/>
      <c r="GQ15" s="7"/>
      <c r="GR15" s="7">
        <v>3857</v>
      </c>
      <c r="GS15" s="7">
        <v>4537</v>
      </c>
      <c r="GT15" s="7">
        <v>4537</v>
      </c>
      <c r="GU15" s="7">
        <v>4537</v>
      </c>
      <c r="GV15" s="7">
        <v>4537</v>
      </c>
      <c r="GW15" s="8"/>
      <c r="GX15" s="8"/>
      <c r="GY15" s="8"/>
      <c r="GZ15" s="8"/>
      <c r="HA15" s="8"/>
      <c r="HB15" s="8"/>
      <c r="HC15" s="8"/>
      <c r="HD15" s="8"/>
      <c r="HE15" s="58"/>
      <c r="HF15" s="58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82"/>
      <c r="HR15" s="82"/>
      <c r="HS15" s="82"/>
      <c r="HT15" s="26"/>
      <c r="HU15" s="23"/>
      <c r="HV15" s="23"/>
      <c r="HW15" s="24"/>
      <c r="HX15" s="24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76"/>
      <c r="IY15" s="76"/>
      <c r="IZ15" s="76"/>
      <c r="JA15" s="71"/>
      <c r="JB15" s="71"/>
      <c r="JC15" s="72"/>
      <c r="JD15" s="72"/>
      <c r="JE15" s="72"/>
      <c r="JF15" s="72"/>
      <c r="JG15" s="72"/>
      <c r="JH15" s="72"/>
      <c r="JI15" s="71"/>
      <c r="JJ15" s="71"/>
      <c r="JK15" s="72"/>
      <c r="JL15" s="72"/>
      <c r="JM15" s="72"/>
      <c r="JN15" s="72"/>
    </row>
    <row r="16" spans="1:274" ht="13.5" customHeight="1">
      <c r="A16" s="7">
        <v>4</v>
      </c>
      <c r="B16" s="7"/>
      <c r="C16" s="7" t="e">
        <f t="shared" si="25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/>
      <c r="L16" s="7"/>
      <c r="M16" s="7"/>
      <c r="N16" s="7"/>
      <c r="O16" s="7"/>
      <c r="P16" s="7"/>
      <c r="Q16" s="53"/>
      <c r="R16" s="7"/>
      <c r="S16" s="7"/>
      <c r="T16" s="53"/>
      <c r="U16" s="7"/>
      <c r="V16" s="7" t="e">
        <f t="shared" si="4"/>
        <v>#VALUE!</v>
      </c>
      <c r="W16" s="28"/>
      <c r="X16" s="7" t="e">
        <f t="shared" si="4"/>
        <v>#VALUE!</v>
      </c>
      <c r="Y16" s="28"/>
      <c r="Z16" s="7" t="e">
        <f t="shared" si="5"/>
        <v>#VALUE!</v>
      </c>
      <c r="AA16" s="28"/>
      <c r="AB16" s="7"/>
      <c r="AC16" s="7"/>
      <c r="AD16" s="7"/>
      <c r="AE16" s="7"/>
      <c r="AF16" s="7">
        <v>0</v>
      </c>
      <c r="AG16" s="7" t="e">
        <f t="shared" si="6"/>
        <v>#VALUE!</v>
      </c>
      <c r="AH16" s="28"/>
      <c r="AI16" s="7"/>
      <c r="AJ16" s="7" t="e">
        <f t="shared" si="7"/>
        <v>#VALUE!</v>
      </c>
      <c r="AK16" s="28"/>
      <c r="AL16" s="7" t="e">
        <f t="shared" si="8"/>
        <v>#VALUE!</v>
      </c>
      <c r="AM16" s="28"/>
      <c r="AN16" s="7" t="e">
        <f t="shared" si="9"/>
        <v>#VALUE!</v>
      </c>
      <c r="AO16" s="28"/>
      <c r="AP16" s="7">
        <f t="shared" si="10"/>
        <v>2</v>
      </c>
      <c r="AQ16" s="28" t="s">
        <v>2301</v>
      </c>
      <c r="AR16" s="7"/>
      <c r="AS16" s="7"/>
      <c r="AT16" s="7"/>
      <c r="AU16" s="7"/>
      <c r="AV16" s="7">
        <f t="shared" si="11"/>
        <v>4617</v>
      </c>
      <c r="AW16" s="28" t="s">
        <v>2302</v>
      </c>
      <c r="AX16" s="7">
        <v>1</v>
      </c>
      <c r="AY16" s="7" t="e">
        <f t="shared" si="12"/>
        <v>#VALUE!</v>
      </c>
      <c r="AZ16" s="28"/>
      <c r="BA16" s="7">
        <v>0</v>
      </c>
      <c r="BB16" s="7">
        <v>10</v>
      </c>
      <c r="BC16" s="7">
        <v>0</v>
      </c>
      <c r="BD16" s="7">
        <v>10</v>
      </c>
      <c r="BE16" s="7"/>
      <c r="BF16" s="7" t="e">
        <f t="shared" si="13"/>
        <v>#VALUE!</v>
      </c>
      <c r="BG16" s="28"/>
      <c r="BH16" s="7" t="e">
        <f t="shared" si="14"/>
        <v>#VALUE!</v>
      </c>
      <c r="BI16" s="28"/>
      <c r="BJ16" s="7" t="e">
        <f t="shared" si="15"/>
        <v>#VALUE!</v>
      </c>
      <c r="BK16" s="28"/>
      <c r="BL16" s="7"/>
      <c r="BM16" s="7"/>
      <c r="BN16" s="7" t="e">
        <f t="shared" si="16"/>
        <v>#VALUE!</v>
      </c>
      <c r="BO16" s="28"/>
      <c r="BP16" s="7" t="e">
        <f t="shared" si="17"/>
        <v>#VALUE!</v>
      </c>
      <c r="BQ16" s="28"/>
      <c r="BR16" s="7"/>
      <c r="BS16" s="7" t="e">
        <f t="shared" si="18"/>
        <v>#VALUE!</v>
      </c>
      <c r="BT16" s="28"/>
      <c r="BU16" s="7"/>
      <c r="BV16" s="7" t="e">
        <f ca="1">[1]!tメーカー名(BU16)</f>
        <v>#NAME?</v>
      </c>
      <c r="BW16" s="7" t="e">
        <f t="shared" si="19"/>
        <v>#VALUE!</v>
      </c>
      <c r="BX16" s="28"/>
      <c r="BY16" s="7" t="e">
        <f t="shared" si="20"/>
        <v>#VALUE!</v>
      </c>
      <c r="BZ16" s="28"/>
      <c r="CA16" s="54"/>
      <c r="CB16" s="54"/>
      <c r="CC16" s="7" t="e">
        <f t="shared" si="21"/>
        <v>#VALUE!</v>
      </c>
      <c r="CD16" s="28"/>
      <c r="CE16" s="7" t="e">
        <f t="shared" si="22"/>
        <v>#VALUE!</v>
      </c>
      <c r="CF16" s="28"/>
      <c r="CG16" s="7" t="e">
        <f t="shared" si="23"/>
        <v>#VALUE!</v>
      </c>
      <c r="CH16" s="28"/>
      <c r="CI16" s="7" t="e">
        <f t="shared" si="24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6">
        <f t="shared" si="3"/>
        <v>0</v>
      </c>
      <c r="CT16" s="7"/>
      <c r="CU16" s="7"/>
      <c r="CV16" s="97"/>
      <c r="CW16" s="97"/>
      <c r="CX16" s="97"/>
      <c r="CY16" s="98"/>
      <c r="CZ16" s="98"/>
      <c r="DA16" s="97"/>
      <c r="DB16" s="98"/>
      <c r="DC16" s="97"/>
      <c r="DD16" s="97" t="s">
        <v>1687</v>
      </c>
      <c r="DE16" s="97" t="s">
        <v>1682</v>
      </c>
      <c r="DF16" s="98"/>
      <c r="DG16" s="98"/>
      <c r="DH16" s="98"/>
      <c r="DI16" s="98"/>
      <c r="DJ16" s="98"/>
      <c r="DK16" s="98"/>
      <c r="DL16" s="98"/>
      <c r="DM16" s="97"/>
      <c r="DN16" s="97"/>
      <c r="DO16" s="97"/>
      <c r="DP16" s="97"/>
      <c r="DQ16" s="97"/>
      <c r="DR16" s="97"/>
      <c r="DS16" s="97"/>
      <c r="DT16" s="99"/>
      <c r="DU16" s="98"/>
      <c r="DV16" s="97"/>
      <c r="DW16" s="97"/>
      <c r="DX16" s="97"/>
      <c r="DY16" s="97"/>
      <c r="DZ16" s="97"/>
      <c r="EA16" s="97"/>
      <c r="EB16" s="97"/>
      <c r="EC16" s="97"/>
      <c r="ED16" s="97"/>
      <c r="EE16" s="97"/>
      <c r="EF16" s="97"/>
      <c r="EG16" s="97"/>
      <c r="EH16" s="97"/>
      <c r="EI16" s="97"/>
      <c r="EJ16" s="97"/>
      <c r="EK16" s="97"/>
      <c r="EL16" s="97"/>
      <c r="EM16" s="97"/>
      <c r="EN16" s="97"/>
      <c r="EO16" s="97"/>
      <c r="EP16" s="97"/>
      <c r="EQ16" s="97"/>
      <c r="ER16" s="97"/>
      <c r="ES16" s="97"/>
      <c r="ET16" s="97"/>
      <c r="EU16" s="97"/>
      <c r="EV16" s="97"/>
      <c r="EW16" s="97"/>
      <c r="EX16" s="97"/>
      <c r="EY16" s="97"/>
      <c r="EZ16" s="97"/>
      <c r="FA16" s="97"/>
      <c r="FB16" s="97"/>
      <c r="FC16" s="97"/>
      <c r="FD16" s="97"/>
      <c r="FE16" s="97"/>
      <c r="FF16" s="97"/>
      <c r="FG16" s="97"/>
      <c r="FH16" s="97"/>
      <c r="FI16" s="97"/>
      <c r="FJ16" s="97"/>
      <c r="FK16" s="97"/>
      <c r="FL16" s="97"/>
      <c r="FM16" s="97"/>
      <c r="FN16" s="97"/>
      <c r="FO16" s="97"/>
      <c r="FP16" s="97"/>
      <c r="FQ16" s="97"/>
      <c r="FR16" s="97"/>
      <c r="FS16" s="97"/>
      <c r="FT16" s="97"/>
      <c r="FU16" s="97"/>
      <c r="FV16" s="97"/>
      <c r="FW16" s="97"/>
      <c r="FX16" s="97"/>
      <c r="FY16" s="6">
        <v>115</v>
      </c>
      <c r="FZ16" s="7" t="str">
        <f>IF(FY16="","",VLOOKUP(FY16,MT商品ﾏｽﾀ参照シート!AM:AN,2,0))</f>
        <v>千葉センター</v>
      </c>
      <c r="GA16" s="8"/>
      <c r="GB16" s="8"/>
      <c r="GC16" s="8"/>
      <c r="GD16" s="8"/>
      <c r="GE16" s="58">
        <v>115</v>
      </c>
      <c r="GF16" s="7" t="str">
        <f>IF(GE16="","",VLOOKUP(GE16,MT商品ﾏｽﾀ参照シート!AO:AP,2,0))</f>
        <v>千葉センター</v>
      </c>
      <c r="GG16" s="7"/>
      <c r="GH16" s="7"/>
      <c r="GI16" s="7"/>
      <c r="GJ16" s="7"/>
      <c r="GK16" s="49"/>
      <c r="GL16" s="6"/>
      <c r="GM16" s="6"/>
      <c r="GN16" s="7"/>
      <c r="GO16" s="7"/>
      <c r="GP16" s="7"/>
      <c r="GQ16" s="7"/>
      <c r="GR16" s="7">
        <v>3655</v>
      </c>
      <c r="GS16" s="7">
        <v>4300</v>
      </c>
      <c r="GT16" s="7">
        <v>4300</v>
      </c>
      <c r="GU16" s="7">
        <v>4300</v>
      </c>
      <c r="GV16" s="7">
        <v>4300</v>
      </c>
      <c r="GW16" s="8"/>
      <c r="GX16" s="8"/>
      <c r="GY16" s="8"/>
      <c r="GZ16" s="8"/>
      <c r="HA16" s="8"/>
      <c r="HB16" s="8"/>
      <c r="HC16" s="8"/>
      <c r="HD16" s="8"/>
      <c r="HE16" s="58"/>
      <c r="HF16" s="58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82"/>
      <c r="HR16" s="82"/>
      <c r="HS16" s="82"/>
      <c r="HT16" s="26"/>
      <c r="HU16" s="23"/>
      <c r="HV16" s="23"/>
      <c r="HW16" s="24"/>
      <c r="HX16" s="24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76"/>
      <c r="IY16" s="76"/>
      <c r="IZ16" s="76"/>
      <c r="JA16" s="71"/>
      <c r="JB16" s="71"/>
      <c r="JC16" s="72"/>
      <c r="JD16" s="72"/>
      <c r="JE16" s="72"/>
      <c r="JF16" s="72"/>
      <c r="JG16" s="72"/>
      <c r="JH16" s="72"/>
      <c r="JI16" s="71"/>
      <c r="JJ16" s="71"/>
      <c r="JK16" s="72"/>
      <c r="JL16" s="72"/>
      <c r="JM16" s="72"/>
      <c r="JN16" s="72"/>
    </row>
    <row r="17" spans="1:274" ht="13.5" customHeight="1">
      <c r="A17" s="7">
        <v>5</v>
      </c>
      <c r="B17" s="7"/>
      <c r="C17" s="7" t="e">
        <f t="shared" si="25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/>
      <c r="L17" s="7"/>
      <c r="M17" s="7"/>
      <c r="N17" s="7"/>
      <c r="O17" s="7"/>
      <c r="P17" s="7"/>
      <c r="Q17" s="53"/>
      <c r="R17" s="7"/>
      <c r="S17" s="7"/>
      <c r="T17" s="53"/>
      <c r="U17" s="7"/>
      <c r="V17" s="7" t="e">
        <f t="shared" si="4"/>
        <v>#VALUE!</v>
      </c>
      <c r="W17" s="28"/>
      <c r="X17" s="7" t="e">
        <f t="shared" si="4"/>
        <v>#VALUE!</v>
      </c>
      <c r="Y17" s="28"/>
      <c r="Z17" s="7" t="e">
        <f t="shared" si="5"/>
        <v>#VALUE!</v>
      </c>
      <c r="AA17" s="28"/>
      <c r="AB17" s="7"/>
      <c r="AC17" s="7"/>
      <c r="AD17" s="7"/>
      <c r="AE17" s="7"/>
      <c r="AF17" s="7">
        <v>0</v>
      </c>
      <c r="AG17" s="7" t="e">
        <f t="shared" si="6"/>
        <v>#VALUE!</v>
      </c>
      <c r="AH17" s="28"/>
      <c r="AI17" s="7"/>
      <c r="AJ17" s="7" t="e">
        <f t="shared" si="7"/>
        <v>#VALUE!</v>
      </c>
      <c r="AK17" s="28"/>
      <c r="AL17" s="7" t="e">
        <f t="shared" si="8"/>
        <v>#VALUE!</v>
      </c>
      <c r="AM17" s="28"/>
      <c r="AN17" s="7" t="e">
        <f t="shared" si="9"/>
        <v>#VALUE!</v>
      </c>
      <c r="AO17" s="28"/>
      <c r="AP17" s="7">
        <f t="shared" si="10"/>
        <v>2</v>
      </c>
      <c r="AQ17" s="28" t="s">
        <v>2301</v>
      </c>
      <c r="AR17" s="7"/>
      <c r="AS17" s="7"/>
      <c r="AT17" s="7"/>
      <c r="AU17" s="7"/>
      <c r="AV17" s="7">
        <f t="shared" si="11"/>
        <v>4617</v>
      </c>
      <c r="AW17" s="28" t="s">
        <v>2302</v>
      </c>
      <c r="AX17" s="7">
        <v>1</v>
      </c>
      <c r="AY17" s="7" t="e">
        <f t="shared" si="12"/>
        <v>#VALUE!</v>
      </c>
      <c r="AZ17" s="28"/>
      <c r="BA17" s="7">
        <v>0</v>
      </c>
      <c r="BB17" s="7">
        <v>10</v>
      </c>
      <c r="BC17" s="7">
        <v>0</v>
      </c>
      <c r="BD17" s="7">
        <v>10</v>
      </c>
      <c r="BE17" s="7"/>
      <c r="BF17" s="7" t="e">
        <f t="shared" si="13"/>
        <v>#VALUE!</v>
      </c>
      <c r="BG17" s="28"/>
      <c r="BH17" s="7" t="e">
        <f t="shared" si="14"/>
        <v>#VALUE!</v>
      </c>
      <c r="BI17" s="28"/>
      <c r="BJ17" s="7" t="e">
        <f t="shared" si="15"/>
        <v>#VALUE!</v>
      </c>
      <c r="BK17" s="28"/>
      <c r="BL17" s="7"/>
      <c r="BM17" s="7"/>
      <c r="BN17" s="7" t="e">
        <f t="shared" si="16"/>
        <v>#VALUE!</v>
      </c>
      <c r="BO17" s="28"/>
      <c r="BP17" s="7" t="e">
        <f t="shared" si="17"/>
        <v>#VALUE!</v>
      </c>
      <c r="BQ17" s="28"/>
      <c r="BR17" s="7"/>
      <c r="BS17" s="7" t="e">
        <f t="shared" si="18"/>
        <v>#VALUE!</v>
      </c>
      <c r="BT17" s="28"/>
      <c r="BU17" s="7"/>
      <c r="BV17" s="7" t="e">
        <f ca="1">[1]!tメーカー名(BU17)</f>
        <v>#NAME?</v>
      </c>
      <c r="BW17" s="7" t="e">
        <f t="shared" si="19"/>
        <v>#VALUE!</v>
      </c>
      <c r="BX17" s="28"/>
      <c r="BY17" s="7" t="e">
        <f t="shared" si="20"/>
        <v>#VALUE!</v>
      </c>
      <c r="BZ17" s="28"/>
      <c r="CA17" s="54"/>
      <c r="CB17" s="54"/>
      <c r="CC17" s="7" t="e">
        <f t="shared" si="21"/>
        <v>#VALUE!</v>
      </c>
      <c r="CD17" s="28"/>
      <c r="CE17" s="7" t="e">
        <f t="shared" si="22"/>
        <v>#VALUE!</v>
      </c>
      <c r="CF17" s="28"/>
      <c r="CG17" s="7" t="e">
        <f t="shared" si="23"/>
        <v>#VALUE!</v>
      </c>
      <c r="CH17" s="28"/>
      <c r="CI17" s="7" t="e">
        <f t="shared" si="24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6">
        <f t="shared" si="3"/>
        <v>0</v>
      </c>
      <c r="CT17" s="7"/>
      <c r="CU17" s="7"/>
      <c r="CV17" s="97"/>
      <c r="CW17" s="97"/>
      <c r="CX17" s="97"/>
      <c r="CY17" s="98"/>
      <c r="CZ17" s="98"/>
      <c r="DA17" s="97"/>
      <c r="DB17" s="98"/>
      <c r="DC17" s="97"/>
      <c r="DD17" s="97" t="s">
        <v>1688</v>
      </c>
      <c r="DE17" s="97" t="s">
        <v>1682</v>
      </c>
      <c r="DF17" s="98"/>
      <c r="DG17" s="98"/>
      <c r="DH17" s="98"/>
      <c r="DI17" s="98"/>
      <c r="DJ17" s="98"/>
      <c r="DK17" s="98"/>
      <c r="DL17" s="98"/>
      <c r="DM17" s="97"/>
      <c r="DN17" s="97"/>
      <c r="DO17" s="97"/>
      <c r="DP17" s="97"/>
      <c r="DQ17" s="97"/>
      <c r="DR17" s="97"/>
      <c r="DS17" s="97"/>
      <c r="DT17" s="99"/>
      <c r="DU17" s="98"/>
      <c r="DV17" s="97"/>
      <c r="DW17" s="97"/>
      <c r="DX17" s="97"/>
      <c r="DY17" s="97"/>
      <c r="DZ17" s="97"/>
      <c r="EA17" s="97"/>
      <c r="EB17" s="97"/>
      <c r="EC17" s="97"/>
      <c r="ED17" s="97"/>
      <c r="EE17" s="97"/>
      <c r="EF17" s="97"/>
      <c r="EG17" s="97"/>
      <c r="EH17" s="97"/>
      <c r="EI17" s="97"/>
      <c r="EJ17" s="97"/>
      <c r="EK17" s="97"/>
      <c r="EL17" s="97"/>
      <c r="EM17" s="97"/>
      <c r="EN17" s="97"/>
      <c r="EO17" s="97"/>
      <c r="EP17" s="97"/>
      <c r="EQ17" s="97"/>
      <c r="ER17" s="97"/>
      <c r="ES17" s="97"/>
      <c r="ET17" s="97"/>
      <c r="EU17" s="97"/>
      <c r="EV17" s="97"/>
      <c r="EW17" s="97"/>
      <c r="EX17" s="97"/>
      <c r="EY17" s="97"/>
      <c r="EZ17" s="97"/>
      <c r="FA17" s="97"/>
      <c r="FB17" s="97"/>
      <c r="FC17" s="97"/>
      <c r="FD17" s="97"/>
      <c r="FE17" s="97"/>
      <c r="FF17" s="97"/>
      <c r="FG17" s="97"/>
      <c r="FH17" s="97"/>
      <c r="FI17" s="97"/>
      <c r="FJ17" s="97"/>
      <c r="FK17" s="97"/>
      <c r="FL17" s="97"/>
      <c r="FM17" s="97"/>
      <c r="FN17" s="97"/>
      <c r="FO17" s="97"/>
      <c r="FP17" s="97"/>
      <c r="FQ17" s="97"/>
      <c r="FR17" s="97"/>
      <c r="FS17" s="97"/>
      <c r="FT17" s="97"/>
      <c r="FU17" s="97"/>
      <c r="FV17" s="97"/>
      <c r="FW17" s="97"/>
      <c r="FX17" s="97"/>
      <c r="FY17" s="6">
        <v>121</v>
      </c>
      <c r="FZ17" s="7" t="str">
        <f>IF(FY17="","",VLOOKUP(FY17,MT商品ﾏｽﾀ参照シート!AM:AN,2,0))</f>
        <v>平和島</v>
      </c>
      <c r="GA17" s="8"/>
      <c r="GB17" s="8"/>
      <c r="GC17" s="8"/>
      <c r="GD17" s="8"/>
      <c r="GE17" s="58">
        <v>121</v>
      </c>
      <c r="GF17" s="7" t="str">
        <f>IF(GE17="","",VLOOKUP(GE17,MT商品ﾏｽﾀ参照シート!AO:AP,2,0))</f>
        <v>平和島（自社）</v>
      </c>
      <c r="GG17" s="7"/>
      <c r="GH17" s="7"/>
      <c r="GI17" s="7"/>
      <c r="GJ17" s="7"/>
      <c r="GK17" s="49"/>
      <c r="GL17" s="6"/>
      <c r="GM17" s="6"/>
      <c r="GN17" s="7"/>
      <c r="GO17" s="7"/>
      <c r="GP17" s="7"/>
      <c r="GQ17" s="7"/>
      <c r="GR17" s="7">
        <v>3570</v>
      </c>
      <c r="GS17" s="7">
        <v>4200</v>
      </c>
      <c r="GT17" s="7">
        <v>4200</v>
      </c>
      <c r="GU17" s="7">
        <v>4200</v>
      </c>
      <c r="GV17" s="7">
        <v>4200</v>
      </c>
      <c r="GW17" s="8"/>
      <c r="GX17" s="8"/>
      <c r="GY17" s="8"/>
      <c r="GZ17" s="8"/>
      <c r="HA17" s="8"/>
      <c r="HB17" s="8"/>
      <c r="HC17" s="8"/>
      <c r="HD17" s="8"/>
      <c r="HE17" s="58"/>
      <c r="HF17" s="58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82"/>
      <c r="HR17" s="82"/>
      <c r="HS17" s="82"/>
      <c r="HT17" s="26"/>
      <c r="HU17" s="23"/>
      <c r="HV17" s="23"/>
      <c r="HW17" s="24"/>
      <c r="HX17" s="24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76"/>
      <c r="IY17" s="76"/>
      <c r="IZ17" s="76"/>
      <c r="JA17" s="71"/>
      <c r="JB17" s="71"/>
      <c r="JC17" s="72"/>
      <c r="JD17" s="72"/>
      <c r="JE17" s="72"/>
      <c r="JF17" s="72"/>
      <c r="JG17" s="72"/>
      <c r="JH17" s="72"/>
      <c r="JI17" s="71"/>
      <c r="JJ17" s="71"/>
      <c r="JK17" s="72"/>
      <c r="JL17" s="72"/>
      <c r="JM17" s="72"/>
      <c r="JN17" s="72"/>
    </row>
    <row r="18" spans="1:274" ht="13.5" customHeight="1">
      <c r="A18" s="7">
        <v>6</v>
      </c>
      <c r="B18" s="7"/>
      <c r="C18" s="7" t="e">
        <f t="shared" si="25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7"/>
      <c r="K18" s="7"/>
      <c r="L18" s="7"/>
      <c r="M18" s="7"/>
      <c r="N18" s="7"/>
      <c r="O18" s="7"/>
      <c r="P18" s="7"/>
      <c r="Q18" s="53"/>
      <c r="R18" s="7"/>
      <c r="S18" s="7"/>
      <c r="T18" s="53"/>
      <c r="U18" s="7"/>
      <c r="V18" s="7" t="e">
        <f t="shared" si="4"/>
        <v>#VALUE!</v>
      </c>
      <c r="W18" s="28"/>
      <c r="X18" s="7" t="e">
        <f t="shared" si="4"/>
        <v>#VALUE!</v>
      </c>
      <c r="Y18" s="28"/>
      <c r="Z18" s="7" t="e">
        <f t="shared" si="5"/>
        <v>#VALUE!</v>
      </c>
      <c r="AA18" s="28"/>
      <c r="AB18" s="7"/>
      <c r="AC18" s="7"/>
      <c r="AD18" s="7"/>
      <c r="AE18" s="7"/>
      <c r="AF18" s="7">
        <v>0</v>
      </c>
      <c r="AG18" s="7" t="e">
        <f t="shared" si="6"/>
        <v>#VALUE!</v>
      </c>
      <c r="AH18" s="28"/>
      <c r="AI18" s="7"/>
      <c r="AJ18" s="7" t="e">
        <f t="shared" si="7"/>
        <v>#VALUE!</v>
      </c>
      <c r="AK18" s="28"/>
      <c r="AL18" s="7" t="e">
        <f t="shared" si="8"/>
        <v>#VALUE!</v>
      </c>
      <c r="AM18" s="28"/>
      <c r="AN18" s="7" t="e">
        <f t="shared" si="9"/>
        <v>#VALUE!</v>
      </c>
      <c r="AO18" s="28"/>
      <c r="AP18" s="7">
        <f t="shared" si="10"/>
        <v>2</v>
      </c>
      <c r="AQ18" s="28" t="s">
        <v>2301</v>
      </c>
      <c r="AR18" s="7"/>
      <c r="AS18" s="7"/>
      <c r="AT18" s="7"/>
      <c r="AU18" s="7"/>
      <c r="AV18" s="7">
        <f t="shared" si="11"/>
        <v>4617</v>
      </c>
      <c r="AW18" s="28" t="s">
        <v>2302</v>
      </c>
      <c r="AX18" s="7">
        <v>1</v>
      </c>
      <c r="AY18" s="7" t="e">
        <f t="shared" si="12"/>
        <v>#VALUE!</v>
      </c>
      <c r="AZ18" s="28"/>
      <c r="BA18" s="7">
        <v>0</v>
      </c>
      <c r="BB18" s="7">
        <v>10</v>
      </c>
      <c r="BC18" s="7">
        <v>0</v>
      </c>
      <c r="BD18" s="7">
        <v>10</v>
      </c>
      <c r="BE18" s="7"/>
      <c r="BF18" s="7" t="e">
        <f t="shared" si="13"/>
        <v>#VALUE!</v>
      </c>
      <c r="BG18" s="28"/>
      <c r="BH18" s="7" t="e">
        <f t="shared" si="14"/>
        <v>#VALUE!</v>
      </c>
      <c r="BI18" s="28"/>
      <c r="BJ18" s="7" t="e">
        <f t="shared" si="15"/>
        <v>#VALUE!</v>
      </c>
      <c r="BK18" s="28"/>
      <c r="BL18" s="7"/>
      <c r="BM18" s="7"/>
      <c r="BN18" s="7" t="e">
        <f t="shared" si="16"/>
        <v>#VALUE!</v>
      </c>
      <c r="BO18" s="28"/>
      <c r="BP18" s="7" t="e">
        <f t="shared" si="17"/>
        <v>#VALUE!</v>
      </c>
      <c r="BQ18" s="28"/>
      <c r="BR18" s="7"/>
      <c r="BS18" s="7" t="e">
        <f t="shared" si="18"/>
        <v>#VALUE!</v>
      </c>
      <c r="BT18" s="28"/>
      <c r="BU18" s="7"/>
      <c r="BV18" s="7" t="e">
        <f ca="1">[1]!tメーカー名(BU18)</f>
        <v>#NAME?</v>
      </c>
      <c r="BW18" s="7" t="e">
        <f t="shared" si="19"/>
        <v>#VALUE!</v>
      </c>
      <c r="BX18" s="28"/>
      <c r="BY18" s="7" t="e">
        <f t="shared" si="20"/>
        <v>#VALUE!</v>
      </c>
      <c r="BZ18" s="28"/>
      <c r="CA18" s="54"/>
      <c r="CB18" s="54"/>
      <c r="CC18" s="7" t="e">
        <f t="shared" si="21"/>
        <v>#VALUE!</v>
      </c>
      <c r="CD18" s="28"/>
      <c r="CE18" s="7" t="e">
        <f t="shared" si="22"/>
        <v>#VALUE!</v>
      </c>
      <c r="CF18" s="28"/>
      <c r="CG18" s="7" t="e">
        <f t="shared" si="23"/>
        <v>#VALUE!</v>
      </c>
      <c r="CH18" s="28"/>
      <c r="CI18" s="7" t="e">
        <f t="shared" si="24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6">
        <f t="shared" si="3"/>
        <v>0</v>
      </c>
      <c r="CT18" s="7"/>
      <c r="CU18" s="7"/>
      <c r="CV18" s="97"/>
      <c r="CW18" s="97"/>
      <c r="CX18" s="97"/>
      <c r="CY18" s="98"/>
      <c r="CZ18" s="98"/>
      <c r="DA18" s="97"/>
      <c r="DB18" s="98"/>
      <c r="DC18" s="97"/>
      <c r="DD18" s="97"/>
      <c r="DE18" s="97" t="s">
        <v>1682</v>
      </c>
      <c r="DF18" s="98"/>
      <c r="DG18" s="98"/>
      <c r="DH18" s="98"/>
      <c r="DI18" s="98"/>
      <c r="DJ18" s="98"/>
      <c r="DK18" s="98"/>
      <c r="DL18" s="98"/>
      <c r="DM18" s="97"/>
      <c r="DN18" s="97"/>
      <c r="DO18" s="97"/>
      <c r="DP18" s="97"/>
      <c r="DQ18" s="97"/>
      <c r="DR18" s="97"/>
      <c r="DS18" s="97"/>
      <c r="DT18" s="99"/>
      <c r="DU18" s="98"/>
      <c r="DV18" s="97"/>
      <c r="DW18" s="97"/>
      <c r="DX18" s="97"/>
      <c r="DY18" s="97"/>
      <c r="DZ18" s="97"/>
      <c r="EA18" s="97"/>
      <c r="EB18" s="97"/>
      <c r="EC18" s="97"/>
      <c r="ED18" s="97"/>
      <c r="EE18" s="97"/>
      <c r="EF18" s="97"/>
      <c r="EG18" s="97"/>
      <c r="EH18" s="97"/>
      <c r="EI18" s="97"/>
      <c r="EJ18" s="97"/>
      <c r="EK18" s="97"/>
      <c r="EL18" s="97"/>
      <c r="EM18" s="97"/>
      <c r="EN18" s="97"/>
      <c r="EO18" s="97"/>
      <c r="EP18" s="97"/>
      <c r="EQ18" s="97"/>
      <c r="ER18" s="97"/>
      <c r="ES18" s="97"/>
      <c r="ET18" s="97"/>
      <c r="EU18" s="97"/>
      <c r="EV18" s="97"/>
      <c r="EW18" s="97"/>
      <c r="EX18" s="97"/>
      <c r="EY18" s="97"/>
      <c r="EZ18" s="97"/>
      <c r="FA18" s="97"/>
      <c r="FB18" s="97"/>
      <c r="FC18" s="97"/>
      <c r="FD18" s="97"/>
      <c r="FE18" s="97"/>
      <c r="FF18" s="97"/>
      <c r="FG18" s="97"/>
      <c r="FH18" s="97"/>
      <c r="FI18" s="97"/>
      <c r="FJ18" s="97"/>
      <c r="FK18" s="97"/>
      <c r="FL18" s="97"/>
      <c r="FM18" s="97"/>
      <c r="FN18" s="97"/>
      <c r="FO18" s="97"/>
      <c r="FP18" s="97"/>
      <c r="FQ18" s="97"/>
      <c r="FR18" s="97"/>
      <c r="FS18" s="97"/>
      <c r="FT18" s="97"/>
      <c r="FU18" s="97"/>
      <c r="FV18" s="97"/>
      <c r="FW18" s="97"/>
      <c r="FX18" s="97"/>
      <c r="FY18" s="6"/>
      <c r="FZ18" s="7" t="str">
        <f>IF(FY18="","",VLOOKUP(FY18,MT商品ﾏｽﾀ参照シート!AM:AN,2,0))</f>
        <v/>
      </c>
      <c r="GA18" s="8"/>
      <c r="GB18" s="8"/>
      <c r="GC18" s="8"/>
      <c r="GD18" s="8"/>
      <c r="GE18" s="58">
        <v>193</v>
      </c>
      <c r="GF18" s="7" t="str">
        <f>IF(GE18="","",VLOOKUP(GE18,MT商品ﾏｽﾀ参照シート!AO:AP,2,0))</f>
        <v>平和島（消化）</v>
      </c>
      <c r="GG18" s="7"/>
      <c r="GH18" s="7"/>
      <c r="GI18" s="7"/>
      <c r="GJ18" s="7"/>
      <c r="GK18" s="49"/>
      <c r="GL18" s="6"/>
      <c r="GM18" s="6"/>
      <c r="GN18" s="7"/>
      <c r="GO18" s="7"/>
      <c r="GP18" s="7"/>
      <c r="GQ18" s="7"/>
      <c r="GR18" s="7">
        <v>2550</v>
      </c>
      <c r="GS18" s="7">
        <v>3000</v>
      </c>
      <c r="GT18" s="7">
        <v>3000</v>
      </c>
      <c r="GU18" s="7">
        <v>3000</v>
      </c>
      <c r="GV18" s="7">
        <v>3000</v>
      </c>
      <c r="GW18" s="8"/>
      <c r="GX18" s="8"/>
      <c r="GY18" s="8"/>
      <c r="GZ18" s="8"/>
      <c r="HA18" s="8"/>
      <c r="HB18" s="8"/>
      <c r="HC18" s="8"/>
      <c r="HD18" s="8"/>
      <c r="HE18" s="58"/>
      <c r="HF18" s="58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82"/>
      <c r="HR18" s="82"/>
      <c r="HS18" s="82"/>
      <c r="HT18" s="26"/>
      <c r="HU18" s="23"/>
      <c r="HV18" s="23"/>
      <c r="HW18" s="24"/>
      <c r="HX18" s="24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76"/>
      <c r="IY18" s="76"/>
      <c r="IZ18" s="76"/>
      <c r="JA18" s="71"/>
      <c r="JB18" s="71"/>
      <c r="JC18" s="72"/>
      <c r="JD18" s="72"/>
      <c r="JE18" s="72"/>
      <c r="JF18" s="72"/>
      <c r="JG18" s="72"/>
      <c r="JH18" s="72"/>
      <c r="JI18" s="71"/>
      <c r="JJ18" s="71"/>
      <c r="JK18" s="72"/>
      <c r="JL18" s="72"/>
      <c r="JM18" s="72"/>
      <c r="JN18" s="72"/>
    </row>
    <row r="19" spans="1:274" ht="13.5" customHeight="1">
      <c r="A19" s="7">
        <v>7</v>
      </c>
      <c r="B19" s="7"/>
      <c r="C19" s="7" t="e">
        <f t="shared" si="25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/>
      <c r="L19" s="7"/>
      <c r="M19" s="7"/>
      <c r="N19" s="7"/>
      <c r="O19" s="7"/>
      <c r="P19" s="7"/>
      <c r="Q19" s="53"/>
      <c r="R19" s="7"/>
      <c r="S19" s="7"/>
      <c r="T19" s="53"/>
      <c r="U19" s="7"/>
      <c r="V19" s="7" t="e">
        <f t="shared" si="4"/>
        <v>#VALUE!</v>
      </c>
      <c r="W19" s="28"/>
      <c r="X19" s="7" t="e">
        <f t="shared" si="4"/>
        <v>#VALUE!</v>
      </c>
      <c r="Y19" s="28"/>
      <c r="Z19" s="7" t="e">
        <f t="shared" si="5"/>
        <v>#VALUE!</v>
      </c>
      <c r="AA19" s="28"/>
      <c r="AB19" s="7"/>
      <c r="AC19" s="7"/>
      <c r="AD19" s="7"/>
      <c r="AE19" s="7"/>
      <c r="AF19" s="7">
        <v>0</v>
      </c>
      <c r="AG19" s="7" t="e">
        <f t="shared" si="6"/>
        <v>#VALUE!</v>
      </c>
      <c r="AH19" s="28"/>
      <c r="AI19" s="7"/>
      <c r="AJ19" s="7" t="e">
        <f t="shared" si="7"/>
        <v>#VALUE!</v>
      </c>
      <c r="AK19" s="28"/>
      <c r="AL19" s="7" t="e">
        <f t="shared" si="8"/>
        <v>#VALUE!</v>
      </c>
      <c r="AM19" s="28"/>
      <c r="AN19" s="7" t="e">
        <f t="shared" si="9"/>
        <v>#VALUE!</v>
      </c>
      <c r="AO19" s="28"/>
      <c r="AP19" s="7">
        <f t="shared" si="10"/>
        <v>2</v>
      </c>
      <c r="AQ19" s="28" t="s">
        <v>2301</v>
      </c>
      <c r="AR19" s="7"/>
      <c r="AS19" s="7"/>
      <c r="AT19" s="7"/>
      <c r="AU19" s="7"/>
      <c r="AV19" s="7">
        <f t="shared" si="11"/>
        <v>4617</v>
      </c>
      <c r="AW19" s="28" t="s">
        <v>2302</v>
      </c>
      <c r="AX19" s="7">
        <v>1</v>
      </c>
      <c r="AY19" s="7" t="e">
        <f t="shared" si="12"/>
        <v>#VALUE!</v>
      </c>
      <c r="AZ19" s="28"/>
      <c r="BA19" s="7">
        <v>0</v>
      </c>
      <c r="BB19" s="7">
        <v>10</v>
      </c>
      <c r="BC19" s="7">
        <v>0</v>
      </c>
      <c r="BD19" s="7">
        <v>10</v>
      </c>
      <c r="BE19" s="7"/>
      <c r="BF19" s="7" t="e">
        <f t="shared" si="13"/>
        <v>#VALUE!</v>
      </c>
      <c r="BG19" s="28"/>
      <c r="BH19" s="7" t="e">
        <f t="shared" si="14"/>
        <v>#VALUE!</v>
      </c>
      <c r="BI19" s="28"/>
      <c r="BJ19" s="7" t="e">
        <f t="shared" si="15"/>
        <v>#VALUE!</v>
      </c>
      <c r="BK19" s="28"/>
      <c r="BL19" s="7"/>
      <c r="BM19" s="7"/>
      <c r="BN19" s="7" t="e">
        <f t="shared" si="16"/>
        <v>#VALUE!</v>
      </c>
      <c r="BO19" s="28"/>
      <c r="BP19" s="7" t="e">
        <f t="shared" si="17"/>
        <v>#VALUE!</v>
      </c>
      <c r="BQ19" s="28"/>
      <c r="BR19" s="7"/>
      <c r="BS19" s="7" t="e">
        <f t="shared" si="18"/>
        <v>#VALUE!</v>
      </c>
      <c r="BT19" s="28"/>
      <c r="BU19" s="7"/>
      <c r="BV19" s="7" t="e">
        <f ca="1">[1]!tメーカー名(BU19)</f>
        <v>#NAME?</v>
      </c>
      <c r="BW19" s="7" t="e">
        <f t="shared" si="19"/>
        <v>#VALUE!</v>
      </c>
      <c r="BX19" s="28"/>
      <c r="BY19" s="7" t="e">
        <f t="shared" si="20"/>
        <v>#VALUE!</v>
      </c>
      <c r="BZ19" s="28"/>
      <c r="CA19" s="54"/>
      <c r="CB19" s="54"/>
      <c r="CC19" s="7" t="e">
        <f t="shared" si="21"/>
        <v>#VALUE!</v>
      </c>
      <c r="CD19" s="28"/>
      <c r="CE19" s="7" t="e">
        <f t="shared" si="22"/>
        <v>#VALUE!</v>
      </c>
      <c r="CF19" s="28"/>
      <c r="CG19" s="7" t="e">
        <f t="shared" si="23"/>
        <v>#VALUE!</v>
      </c>
      <c r="CH19" s="28"/>
      <c r="CI19" s="7" t="e">
        <f t="shared" si="24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6">
        <f t="shared" si="3"/>
        <v>0</v>
      </c>
      <c r="CT19" s="7"/>
      <c r="CU19" s="7"/>
      <c r="CV19" s="97"/>
      <c r="CW19" s="97"/>
      <c r="CX19" s="97"/>
      <c r="CY19" s="98"/>
      <c r="CZ19" s="98"/>
      <c r="DA19" s="97"/>
      <c r="DB19" s="98"/>
      <c r="DC19" s="97"/>
      <c r="DD19" s="97"/>
      <c r="DE19" s="97" t="s">
        <v>1682</v>
      </c>
      <c r="DF19" s="98"/>
      <c r="DG19" s="98"/>
      <c r="DH19" s="98"/>
      <c r="DI19" s="98"/>
      <c r="DJ19" s="98"/>
      <c r="DK19" s="98"/>
      <c r="DL19" s="98"/>
      <c r="DM19" s="97"/>
      <c r="DN19" s="97"/>
      <c r="DO19" s="97"/>
      <c r="DP19" s="97"/>
      <c r="DQ19" s="97"/>
      <c r="DR19" s="97"/>
      <c r="DS19" s="97"/>
      <c r="DT19" s="99"/>
      <c r="DU19" s="98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7"/>
      <c r="FV19" s="97"/>
      <c r="FW19" s="97"/>
      <c r="FX19" s="97"/>
      <c r="FY19" s="6"/>
      <c r="FZ19" s="7" t="str">
        <f>IF(FY19="","",VLOOKUP(FY19,MT商品ﾏｽﾀ参照シート!AM:AN,2,0))</f>
        <v/>
      </c>
      <c r="GA19" s="8"/>
      <c r="GB19" s="8"/>
      <c r="GC19" s="8"/>
      <c r="GD19" s="8"/>
      <c r="GE19" s="58"/>
      <c r="GF19" s="7" t="str">
        <f>IF(GE19="","",VLOOKUP(GE19,MT商品ﾏｽﾀ参照シート!AO:AP,2,0))</f>
        <v/>
      </c>
      <c r="GG19" s="7"/>
      <c r="GH19" s="7"/>
      <c r="GI19" s="7"/>
      <c r="GJ19" s="7"/>
      <c r="GK19" s="49"/>
      <c r="GL19" s="6"/>
      <c r="GM19" s="6"/>
      <c r="GN19" s="7"/>
      <c r="GO19" s="7"/>
      <c r="GP19" s="7"/>
      <c r="GQ19" s="7"/>
      <c r="GR19" s="7">
        <v>3400</v>
      </c>
      <c r="GS19" s="7">
        <v>4000</v>
      </c>
      <c r="GT19" s="7">
        <v>4000</v>
      </c>
      <c r="GU19" s="7">
        <v>4000</v>
      </c>
      <c r="GV19" s="7">
        <v>4000</v>
      </c>
      <c r="GW19" s="8"/>
      <c r="GX19" s="8"/>
      <c r="GY19" s="8"/>
      <c r="GZ19" s="8"/>
      <c r="HA19" s="8"/>
      <c r="HB19" s="8"/>
      <c r="HC19" s="8"/>
      <c r="HD19" s="8"/>
      <c r="HE19" s="58"/>
      <c r="HF19" s="58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82"/>
      <c r="HR19" s="82"/>
      <c r="HS19" s="82"/>
      <c r="HT19" s="26"/>
      <c r="HU19" s="23"/>
      <c r="HV19" s="23"/>
      <c r="HW19" s="24"/>
      <c r="HX19" s="24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76"/>
      <c r="IY19" s="76"/>
      <c r="IZ19" s="76"/>
      <c r="JA19" s="71"/>
      <c r="JB19" s="71"/>
      <c r="JC19" s="72"/>
      <c r="JD19" s="72"/>
      <c r="JE19" s="72"/>
      <c r="JF19" s="72"/>
      <c r="JG19" s="72"/>
      <c r="JH19" s="72"/>
      <c r="JI19" s="71"/>
      <c r="JJ19" s="71"/>
      <c r="JK19" s="72"/>
      <c r="JL19" s="72"/>
      <c r="JM19" s="72"/>
      <c r="JN19" s="72"/>
    </row>
    <row r="20" spans="1:274" ht="13.5" customHeight="1">
      <c r="A20" s="7">
        <v>8</v>
      </c>
      <c r="B20" s="7"/>
      <c r="C20" s="7" t="e">
        <f t="shared" si="25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/>
      <c r="L20" s="7"/>
      <c r="M20" s="7"/>
      <c r="N20" s="7"/>
      <c r="O20" s="7"/>
      <c r="P20" s="7"/>
      <c r="Q20" s="53"/>
      <c r="R20" s="7"/>
      <c r="S20" s="7"/>
      <c r="T20" s="53"/>
      <c r="U20" s="7"/>
      <c r="V20" s="7" t="e">
        <f t="shared" si="4"/>
        <v>#VALUE!</v>
      </c>
      <c r="W20" s="28"/>
      <c r="X20" s="7" t="e">
        <f t="shared" si="4"/>
        <v>#VALUE!</v>
      </c>
      <c r="Y20" s="28"/>
      <c r="Z20" s="7" t="e">
        <f t="shared" si="5"/>
        <v>#VALUE!</v>
      </c>
      <c r="AA20" s="28"/>
      <c r="AB20" s="7"/>
      <c r="AC20" s="7"/>
      <c r="AD20" s="7"/>
      <c r="AE20" s="7"/>
      <c r="AF20" s="7">
        <v>0</v>
      </c>
      <c r="AG20" s="7" t="e">
        <f t="shared" si="6"/>
        <v>#VALUE!</v>
      </c>
      <c r="AH20" s="28"/>
      <c r="AI20" s="7"/>
      <c r="AJ20" s="7" t="e">
        <f t="shared" si="7"/>
        <v>#VALUE!</v>
      </c>
      <c r="AK20" s="28"/>
      <c r="AL20" s="7" t="e">
        <f t="shared" si="8"/>
        <v>#VALUE!</v>
      </c>
      <c r="AM20" s="28"/>
      <c r="AN20" s="7" t="e">
        <f t="shared" si="9"/>
        <v>#VALUE!</v>
      </c>
      <c r="AO20" s="28"/>
      <c r="AP20" s="7">
        <f t="shared" si="10"/>
        <v>2</v>
      </c>
      <c r="AQ20" s="28" t="s">
        <v>2301</v>
      </c>
      <c r="AR20" s="7"/>
      <c r="AS20" s="7"/>
      <c r="AT20" s="7"/>
      <c r="AU20" s="7"/>
      <c r="AV20" s="7">
        <f t="shared" si="11"/>
        <v>4617</v>
      </c>
      <c r="AW20" s="28" t="s">
        <v>2302</v>
      </c>
      <c r="AX20" s="7">
        <v>1</v>
      </c>
      <c r="AY20" s="7" t="e">
        <f t="shared" si="12"/>
        <v>#VALUE!</v>
      </c>
      <c r="AZ20" s="28"/>
      <c r="BA20" s="7">
        <v>0</v>
      </c>
      <c r="BB20" s="7">
        <v>10</v>
      </c>
      <c r="BC20" s="7">
        <v>0</v>
      </c>
      <c r="BD20" s="7">
        <v>10</v>
      </c>
      <c r="BE20" s="7"/>
      <c r="BF20" s="7" t="e">
        <f t="shared" si="13"/>
        <v>#VALUE!</v>
      </c>
      <c r="BG20" s="28"/>
      <c r="BH20" s="7" t="e">
        <f t="shared" si="14"/>
        <v>#VALUE!</v>
      </c>
      <c r="BI20" s="28"/>
      <c r="BJ20" s="7" t="e">
        <f t="shared" si="15"/>
        <v>#VALUE!</v>
      </c>
      <c r="BK20" s="28"/>
      <c r="BL20" s="7"/>
      <c r="BM20" s="7"/>
      <c r="BN20" s="7" t="e">
        <f t="shared" si="16"/>
        <v>#VALUE!</v>
      </c>
      <c r="BO20" s="28"/>
      <c r="BP20" s="7" t="e">
        <f t="shared" si="17"/>
        <v>#VALUE!</v>
      </c>
      <c r="BQ20" s="28"/>
      <c r="BR20" s="7"/>
      <c r="BS20" s="7" t="e">
        <f t="shared" si="18"/>
        <v>#VALUE!</v>
      </c>
      <c r="BT20" s="28"/>
      <c r="BU20" s="7"/>
      <c r="BV20" s="7" t="e">
        <f ca="1">[1]!tメーカー名(BU20)</f>
        <v>#NAME?</v>
      </c>
      <c r="BW20" s="7" t="e">
        <f t="shared" si="19"/>
        <v>#VALUE!</v>
      </c>
      <c r="BX20" s="28"/>
      <c r="BY20" s="7" t="e">
        <f t="shared" si="20"/>
        <v>#VALUE!</v>
      </c>
      <c r="BZ20" s="28"/>
      <c r="CA20" s="54"/>
      <c r="CB20" s="54"/>
      <c r="CC20" s="7" t="e">
        <f t="shared" si="21"/>
        <v>#VALUE!</v>
      </c>
      <c r="CD20" s="28"/>
      <c r="CE20" s="7" t="e">
        <f t="shared" si="22"/>
        <v>#VALUE!</v>
      </c>
      <c r="CF20" s="28"/>
      <c r="CG20" s="7" t="e">
        <f t="shared" si="23"/>
        <v>#VALUE!</v>
      </c>
      <c r="CH20" s="28"/>
      <c r="CI20" s="7" t="e">
        <f t="shared" si="24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6">
        <f t="shared" si="3"/>
        <v>0</v>
      </c>
      <c r="CT20" s="7"/>
      <c r="CU20" s="7"/>
      <c r="CV20" s="97"/>
      <c r="CW20" s="97"/>
      <c r="CX20" s="97"/>
      <c r="CY20" s="98"/>
      <c r="CZ20" s="98"/>
      <c r="DA20" s="97"/>
      <c r="DB20" s="98"/>
      <c r="DC20" s="97"/>
      <c r="DD20" s="97"/>
      <c r="DE20" s="97" t="s">
        <v>1682</v>
      </c>
      <c r="DF20" s="98"/>
      <c r="DG20" s="98"/>
      <c r="DH20" s="98"/>
      <c r="DI20" s="98"/>
      <c r="DJ20" s="98"/>
      <c r="DK20" s="98"/>
      <c r="DL20" s="98"/>
      <c r="DM20" s="97"/>
      <c r="DN20" s="97"/>
      <c r="DO20" s="97"/>
      <c r="DP20" s="97"/>
      <c r="DQ20" s="97"/>
      <c r="DR20" s="97"/>
      <c r="DS20" s="97"/>
      <c r="DT20" s="99"/>
      <c r="DU20" s="98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7"/>
      <c r="FV20" s="97"/>
      <c r="FW20" s="97"/>
      <c r="FX20" s="97"/>
      <c r="FY20" s="6"/>
      <c r="FZ20" s="7" t="str">
        <f>IF(FY20="","",VLOOKUP(FY20,MT商品ﾏｽﾀ参照シート!AM:AN,2,0))</f>
        <v/>
      </c>
      <c r="GA20" s="8"/>
      <c r="GB20" s="8"/>
      <c r="GC20" s="8"/>
      <c r="GD20" s="8"/>
      <c r="GE20" s="58"/>
      <c r="GF20" s="7" t="str">
        <f>IF(GE20="","",VLOOKUP(GE20,MT商品ﾏｽﾀ参照シート!AO:AP,2,0))</f>
        <v/>
      </c>
      <c r="GG20" s="7"/>
      <c r="GH20" s="7"/>
      <c r="GI20" s="7"/>
      <c r="GJ20" s="7"/>
      <c r="GK20" s="49"/>
      <c r="GL20" s="6"/>
      <c r="GM20" s="6"/>
      <c r="GN20" s="7"/>
      <c r="GO20" s="7"/>
      <c r="GP20" s="7"/>
      <c r="GQ20" s="7"/>
      <c r="GR20" s="7">
        <v>4250</v>
      </c>
      <c r="GS20" s="7">
        <v>5000</v>
      </c>
      <c r="GT20" s="7">
        <v>5000</v>
      </c>
      <c r="GU20" s="7">
        <v>5000</v>
      </c>
      <c r="GV20" s="7">
        <v>5000</v>
      </c>
      <c r="GW20" s="8"/>
      <c r="GX20" s="8"/>
      <c r="GY20" s="8"/>
      <c r="GZ20" s="8"/>
      <c r="HA20" s="8"/>
      <c r="HB20" s="8"/>
      <c r="HC20" s="8"/>
      <c r="HD20" s="8"/>
      <c r="HE20" s="58"/>
      <c r="HF20" s="58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82"/>
      <c r="HR20" s="82"/>
      <c r="HS20" s="82"/>
      <c r="HT20" s="26"/>
      <c r="HU20" s="23"/>
      <c r="HV20" s="23"/>
      <c r="HW20" s="24"/>
      <c r="HX20" s="24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76"/>
      <c r="IY20" s="76"/>
      <c r="IZ20" s="76"/>
      <c r="JA20" s="71"/>
      <c r="JB20" s="71"/>
      <c r="JC20" s="72"/>
      <c r="JD20" s="72"/>
      <c r="JE20" s="72"/>
      <c r="JF20" s="72"/>
      <c r="JG20" s="72"/>
      <c r="JH20" s="72"/>
      <c r="JI20" s="71"/>
      <c r="JJ20" s="71"/>
      <c r="JK20" s="72"/>
      <c r="JL20" s="72"/>
      <c r="JM20" s="72"/>
      <c r="JN20" s="72"/>
    </row>
    <row r="21" spans="1:274" ht="13.5" customHeight="1">
      <c r="A21" s="7">
        <v>9</v>
      </c>
      <c r="B21" s="7"/>
      <c r="C21" s="7" t="e">
        <f t="shared" si="25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/>
      <c r="L21" s="7"/>
      <c r="M21" s="7"/>
      <c r="N21" s="7"/>
      <c r="O21" s="7"/>
      <c r="P21" s="7"/>
      <c r="Q21" s="53"/>
      <c r="R21" s="7"/>
      <c r="S21" s="7"/>
      <c r="T21" s="53"/>
      <c r="U21" s="7"/>
      <c r="V21" s="7" t="e">
        <f t="shared" si="4"/>
        <v>#VALUE!</v>
      </c>
      <c r="W21" s="28"/>
      <c r="X21" s="7" t="e">
        <f t="shared" si="4"/>
        <v>#VALUE!</v>
      </c>
      <c r="Y21" s="28"/>
      <c r="Z21" s="7" t="e">
        <f t="shared" si="5"/>
        <v>#VALUE!</v>
      </c>
      <c r="AA21" s="28"/>
      <c r="AB21" s="7"/>
      <c r="AC21" s="7"/>
      <c r="AD21" s="7"/>
      <c r="AE21" s="7"/>
      <c r="AF21" s="7">
        <v>0</v>
      </c>
      <c r="AG21" s="7" t="e">
        <f t="shared" si="6"/>
        <v>#VALUE!</v>
      </c>
      <c r="AH21" s="28"/>
      <c r="AI21" s="7"/>
      <c r="AJ21" s="7" t="e">
        <f t="shared" si="7"/>
        <v>#VALUE!</v>
      </c>
      <c r="AK21" s="28"/>
      <c r="AL21" s="7" t="e">
        <f t="shared" si="8"/>
        <v>#VALUE!</v>
      </c>
      <c r="AM21" s="28"/>
      <c r="AN21" s="7" t="e">
        <f t="shared" si="9"/>
        <v>#VALUE!</v>
      </c>
      <c r="AO21" s="28"/>
      <c r="AP21" s="7">
        <f t="shared" si="10"/>
        <v>2</v>
      </c>
      <c r="AQ21" s="28" t="s">
        <v>2301</v>
      </c>
      <c r="AR21" s="7"/>
      <c r="AS21" s="7"/>
      <c r="AT21" s="7"/>
      <c r="AU21" s="7"/>
      <c r="AV21" s="7">
        <f t="shared" si="11"/>
        <v>4617</v>
      </c>
      <c r="AW21" s="28" t="s">
        <v>2302</v>
      </c>
      <c r="AX21" s="7">
        <v>1</v>
      </c>
      <c r="AY21" s="7" t="e">
        <f t="shared" si="12"/>
        <v>#VALUE!</v>
      </c>
      <c r="AZ21" s="28"/>
      <c r="BA21" s="7">
        <v>0</v>
      </c>
      <c r="BB21" s="7">
        <v>10</v>
      </c>
      <c r="BC21" s="7">
        <v>0</v>
      </c>
      <c r="BD21" s="7">
        <v>10</v>
      </c>
      <c r="BE21" s="7"/>
      <c r="BF21" s="7" t="e">
        <f t="shared" si="13"/>
        <v>#VALUE!</v>
      </c>
      <c r="BG21" s="28"/>
      <c r="BH21" s="7" t="e">
        <f t="shared" si="14"/>
        <v>#VALUE!</v>
      </c>
      <c r="BI21" s="28"/>
      <c r="BJ21" s="7" t="e">
        <f t="shared" si="15"/>
        <v>#VALUE!</v>
      </c>
      <c r="BK21" s="28"/>
      <c r="BL21" s="7"/>
      <c r="BM21" s="7"/>
      <c r="BN21" s="7" t="e">
        <f t="shared" si="16"/>
        <v>#VALUE!</v>
      </c>
      <c r="BO21" s="28"/>
      <c r="BP21" s="7" t="e">
        <f t="shared" si="17"/>
        <v>#VALUE!</v>
      </c>
      <c r="BQ21" s="28"/>
      <c r="BR21" s="7"/>
      <c r="BS21" s="7" t="e">
        <f t="shared" si="18"/>
        <v>#VALUE!</v>
      </c>
      <c r="BT21" s="28"/>
      <c r="BU21" s="7"/>
      <c r="BV21" s="7" t="e">
        <f ca="1">[1]!tメーカー名(BU21)</f>
        <v>#NAME?</v>
      </c>
      <c r="BW21" s="7" t="e">
        <f t="shared" si="19"/>
        <v>#VALUE!</v>
      </c>
      <c r="BX21" s="28"/>
      <c r="BY21" s="7" t="e">
        <f t="shared" si="20"/>
        <v>#VALUE!</v>
      </c>
      <c r="BZ21" s="28"/>
      <c r="CA21" s="54"/>
      <c r="CB21" s="54"/>
      <c r="CC21" s="7" t="e">
        <f t="shared" si="21"/>
        <v>#VALUE!</v>
      </c>
      <c r="CD21" s="28"/>
      <c r="CE21" s="7" t="e">
        <f t="shared" si="22"/>
        <v>#VALUE!</v>
      </c>
      <c r="CF21" s="28"/>
      <c r="CG21" s="7" t="e">
        <f t="shared" si="23"/>
        <v>#VALUE!</v>
      </c>
      <c r="CH21" s="28"/>
      <c r="CI21" s="7" t="e">
        <f t="shared" si="24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6">
        <f t="shared" si="3"/>
        <v>0</v>
      </c>
      <c r="CT21" s="7"/>
      <c r="CU21" s="7"/>
      <c r="CV21" s="97"/>
      <c r="CW21" s="97"/>
      <c r="CX21" s="97"/>
      <c r="CY21" s="98"/>
      <c r="CZ21" s="98"/>
      <c r="DA21" s="97"/>
      <c r="DB21" s="98"/>
      <c r="DC21" s="97"/>
      <c r="DD21" s="97"/>
      <c r="DE21" s="97" t="s">
        <v>1682</v>
      </c>
      <c r="DF21" s="98"/>
      <c r="DG21" s="98"/>
      <c r="DH21" s="98"/>
      <c r="DI21" s="98"/>
      <c r="DJ21" s="98"/>
      <c r="DK21" s="98"/>
      <c r="DL21" s="98"/>
      <c r="DM21" s="97"/>
      <c r="DN21" s="97"/>
      <c r="DO21" s="97"/>
      <c r="DP21" s="97"/>
      <c r="DQ21" s="97"/>
      <c r="DR21" s="97"/>
      <c r="DS21" s="97"/>
      <c r="DT21" s="99"/>
      <c r="DU21" s="98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7"/>
      <c r="FV21" s="97"/>
      <c r="FW21" s="97"/>
      <c r="FX21" s="97"/>
      <c r="FY21" s="6"/>
      <c r="FZ21" s="7" t="str">
        <f>IF(FY21="","",VLOOKUP(FY21,MT商品ﾏｽﾀ参照シート!AM:AN,2,0))</f>
        <v/>
      </c>
      <c r="GA21" s="8"/>
      <c r="GB21" s="8"/>
      <c r="GC21" s="8"/>
      <c r="GD21" s="8"/>
      <c r="GE21" s="58"/>
      <c r="GF21" s="7" t="str">
        <f>IF(GE21="","",VLOOKUP(GE21,MT商品ﾏｽﾀ参照シート!AO:AP,2,0))</f>
        <v/>
      </c>
      <c r="GG21" s="7"/>
      <c r="GH21" s="7"/>
      <c r="GI21" s="7"/>
      <c r="GJ21" s="7"/>
      <c r="GK21" s="49"/>
      <c r="GL21" s="6"/>
      <c r="GM21" s="6"/>
      <c r="GN21" s="7"/>
      <c r="GO21" s="7"/>
      <c r="GP21" s="7"/>
      <c r="GQ21" s="7"/>
      <c r="GR21" s="7">
        <v>2975</v>
      </c>
      <c r="GS21" s="7">
        <v>3500</v>
      </c>
      <c r="GT21" s="7">
        <v>3500</v>
      </c>
      <c r="GU21" s="7">
        <v>3500</v>
      </c>
      <c r="GV21" s="7">
        <v>3500</v>
      </c>
      <c r="GW21" s="8"/>
      <c r="GX21" s="8"/>
      <c r="GY21" s="8"/>
      <c r="GZ21" s="8"/>
      <c r="HA21" s="8"/>
      <c r="HB21" s="8"/>
      <c r="HC21" s="8"/>
      <c r="HD21" s="8"/>
      <c r="HE21" s="58"/>
      <c r="HF21" s="58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82"/>
      <c r="HR21" s="82"/>
      <c r="HS21" s="82"/>
      <c r="HT21" s="26"/>
      <c r="HU21" s="23"/>
      <c r="HV21" s="23"/>
      <c r="HW21" s="24"/>
      <c r="HX21" s="24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76"/>
      <c r="IY21" s="76"/>
      <c r="IZ21" s="76"/>
      <c r="JA21" s="71"/>
      <c r="JB21" s="71"/>
      <c r="JC21" s="72"/>
      <c r="JD21" s="72"/>
      <c r="JE21" s="72"/>
      <c r="JF21" s="72"/>
      <c r="JG21" s="72"/>
      <c r="JH21" s="72"/>
      <c r="JI21" s="71"/>
      <c r="JJ21" s="71"/>
      <c r="JK21" s="72"/>
      <c r="JL21" s="72"/>
      <c r="JM21" s="72"/>
      <c r="JN21" s="72"/>
    </row>
    <row r="22" spans="1:274" ht="13.5" customHeight="1">
      <c r="A22" s="7">
        <v>10</v>
      </c>
      <c r="B22" s="7"/>
      <c r="C22" s="7" t="e">
        <f t="shared" si="25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/>
      <c r="L22" s="7"/>
      <c r="M22" s="7"/>
      <c r="N22" s="7"/>
      <c r="O22" s="7"/>
      <c r="P22" s="7"/>
      <c r="Q22" s="53"/>
      <c r="R22" s="7"/>
      <c r="S22" s="7"/>
      <c r="T22" s="53"/>
      <c r="U22" s="7"/>
      <c r="V22" s="7" t="e">
        <f t="shared" si="4"/>
        <v>#VALUE!</v>
      </c>
      <c r="W22" s="28"/>
      <c r="X22" s="7" t="e">
        <f t="shared" si="4"/>
        <v>#VALUE!</v>
      </c>
      <c r="Y22" s="28"/>
      <c r="Z22" s="7" t="e">
        <f t="shared" si="5"/>
        <v>#VALUE!</v>
      </c>
      <c r="AA22" s="28"/>
      <c r="AB22" s="7"/>
      <c r="AC22" s="7"/>
      <c r="AD22" s="7"/>
      <c r="AE22" s="7"/>
      <c r="AF22" s="7">
        <v>0</v>
      </c>
      <c r="AG22" s="7" t="e">
        <f t="shared" si="6"/>
        <v>#VALUE!</v>
      </c>
      <c r="AH22" s="28"/>
      <c r="AI22" s="7"/>
      <c r="AJ22" s="7" t="e">
        <f t="shared" si="7"/>
        <v>#VALUE!</v>
      </c>
      <c r="AK22" s="28"/>
      <c r="AL22" s="7" t="e">
        <f t="shared" si="8"/>
        <v>#VALUE!</v>
      </c>
      <c r="AM22" s="28"/>
      <c r="AN22" s="7" t="e">
        <f t="shared" si="9"/>
        <v>#VALUE!</v>
      </c>
      <c r="AO22" s="28"/>
      <c r="AP22" s="7">
        <f t="shared" si="10"/>
        <v>2</v>
      </c>
      <c r="AQ22" s="28" t="s">
        <v>2301</v>
      </c>
      <c r="AR22" s="7"/>
      <c r="AS22" s="7"/>
      <c r="AT22" s="7"/>
      <c r="AU22" s="7"/>
      <c r="AV22" s="7">
        <f t="shared" si="11"/>
        <v>4617</v>
      </c>
      <c r="AW22" s="28" t="s">
        <v>2302</v>
      </c>
      <c r="AX22" s="7">
        <v>1</v>
      </c>
      <c r="AY22" s="7" t="e">
        <f t="shared" si="12"/>
        <v>#VALUE!</v>
      </c>
      <c r="AZ22" s="28"/>
      <c r="BA22" s="7">
        <v>0</v>
      </c>
      <c r="BB22" s="7">
        <v>10</v>
      </c>
      <c r="BC22" s="7">
        <v>0</v>
      </c>
      <c r="BD22" s="7">
        <v>10</v>
      </c>
      <c r="BE22" s="7"/>
      <c r="BF22" s="7" t="e">
        <f t="shared" si="13"/>
        <v>#VALUE!</v>
      </c>
      <c r="BG22" s="28"/>
      <c r="BH22" s="7" t="e">
        <f t="shared" si="14"/>
        <v>#VALUE!</v>
      </c>
      <c r="BI22" s="28"/>
      <c r="BJ22" s="7" t="e">
        <f t="shared" si="15"/>
        <v>#VALUE!</v>
      </c>
      <c r="BK22" s="28"/>
      <c r="BL22" s="7"/>
      <c r="BM22" s="7"/>
      <c r="BN22" s="7" t="e">
        <f t="shared" si="16"/>
        <v>#VALUE!</v>
      </c>
      <c r="BO22" s="28"/>
      <c r="BP22" s="7" t="e">
        <f t="shared" si="17"/>
        <v>#VALUE!</v>
      </c>
      <c r="BQ22" s="28"/>
      <c r="BR22" s="7"/>
      <c r="BS22" s="7" t="e">
        <f t="shared" si="18"/>
        <v>#VALUE!</v>
      </c>
      <c r="BT22" s="28"/>
      <c r="BU22" s="7"/>
      <c r="BV22" s="7" t="e">
        <f ca="1">[1]!tメーカー名(BU22)</f>
        <v>#NAME?</v>
      </c>
      <c r="BW22" s="7" t="e">
        <f t="shared" si="19"/>
        <v>#VALUE!</v>
      </c>
      <c r="BX22" s="28"/>
      <c r="BY22" s="7" t="e">
        <f t="shared" si="20"/>
        <v>#VALUE!</v>
      </c>
      <c r="BZ22" s="28"/>
      <c r="CA22" s="54"/>
      <c r="CB22" s="54"/>
      <c r="CC22" s="7" t="e">
        <f t="shared" si="21"/>
        <v>#VALUE!</v>
      </c>
      <c r="CD22" s="28"/>
      <c r="CE22" s="7" t="e">
        <f t="shared" si="22"/>
        <v>#VALUE!</v>
      </c>
      <c r="CF22" s="28"/>
      <c r="CG22" s="7" t="e">
        <f t="shared" si="23"/>
        <v>#VALUE!</v>
      </c>
      <c r="CH22" s="28"/>
      <c r="CI22" s="7" t="e">
        <f t="shared" si="24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6">
        <f t="shared" si="3"/>
        <v>0</v>
      </c>
      <c r="CT22" s="7"/>
      <c r="CU22" s="7"/>
      <c r="CV22" s="97"/>
      <c r="CW22" s="97"/>
      <c r="CX22" s="97"/>
      <c r="CY22" s="98"/>
      <c r="CZ22" s="98"/>
      <c r="DA22" s="97"/>
      <c r="DB22" s="98"/>
      <c r="DC22" s="97"/>
      <c r="DD22" s="97"/>
      <c r="DE22" s="97" t="s">
        <v>1682</v>
      </c>
      <c r="DF22" s="98"/>
      <c r="DG22" s="98"/>
      <c r="DH22" s="98"/>
      <c r="DI22" s="98"/>
      <c r="DJ22" s="98"/>
      <c r="DK22" s="98"/>
      <c r="DL22" s="98"/>
      <c r="DM22" s="97"/>
      <c r="DN22" s="97"/>
      <c r="DO22" s="97"/>
      <c r="DP22" s="97"/>
      <c r="DQ22" s="97"/>
      <c r="DR22" s="97"/>
      <c r="DS22" s="97"/>
      <c r="DT22" s="99"/>
      <c r="DU22" s="98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7"/>
      <c r="FV22" s="97"/>
      <c r="FW22" s="97"/>
      <c r="FX22" s="97"/>
      <c r="FY22" s="6"/>
      <c r="FZ22" s="7" t="str">
        <f>IF(FY22="","",VLOOKUP(FY22,MT商品ﾏｽﾀ参照シート!AM:AN,2,0))</f>
        <v/>
      </c>
      <c r="GA22" s="8"/>
      <c r="GB22" s="8"/>
      <c r="GC22" s="8"/>
      <c r="GD22" s="8"/>
      <c r="GE22" s="58"/>
      <c r="GF22" s="7" t="str">
        <f>IF(GE22="","",VLOOKUP(GE22,MT商品ﾏｽﾀ参照シート!AO:AP,2,0))</f>
        <v/>
      </c>
      <c r="GG22" s="7"/>
      <c r="GH22" s="7"/>
      <c r="GI22" s="7"/>
      <c r="GJ22" s="7"/>
      <c r="GK22" s="49"/>
      <c r="GL22" s="6"/>
      <c r="GM22" s="6"/>
      <c r="GN22" s="7"/>
      <c r="GO22" s="7"/>
      <c r="GP22" s="7"/>
      <c r="GQ22" s="7"/>
      <c r="GR22" s="7">
        <v>3910</v>
      </c>
      <c r="GS22" s="7">
        <v>4600</v>
      </c>
      <c r="GT22" s="7">
        <v>4600</v>
      </c>
      <c r="GU22" s="7">
        <v>4600</v>
      </c>
      <c r="GV22" s="7">
        <v>4600</v>
      </c>
      <c r="GW22" s="8"/>
      <c r="GX22" s="8"/>
      <c r="GY22" s="8"/>
      <c r="GZ22" s="8"/>
      <c r="HA22" s="8"/>
      <c r="HB22" s="8"/>
      <c r="HC22" s="8"/>
      <c r="HD22" s="8"/>
      <c r="HE22" s="58"/>
      <c r="HF22" s="58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82"/>
      <c r="HR22" s="82"/>
      <c r="HS22" s="82"/>
      <c r="HT22" s="26"/>
      <c r="HU22" s="23"/>
      <c r="HV22" s="23"/>
      <c r="HW22" s="24"/>
      <c r="HX22" s="24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76"/>
      <c r="IY22" s="76"/>
      <c r="IZ22" s="76"/>
      <c r="JA22" s="71"/>
      <c r="JB22" s="71"/>
      <c r="JC22" s="72"/>
      <c r="JD22" s="72"/>
      <c r="JE22" s="72"/>
      <c r="JF22" s="72"/>
      <c r="JG22" s="72"/>
      <c r="JH22" s="72"/>
      <c r="JI22" s="71"/>
      <c r="JJ22" s="71"/>
      <c r="JK22" s="72"/>
      <c r="JL22" s="72"/>
      <c r="JM22" s="72"/>
      <c r="JN22" s="72"/>
    </row>
    <row r="23" spans="1:274" ht="13.5" customHeight="1">
      <c r="A23" s="7">
        <v>11</v>
      </c>
      <c r="B23" s="7"/>
      <c r="C23" s="7" t="e">
        <f t="shared" si="25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/>
      <c r="L23" s="7"/>
      <c r="M23" s="7"/>
      <c r="N23" s="7"/>
      <c r="O23" s="7"/>
      <c r="P23" s="7"/>
      <c r="Q23" s="53"/>
      <c r="R23" s="7"/>
      <c r="S23" s="7"/>
      <c r="T23" s="53"/>
      <c r="U23" s="7"/>
      <c r="V23" s="7" t="e">
        <f t="shared" si="4"/>
        <v>#VALUE!</v>
      </c>
      <c r="W23" s="28"/>
      <c r="X23" s="7" t="e">
        <f t="shared" si="4"/>
        <v>#VALUE!</v>
      </c>
      <c r="Y23" s="28"/>
      <c r="Z23" s="7" t="e">
        <f t="shared" si="5"/>
        <v>#VALUE!</v>
      </c>
      <c r="AA23" s="28"/>
      <c r="AB23" s="7"/>
      <c r="AC23" s="7"/>
      <c r="AD23" s="7"/>
      <c r="AE23" s="7"/>
      <c r="AF23" s="7">
        <v>0</v>
      </c>
      <c r="AG23" s="7" t="e">
        <f t="shared" si="6"/>
        <v>#VALUE!</v>
      </c>
      <c r="AH23" s="28"/>
      <c r="AI23" s="7"/>
      <c r="AJ23" s="7" t="e">
        <f t="shared" si="7"/>
        <v>#VALUE!</v>
      </c>
      <c r="AK23" s="28"/>
      <c r="AL23" s="7" t="e">
        <f t="shared" si="8"/>
        <v>#VALUE!</v>
      </c>
      <c r="AM23" s="28"/>
      <c r="AN23" s="7" t="e">
        <f t="shared" si="9"/>
        <v>#VALUE!</v>
      </c>
      <c r="AO23" s="28"/>
      <c r="AP23" s="7">
        <f t="shared" si="10"/>
        <v>2</v>
      </c>
      <c r="AQ23" s="28" t="s">
        <v>2301</v>
      </c>
      <c r="AR23" s="7"/>
      <c r="AS23" s="7"/>
      <c r="AT23" s="7"/>
      <c r="AU23" s="7"/>
      <c r="AV23" s="7">
        <f t="shared" si="11"/>
        <v>4617</v>
      </c>
      <c r="AW23" s="28" t="s">
        <v>2302</v>
      </c>
      <c r="AX23" s="7">
        <v>1</v>
      </c>
      <c r="AY23" s="7" t="e">
        <f t="shared" si="12"/>
        <v>#VALUE!</v>
      </c>
      <c r="AZ23" s="28"/>
      <c r="BA23" s="7">
        <v>0</v>
      </c>
      <c r="BB23" s="7">
        <v>10</v>
      </c>
      <c r="BC23" s="7">
        <v>0</v>
      </c>
      <c r="BD23" s="7">
        <v>10</v>
      </c>
      <c r="BE23" s="7"/>
      <c r="BF23" s="7" t="e">
        <f t="shared" si="13"/>
        <v>#VALUE!</v>
      </c>
      <c r="BG23" s="28"/>
      <c r="BH23" s="7" t="e">
        <f t="shared" si="14"/>
        <v>#VALUE!</v>
      </c>
      <c r="BI23" s="28"/>
      <c r="BJ23" s="7" t="e">
        <f t="shared" si="15"/>
        <v>#VALUE!</v>
      </c>
      <c r="BK23" s="28"/>
      <c r="BL23" s="7"/>
      <c r="BM23" s="7"/>
      <c r="BN23" s="7" t="e">
        <f t="shared" si="16"/>
        <v>#VALUE!</v>
      </c>
      <c r="BO23" s="28"/>
      <c r="BP23" s="7" t="e">
        <f t="shared" si="17"/>
        <v>#VALUE!</v>
      </c>
      <c r="BQ23" s="28"/>
      <c r="BR23" s="7"/>
      <c r="BS23" s="7" t="e">
        <f t="shared" si="18"/>
        <v>#VALUE!</v>
      </c>
      <c r="BT23" s="28"/>
      <c r="BU23" s="7"/>
      <c r="BV23" s="7" t="e">
        <f ca="1">[1]!tメーカー名(BU23)</f>
        <v>#NAME?</v>
      </c>
      <c r="BW23" s="7" t="e">
        <f t="shared" si="19"/>
        <v>#VALUE!</v>
      </c>
      <c r="BX23" s="28"/>
      <c r="BY23" s="7" t="e">
        <f t="shared" si="20"/>
        <v>#VALUE!</v>
      </c>
      <c r="BZ23" s="28"/>
      <c r="CA23" s="54"/>
      <c r="CB23" s="54"/>
      <c r="CC23" s="7" t="e">
        <f t="shared" si="21"/>
        <v>#VALUE!</v>
      </c>
      <c r="CD23" s="28"/>
      <c r="CE23" s="7" t="e">
        <f t="shared" si="22"/>
        <v>#VALUE!</v>
      </c>
      <c r="CF23" s="28"/>
      <c r="CG23" s="7" t="e">
        <f t="shared" si="23"/>
        <v>#VALUE!</v>
      </c>
      <c r="CH23" s="28"/>
      <c r="CI23" s="7" t="e">
        <f t="shared" si="24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6">
        <f t="shared" si="3"/>
        <v>0</v>
      </c>
      <c r="CT23" s="7"/>
      <c r="CU23" s="7"/>
      <c r="CV23" s="97"/>
      <c r="CW23" s="97"/>
      <c r="CX23" s="97"/>
      <c r="CY23" s="98"/>
      <c r="CZ23" s="98"/>
      <c r="DA23" s="97"/>
      <c r="DB23" s="98"/>
      <c r="DC23" s="97"/>
      <c r="DD23" s="97"/>
      <c r="DE23" s="97" t="s">
        <v>1682</v>
      </c>
      <c r="DF23" s="98"/>
      <c r="DG23" s="98"/>
      <c r="DH23" s="98"/>
      <c r="DI23" s="98"/>
      <c r="DJ23" s="98"/>
      <c r="DK23" s="98"/>
      <c r="DL23" s="98"/>
      <c r="DM23" s="97"/>
      <c r="DN23" s="97"/>
      <c r="DO23" s="97"/>
      <c r="DP23" s="97"/>
      <c r="DQ23" s="97"/>
      <c r="DR23" s="97"/>
      <c r="DS23" s="97"/>
      <c r="DT23" s="99"/>
      <c r="DU23" s="98"/>
      <c r="DV23" s="97"/>
      <c r="DW23" s="97"/>
      <c r="DX23" s="97"/>
      <c r="DY23" s="97"/>
      <c r="DZ23" s="97"/>
      <c r="EA23" s="97"/>
      <c r="EB23" s="97"/>
      <c r="EC23" s="97"/>
      <c r="ED23" s="97"/>
      <c r="EE23" s="97"/>
      <c r="EF23" s="97"/>
      <c r="EG23" s="97"/>
      <c r="EH23" s="97"/>
      <c r="EI23" s="97"/>
      <c r="EJ23" s="97"/>
      <c r="EK23" s="97"/>
      <c r="EL23" s="97"/>
      <c r="EM23" s="97"/>
      <c r="EN23" s="97"/>
      <c r="EO23" s="97"/>
      <c r="EP23" s="97"/>
      <c r="EQ23" s="97"/>
      <c r="ER23" s="97"/>
      <c r="ES23" s="97"/>
      <c r="ET23" s="97"/>
      <c r="EU23" s="97"/>
      <c r="EV23" s="97"/>
      <c r="EW23" s="97"/>
      <c r="EX23" s="97"/>
      <c r="EY23" s="97"/>
      <c r="EZ23" s="97"/>
      <c r="FA23" s="97"/>
      <c r="FB23" s="97"/>
      <c r="FC23" s="97"/>
      <c r="FD23" s="97"/>
      <c r="FE23" s="97"/>
      <c r="FF23" s="97"/>
      <c r="FG23" s="97"/>
      <c r="FH23" s="97"/>
      <c r="FI23" s="97"/>
      <c r="FJ23" s="97"/>
      <c r="FK23" s="97"/>
      <c r="FL23" s="97"/>
      <c r="FM23" s="97"/>
      <c r="FN23" s="97"/>
      <c r="FO23" s="97"/>
      <c r="FP23" s="97"/>
      <c r="FQ23" s="97"/>
      <c r="FR23" s="97"/>
      <c r="FS23" s="97"/>
      <c r="FT23" s="97"/>
      <c r="FU23" s="97"/>
      <c r="FV23" s="97"/>
      <c r="FW23" s="97"/>
      <c r="FX23" s="97"/>
      <c r="FY23" s="6"/>
      <c r="FZ23" s="7" t="str">
        <f>IF(FY23="","",VLOOKUP(FY23,MT商品ﾏｽﾀ参照シート!AM:AN,2,0))</f>
        <v/>
      </c>
      <c r="GA23" s="8"/>
      <c r="GB23" s="8"/>
      <c r="GC23" s="8"/>
      <c r="GD23" s="8"/>
      <c r="GE23" s="58"/>
      <c r="GF23" s="7" t="str">
        <f>IF(GE23="","",VLOOKUP(GE23,MT商品ﾏｽﾀ参照シート!AO:AP,2,0))</f>
        <v/>
      </c>
      <c r="GG23" s="7"/>
      <c r="GH23" s="7"/>
      <c r="GI23" s="7"/>
      <c r="GJ23" s="7"/>
      <c r="GK23" s="49"/>
      <c r="GL23" s="6"/>
      <c r="GM23" s="6"/>
      <c r="GN23" s="7"/>
      <c r="GO23" s="7"/>
      <c r="GP23" s="7"/>
      <c r="GQ23" s="7"/>
      <c r="GR23" s="7">
        <v>2975</v>
      </c>
      <c r="GS23" s="7">
        <v>3500</v>
      </c>
      <c r="GT23" s="7">
        <v>3500</v>
      </c>
      <c r="GU23" s="7">
        <v>3500</v>
      </c>
      <c r="GV23" s="7">
        <v>3500</v>
      </c>
      <c r="GW23" s="8"/>
      <c r="GX23" s="8"/>
      <c r="GY23" s="8"/>
      <c r="GZ23" s="8"/>
      <c r="HA23" s="8"/>
      <c r="HB23" s="8"/>
      <c r="HC23" s="8"/>
      <c r="HD23" s="8"/>
      <c r="HE23" s="58"/>
      <c r="HF23" s="58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82"/>
      <c r="HR23" s="82"/>
      <c r="HS23" s="82"/>
      <c r="HT23" s="26"/>
      <c r="HU23" s="23"/>
      <c r="HV23" s="23"/>
      <c r="HW23" s="24"/>
      <c r="HX23" s="24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76"/>
      <c r="IY23" s="76"/>
      <c r="IZ23" s="76"/>
      <c r="JA23" s="71"/>
      <c r="JB23" s="71"/>
      <c r="JC23" s="72"/>
      <c r="JD23" s="72"/>
      <c r="JE23" s="72"/>
      <c r="JF23" s="72"/>
      <c r="JG23" s="72"/>
      <c r="JH23" s="72"/>
      <c r="JI23" s="71"/>
      <c r="JJ23" s="71"/>
      <c r="JK23" s="72"/>
      <c r="JL23" s="72"/>
      <c r="JM23" s="72"/>
      <c r="JN23" s="72"/>
    </row>
    <row r="24" spans="1:274" ht="13.5" customHeight="1">
      <c r="A24" s="7">
        <v>12</v>
      </c>
      <c r="B24" s="7"/>
      <c r="C24" s="7" t="e">
        <f t="shared" si="25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/>
      <c r="L24" s="7"/>
      <c r="M24" s="7"/>
      <c r="N24" s="7"/>
      <c r="O24" s="7"/>
      <c r="P24" s="7"/>
      <c r="Q24" s="53"/>
      <c r="R24" s="7"/>
      <c r="S24" s="7"/>
      <c r="T24" s="53"/>
      <c r="U24" s="7"/>
      <c r="V24" s="7" t="e">
        <f t="shared" si="4"/>
        <v>#VALUE!</v>
      </c>
      <c r="W24" s="28"/>
      <c r="X24" s="7" t="e">
        <f t="shared" si="4"/>
        <v>#VALUE!</v>
      </c>
      <c r="Y24" s="28"/>
      <c r="Z24" s="7" t="e">
        <f t="shared" si="5"/>
        <v>#VALUE!</v>
      </c>
      <c r="AA24" s="28"/>
      <c r="AB24" s="7"/>
      <c r="AC24" s="7"/>
      <c r="AD24" s="7"/>
      <c r="AE24" s="7"/>
      <c r="AF24" s="7">
        <v>0</v>
      </c>
      <c r="AG24" s="7" t="e">
        <f t="shared" si="6"/>
        <v>#VALUE!</v>
      </c>
      <c r="AH24" s="28"/>
      <c r="AI24" s="7"/>
      <c r="AJ24" s="7" t="e">
        <f t="shared" si="7"/>
        <v>#VALUE!</v>
      </c>
      <c r="AK24" s="28"/>
      <c r="AL24" s="7" t="e">
        <f t="shared" si="8"/>
        <v>#VALUE!</v>
      </c>
      <c r="AM24" s="28"/>
      <c r="AN24" s="7" t="e">
        <f t="shared" si="9"/>
        <v>#VALUE!</v>
      </c>
      <c r="AO24" s="28"/>
      <c r="AP24" s="7">
        <f t="shared" si="10"/>
        <v>2</v>
      </c>
      <c r="AQ24" s="28" t="s">
        <v>2301</v>
      </c>
      <c r="AR24" s="7"/>
      <c r="AS24" s="7"/>
      <c r="AT24" s="7"/>
      <c r="AU24" s="7"/>
      <c r="AV24" s="7">
        <f t="shared" si="11"/>
        <v>4617</v>
      </c>
      <c r="AW24" s="28" t="s">
        <v>2302</v>
      </c>
      <c r="AX24" s="7">
        <v>1</v>
      </c>
      <c r="AY24" s="7" t="e">
        <f t="shared" si="12"/>
        <v>#VALUE!</v>
      </c>
      <c r="AZ24" s="28"/>
      <c r="BA24" s="7">
        <v>0</v>
      </c>
      <c r="BB24" s="7">
        <v>10</v>
      </c>
      <c r="BC24" s="7">
        <v>0</v>
      </c>
      <c r="BD24" s="7">
        <v>10</v>
      </c>
      <c r="BE24" s="7"/>
      <c r="BF24" s="7" t="e">
        <f t="shared" si="13"/>
        <v>#VALUE!</v>
      </c>
      <c r="BG24" s="28"/>
      <c r="BH24" s="7" t="e">
        <f t="shared" si="14"/>
        <v>#VALUE!</v>
      </c>
      <c r="BI24" s="28"/>
      <c r="BJ24" s="7" t="e">
        <f t="shared" si="15"/>
        <v>#VALUE!</v>
      </c>
      <c r="BK24" s="28"/>
      <c r="BL24" s="7"/>
      <c r="BM24" s="7"/>
      <c r="BN24" s="7" t="e">
        <f t="shared" si="16"/>
        <v>#VALUE!</v>
      </c>
      <c r="BO24" s="28"/>
      <c r="BP24" s="7" t="e">
        <f t="shared" si="17"/>
        <v>#VALUE!</v>
      </c>
      <c r="BQ24" s="28"/>
      <c r="BR24" s="7"/>
      <c r="BS24" s="7" t="e">
        <f t="shared" si="18"/>
        <v>#VALUE!</v>
      </c>
      <c r="BT24" s="28"/>
      <c r="BU24" s="7"/>
      <c r="BV24" s="7" t="e">
        <f ca="1">[1]!tメーカー名(BU24)</f>
        <v>#NAME?</v>
      </c>
      <c r="BW24" s="7" t="e">
        <f t="shared" si="19"/>
        <v>#VALUE!</v>
      </c>
      <c r="BX24" s="28"/>
      <c r="BY24" s="7" t="e">
        <f t="shared" si="20"/>
        <v>#VALUE!</v>
      </c>
      <c r="BZ24" s="28"/>
      <c r="CA24" s="54"/>
      <c r="CB24" s="54"/>
      <c r="CC24" s="7" t="e">
        <f t="shared" si="21"/>
        <v>#VALUE!</v>
      </c>
      <c r="CD24" s="28"/>
      <c r="CE24" s="7" t="e">
        <f t="shared" si="22"/>
        <v>#VALUE!</v>
      </c>
      <c r="CF24" s="28"/>
      <c r="CG24" s="7" t="e">
        <f t="shared" si="23"/>
        <v>#VALUE!</v>
      </c>
      <c r="CH24" s="28"/>
      <c r="CI24" s="7" t="e">
        <f t="shared" si="24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6">
        <f t="shared" si="3"/>
        <v>0</v>
      </c>
      <c r="CT24" s="7"/>
      <c r="CU24" s="7"/>
      <c r="CV24" s="97"/>
      <c r="CW24" s="97"/>
      <c r="CX24" s="97"/>
      <c r="CY24" s="98"/>
      <c r="CZ24" s="98"/>
      <c r="DA24" s="97"/>
      <c r="DB24" s="98"/>
      <c r="DC24" s="97"/>
      <c r="DD24" s="97"/>
      <c r="DE24" s="97" t="s">
        <v>1682</v>
      </c>
      <c r="DF24" s="98"/>
      <c r="DG24" s="98"/>
      <c r="DH24" s="98"/>
      <c r="DI24" s="98"/>
      <c r="DJ24" s="98"/>
      <c r="DK24" s="98"/>
      <c r="DL24" s="98"/>
      <c r="DM24" s="97"/>
      <c r="DN24" s="97"/>
      <c r="DO24" s="97"/>
      <c r="DP24" s="97"/>
      <c r="DQ24" s="97"/>
      <c r="DR24" s="97"/>
      <c r="DS24" s="97"/>
      <c r="DT24" s="99"/>
      <c r="DU24" s="98"/>
      <c r="DV24" s="97"/>
      <c r="DW24" s="97"/>
      <c r="DX24" s="97"/>
      <c r="DY24" s="97"/>
      <c r="DZ24" s="97"/>
      <c r="EA24" s="97"/>
      <c r="EB24" s="97"/>
      <c r="EC24" s="97"/>
      <c r="ED24" s="97"/>
      <c r="EE24" s="97"/>
      <c r="EF24" s="97"/>
      <c r="EG24" s="97"/>
      <c r="EH24" s="97"/>
      <c r="EI24" s="97"/>
      <c r="EJ24" s="97"/>
      <c r="EK24" s="97"/>
      <c r="EL24" s="97"/>
      <c r="EM24" s="97"/>
      <c r="EN24" s="97"/>
      <c r="EO24" s="97"/>
      <c r="EP24" s="97"/>
      <c r="EQ24" s="97"/>
      <c r="ER24" s="97"/>
      <c r="ES24" s="97"/>
      <c r="ET24" s="97"/>
      <c r="EU24" s="97"/>
      <c r="EV24" s="97"/>
      <c r="EW24" s="97"/>
      <c r="EX24" s="97"/>
      <c r="EY24" s="97"/>
      <c r="EZ24" s="97"/>
      <c r="FA24" s="97"/>
      <c r="FB24" s="97"/>
      <c r="FC24" s="97"/>
      <c r="FD24" s="97"/>
      <c r="FE24" s="97"/>
      <c r="FF24" s="97"/>
      <c r="FG24" s="97"/>
      <c r="FH24" s="97"/>
      <c r="FI24" s="97"/>
      <c r="FJ24" s="97"/>
      <c r="FK24" s="97"/>
      <c r="FL24" s="97"/>
      <c r="FM24" s="97"/>
      <c r="FN24" s="97"/>
      <c r="FO24" s="97"/>
      <c r="FP24" s="97"/>
      <c r="FQ24" s="97"/>
      <c r="FR24" s="97"/>
      <c r="FS24" s="97"/>
      <c r="FT24" s="97"/>
      <c r="FU24" s="97"/>
      <c r="FV24" s="97"/>
      <c r="FW24" s="97"/>
      <c r="FX24" s="97"/>
      <c r="FY24" s="6"/>
      <c r="FZ24" s="7" t="str">
        <f>IF(FY24="","",VLOOKUP(FY24,MT商品ﾏｽﾀ参照シート!AM:AN,2,0))</f>
        <v/>
      </c>
      <c r="GA24" s="8"/>
      <c r="GB24" s="8"/>
      <c r="GC24" s="8"/>
      <c r="GD24" s="8"/>
      <c r="GE24" s="58"/>
      <c r="GF24" s="7" t="str">
        <f>IF(GE24="","",VLOOKUP(GE24,MT商品ﾏｽﾀ参照シート!AO:AP,2,0))</f>
        <v/>
      </c>
      <c r="GG24" s="7"/>
      <c r="GH24" s="7"/>
      <c r="GI24" s="7"/>
      <c r="GJ24" s="7"/>
      <c r="GK24" s="49"/>
      <c r="GL24" s="6"/>
      <c r="GM24" s="6"/>
      <c r="GN24" s="7"/>
      <c r="GO24" s="7"/>
      <c r="GP24" s="7"/>
      <c r="GQ24" s="7"/>
      <c r="GR24" s="7">
        <v>2890</v>
      </c>
      <c r="GS24" s="7">
        <v>3400</v>
      </c>
      <c r="GT24" s="7">
        <v>3400</v>
      </c>
      <c r="GU24" s="7">
        <v>3400</v>
      </c>
      <c r="GV24" s="7">
        <v>3400</v>
      </c>
      <c r="GW24" s="8"/>
      <c r="GX24" s="8"/>
      <c r="GY24" s="8"/>
      <c r="GZ24" s="8"/>
      <c r="HA24" s="8"/>
      <c r="HB24" s="8"/>
      <c r="HC24" s="8"/>
      <c r="HD24" s="8"/>
      <c r="HE24" s="58"/>
      <c r="HF24" s="58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82"/>
      <c r="HR24" s="82"/>
      <c r="HS24" s="82"/>
      <c r="HT24" s="26"/>
      <c r="HU24" s="23"/>
      <c r="HV24" s="23"/>
      <c r="HW24" s="24"/>
      <c r="HX24" s="24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76"/>
      <c r="IY24" s="76"/>
      <c r="IZ24" s="76"/>
      <c r="JA24" s="71"/>
      <c r="JB24" s="71"/>
      <c r="JC24" s="72"/>
      <c r="JD24" s="72"/>
      <c r="JE24" s="72"/>
      <c r="JF24" s="72"/>
      <c r="JG24" s="72"/>
      <c r="JH24" s="72"/>
      <c r="JI24" s="71"/>
      <c r="JJ24" s="71"/>
      <c r="JK24" s="72"/>
      <c r="JL24" s="72"/>
      <c r="JM24" s="72"/>
      <c r="JN24" s="72"/>
    </row>
    <row r="25" spans="1:274" ht="13.5" customHeight="1">
      <c r="A25" s="7">
        <v>13</v>
      </c>
      <c r="B25" s="7"/>
      <c r="C25" s="7" t="e">
        <f t="shared" si="25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/>
      <c r="L25" s="7"/>
      <c r="M25" s="7"/>
      <c r="N25" s="7"/>
      <c r="O25" s="7"/>
      <c r="P25" s="7"/>
      <c r="Q25" s="53"/>
      <c r="R25" s="7"/>
      <c r="S25" s="7"/>
      <c r="T25" s="53"/>
      <c r="U25" s="7"/>
      <c r="V25" s="7" t="e">
        <f t="shared" si="4"/>
        <v>#VALUE!</v>
      </c>
      <c r="W25" s="28"/>
      <c r="X25" s="7" t="e">
        <f t="shared" si="4"/>
        <v>#VALUE!</v>
      </c>
      <c r="Y25" s="28"/>
      <c r="Z25" s="7" t="e">
        <f t="shared" si="5"/>
        <v>#VALUE!</v>
      </c>
      <c r="AA25" s="28"/>
      <c r="AB25" s="7"/>
      <c r="AC25" s="7"/>
      <c r="AD25" s="7"/>
      <c r="AE25" s="7"/>
      <c r="AF25" s="7">
        <v>0</v>
      </c>
      <c r="AG25" s="7" t="e">
        <f t="shared" si="6"/>
        <v>#VALUE!</v>
      </c>
      <c r="AH25" s="28"/>
      <c r="AI25" s="7"/>
      <c r="AJ25" s="7" t="e">
        <f t="shared" si="7"/>
        <v>#VALUE!</v>
      </c>
      <c r="AK25" s="28"/>
      <c r="AL25" s="7" t="e">
        <f t="shared" si="8"/>
        <v>#VALUE!</v>
      </c>
      <c r="AM25" s="28"/>
      <c r="AN25" s="7" t="e">
        <f t="shared" si="9"/>
        <v>#VALUE!</v>
      </c>
      <c r="AO25" s="28"/>
      <c r="AP25" s="7">
        <f t="shared" si="10"/>
        <v>2</v>
      </c>
      <c r="AQ25" s="28" t="s">
        <v>2301</v>
      </c>
      <c r="AR25" s="7"/>
      <c r="AS25" s="7"/>
      <c r="AT25" s="7"/>
      <c r="AU25" s="7"/>
      <c r="AV25" s="7">
        <f t="shared" si="11"/>
        <v>4617</v>
      </c>
      <c r="AW25" s="28" t="s">
        <v>2302</v>
      </c>
      <c r="AX25" s="7">
        <v>1</v>
      </c>
      <c r="AY25" s="7" t="e">
        <f t="shared" si="12"/>
        <v>#VALUE!</v>
      </c>
      <c r="AZ25" s="28"/>
      <c r="BA25" s="7">
        <v>0</v>
      </c>
      <c r="BB25" s="7">
        <v>10</v>
      </c>
      <c r="BC25" s="7">
        <v>0</v>
      </c>
      <c r="BD25" s="7">
        <v>10</v>
      </c>
      <c r="BE25" s="7"/>
      <c r="BF25" s="7" t="e">
        <f t="shared" si="13"/>
        <v>#VALUE!</v>
      </c>
      <c r="BG25" s="28"/>
      <c r="BH25" s="7" t="e">
        <f t="shared" si="14"/>
        <v>#VALUE!</v>
      </c>
      <c r="BI25" s="28"/>
      <c r="BJ25" s="7" t="e">
        <f t="shared" si="15"/>
        <v>#VALUE!</v>
      </c>
      <c r="BK25" s="28"/>
      <c r="BL25" s="7"/>
      <c r="BM25" s="7"/>
      <c r="BN25" s="7" t="e">
        <f t="shared" si="16"/>
        <v>#VALUE!</v>
      </c>
      <c r="BO25" s="28"/>
      <c r="BP25" s="7" t="e">
        <f t="shared" si="17"/>
        <v>#VALUE!</v>
      </c>
      <c r="BQ25" s="28"/>
      <c r="BR25" s="7"/>
      <c r="BS25" s="7" t="e">
        <f t="shared" si="18"/>
        <v>#VALUE!</v>
      </c>
      <c r="BT25" s="28"/>
      <c r="BU25" s="7"/>
      <c r="BV25" s="7" t="e">
        <f ca="1">[1]!tメーカー名(BU25)</f>
        <v>#NAME?</v>
      </c>
      <c r="BW25" s="7" t="e">
        <f t="shared" si="19"/>
        <v>#VALUE!</v>
      </c>
      <c r="BX25" s="28"/>
      <c r="BY25" s="7" t="e">
        <f t="shared" si="20"/>
        <v>#VALUE!</v>
      </c>
      <c r="BZ25" s="28"/>
      <c r="CA25" s="54"/>
      <c r="CB25" s="54"/>
      <c r="CC25" s="7" t="e">
        <f t="shared" si="21"/>
        <v>#VALUE!</v>
      </c>
      <c r="CD25" s="28"/>
      <c r="CE25" s="7" t="e">
        <f t="shared" si="22"/>
        <v>#VALUE!</v>
      </c>
      <c r="CF25" s="28"/>
      <c r="CG25" s="7" t="e">
        <f t="shared" si="23"/>
        <v>#VALUE!</v>
      </c>
      <c r="CH25" s="28"/>
      <c r="CI25" s="7" t="e">
        <f t="shared" si="24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6">
        <f t="shared" si="3"/>
        <v>0</v>
      </c>
      <c r="CT25" s="7"/>
      <c r="CU25" s="7"/>
      <c r="CV25" s="97"/>
      <c r="CW25" s="97"/>
      <c r="CX25" s="97"/>
      <c r="CY25" s="98"/>
      <c r="CZ25" s="98"/>
      <c r="DA25" s="97"/>
      <c r="DB25" s="98"/>
      <c r="DC25" s="97"/>
      <c r="DD25" s="97" t="s">
        <v>1689</v>
      </c>
      <c r="DE25" s="97" t="s">
        <v>1682</v>
      </c>
      <c r="DF25" s="98"/>
      <c r="DG25" s="98"/>
      <c r="DH25" s="98"/>
      <c r="DI25" s="98"/>
      <c r="DJ25" s="98"/>
      <c r="DK25" s="98"/>
      <c r="DL25" s="98"/>
      <c r="DM25" s="97"/>
      <c r="DN25" s="97"/>
      <c r="DO25" s="97"/>
      <c r="DP25" s="97"/>
      <c r="DQ25" s="97"/>
      <c r="DR25" s="97"/>
      <c r="DS25" s="97"/>
      <c r="DT25" s="99"/>
      <c r="DU25" s="98"/>
      <c r="DV25" s="97"/>
      <c r="DW25" s="97"/>
      <c r="DX25" s="97"/>
      <c r="DY25" s="97"/>
      <c r="DZ25" s="97"/>
      <c r="EA25" s="97"/>
      <c r="EB25" s="97"/>
      <c r="EC25" s="97"/>
      <c r="ED25" s="97"/>
      <c r="EE25" s="97"/>
      <c r="EF25" s="97"/>
      <c r="EG25" s="97"/>
      <c r="EH25" s="97"/>
      <c r="EI25" s="97"/>
      <c r="EJ25" s="97"/>
      <c r="EK25" s="97"/>
      <c r="EL25" s="97"/>
      <c r="EM25" s="97"/>
      <c r="EN25" s="97"/>
      <c r="EO25" s="97"/>
      <c r="EP25" s="97"/>
      <c r="EQ25" s="97"/>
      <c r="ER25" s="97"/>
      <c r="ES25" s="97"/>
      <c r="ET25" s="97"/>
      <c r="EU25" s="97"/>
      <c r="EV25" s="97"/>
      <c r="EW25" s="97"/>
      <c r="EX25" s="97"/>
      <c r="EY25" s="97"/>
      <c r="EZ25" s="97"/>
      <c r="FA25" s="97"/>
      <c r="FB25" s="97"/>
      <c r="FC25" s="97"/>
      <c r="FD25" s="97"/>
      <c r="FE25" s="97"/>
      <c r="FF25" s="97"/>
      <c r="FG25" s="97"/>
      <c r="FH25" s="97"/>
      <c r="FI25" s="97"/>
      <c r="FJ25" s="97"/>
      <c r="FK25" s="97"/>
      <c r="FL25" s="97"/>
      <c r="FM25" s="97"/>
      <c r="FN25" s="97"/>
      <c r="FO25" s="97"/>
      <c r="FP25" s="97"/>
      <c r="FQ25" s="97"/>
      <c r="FR25" s="97"/>
      <c r="FS25" s="97"/>
      <c r="FT25" s="97"/>
      <c r="FU25" s="97"/>
      <c r="FV25" s="97"/>
      <c r="FW25" s="97"/>
      <c r="FX25" s="97"/>
      <c r="FY25" s="6"/>
      <c r="FZ25" s="7" t="str">
        <f>IF(FY25="","",VLOOKUP(FY25,MT商品ﾏｽﾀ参照シート!AM:AN,2,0))</f>
        <v/>
      </c>
      <c r="GA25" s="8"/>
      <c r="GB25" s="8"/>
      <c r="GC25" s="8"/>
      <c r="GD25" s="8"/>
      <c r="GE25" s="58"/>
      <c r="GF25" s="7" t="str">
        <f>IF(GE25="","",VLOOKUP(GE25,MT商品ﾏｽﾀ参照シート!AO:AP,2,0))</f>
        <v/>
      </c>
      <c r="GG25" s="7"/>
      <c r="GH25" s="7"/>
      <c r="GI25" s="7"/>
      <c r="GJ25" s="7"/>
      <c r="GK25" s="49"/>
      <c r="GL25" s="6"/>
      <c r="GM25" s="6"/>
      <c r="GN25" s="7"/>
      <c r="GO25" s="7"/>
      <c r="GP25" s="7"/>
      <c r="GQ25" s="7"/>
      <c r="GR25" s="7">
        <v>3400</v>
      </c>
      <c r="GS25" s="7">
        <v>4000</v>
      </c>
      <c r="GT25" s="7">
        <v>4000</v>
      </c>
      <c r="GU25" s="7">
        <v>4000</v>
      </c>
      <c r="GV25" s="7">
        <v>4000</v>
      </c>
      <c r="GW25" s="8"/>
      <c r="GX25" s="8"/>
      <c r="GY25" s="8"/>
      <c r="GZ25" s="8"/>
      <c r="HA25" s="8"/>
      <c r="HB25" s="8"/>
      <c r="HC25" s="8"/>
      <c r="HD25" s="8"/>
      <c r="HE25" s="58"/>
      <c r="HF25" s="58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82"/>
      <c r="HR25" s="82"/>
      <c r="HS25" s="82"/>
      <c r="HT25" s="26"/>
      <c r="HU25" s="23"/>
      <c r="HV25" s="23"/>
      <c r="HW25" s="24"/>
      <c r="HX25" s="24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76"/>
      <c r="IY25" s="76"/>
      <c r="IZ25" s="76"/>
      <c r="JA25" s="71"/>
      <c r="JB25" s="71"/>
      <c r="JC25" s="72"/>
      <c r="JD25" s="72"/>
      <c r="JE25" s="72"/>
      <c r="JF25" s="72"/>
      <c r="JG25" s="72"/>
      <c r="JH25" s="72"/>
      <c r="JI25" s="71"/>
      <c r="JJ25" s="71"/>
      <c r="JK25" s="72"/>
      <c r="JL25" s="72"/>
      <c r="JM25" s="72"/>
      <c r="JN25" s="72"/>
    </row>
    <row r="26" spans="1:274" ht="13.5" customHeight="1">
      <c r="A26" s="7">
        <v>14</v>
      </c>
      <c r="B26" s="7"/>
      <c r="C26" s="7" t="e">
        <f t="shared" si="25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/>
      <c r="L26" s="7"/>
      <c r="M26" s="7"/>
      <c r="N26" s="7"/>
      <c r="O26" s="7"/>
      <c r="P26" s="7"/>
      <c r="Q26" s="53"/>
      <c r="R26" s="7"/>
      <c r="S26" s="7"/>
      <c r="T26" s="53"/>
      <c r="U26" s="7"/>
      <c r="V26" s="7" t="e">
        <f t="shared" si="4"/>
        <v>#VALUE!</v>
      </c>
      <c r="W26" s="28"/>
      <c r="X26" s="7" t="e">
        <f t="shared" si="4"/>
        <v>#VALUE!</v>
      </c>
      <c r="Y26" s="28"/>
      <c r="Z26" s="7" t="e">
        <f t="shared" si="5"/>
        <v>#VALUE!</v>
      </c>
      <c r="AA26" s="28"/>
      <c r="AB26" s="7"/>
      <c r="AC26" s="7"/>
      <c r="AD26" s="7"/>
      <c r="AE26" s="7"/>
      <c r="AF26" s="7">
        <v>0</v>
      </c>
      <c r="AG26" s="7" t="e">
        <f t="shared" si="6"/>
        <v>#VALUE!</v>
      </c>
      <c r="AH26" s="28"/>
      <c r="AI26" s="7"/>
      <c r="AJ26" s="7" t="e">
        <f t="shared" si="7"/>
        <v>#VALUE!</v>
      </c>
      <c r="AK26" s="28"/>
      <c r="AL26" s="7" t="e">
        <f t="shared" si="8"/>
        <v>#VALUE!</v>
      </c>
      <c r="AM26" s="28"/>
      <c r="AN26" s="7" t="e">
        <f t="shared" si="9"/>
        <v>#VALUE!</v>
      </c>
      <c r="AO26" s="28"/>
      <c r="AP26" s="7">
        <f t="shared" si="10"/>
        <v>2</v>
      </c>
      <c r="AQ26" s="28" t="s">
        <v>2301</v>
      </c>
      <c r="AR26" s="7"/>
      <c r="AS26" s="7"/>
      <c r="AT26" s="7"/>
      <c r="AU26" s="7"/>
      <c r="AV26" s="7">
        <f t="shared" si="11"/>
        <v>4617</v>
      </c>
      <c r="AW26" s="28" t="s">
        <v>2302</v>
      </c>
      <c r="AX26" s="7">
        <v>1</v>
      </c>
      <c r="AY26" s="7" t="e">
        <f t="shared" si="12"/>
        <v>#VALUE!</v>
      </c>
      <c r="AZ26" s="28"/>
      <c r="BA26" s="7">
        <v>0</v>
      </c>
      <c r="BB26" s="7">
        <v>10</v>
      </c>
      <c r="BC26" s="7">
        <v>0</v>
      </c>
      <c r="BD26" s="7">
        <v>10</v>
      </c>
      <c r="BE26" s="7"/>
      <c r="BF26" s="7" t="e">
        <f t="shared" si="13"/>
        <v>#VALUE!</v>
      </c>
      <c r="BG26" s="28"/>
      <c r="BH26" s="7" t="e">
        <f t="shared" si="14"/>
        <v>#VALUE!</v>
      </c>
      <c r="BI26" s="28"/>
      <c r="BJ26" s="7" t="e">
        <f t="shared" si="15"/>
        <v>#VALUE!</v>
      </c>
      <c r="BK26" s="28"/>
      <c r="BL26" s="7"/>
      <c r="BM26" s="7"/>
      <c r="BN26" s="7" t="e">
        <f t="shared" si="16"/>
        <v>#VALUE!</v>
      </c>
      <c r="BO26" s="28"/>
      <c r="BP26" s="7" t="e">
        <f t="shared" si="17"/>
        <v>#VALUE!</v>
      </c>
      <c r="BQ26" s="28"/>
      <c r="BR26" s="7"/>
      <c r="BS26" s="7" t="e">
        <f t="shared" si="18"/>
        <v>#VALUE!</v>
      </c>
      <c r="BT26" s="28"/>
      <c r="BU26" s="7"/>
      <c r="BV26" s="7" t="e">
        <f ca="1">[1]!tメーカー名(BU26)</f>
        <v>#NAME?</v>
      </c>
      <c r="BW26" s="7" t="e">
        <f t="shared" si="19"/>
        <v>#VALUE!</v>
      </c>
      <c r="BX26" s="28"/>
      <c r="BY26" s="7" t="e">
        <f t="shared" si="20"/>
        <v>#VALUE!</v>
      </c>
      <c r="BZ26" s="28"/>
      <c r="CA26" s="54"/>
      <c r="CB26" s="54"/>
      <c r="CC26" s="7" t="e">
        <f t="shared" si="21"/>
        <v>#VALUE!</v>
      </c>
      <c r="CD26" s="28"/>
      <c r="CE26" s="7" t="e">
        <f t="shared" si="22"/>
        <v>#VALUE!</v>
      </c>
      <c r="CF26" s="28"/>
      <c r="CG26" s="7" t="e">
        <f t="shared" si="23"/>
        <v>#VALUE!</v>
      </c>
      <c r="CH26" s="28"/>
      <c r="CI26" s="7" t="e">
        <f t="shared" si="24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6">
        <f t="shared" si="3"/>
        <v>0</v>
      </c>
      <c r="CT26" s="7"/>
      <c r="CU26" s="7"/>
      <c r="CV26" s="97"/>
      <c r="CW26" s="97"/>
      <c r="CX26" s="97"/>
      <c r="CY26" s="98"/>
      <c r="CZ26" s="98"/>
      <c r="DA26" s="97"/>
      <c r="DB26" s="98"/>
      <c r="DC26" s="97"/>
      <c r="DD26" s="97"/>
      <c r="DE26" s="97" t="s">
        <v>1682</v>
      </c>
      <c r="DF26" s="98"/>
      <c r="DG26" s="98"/>
      <c r="DH26" s="98"/>
      <c r="DI26" s="98"/>
      <c r="DJ26" s="98"/>
      <c r="DK26" s="98"/>
      <c r="DL26" s="98"/>
      <c r="DM26" s="97"/>
      <c r="DN26" s="97"/>
      <c r="DO26" s="97"/>
      <c r="DP26" s="97"/>
      <c r="DQ26" s="97"/>
      <c r="DR26" s="97"/>
      <c r="DS26" s="97"/>
      <c r="DT26" s="99"/>
      <c r="DU26" s="98"/>
      <c r="DV26" s="97"/>
      <c r="DW26" s="97"/>
      <c r="DX26" s="97"/>
      <c r="DY26" s="97"/>
      <c r="DZ26" s="97"/>
      <c r="EA26" s="97"/>
      <c r="EB26" s="97"/>
      <c r="EC26" s="97"/>
      <c r="ED26" s="97"/>
      <c r="EE26" s="97"/>
      <c r="EF26" s="97"/>
      <c r="EG26" s="97"/>
      <c r="EH26" s="97"/>
      <c r="EI26" s="97"/>
      <c r="EJ26" s="97"/>
      <c r="EK26" s="97"/>
      <c r="EL26" s="97"/>
      <c r="EM26" s="97"/>
      <c r="EN26" s="97"/>
      <c r="EO26" s="97"/>
      <c r="EP26" s="97"/>
      <c r="EQ26" s="97"/>
      <c r="ER26" s="97"/>
      <c r="ES26" s="97"/>
      <c r="ET26" s="97"/>
      <c r="EU26" s="97"/>
      <c r="EV26" s="97"/>
      <c r="EW26" s="97"/>
      <c r="EX26" s="97"/>
      <c r="EY26" s="97"/>
      <c r="EZ26" s="97"/>
      <c r="FA26" s="97"/>
      <c r="FB26" s="97"/>
      <c r="FC26" s="97"/>
      <c r="FD26" s="97"/>
      <c r="FE26" s="97"/>
      <c r="FF26" s="97"/>
      <c r="FG26" s="97"/>
      <c r="FH26" s="97"/>
      <c r="FI26" s="97"/>
      <c r="FJ26" s="97"/>
      <c r="FK26" s="97"/>
      <c r="FL26" s="97"/>
      <c r="FM26" s="97"/>
      <c r="FN26" s="97"/>
      <c r="FO26" s="97"/>
      <c r="FP26" s="97"/>
      <c r="FQ26" s="97"/>
      <c r="FR26" s="97"/>
      <c r="FS26" s="97"/>
      <c r="FT26" s="97"/>
      <c r="FU26" s="97"/>
      <c r="FV26" s="97"/>
      <c r="FW26" s="97"/>
      <c r="FX26" s="97"/>
      <c r="FY26" s="6"/>
      <c r="FZ26" s="7" t="str">
        <f>IF(FY26="","",VLOOKUP(FY26,MT商品ﾏｽﾀ参照シート!AM:AN,2,0))</f>
        <v/>
      </c>
      <c r="GA26" s="8"/>
      <c r="GB26" s="8"/>
      <c r="GC26" s="8"/>
      <c r="GD26" s="8"/>
      <c r="GE26" s="58"/>
      <c r="GF26" s="7" t="str">
        <f>IF(GE26="","",VLOOKUP(GE26,MT商品ﾏｽﾀ参照シート!AO:AP,2,0))</f>
        <v/>
      </c>
      <c r="GG26" s="7"/>
      <c r="GH26" s="7"/>
      <c r="GI26" s="7"/>
      <c r="GJ26" s="7"/>
      <c r="GK26" s="49"/>
      <c r="GL26" s="6"/>
      <c r="GM26" s="6"/>
      <c r="GN26" s="7"/>
      <c r="GO26" s="7"/>
      <c r="GP26" s="7"/>
      <c r="GQ26" s="7"/>
      <c r="GR26" s="7">
        <v>4505</v>
      </c>
      <c r="GS26" s="7">
        <v>5300</v>
      </c>
      <c r="GT26" s="7">
        <v>5300</v>
      </c>
      <c r="GU26" s="7">
        <v>5300</v>
      </c>
      <c r="GV26" s="7">
        <v>5300</v>
      </c>
      <c r="GW26" s="8"/>
      <c r="GX26" s="8"/>
      <c r="GY26" s="8"/>
      <c r="GZ26" s="8"/>
      <c r="HA26" s="8"/>
      <c r="HB26" s="8"/>
      <c r="HC26" s="8"/>
      <c r="HD26" s="8"/>
      <c r="HE26" s="58"/>
      <c r="HF26" s="58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82"/>
      <c r="HR26" s="82"/>
      <c r="HS26" s="82"/>
      <c r="HT26" s="26"/>
      <c r="HU26" s="23"/>
      <c r="HV26" s="23"/>
      <c r="HW26" s="24"/>
      <c r="HX26" s="24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76"/>
      <c r="IY26" s="76"/>
      <c r="IZ26" s="76"/>
      <c r="JA26" s="71"/>
      <c r="JB26" s="71"/>
      <c r="JC26" s="72"/>
      <c r="JD26" s="72"/>
      <c r="JE26" s="72"/>
      <c r="JF26" s="72"/>
      <c r="JG26" s="72"/>
      <c r="JH26" s="72"/>
      <c r="JI26" s="71"/>
      <c r="JJ26" s="71"/>
      <c r="JK26" s="72"/>
      <c r="JL26" s="72"/>
      <c r="JM26" s="72"/>
      <c r="JN26" s="72"/>
    </row>
    <row r="27" spans="1:274" ht="13.5" customHeight="1">
      <c r="A27" s="7">
        <v>15</v>
      </c>
      <c r="B27" s="7"/>
      <c r="C27" s="7" t="e">
        <f t="shared" si="25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/>
      <c r="L27" s="7"/>
      <c r="M27" s="7"/>
      <c r="N27" s="7"/>
      <c r="O27" s="7"/>
      <c r="P27" s="7"/>
      <c r="Q27" s="53"/>
      <c r="R27" s="7"/>
      <c r="S27" s="7"/>
      <c r="T27" s="53"/>
      <c r="U27" s="7"/>
      <c r="V27" s="7" t="e">
        <f t="shared" si="4"/>
        <v>#VALUE!</v>
      </c>
      <c r="W27" s="28"/>
      <c r="X27" s="7" t="e">
        <f t="shared" si="4"/>
        <v>#VALUE!</v>
      </c>
      <c r="Y27" s="28"/>
      <c r="Z27" s="7" t="e">
        <f t="shared" si="5"/>
        <v>#VALUE!</v>
      </c>
      <c r="AA27" s="28"/>
      <c r="AB27" s="7"/>
      <c r="AC27" s="7"/>
      <c r="AD27" s="7"/>
      <c r="AE27" s="7"/>
      <c r="AF27" s="7">
        <v>0</v>
      </c>
      <c r="AG27" s="7" t="e">
        <f t="shared" si="6"/>
        <v>#VALUE!</v>
      </c>
      <c r="AH27" s="28"/>
      <c r="AI27" s="7"/>
      <c r="AJ27" s="7" t="e">
        <f t="shared" si="7"/>
        <v>#VALUE!</v>
      </c>
      <c r="AK27" s="28"/>
      <c r="AL27" s="7" t="e">
        <f t="shared" si="8"/>
        <v>#VALUE!</v>
      </c>
      <c r="AM27" s="28"/>
      <c r="AN27" s="7" t="e">
        <f t="shared" si="9"/>
        <v>#VALUE!</v>
      </c>
      <c r="AO27" s="28"/>
      <c r="AP27" s="7">
        <f t="shared" si="10"/>
        <v>2</v>
      </c>
      <c r="AQ27" s="28" t="s">
        <v>2301</v>
      </c>
      <c r="AR27" s="7"/>
      <c r="AS27" s="7"/>
      <c r="AT27" s="7"/>
      <c r="AU27" s="7"/>
      <c r="AV27" s="7">
        <f t="shared" si="11"/>
        <v>4617</v>
      </c>
      <c r="AW27" s="28" t="s">
        <v>2302</v>
      </c>
      <c r="AX27" s="7">
        <v>1</v>
      </c>
      <c r="AY27" s="7" t="e">
        <f t="shared" si="12"/>
        <v>#VALUE!</v>
      </c>
      <c r="AZ27" s="28"/>
      <c r="BA27" s="7">
        <v>0</v>
      </c>
      <c r="BB27" s="7">
        <v>10</v>
      </c>
      <c r="BC27" s="7">
        <v>0</v>
      </c>
      <c r="BD27" s="7">
        <v>10</v>
      </c>
      <c r="BE27" s="7"/>
      <c r="BF27" s="7" t="e">
        <f t="shared" si="13"/>
        <v>#VALUE!</v>
      </c>
      <c r="BG27" s="28"/>
      <c r="BH27" s="7" t="e">
        <f t="shared" si="14"/>
        <v>#VALUE!</v>
      </c>
      <c r="BI27" s="28"/>
      <c r="BJ27" s="7" t="e">
        <f t="shared" si="15"/>
        <v>#VALUE!</v>
      </c>
      <c r="BK27" s="28"/>
      <c r="BL27" s="7"/>
      <c r="BM27" s="7"/>
      <c r="BN27" s="7" t="e">
        <f t="shared" si="16"/>
        <v>#VALUE!</v>
      </c>
      <c r="BO27" s="28"/>
      <c r="BP27" s="7" t="e">
        <f t="shared" si="17"/>
        <v>#VALUE!</v>
      </c>
      <c r="BQ27" s="28"/>
      <c r="BR27" s="7"/>
      <c r="BS27" s="7" t="e">
        <f t="shared" si="18"/>
        <v>#VALUE!</v>
      </c>
      <c r="BT27" s="28"/>
      <c r="BU27" s="7"/>
      <c r="BV27" s="7" t="e">
        <f ca="1">[1]!tメーカー名(BU27)</f>
        <v>#NAME?</v>
      </c>
      <c r="BW27" s="7" t="e">
        <f t="shared" si="19"/>
        <v>#VALUE!</v>
      </c>
      <c r="BX27" s="28"/>
      <c r="BY27" s="7" t="e">
        <f t="shared" si="20"/>
        <v>#VALUE!</v>
      </c>
      <c r="BZ27" s="28"/>
      <c r="CA27" s="54"/>
      <c r="CB27" s="54"/>
      <c r="CC27" s="7" t="e">
        <f t="shared" si="21"/>
        <v>#VALUE!</v>
      </c>
      <c r="CD27" s="28"/>
      <c r="CE27" s="7" t="e">
        <f t="shared" si="22"/>
        <v>#VALUE!</v>
      </c>
      <c r="CF27" s="28"/>
      <c r="CG27" s="7" t="e">
        <f t="shared" si="23"/>
        <v>#VALUE!</v>
      </c>
      <c r="CH27" s="28"/>
      <c r="CI27" s="7" t="e">
        <f t="shared" si="24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6">
        <f t="shared" si="3"/>
        <v>0</v>
      </c>
      <c r="CT27" s="7"/>
      <c r="CU27" s="7"/>
      <c r="CV27" s="97"/>
      <c r="CW27" s="97"/>
      <c r="CX27" s="97"/>
      <c r="CY27" s="98"/>
      <c r="CZ27" s="98"/>
      <c r="DA27" s="97"/>
      <c r="DB27" s="98"/>
      <c r="DC27" s="97"/>
      <c r="DD27" s="97"/>
      <c r="DE27" s="97" t="s">
        <v>1682</v>
      </c>
      <c r="DF27" s="98"/>
      <c r="DG27" s="98"/>
      <c r="DH27" s="98"/>
      <c r="DI27" s="98"/>
      <c r="DJ27" s="98"/>
      <c r="DK27" s="98"/>
      <c r="DL27" s="98"/>
      <c r="DM27" s="97"/>
      <c r="DN27" s="97"/>
      <c r="DO27" s="97"/>
      <c r="DP27" s="97"/>
      <c r="DQ27" s="97"/>
      <c r="DR27" s="97"/>
      <c r="DS27" s="97"/>
      <c r="DT27" s="99"/>
      <c r="DU27" s="98"/>
      <c r="DV27" s="97"/>
      <c r="DW27" s="97"/>
      <c r="DX27" s="97"/>
      <c r="DY27" s="97"/>
      <c r="DZ27" s="97"/>
      <c r="EA27" s="97"/>
      <c r="EB27" s="97"/>
      <c r="EC27" s="97"/>
      <c r="ED27" s="97"/>
      <c r="EE27" s="97"/>
      <c r="EF27" s="97"/>
      <c r="EG27" s="97"/>
      <c r="EH27" s="97"/>
      <c r="EI27" s="97"/>
      <c r="EJ27" s="97"/>
      <c r="EK27" s="97"/>
      <c r="EL27" s="97"/>
      <c r="EM27" s="97"/>
      <c r="EN27" s="97"/>
      <c r="EO27" s="97"/>
      <c r="EP27" s="97"/>
      <c r="EQ27" s="97"/>
      <c r="ER27" s="97"/>
      <c r="ES27" s="97"/>
      <c r="ET27" s="97"/>
      <c r="EU27" s="97"/>
      <c r="EV27" s="97"/>
      <c r="EW27" s="97"/>
      <c r="EX27" s="97"/>
      <c r="EY27" s="97"/>
      <c r="EZ27" s="97"/>
      <c r="FA27" s="97"/>
      <c r="FB27" s="97"/>
      <c r="FC27" s="97"/>
      <c r="FD27" s="97"/>
      <c r="FE27" s="97"/>
      <c r="FF27" s="97"/>
      <c r="FG27" s="97"/>
      <c r="FH27" s="97"/>
      <c r="FI27" s="97"/>
      <c r="FJ27" s="97"/>
      <c r="FK27" s="97"/>
      <c r="FL27" s="97"/>
      <c r="FM27" s="97"/>
      <c r="FN27" s="97"/>
      <c r="FO27" s="97"/>
      <c r="FP27" s="97"/>
      <c r="FQ27" s="97"/>
      <c r="FR27" s="97"/>
      <c r="FS27" s="97"/>
      <c r="FT27" s="97"/>
      <c r="FU27" s="97"/>
      <c r="FV27" s="97"/>
      <c r="FW27" s="97"/>
      <c r="FX27" s="97"/>
      <c r="FY27" s="6"/>
      <c r="FZ27" s="7" t="str">
        <f>IF(FY27="","",VLOOKUP(FY27,MT商品ﾏｽﾀ参照シート!AM:AN,2,0))</f>
        <v/>
      </c>
      <c r="GA27" s="8"/>
      <c r="GB27" s="8"/>
      <c r="GC27" s="8"/>
      <c r="GD27" s="8"/>
      <c r="GE27" s="58"/>
      <c r="GF27" s="7" t="str">
        <f>IF(GE27="","",VLOOKUP(GE27,MT商品ﾏｽﾀ参照シート!AO:AP,2,0))</f>
        <v/>
      </c>
      <c r="GG27" s="7"/>
      <c r="GH27" s="7"/>
      <c r="GI27" s="7"/>
      <c r="GJ27" s="7"/>
      <c r="GK27" s="49"/>
      <c r="GL27" s="6"/>
      <c r="GM27" s="6"/>
      <c r="GN27" s="7"/>
      <c r="GO27" s="7"/>
      <c r="GP27" s="7"/>
      <c r="GQ27" s="7"/>
      <c r="GR27" s="7">
        <v>3400</v>
      </c>
      <c r="GS27" s="7">
        <v>4000</v>
      </c>
      <c r="GT27" s="7">
        <v>4000</v>
      </c>
      <c r="GU27" s="7">
        <v>4000</v>
      </c>
      <c r="GV27" s="7">
        <v>4000</v>
      </c>
      <c r="GW27" s="8"/>
      <c r="GX27" s="8"/>
      <c r="GY27" s="8"/>
      <c r="GZ27" s="8"/>
      <c r="HA27" s="8"/>
      <c r="HB27" s="8"/>
      <c r="HC27" s="8"/>
      <c r="HD27" s="8"/>
      <c r="HE27" s="58"/>
      <c r="HF27" s="58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82"/>
      <c r="HR27" s="82"/>
      <c r="HS27" s="82"/>
      <c r="HT27" s="26"/>
      <c r="HU27" s="23"/>
      <c r="HV27" s="23"/>
      <c r="HW27" s="24"/>
      <c r="HX27" s="24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76"/>
      <c r="IY27" s="76"/>
      <c r="IZ27" s="76"/>
      <c r="JA27" s="71"/>
      <c r="JB27" s="71"/>
      <c r="JC27" s="72"/>
      <c r="JD27" s="72"/>
      <c r="JE27" s="72"/>
      <c r="JF27" s="72"/>
      <c r="JG27" s="72"/>
      <c r="JH27" s="72"/>
      <c r="JI27" s="71"/>
      <c r="JJ27" s="71"/>
      <c r="JK27" s="72"/>
      <c r="JL27" s="72"/>
      <c r="JM27" s="72"/>
      <c r="JN27" s="72"/>
    </row>
    <row r="28" spans="1:274" ht="13.5" customHeight="1">
      <c r="A28" s="7">
        <v>16</v>
      </c>
      <c r="B28" s="7"/>
      <c r="C28" s="7" t="e">
        <f t="shared" si="25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/>
      <c r="L28" s="7"/>
      <c r="M28" s="7"/>
      <c r="N28" s="7"/>
      <c r="O28" s="7"/>
      <c r="P28" s="7"/>
      <c r="Q28" s="53"/>
      <c r="R28" s="7"/>
      <c r="S28" s="7"/>
      <c r="T28" s="53"/>
      <c r="U28" s="7"/>
      <c r="V28" s="7" t="e">
        <f t="shared" si="4"/>
        <v>#VALUE!</v>
      </c>
      <c r="W28" s="28"/>
      <c r="X28" s="7" t="e">
        <f t="shared" si="4"/>
        <v>#VALUE!</v>
      </c>
      <c r="Y28" s="28"/>
      <c r="Z28" s="7" t="e">
        <f t="shared" si="5"/>
        <v>#VALUE!</v>
      </c>
      <c r="AA28" s="28"/>
      <c r="AB28" s="7"/>
      <c r="AC28" s="7"/>
      <c r="AD28" s="7"/>
      <c r="AE28" s="7"/>
      <c r="AF28" s="7">
        <v>0</v>
      </c>
      <c r="AG28" s="7" t="e">
        <f t="shared" si="6"/>
        <v>#VALUE!</v>
      </c>
      <c r="AH28" s="28"/>
      <c r="AI28" s="7"/>
      <c r="AJ28" s="7" t="e">
        <f t="shared" si="7"/>
        <v>#VALUE!</v>
      </c>
      <c r="AK28" s="28"/>
      <c r="AL28" s="7" t="e">
        <f t="shared" si="8"/>
        <v>#VALUE!</v>
      </c>
      <c r="AM28" s="28"/>
      <c r="AN28" s="7" t="e">
        <f t="shared" si="9"/>
        <v>#VALUE!</v>
      </c>
      <c r="AO28" s="28"/>
      <c r="AP28" s="7">
        <f t="shared" si="10"/>
        <v>2</v>
      </c>
      <c r="AQ28" s="28" t="s">
        <v>2301</v>
      </c>
      <c r="AR28" s="7"/>
      <c r="AS28" s="7"/>
      <c r="AT28" s="7"/>
      <c r="AU28" s="7"/>
      <c r="AV28" s="7">
        <f t="shared" si="11"/>
        <v>4617</v>
      </c>
      <c r="AW28" s="28" t="s">
        <v>2302</v>
      </c>
      <c r="AX28" s="7">
        <v>1</v>
      </c>
      <c r="AY28" s="7" t="e">
        <f t="shared" si="12"/>
        <v>#VALUE!</v>
      </c>
      <c r="AZ28" s="28"/>
      <c r="BA28" s="7">
        <v>0</v>
      </c>
      <c r="BB28" s="7">
        <v>10</v>
      </c>
      <c r="BC28" s="7">
        <v>0</v>
      </c>
      <c r="BD28" s="7">
        <v>10</v>
      </c>
      <c r="BE28" s="7"/>
      <c r="BF28" s="7" t="e">
        <f t="shared" si="13"/>
        <v>#VALUE!</v>
      </c>
      <c r="BG28" s="28"/>
      <c r="BH28" s="7" t="e">
        <f t="shared" si="14"/>
        <v>#VALUE!</v>
      </c>
      <c r="BI28" s="28"/>
      <c r="BJ28" s="7" t="e">
        <f t="shared" si="15"/>
        <v>#VALUE!</v>
      </c>
      <c r="BK28" s="28"/>
      <c r="BL28" s="7"/>
      <c r="BM28" s="7"/>
      <c r="BN28" s="7" t="e">
        <f t="shared" si="16"/>
        <v>#VALUE!</v>
      </c>
      <c r="BO28" s="28"/>
      <c r="BP28" s="7" t="e">
        <f t="shared" si="17"/>
        <v>#VALUE!</v>
      </c>
      <c r="BQ28" s="28"/>
      <c r="BR28" s="7"/>
      <c r="BS28" s="7" t="e">
        <f t="shared" si="18"/>
        <v>#VALUE!</v>
      </c>
      <c r="BT28" s="28"/>
      <c r="BU28" s="7"/>
      <c r="BV28" s="7" t="e">
        <f ca="1">[1]!tメーカー名(BU28)</f>
        <v>#NAME?</v>
      </c>
      <c r="BW28" s="7" t="e">
        <f t="shared" si="19"/>
        <v>#VALUE!</v>
      </c>
      <c r="BX28" s="28"/>
      <c r="BY28" s="7" t="e">
        <f t="shared" si="20"/>
        <v>#VALUE!</v>
      </c>
      <c r="BZ28" s="28"/>
      <c r="CA28" s="54"/>
      <c r="CB28" s="54"/>
      <c r="CC28" s="7" t="e">
        <f t="shared" si="21"/>
        <v>#VALUE!</v>
      </c>
      <c r="CD28" s="28"/>
      <c r="CE28" s="7" t="e">
        <f t="shared" si="22"/>
        <v>#VALUE!</v>
      </c>
      <c r="CF28" s="28"/>
      <c r="CG28" s="7" t="e">
        <f t="shared" si="23"/>
        <v>#VALUE!</v>
      </c>
      <c r="CH28" s="28"/>
      <c r="CI28" s="7" t="e">
        <f t="shared" si="24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6">
        <f t="shared" si="3"/>
        <v>0</v>
      </c>
      <c r="CT28" s="7"/>
      <c r="CU28" s="7"/>
      <c r="CV28" s="97"/>
      <c r="CW28" s="97"/>
      <c r="CX28" s="97"/>
      <c r="CY28" s="98"/>
      <c r="CZ28" s="98"/>
      <c r="DA28" s="97"/>
      <c r="DB28" s="98"/>
      <c r="DC28" s="97"/>
      <c r="DD28" s="97"/>
      <c r="DE28" s="97" t="s">
        <v>1682</v>
      </c>
      <c r="DF28" s="98"/>
      <c r="DG28" s="98"/>
      <c r="DH28" s="98"/>
      <c r="DI28" s="98"/>
      <c r="DJ28" s="98"/>
      <c r="DK28" s="98"/>
      <c r="DL28" s="98"/>
      <c r="DM28" s="97"/>
      <c r="DN28" s="97"/>
      <c r="DO28" s="97"/>
      <c r="DP28" s="97"/>
      <c r="DQ28" s="97"/>
      <c r="DR28" s="97"/>
      <c r="DS28" s="97"/>
      <c r="DT28" s="99"/>
      <c r="DU28" s="98"/>
      <c r="DV28" s="97"/>
      <c r="DW28" s="97"/>
      <c r="DX28" s="97"/>
      <c r="DY28" s="97"/>
      <c r="DZ28" s="97"/>
      <c r="EA28" s="97"/>
      <c r="EB28" s="97"/>
      <c r="EC28" s="97"/>
      <c r="ED28" s="97"/>
      <c r="EE28" s="97"/>
      <c r="EF28" s="97"/>
      <c r="EG28" s="97"/>
      <c r="EH28" s="97"/>
      <c r="EI28" s="97"/>
      <c r="EJ28" s="97"/>
      <c r="EK28" s="97"/>
      <c r="EL28" s="97"/>
      <c r="EM28" s="97"/>
      <c r="EN28" s="97"/>
      <c r="EO28" s="97"/>
      <c r="EP28" s="97"/>
      <c r="EQ28" s="97"/>
      <c r="ER28" s="97"/>
      <c r="ES28" s="97"/>
      <c r="ET28" s="97"/>
      <c r="EU28" s="97"/>
      <c r="EV28" s="97"/>
      <c r="EW28" s="97"/>
      <c r="EX28" s="97"/>
      <c r="EY28" s="97"/>
      <c r="EZ28" s="97"/>
      <c r="FA28" s="97"/>
      <c r="FB28" s="97"/>
      <c r="FC28" s="97"/>
      <c r="FD28" s="97"/>
      <c r="FE28" s="97"/>
      <c r="FF28" s="97"/>
      <c r="FG28" s="97"/>
      <c r="FH28" s="97"/>
      <c r="FI28" s="97"/>
      <c r="FJ28" s="97"/>
      <c r="FK28" s="97"/>
      <c r="FL28" s="97"/>
      <c r="FM28" s="97"/>
      <c r="FN28" s="97"/>
      <c r="FO28" s="97"/>
      <c r="FP28" s="97"/>
      <c r="FQ28" s="97"/>
      <c r="FR28" s="97"/>
      <c r="FS28" s="97"/>
      <c r="FT28" s="97"/>
      <c r="FU28" s="97"/>
      <c r="FV28" s="97"/>
      <c r="FW28" s="97"/>
      <c r="FX28" s="97"/>
      <c r="FY28" s="6"/>
      <c r="FZ28" s="7" t="str">
        <f>IF(FY28="","",VLOOKUP(FY28,MT商品ﾏｽﾀ参照シート!AM:AN,2,0))</f>
        <v/>
      </c>
      <c r="GA28" s="8"/>
      <c r="GB28" s="8"/>
      <c r="GC28" s="8"/>
      <c r="GD28" s="8"/>
      <c r="GE28" s="58"/>
      <c r="GF28" s="7" t="str">
        <f>IF(GE28="","",VLOOKUP(GE28,MT商品ﾏｽﾀ参照シート!AO:AP,2,0))</f>
        <v/>
      </c>
      <c r="GG28" s="7"/>
      <c r="GH28" s="7"/>
      <c r="GI28" s="7"/>
      <c r="GJ28" s="7"/>
      <c r="GK28" s="49"/>
      <c r="GL28" s="6"/>
      <c r="GM28" s="6"/>
      <c r="GN28" s="7"/>
      <c r="GO28" s="7"/>
      <c r="GP28" s="7"/>
      <c r="GQ28" s="7"/>
      <c r="GR28" s="7">
        <v>3570</v>
      </c>
      <c r="GS28" s="7">
        <v>4200</v>
      </c>
      <c r="GT28" s="7">
        <v>4200</v>
      </c>
      <c r="GU28" s="7">
        <v>4200</v>
      </c>
      <c r="GV28" s="7">
        <v>4200</v>
      </c>
      <c r="GW28" s="8"/>
      <c r="GX28" s="8"/>
      <c r="GY28" s="8"/>
      <c r="GZ28" s="8"/>
      <c r="HA28" s="8"/>
      <c r="HB28" s="8"/>
      <c r="HC28" s="8"/>
      <c r="HD28" s="8"/>
      <c r="HE28" s="58"/>
      <c r="HF28" s="58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82"/>
      <c r="HR28" s="82"/>
      <c r="HS28" s="82"/>
      <c r="HT28" s="26"/>
      <c r="HU28" s="23"/>
      <c r="HV28" s="23"/>
      <c r="HW28" s="24"/>
      <c r="HX28" s="24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76"/>
      <c r="IY28" s="76"/>
      <c r="IZ28" s="76"/>
      <c r="JA28" s="71"/>
      <c r="JB28" s="71"/>
      <c r="JC28" s="72"/>
      <c r="JD28" s="72"/>
      <c r="JE28" s="72"/>
      <c r="JF28" s="72"/>
      <c r="JG28" s="72"/>
      <c r="JH28" s="72"/>
      <c r="JI28" s="71"/>
      <c r="JJ28" s="71"/>
      <c r="JK28" s="72"/>
      <c r="JL28" s="72"/>
      <c r="JM28" s="72"/>
      <c r="JN28" s="72"/>
    </row>
    <row r="29" spans="1:274" ht="13.5" customHeight="1">
      <c r="A29" s="7">
        <v>17</v>
      </c>
      <c r="B29" s="7"/>
      <c r="C29" s="7" t="e">
        <f t="shared" si="25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/>
      <c r="L29" s="7"/>
      <c r="M29" s="7"/>
      <c r="N29" s="7"/>
      <c r="O29" s="7"/>
      <c r="P29" s="7"/>
      <c r="Q29" s="53"/>
      <c r="R29" s="7"/>
      <c r="S29" s="7"/>
      <c r="T29" s="53"/>
      <c r="U29" s="7"/>
      <c r="V29" s="7" t="e">
        <f t="shared" si="4"/>
        <v>#VALUE!</v>
      </c>
      <c r="W29" s="28"/>
      <c r="X29" s="7" t="e">
        <f t="shared" si="4"/>
        <v>#VALUE!</v>
      </c>
      <c r="Y29" s="28"/>
      <c r="Z29" s="7" t="e">
        <f t="shared" si="5"/>
        <v>#VALUE!</v>
      </c>
      <c r="AA29" s="28"/>
      <c r="AB29" s="7"/>
      <c r="AC29" s="7"/>
      <c r="AD29" s="7"/>
      <c r="AE29" s="7"/>
      <c r="AF29" s="7">
        <v>0</v>
      </c>
      <c r="AG29" s="7" t="e">
        <f t="shared" si="6"/>
        <v>#VALUE!</v>
      </c>
      <c r="AH29" s="28"/>
      <c r="AI29" s="7"/>
      <c r="AJ29" s="7" t="e">
        <f t="shared" si="7"/>
        <v>#VALUE!</v>
      </c>
      <c r="AK29" s="28"/>
      <c r="AL29" s="7" t="e">
        <f t="shared" si="8"/>
        <v>#VALUE!</v>
      </c>
      <c r="AM29" s="28"/>
      <c r="AN29" s="7" t="e">
        <f t="shared" si="9"/>
        <v>#VALUE!</v>
      </c>
      <c r="AO29" s="28"/>
      <c r="AP29" s="7">
        <f t="shared" si="10"/>
        <v>2</v>
      </c>
      <c r="AQ29" s="28" t="s">
        <v>2301</v>
      </c>
      <c r="AR29" s="7"/>
      <c r="AS29" s="7"/>
      <c r="AT29" s="7"/>
      <c r="AU29" s="7"/>
      <c r="AV29" s="7">
        <f t="shared" si="11"/>
        <v>4617</v>
      </c>
      <c r="AW29" s="28" t="s">
        <v>2302</v>
      </c>
      <c r="AX29" s="7">
        <v>1</v>
      </c>
      <c r="AY29" s="7" t="e">
        <f t="shared" si="12"/>
        <v>#VALUE!</v>
      </c>
      <c r="AZ29" s="28"/>
      <c r="BA29" s="7">
        <v>0</v>
      </c>
      <c r="BB29" s="7">
        <v>10</v>
      </c>
      <c r="BC29" s="7">
        <v>0</v>
      </c>
      <c r="BD29" s="7">
        <v>10</v>
      </c>
      <c r="BE29" s="7"/>
      <c r="BF29" s="7" t="e">
        <f t="shared" si="13"/>
        <v>#VALUE!</v>
      </c>
      <c r="BG29" s="28"/>
      <c r="BH29" s="7" t="e">
        <f t="shared" si="14"/>
        <v>#VALUE!</v>
      </c>
      <c r="BI29" s="28"/>
      <c r="BJ29" s="7" t="e">
        <f t="shared" si="15"/>
        <v>#VALUE!</v>
      </c>
      <c r="BK29" s="28"/>
      <c r="BL29" s="7"/>
      <c r="BM29" s="7"/>
      <c r="BN29" s="7" t="e">
        <f t="shared" si="16"/>
        <v>#VALUE!</v>
      </c>
      <c r="BO29" s="28"/>
      <c r="BP29" s="7" t="e">
        <f t="shared" si="17"/>
        <v>#VALUE!</v>
      </c>
      <c r="BQ29" s="28"/>
      <c r="BR29" s="7"/>
      <c r="BS29" s="7" t="e">
        <f t="shared" si="18"/>
        <v>#VALUE!</v>
      </c>
      <c r="BT29" s="28"/>
      <c r="BU29" s="7"/>
      <c r="BV29" s="7" t="e">
        <f ca="1">[1]!tメーカー名(BU29)</f>
        <v>#NAME?</v>
      </c>
      <c r="BW29" s="7" t="e">
        <f t="shared" si="19"/>
        <v>#VALUE!</v>
      </c>
      <c r="BX29" s="28"/>
      <c r="BY29" s="7" t="e">
        <f t="shared" si="20"/>
        <v>#VALUE!</v>
      </c>
      <c r="BZ29" s="28"/>
      <c r="CA29" s="54"/>
      <c r="CB29" s="54"/>
      <c r="CC29" s="7" t="e">
        <f t="shared" si="21"/>
        <v>#VALUE!</v>
      </c>
      <c r="CD29" s="28"/>
      <c r="CE29" s="7" t="e">
        <f t="shared" si="22"/>
        <v>#VALUE!</v>
      </c>
      <c r="CF29" s="28"/>
      <c r="CG29" s="7" t="e">
        <f t="shared" si="23"/>
        <v>#VALUE!</v>
      </c>
      <c r="CH29" s="28"/>
      <c r="CI29" s="7" t="e">
        <f t="shared" si="24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6">
        <f t="shared" si="3"/>
        <v>0</v>
      </c>
      <c r="CT29" s="7"/>
      <c r="CU29" s="7"/>
      <c r="CV29" s="97"/>
      <c r="CW29" s="97"/>
      <c r="CX29" s="97"/>
      <c r="CY29" s="98"/>
      <c r="CZ29" s="98"/>
      <c r="DA29" s="97"/>
      <c r="DB29" s="98"/>
      <c r="DC29" s="97"/>
      <c r="DD29" s="97" t="s">
        <v>1690</v>
      </c>
      <c r="DE29" s="97" t="s">
        <v>1682</v>
      </c>
      <c r="DF29" s="98"/>
      <c r="DG29" s="98"/>
      <c r="DH29" s="98"/>
      <c r="DI29" s="98"/>
      <c r="DJ29" s="98"/>
      <c r="DK29" s="98"/>
      <c r="DL29" s="98"/>
      <c r="DM29" s="97"/>
      <c r="DN29" s="97"/>
      <c r="DO29" s="97"/>
      <c r="DP29" s="97"/>
      <c r="DQ29" s="97"/>
      <c r="DR29" s="97"/>
      <c r="DS29" s="97"/>
      <c r="DT29" s="99"/>
      <c r="DU29" s="98"/>
      <c r="DV29" s="97"/>
      <c r="DW29" s="97"/>
      <c r="DX29" s="97"/>
      <c r="DY29" s="97"/>
      <c r="DZ29" s="97"/>
      <c r="EA29" s="97"/>
      <c r="EB29" s="97"/>
      <c r="EC29" s="97"/>
      <c r="ED29" s="97"/>
      <c r="EE29" s="97"/>
      <c r="EF29" s="97"/>
      <c r="EG29" s="97"/>
      <c r="EH29" s="97"/>
      <c r="EI29" s="97"/>
      <c r="EJ29" s="97"/>
      <c r="EK29" s="97"/>
      <c r="EL29" s="97"/>
      <c r="EM29" s="97"/>
      <c r="EN29" s="97"/>
      <c r="EO29" s="97"/>
      <c r="EP29" s="97"/>
      <c r="EQ29" s="97"/>
      <c r="ER29" s="97"/>
      <c r="ES29" s="97"/>
      <c r="ET29" s="97"/>
      <c r="EU29" s="97"/>
      <c r="EV29" s="97"/>
      <c r="EW29" s="97"/>
      <c r="EX29" s="97"/>
      <c r="EY29" s="97"/>
      <c r="EZ29" s="97"/>
      <c r="FA29" s="97"/>
      <c r="FB29" s="97"/>
      <c r="FC29" s="97"/>
      <c r="FD29" s="97"/>
      <c r="FE29" s="97"/>
      <c r="FF29" s="97"/>
      <c r="FG29" s="97"/>
      <c r="FH29" s="97"/>
      <c r="FI29" s="97"/>
      <c r="FJ29" s="97"/>
      <c r="FK29" s="97"/>
      <c r="FL29" s="97"/>
      <c r="FM29" s="97"/>
      <c r="FN29" s="97"/>
      <c r="FO29" s="97"/>
      <c r="FP29" s="97"/>
      <c r="FQ29" s="97"/>
      <c r="FR29" s="97"/>
      <c r="FS29" s="97"/>
      <c r="FT29" s="97"/>
      <c r="FU29" s="97"/>
      <c r="FV29" s="97"/>
      <c r="FW29" s="97"/>
      <c r="FX29" s="97"/>
      <c r="FY29" s="6"/>
      <c r="FZ29" s="7" t="str">
        <f>IF(FY29="","",VLOOKUP(FY29,MT商品ﾏｽﾀ参照シート!AM:AN,2,0))</f>
        <v/>
      </c>
      <c r="GA29" s="8"/>
      <c r="GB29" s="8"/>
      <c r="GC29" s="8"/>
      <c r="GD29" s="8"/>
      <c r="GE29" s="58"/>
      <c r="GF29" s="7" t="str">
        <f>IF(GE29="","",VLOOKUP(GE29,MT商品ﾏｽﾀ参照シート!AO:AP,2,0))</f>
        <v/>
      </c>
      <c r="GG29" s="7"/>
      <c r="GH29" s="7"/>
      <c r="GI29" s="7"/>
      <c r="GJ29" s="7"/>
      <c r="GK29" s="49"/>
      <c r="GL29" s="6"/>
      <c r="GM29" s="6"/>
      <c r="GN29" s="7"/>
      <c r="GO29" s="7"/>
      <c r="GP29" s="7"/>
      <c r="GQ29" s="7"/>
      <c r="GR29" s="7">
        <v>3596</v>
      </c>
      <c r="GS29" s="7">
        <v>4230</v>
      </c>
      <c r="GT29" s="7">
        <v>4230</v>
      </c>
      <c r="GU29" s="7">
        <v>4230</v>
      </c>
      <c r="GV29" s="7">
        <v>4230</v>
      </c>
      <c r="GW29" s="8"/>
      <c r="GX29" s="8"/>
      <c r="GY29" s="8"/>
      <c r="GZ29" s="8"/>
      <c r="HA29" s="8"/>
      <c r="HB29" s="8"/>
      <c r="HC29" s="8"/>
      <c r="HD29" s="8"/>
      <c r="HE29" s="58"/>
      <c r="HF29" s="58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82"/>
      <c r="HR29" s="82"/>
      <c r="HS29" s="82"/>
      <c r="HT29" s="26"/>
      <c r="HU29" s="23"/>
      <c r="HV29" s="23"/>
      <c r="HW29" s="24"/>
      <c r="HX29" s="24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76"/>
      <c r="IY29" s="76"/>
      <c r="IZ29" s="76"/>
      <c r="JA29" s="71"/>
      <c r="JB29" s="71"/>
      <c r="JC29" s="72"/>
      <c r="JD29" s="72"/>
      <c r="JE29" s="72"/>
      <c r="JF29" s="72"/>
      <c r="JG29" s="72"/>
      <c r="JH29" s="72"/>
      <c r="JI29" s="71"/>
      <c r="JJ29" s="71"/>
      <c r="JK29" s="72"/>
      <c r="JL29" s="72"/>
      <c r="JM29" s="72"/>
      <c r="JN29" s="72"/>
    </row>
    <row r="30" spans="1:274" ht="13.5" customHeight="1">
      <c r="A30" s="7">
        <v>18</v>
      </c>
      <c r="B30" s="7"/>
      <c r="C30" s="7" t="e">
        <f t="shared" si="25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/>
      <c r="L30" s="7"/>
      <c r="M30" s="7"/>
      <c r="N30" s="7"/>
      <c r="O30" s="7"/>
      <c r="P30" s="7"/>
      <c r="Q30" s="53"/>
      <c r="R30" s="7"/>
      <c r="S30" s="7"/>
      <c r="T30" s="53"/>
      <c r="U30" s="7"/>
      <c r="V30" s="7" t="e">
        <f t="shared" si="4"/>
        <v>#VALUE!</v>
      </c>
      <c r="W30" s="28"/>
      <c r="X30" s="7" t="e">
        <f t="shared" si="4"/>
        <v>#VALUE!</v>
      </c>
      <c r="Y30" s="28"/>
      <c r="Z30" s="7" t="e">
        <f t="shared" si="5"/>
        <v>#VALUE!</v>
      </c>
      <c r="AA30" s="28"/>
      <c r="AB30" s="7"/>
      <c r="AC30" s="7"/>
      <c r="AD30" s="7"/>
      <c r="AE30" s="7"/>
      <c r="AF30" s="7">
        <v>0</v>
      </c>
      <c r="AG30" s="7" t="e">
        <f t="shared" si="6"/>
        <v>#VALUE!</v>
      </c>
      <c r="AH30" s="28"/>
      <c r="AI30" s="7"/>
      <c r="AJ30" s="7" t="e">
        <f t="shared" si="7"/>
        <v>#VALUE!</v>
      </c>
      <c r="AK30" s="28"/>
      <c r="AL30" s="7" t="e">
        <f t="shared" si="8"/>
        <v>#VALUE!</v>
      </c>
      <c r="AM30" s="28"/>
      <c r="AN30" s="7" t="e">
        <f t="shared" si="9"/>
        <v>#VALUE!</v>
      </c>
      <c r="AO30" s="28"/>
      <c r="AP30" s="7">
        <f t="shared" si="10"/>
        <v>2</v>
      </c>
      <c r="AQ30" s="28" t="s">
        <v>2301</v>
      </c>
      <c r="AR30" s="7"/>
      <c r="AS30" s="7"/>
      <c r="AT30" s="7"/>
      <c r="AU30" s="7"/>
      <c r="AV30" s="7">
        <f t="shared" si="11"/>
        <v>4617</v>
      </c>
      <c r="AW30" s="28" t="s">
        <v>2302</v>
      </c>
      <c r="AX30" s="7">
        <v>1</v>
      </c>
      <c r="AY30" s="7" t="e">
        <f t="shared" si="12"/>
        <v>#VALUE!</v>
      </c>
      <c r="AZ30" s="28"/>
      <c r="BA30" s="7">
        <v>0</v>
      </c>
      <c r="BB30" s="7">
        <v>10</v>
      </c>
      <c r="BC30" s="7">
        <v>0</v>
      </c>
      <c r="BD30" s="7">
        <v>10</v>
      </c>
      <c r="BE30" s="7"/>
      <c r="BF30" s="7" t="e">
        <f t="shared" si="13"/>
        <v>#VALUE!</v>
      </c>
      <c r="BG30" s="28"/>
      <c r="BH30" s="7" t="e">
        <f t="shared" si="14"/>
        <v>#VALUE!</v>
      </c>
      <c r="BI30" s="28"/>
      <c r="BJ30" s="7" t="e">
        <f t="shared" si="15"/>
        <v>#VALUE!</v>
      </c>
      <c r="BK30" s="28"/>
      <c r="BL30" s="7"/>
      <c r="BM30" s="7"/>
      <c r="BN30" s="7" t="e">
        <f t="shared" si="16"/>
        <v>#VALUE!</v>
      </c>
      <c r="BO30" s="28"/>
      <c r="BP30" s="7" t="e">
        <f t="shared" si="17"/>
        <v>#VALUE!</v>
      </c>
      <c r="BQ30" s="28"/>
      <c r="BR30" s="7"/>
      <c r="BS30" s="7" t="e">
        <f t="shared" si="18"/>
        <v>#VALUE!</v>
      </c>
      <c r="BT30" s="28"/>
      <c r="BU30" s="7"/>
      <c r="BV30" s="7" t="e">
        <f ca="1">[1]!tメーカー名(BU30)</f>
        <v>#NAME?</v>
      </c>
      <c r="BW30" s="7" t="e">
        <f t="shared" si="19"/>
        <v>#VALUE!</v>
      </c>
      <c r="BX30" s="28"/>
      <c r="BY30" s="7" t="e">
        <f t="shared" si="20"/>
        <v>#VALUE!</v>
      </c>
      <c r="BZ30" s="28"/>
      <c r="CA30" s="54"/>
      <c r="CB30" s="54"/>
      <c r="CC30" s="7" t="e">
        <f t="shared" si="21"/>
        <v>#VALUE!</v>
      </c>
      <c r="CD30" s="28"/>
      <c r="CE30" s="7" t="e">
        <f t="shared" si="22"/>
        <v>#VALUE!</v>
      </c>
      <c r="CF30" s="28"/>
      <c r="CG30" s="7" t="e">
        <f t="shared" si="23"/>
        <v>#VALUE!</v>
      </c>
      <c r="CH30" s="28"/>
      <c r="CI30" s="7" t="e">
        <f t="shared" si="24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6">
        <f t="shared" si="3"/>
        <v>0</v>
      </c>
      <c r="CT30" s="7"/>
      <c r="CU30" s="7"/>
      <c r="CV30" s="97"/>
      <c r="CW30" s="97"/>
      <c r="CX30" s="97"/>
      <c r="CY30" s="98"/>
      <c r="CZ30" s="98"/>
      <c r="DA30" s="97"/>
      <c r="DB30" s="98"/>
      <c r="DC30" s="97"/>
      <c r="DD30" s="97" t="s">
        <v>1691</v>
      </c>
      <c r="DE30" s="97" t="s">
        <v>1682</v>
      </c>
      <c r="DF30" s="98"/>
      <c r="DG30" s="98"/>
      <c r="DH30" s="98"/>
      <c r="DI30" s="98"/>
      <c r="DJ30" s="98"/>
      <c r="DK30" s="98"/>
      <c r="DL30" s="98"/>
      <c r="DM30" s="97"/>
      <c r="DN30" s="97"/>
      <c r="DO30" s="97"/>
      <c r="DP30" s="97"/>
      <c r="DQ30" s="97"/>
      <c r="DR30" s="97"/>
      <c r="DS30" s="97"/>
      <c r="DT30" s="99"/>
      <c r="DU30" s="98"/>
      <c r="DV30" s="97"/>
      <c r="DW30" s="97"/>
      <c r="DX30" s="97"/>
      <c r="DY30" s="97"/>
      <c r="DZ30" s="97"/>
      <c r="EA30" s="97"/>
      <c r="EB30" s="97"/>
      <c r="EC30" s="97"/>
      <c r="ED30" s="97"/>
      <c r="EE30" s="97"/>
      <c r="EF30" s="97"/>
      <c r="EG30" s="97"/>
      <c r="EH30" s="97"/>
      <c r="EI30" s="97"/>
      <c r="EJ30" s="97"/>
      <c r="EK30" s="97"/>
      <c r="EL30" s="97"/>
      <c r="EM30" s="97"/>
      <c r="EN30" s="97"/>
      <c r="EO30" s="97"/>
      <c r="EP30" s="97"/>
      <c r="EQ30" s="97"/>
      <c r="ER30" s="97"/>
      <c r="ES30" s="97"/>
      <c r="ET30" s="97"/>
      <c r="EU30" s="97"/>
      <c r="EV30" s="97"/>
      <c r="EW30" s="97"/>
      <c r="EX30" s="97"/>
      <c r="EY30" s="97"/>
      <c r="EZ30" s="97"/>
      <c r="FA30" s="97"/>
      <c r="FB30" s="97"/>
      <c r="FC30" s="97"/>
      <c r="FD30" s="97"/>
      <c r="FE30" s="97"/>
      <c r="FF30" s="97"/>
      <c r="FG30" s="97"/>
      <c r="FH30" s="97"/>
      <c r="FI30" s="97"/>
      <c r="FJ30" s="97"/>
      <c r="FK30" s="97"/>
      <c r="FL30" s="97"/>
      <c r="FM30" s="97"/>
      <c r="FN30" s="97"/>
      <c r="FO30" s="97"/>
      <c r="FP30" s="97"/>
      <c r="FQ30" s="97"/>
      <c r="FR30" s="97"/>
      <c r="FS30" s="97"/>
      <c r="FT30" s="97"/>
      <c r="FU30" s="97"/>
      <c r="FV30" s="97"/>
      <c r="FW30" s="97"/>
      <c r="FX30" s="97"/>
      <c r="FY30" s="6"/>
      <c r="FZ30" s="7" t="str">
        <f>IF(FY30="","",VLOOKUP(FY30,MT商品ﾏｽﾀ参照シート!AM:AN,2,0))</f>
        <v/>
      </c>
      <c r="GA30" s="8"/>
      <c r="GB30" s="8"/>
      <c r="GC30" s="8"/>
      <c r="GD30" s="8"/>
      <c r="GE30" s="58"/>
      <c r="GF30" s="7" t="str">
        <f>IF(GE30="","",VLOOKUP(GE30,MT商品ﾏｽﾀ参照シート!AO:AP,2,0))</f>
        <v/>
      </c>
      <c r="GG30" s="7"/>
      <c r="GH30" s="7"/>
      <c r="GI30" s="7"/>
      <c r="GJ30" s="7"/>
      <c r="GK30" s="49"/>
      <c r="GL30" s="6"/>
      <c r="GM30" s="6"/>
      <c r="GN30" s="7"/>
      <c r="GO30" s="7"/>
      <c r="GP30" s="7"/>
      <c r="GQ30" s="7"/>
      <c r="GR30" s="7">
        <v>4046</v>
      </c>
      <c r="GS30" s="7">
        <v>4760</v>
      </c>
      <c r="GT30" s="7">
        <v>4760</v>
      </c>
      <c r="GU30" s="7">
        <v>4760</v>
      </c>
      <c r="GV30" s="7">
        <v>4760</v>
      </c>
      <c r="GW30" s="8"/>
      <c r="GX30" s="8"/>
      <c r="GY30" s="8"/>
      <c r="GZ30" s="8"/>
      <c r="HA30" s="8"/>
      <c r="HB30" s="8"/>
      <c r="HC30" s="8"/>
      <c r="HD30" s="8"/>
      <c r="HE30" s="58"/>
      <c r="HF30" s="58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82"/>
      <c r="HR30" s="82"/>
      <c r="HS30" s="82"/>
      <c r="HT30" s="26"/>
      <c r="HU30" s="23"/>
      <c r="HV30" s="23"/>
      <c r="HW30" s="24"/>
      <c r="HX30" s="24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76"/>
      <c r="IY30" s="76"/>
      <c r="IZ30" s="76"/>
      <c r="JA30" s="71"/>
      <c r="JB30" s="71"/>
      <c r="JC30" s="72"/>
      <c r="JD30" s="72"/>
      <c r="JE30" s="72"/>
      <c r="JF30" s="72"/>
      <c r="JG30" s="72"/>
      <c r="JH30" s="72"/>
      <c r="JI30" s="71"/>
      <c r="JJ30" s="71"/>
      <c r="JK30" s="72"/>
      <c r="JL30" s="72"/>
      <c r="JM30" s="72"/>
      <c r="JN30" s="72"/>
    </row>
    <row r="31" spans="1:274" ht="13.5" customHeight="1">
      <c r="A31" s="7">
        <v>19</v>
      </c>
      <c r="B31" s="7"/>
      <c r="C31" s="7" t="e">
        <f t="shared" si="25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/>
      <c r="L31" s="7"/>
      <c r="M31" s="7"/>
      <c r="N31" s="7"/>
      <c r="O31" s="7"/>
      <c r="P31" s="7"/>
      <c r="Q31" s="53"/>
      <c r="R31" s="7"/>
      <c r="S31" s="7"/>
      <c r="T31" s="53"/>
      <c r="U31" s="7"/>
      <c r="V31" s="7" t="e">
        <f t="shared" si="4"/>
        <v>#VALUE!</v>
      </c>
      <c r="W31" s="28"/>
      <c r="X31" s="7" t="e">
        <f t="shared" si="4"/>
        <v>#VALUE!</v>
      </c>
      <c r="Y31" s="28"/>
      <c r="Z31" s="7" t="e">
        <f t="shared" si="5"/>
        <v>#VALUE!</v>
      </c>
      <c r="AA31" s="28"/>
      <c r="AB31" s="7"/>
      <c r="AC31" s="7"/>
      <c r="AD31" s="7"/>
      <c r="AE31" s="7"/>
      <c r="AF31" s="7">
        <v>0</v>
      </c>
      <c r="AG31" s="7" t="e">
        <f t="shared" si="6"/>
        <v>#VALUE!</v>
      </c>
      <c r="AH31" s="28"/>
      <c r="AI31" s="7"/>
      <c r="AJ31" s="7" t="e">
        <f t="shared" si="7"/>
        <v>#VALUE!</v>
      </c>
      <c r="AK31" s="28"/>
      <c r="AL31" s="7" t="e">
        <f t="shared" si="8"/>
        <v>#VALUE!</v>
      </c>
      <c r="AM31" s="28"/>
      <c r="AN31" s="7" t="e">
        <f t="shared" si="9"/>
        <v>#VALUE!</v>
      </c>
      <c r="AO31" s="28"/>
      <c r="AP31" s="7">
        <f t="shared" si="10"/>
        <v>2</v>
      </c>
      <c r="AQ31" s="28" t="s">
        <v>2301</v>
      </c>
      <c r="AR31" s="7"/>
      <c r="AS31" s="7"/>
      <c r="AT31" s="7"/>
      <c r="AU31" s="7"/>
      <c r="AV31" s="7">
        <f t="shared" si="11"/>
        <v>4617</v>
      </c>
      <c r="AW31" s="28" t="s">
        <v>2302</v>
      </c>
      <c r="AX31" s="7">
        <v>1</v>
      </c>
      <c r="AY31" s="7" t="e">
        <f t="shared" si="12"/>
        <v>#VALUE!</v>
      </c>
      <c r="AZ31" s="28"/>
      <c r="BA31" s="7">
        <v>0</v>
      </c>
      <c r="BB31" s="7">
        <v>10</v>
      </c>
      <c r="BC31" s="7">
        <v>0</v>
      </c>
      <c r="BD31" s="7">
        <v>10</v>
      </c>
      <c r="BE31" s="7"/>
      <c r="BF31" s="7" t="e">
        <f t="shared" si="13"/>
        <v>#VALUE!</v>
      </c>
      <c r="BG31" s="28"/>
      <c r="BH31" s="7" t="e">
        <f t="shared" si="14"/>
        <v>#VALUE!</v>
      </c>
      <c r="BI31" s="28"/>
      <c r="BJ31" s="7" t="e">
        <f t="shared" si="15"/>
        <v>#VALUE!</v>
      </c>
      <c r="BK31" s="28"/>
      <c r="BL31" s="7"/>
      <c r="BM31" s="7"/>
      <c r="BN31" s="7" t="e">
        <f t="shared" si="16"/>
        <v>#VALUE!</v>
      </c>
      <c r="BO31" s="28"/>
      <c r="BP31" s="7" t="e">
        <f t="shared" si="17"/>
        <v>#VALUE!</v>
      </c>
      <c r="BQ31" s="28"/>
      <c r="BR31" s="7"/>
      <c r="BS31" s="7" t="e">
        <f t="shared" si="18"/>
        <v>#VALUE!</v>
      </c>
      <c r="BT31" s="28"/>
      <c r="BU31" s="7"/>
      <c r="BV31" s="7" t="e">
        <f ca="1">[1]!tメーカー名(BU31)</f>
        <v>#NAME?</v>
      </c>
      <c r="BW31" s="7" t="e">
        <f t="shared" si="19"/>
        <v>#VALUE!</v>
      </c>
      <c r="BX31" s="28"/>
      <c r="BY31" s="7" t="e">
        <f t="shared" si="20"/>
        <v>#VALUE!</v>
      </c>
      <c r="BZ31" s="28"/>
      <c r="CA31" s="54"/>
      <c r="CB31" s="54"/>
      <c r="CC31" s="7" t="e">
        <f t="shared" si="21"/>
        <v>#VALUE!</v>
      </c>
      <c r="CD31" s="28"/>
      <c r="CE31" s="7" t="e">
        <f t="shared" si="22"/>
        <v>#VALUE!</v>
      </c>
      <c r="CF31" s="28"/>
      <c r="CG31" s="7" t="e">
        <f t="shared" si="23"/>
        <v>#VALUE!</v>
      </c>
      <c r="CH31" s="28"/>
      <c r="CI31" s="7" t="e">
        <f t="shared" si="24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6">
        <f t="shared" si="3"/>
        <v>0</v>
      </c>
      <c r="CT31" s="7"/>
      <c r="CU31" s="7"/>
      <c r="CV31" s="97"/>
      <c r="CW31" s="97"/>
      <c r="CX31" s="97"/>
      <c r="CY31" s="98"/>
      <c r="CZ31" s="98"/>
      <c r="DA31" s="97"/>
      <c r="DB31" s="98"/>
      <c r="DC31" s="97"/>
      <c r="DD31" s="97" t="s">
        <v>1692</v>
      </c>
      <c r="DE31" s="97" t="s">
        <v>1682</v>
      </c>
      <c r="DF31" s="98"/>
      <c r="DG31" s="98"/>
      <c r="DH31" s="98"/>
      <c r="DI31" s="98"/>
      <c r="DJ31" s="98"/>
      <c r="DK31" s="98"/>
      <c r="DL31" s="98"/>
      <c r="DM31" s="97"/>
      <c r="DN31" s="97"/>
      <c r="DO31" s="97"/>
      <c r="DP31" s="97"/>
      <c r="DQ31" s="97"/>
      <c r="DR31" s="97"/>
      <c r="DS31" s="97"/>
      <c r="DT31" s="99"/>
      <c r="DU31" s="98"/>
      <c r="DV31" s="97"/>
      <c r="DW31" s="97"/>
      <c r="DX31" s="97"/>
      <c r="DY31" s="97"/>
      <c r="DZ31" s="97"/>
      <c r="EA31" s="97"/>
      <c r="EB31" s="97"/>
      <c r="EC31" s="97"/>
      <c r="ED31" s="97"/>
      <c r="EE31" s="97"/>
      <c r="EF31" s="97"/>
      <c r="EG31" s="97"/>
      <c r="EH31" s="97"/>
      <c r="EI31" s="97"/>
      <c r="EJ31" s="97"/>
      <c r="EK31" s="97"/>
      <c r="EL31" s="97"/>
      <c r="EM31" s="97"/>
      <c r="EN31" s="97"/>
      <c r="EO31" s="97"/>
      <c r="EP31" s="97"/>
      <c r="EQ31" s="97"/>
      <c r="ER31" s="97"/>
      <c r="ES31" s="97"/>
      <c r="ET31" s="97"/>
      <c r="EU31" s="97"/>
      <c r="EV31" s="97"/>
      <c r="EW31" s="97"/>
      <c r="EX31" s="97"/>
      <c r="EY31" s="97"/>
      <c r="EZ31" s="97"/>
      <c r="FA31" s="97"/>
      <c r="FB31" s="97"/>
      <c r="FC31" s="97"/>
      <c r="FD31" s="97"/>
      <c r="FE31" s="97"/>
      <c r="FF31" s="97"/>
      <c r="FG31" s="97"/>
      <c r="FH31" s="97"/>
      <c r="FI31" s="97"/>
      <c r="FJ31" s="97"/>
      <c r="FK31" s="97"/>
      <c r="FL31" s="97"/>
      <c r="FM31" s="97"/>
      <c r="FN31" s="97"/>
      <c r="FO31" s="97"/>
      <c r="FP31" s="97"/>
      <c r="FQ31" s="97"/>
      <c r="FR31" s="97"/>
      <c r="FS31" s="97"/>
      <c r="FT31" s="97"/>
      <c r="FU31" s="97"/>
      <c r="FV31" s="97"/>
      <c r="FW31" s="97"/>
      <c r="FX31" s="97"/>
      <c r="FY31" s="6"/>
      <c r="FZ31" s="7" t="str">
        <f>IF(FY31="","",VLOOKUP(FY31,MT商品ﾏｽﾀ参照シート!AM:AN,2,0))</f>
        <v/>
      </c>
      <c r="GA31" s="8"/>
      <c r="GB31" s="8"/>
      <c r="GC31" s="8"/>
      <c r="GD31" s="8"/>
      <c r="GE31" s="58"/>
      <c r="GF31" s="7" t="str">
        <f>IF(GE31="","",VLOOKUP(GE31,MT商品ﾏｽﾀ参照シート!AO:AP,2,0))</f>
        <v/>
      </c>
      <c r="GG31" s="7"/>
      <c r="GH31" s="7"/>
      <c r="GI31" s="7"/>
      <c r="GJ31" s="7"/>
      <c r="GK31" s="49"/>
      <c r="GL31" s="6"/>
      <c r="GM31" s="6"/>
      <c r="GN31" s="7"/>
      <c r="GO31" s="7"/>
      <c r="GP31" s="7"/>
      <c r="GQ31" s="7"/>
      <c r="GR31" s="7">
        <v>4480</v>
      </c>
      <c r="GS31" s="7">
        <v>5270</v>
      </c>
      <c r="GT31" s="7">
        <v>5270</v>
      </c>
      <c r="GU31" s="7">
        <v>5270</v>
      </c>
      <c r="GV31" s="7">
        <v>5270</v>
      </c>
      <c r="GW31" s="8"/>
      <c r="GX31" s="8"/>
      <c r="GY31" s="8"/>
      <c r="GZ31" s="8"/>
      <c r="HA31" s="8"/>
      <c r="HB31" s="8"/>
      <c r="HC31" s="8"/>
      <c r="HD31" s="8"/>
      <c r="HE31" s="58"/>
      <c r="HF31" s="58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82"/>
      <c r="HR31" s="82"/>
      <c r="HS31" s="82"/>
      <c r="HT31" s="26"/>
      <c r="HU31" s="23"/>
      <c r="HV31" s="23"/>
      <c r="HW31" s="24"/>
      <c r="HX31" s="24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76"/>
      <c r="IY31" s="76"/>
      <c r="IZ31" s="76"/>
      <c r="JA31" s="71"/>
      <c r="JB31" s="71"/>
      <c r="JC31" s="72"/>
      <c r="JD31" s="72"/>
      <c r="JE31" s="72"/>
      <c r="JF31" s="72"/>
      <c r="JG31" s="72"/>
      <c r="JH31" s="72"/>
      <c r="JI31" s="71"/>
      <c r="JJ31" s="71"/>
      <c r="JK31" s="72"/>
      <c r="JL31" s="72"/>
      <c r="JM31" s="72"/>
      <c r="JN31" s="72"/>
    </row>
    <row r="32" spans="1:274" ht="13.5" customHeight="1">
      <c r="A32" s="7">
        <v>20</v>
      </c>
      <c r="B32" s="7"/>
      <c r="C32" s="7" t="e">
        <f t="shared" si="25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/>
      <c r="L32" s="7"/>
      <c r="M32" s="7"/>
      <c r="N32" s="7"/>
      <c r="O32" s="7"/>
      <c r="P32" s="7"/>
      <c r="Q32" s="53"/>
      <c r="R32" s="7"/>
      <c r="S32" s="7"/>
      <c r="T32" s="53"/>
      <c r="U32" s="7"/>
      <c r="V32" s="7" t="e">
        <f t="shared" si="4"/>
        <v>#VALUE!</v>
      </c>
      <c r="W32" s="28"/>
      <c r="X32" s="7" t="e">
        <f t="shared" si="4"/>
        <v>#VALUE!</v>
      </c>
      <c r="Y32" s="28"/>
      <c r="Z32" s="7" t="e">
        <f t="shared" si="5"/>
        <v>#VALUE!</v>
      </c>
      <c r="AA32" s="28"/>
      <c r="AB32" s="7"/>
      <c r="AC32" s="7"/>
      <c r="AD32" s="7"/>
      <c r="AE32" s="7"/>
      <c r="AF32" s="7">
        <v>0</v>
      </c>
      <c r="AG32" s="7" t="e">
        <f t="shared" si="6"/>
        <v>#VALUE!</v>
      </c>
      <c r="AH32" s="28"/>
      <c r="AI32" s="7"/>
      <c r="AJ32" s="7" t="e">
        <f t="shared" si="7"/>
        <v>#VALUE!</v>
      </c>
      <c r="AK32" s="28"/>
      <c r="AL32" s="7" t="e">
        <f t="shared" si="8"/>
        <v>#VALUE!</v>
      </c>
      <c r="AM32" s="28"/>
      <c r="AN32" s="7" t="e">
        <f t="shared" si="9"/>
        <v>#VALUE!</v>
      </c>
      <c r="AO32" s="28"/>
      <c r="AP32" s="7">
        <f t="shared" si="10"/>
        <v>2</v>
      </c>
      <c r="AQ32" s="28" t="s">
        <v>2301</v>
      </c>
      <c r="AR32" s="7"/>
      <c r="AS32" s="7"/>
      <c r="AT32" s="7"/>
      <c r="AU32" s="7"/>
      <c r="AV32" s="7">
        <f t="shared" si="11"/>
        <v>4617</v>
      </c>
      <c r="AW32" s="28" t="s">
        <v>2302</v>
      </c>
      <c r="AX32" s="7">
        <v>1</v>
      </c>
      <c r="AY32" s="7" t="e">
        <f t="shared" si="12"/>
        <v>#VALUE!</v>
      </c>
      <c r="AZ32" s="28"/>
      <c r="BA32" s="7">
        <v>0</v>
      </c>
      <c r="BB32" s="7">
        <v>10</v>
      </c>
      <c r="BC32" s="7">
        <v>0</v>
      </c>
      <c r="BD32" s="7">
        <v>10</v>
      </c>
      <c r="BE32" s="7"/>
      <c r="BF32" s="7" t="e">
        <f t="shared" si="13"/>
        <v>#VALUE!</v>
      </c>
      <c r="BG32" s="28"/>
      <c r="BH32" s="7" t="e">
        <f t="shared" si="14"/>
        <v>#VALUE!</v>
      </c>
      <c r="BI32" s="28"/>
      <c r="BJ32" s="7" t="e">
        <f t="shared" si="15"/>
        <v>#VALUE!</v>
      </c>
      <c r="BK32" s="28"/>
      <c r="BL32" s="7"/>
      <c r="BM32" s="7"/>
      <c r="BN32" s="7" t="e">
        <f t="shared" si="16"/>
        <v>#VALUE!</v>
      </c>
      <c r="BO32" s="28"/>
      <c r="BP32" s="7" t="e">
        <f t="shared" si="17"/>
        <v>#VALUE!</v>
      </c>
      <c r="BQ32" s="28"/>
      <c r="BR32" s="7"/>
      <c r="BS32" s="7" t="e">
        <f t="shared" si="18"/>
        <v>#VALUE!</v>
      </c>
      <c r="BT32" s="28"/>
      <c r="BU32" s="7"/>
      <c r="BV32" s="7" t="e">
        <f ca="1">[1]!tメーカー名(BU32)</f>
        <v>#NAME?</v>
      </c>
      <c r="BW32" s="7" t="e">
        <f t="shared" si="19"/>
        <v>#VALUE!</v>
      </c>
      <c r="BX32" s="28"/>
      <c r="BY32" s="7" t="e">
        <f t="shared" si="20"/>
        <v>#VALUE!</v>
      </c>
      <c r="BZ32" s="28"/>
      <c r="CA32" s="54"/>
      <c r="CB32" s="54"/>
      <c r="CC32" s="7" t="e">
        <f t="shared" si="21"/>
        <v>#VALUE!</v>
      </c>
      <c r="CD32" s="28"/>
      <c r="CE32" s="7" t="e">
        <f t="shared" si="22"/>
        <v>#VALUE!</v>
      </c>
      <c r="CF32" s="28"/>
      <c r="CG32" s="7" t="e">
        <f t="shared" si="23"/>
        <v>#VALUE!</v>
      </c>
      <c r="CH32" s="28"/>
      <c r="CI32" s="7" t="e">
        <f t="shared" si="24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6">
        <f t="shared" si="3"/>
        <v>0</v>
      </c>
      <c r="CT32" s="7"/>
      <c r="CU32" s="7"/>
      <c r="CV32" s="97"/>
      <c r="CW32" s="97"/>
      <c r="CX32" s="97"/>
      <c r="CY32" s="98"/>
      <c r="CZ32" s="98"/>
      <c r="DA32" s="97"/>
      <c r="DB32" s="98"/>
      <c r="DC32" s="97"/>
      <c r="DD32" s="97"/>
      <c r="DE32" s="97" t="s">
        <v>1682</v>
      </c>
      <c r="DF32" s="98"/>
      <c r="DG32" s="98"/>
      <c r="DH32" s="98"/>
      <c r="DI32" s="98"/>
      <c r="DJ32" s="98"/>
      <c r="DK32" s="98"/>
      <c r="DL32" s="98"/>
      <c r="DM32" s="97"/>
      <c r="DN32" s="97"/>
      <c r="DO32" s="97"/>
      <c r="DP32" s="97"/>
      <c r="DQ32" s="97"/>
      <c r="DR32" s="97"/>
      <c r="DS32" s="97"/>
      <c r="DT32" s="99"/>
      <c r="DU32" s="98"/>
      <c r="DV32" s="97"/>
      <c r="DW32" s="97"/>
      <c r="DX32" s="97"/>
      <c r="DY32" s="97"/>
      <c r="DZ32" s="97"/>
      <c r="EA32" s="97"/>
      <c r="EB32" s="97"/>
      <c r="EC32" s="97"/>
      <c r="ED32" s="97"/>
      <c r="EE32" s="97"/>
      <c r="EF32" s="97"/>
      <c r="EG32" s="97"/>
      <c r="EH32" s="97"/>
      <c r="EI32" s="97"/>
      <c r="EJ32" s="97"/>
      <c r="EK32" s="97"/>
      <c r="EL32" s="97"/>
      <c r="EM32" s="97"/>
      <c r="EN32" s="97"/>
      <c r="EO32" s="97"/>
      <c r="EP32" s="97"/>
      <c r="EQ32" s="97"/>
      <c r="ER32" s="97"/>
      <c r="ES32" s="97"/>
      <c r="ET32" s="97"/>
      <c r="EU32" s="97"/>
      <c r="EV32" s="97"/>
      <c r="EW32" s="97"/>
      <c r="EX32" s="97"/>
      <c r="EY32" s="97"/>
      <c r="EZ32" s="97"/>
      <c r="FA32" s="97"/>
      <c r="FB32" s="97"/>
      <c r="FC32" s="97"/>
      <c r="FD32" s="97"/>
      <c r="FE32" s="97"/>
      <c r="FF32" s="97"/>
      <c r="FG32" s="97"/>
      <c r="FH32" s="97"/>
      <c r="FI32" s="97"/>
      <c r="FJ32" s="97"/>
      <c r="FK32" s="97"/>
      <c r="FL32" s="97"/>
      <c r="FM32" s="97"/>
      <c r="FN32" s="97"/>
      <c r="FO32" s="97"/>
      <c r="FP32" s="97"/>
      <c r="FQ32" s="97"/>
      <c r="FR32" s="97"/>
      <c r="FS32" s="97"/>
      <c r="FT32" s="97"/>
      <c r="FU32" s="97"/>
      <c r="FV32" s="97"/>
      <c r="FW32" s="97"/>
      <c r="FX32" s="97"/>
      <c r="FY32" s="6"/>
      <c r="FZ32" s="7" t="str">
        <f>IF(FY32="","",VLOOKUP(FY32,MT商品ﾏｽﾀ参照シート!AM:AN,2,0))</f>
        <v/>
      </c>
      <c r="GA32" s="8"/>
      <c r="GB32" s="8"/>
      <c r="GC32" s="8"/>
      <c r="GD32" s="8"/>
      <c r="GE32" s="58"/>
      <c r="GF32" s="7" t="str">
        <f>IF(GE32="","",VLOOKUP(GE32,MT商品ﾏｽﾀ参照シート!AO:AP,2,0))</f>
        <v/>
      </c>
      <c r="GG32" s="7"/>
      <c r="GH32" s="7"/>
      <c r="GI32" s="7"/>
      <c r="GJ32" s="7"/>
      <c r="GK32" s="49"/>
      <c r="GL32" s="6"/>
      <c r="GM32" s="6"/>
      <c r="GN32" s="7"/>
      <c r="GO32" s="7"/>
      <c r="GP32" s="7"/>
      <c r="GQ32" s="7"/>
      <c r="GR32" s="7">
        <v>3856</v>
      </c>
      <c r="GS32" s="7">
        <v>4537</v>
      </c>
      <c r="GT32" s="7">
        <v>4537</v>
      </c>
      <c r="GU32" s="7">
        <v>4537</v>
      </c>
      <c r="GV32" s="7">
        <v>4537</v>
      </c>
      <c r="GW32" s="8"/>
      <c r="GX32" s="8"/>
      <c r="GY32" s="8"/>
      <c r="GZ32" s="8"/>
      <c r="HA32" s="8"/>
      <c r="HB32" s="8"/>
      <c r="HC32" s="8"/>
      <c r="HD32" s="8"/>
      <c r="HE32" s="58"/>
      <c r="HF32" s="58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82"/>
      <c r="HR32" s="82"/>
      <c r="HS32" s="82"/>
      <c r="HT32" s="26"/>
      <c r="HU32" s="23"/>
      <c r="HV32" s="23"/>
      <c r="HW32" s="24"/>
      <c r="HX32" s="24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76"/>
      <c r="IY32" s="76"/>
      <c r="IZ32" s="76"/>
      <c r="JA32" s="71"/>
      <c r="JB32" s="71"/>
      <c r="JC32" s="72"/>
      <c r="JD32" s="72"/>
      <c r="JE32" s="72"/>
      <c r="JF32" s="72"/>
      <c r="JG32" s="72"/>
      <c r="JH32" s="72"/>
      <c r="JI32" s="71"/>
      <c r="JJ32" s="71"/>
      <c r="JK32" s="72"/>
      <c r="JL32" s="72"/>
      <c r="JM32" s="72"/>
      <c r="JN32" s="72"/>
    </row>
    <row r="33" spans="1:274" ht="13.5" customHeight="1">
      <c r="A33" s="7">
        <v>21</v>
      </c>
      <c r="B33" s="7"/>
      <c r="C33" s="7" t="e">
        <f t="shared" si="25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/>
      <c r="L33" s="7"/>
      <c r="M33" s="7"/>
      <c r="N33" s="7"/>
      <c r="O33" s="7"/>
      <c r="P33" s="7"/>
      <c r="Q33" s="53"/>
      <c r="R33" s="7"/>
      <c r="S33" s="7"/>
      <c r="T33" s="53"/>
      <c r="U33" s="7"/>
      <c r="V33" s="7" t="e">
        <f t="shared" si="4"/>
        <v>#VALUE!</v>
      </c>
      <c r="W33" s="28"/>
      <c r="X33" s="7" t="e">
        <f t="shared" si="4"/>
        <v>#VALUE!</v>
      </c>
      <c r="Y33" s="28"/>
      <c r="Z33" s="7" t="e">
        <f t="shared" si="5"/>
        <v>#VALUE!</v>
      </c>
      <c r="AA33" s="28"/>
      <c r="AB33" s="7"/>
      <c r="AC33" s="7"/>
      <c r="AD33" s="7"/>
      <c r="AE33" s="7"/>
      <c r="AF33" s="7">
        <v>0</v>
      </c>
      <c r="AG33" s="7" t="e">
        <f t="shared" si="6"/>
        <v>#VALUE!</v>
      </c>
      <c r="AH33" s="28"/>
      <c r="AI33" s="7"/>
      <c r="AJ33" s="7" t="e">
        <f t="shared" si="7"/>
        <v>#VALUE!</v>
      </c>
      <c r="AK33" s="28"/>
      <c r="AL33" s="7" t="e">
        <f t="shared" si="8"/>
        <v>#VALUE!</v>
      </c>
      <c r="AM33" s="28"/>
      <c r="AN33" s="7" t="e">
        <f t="shared" si="9"/>
        <v>#VALUE!</v>
      </c>
      <c r="AO33" s="28"/>
      <c r="AP33" s="7">
        <f t="shared" si="10"/>
        <v>2</v>
      </c>
      <c r="AQ33" s="28" t="s">
        <v>2301</v>
      </c>
      <c r="AR33" s="7"/>
      <c r="AS33" s="7"/>
      <c r="AT33" s="7"/>
      <c r="AU33" s="7"/>
      <c r="AV33" s="7">
        <f t="shared" si="11"/>
        <v>4617</v>
      </c>
      <c r="AW33" s="28" t="s">
        <v>2302</v>
      </c>
      <c r="AX33" s="7">
        <v>1</v>
      </c>
      <c r="AY33" s="7" t="e">
        <f t="shared" si="12"/>
        <v>#VALUE!</v>
      </c>
      <c r="AZ33" s="28"/>
      <c r="BA33" s="7">
        <v>0</v>
      </c>
      <c r="BB33" s="7">
        <v>10</v>
      </c>
      <c r="BC33" s="7">
        <v>0</v>
      </c>
      <c r="BD33" s="7">
        <v>10</v>
      </c>
      <c r="BE33" s="7"/>
      <c r="BF33" s="7" t="e">
        <f t="shared" si="13"/>
        <v>#VALUE!</v>
      </c>
      <c r="BG33" s="28"/>
      <c r="BH33" s="7" t="e">
        <f t="shared" si="14"/>
        <v>#VALUE!</v>
      </c>
      <c r="BI33" s="28"/>
      <c r="BJ33" s="7" t="e">
        <f t="shared" si="15"/>
        <v>#VALUE!</v>
      </c>
      <c r="BK33" s="28"/>
      <c r="BL33" s="7"/>
      <c r="BM33" s="7"/>
      <c r="BN33" s="7" t="e">
        <f t="shared" si="16"/>
        <v>#VALUE!</v>
      </c>
      <c r="BO33" s="28"/>
      <c r="BP33" s="7" t="e">
        <f t="shared" si="17"/>
        <v>#VALUE!</v>
      </c>
      <c r="BQ33" s="28"/>
      <c r="BR33" s="7"/>
      <c r="BS33" s="7" t="e">
        <f t="shared" si="18"/>
        <v>#VALUE!</v>
      </c>
      <c r="BT33" s="28"/>
      <c r="BU33" s="7"/>
      <c r="BV33" s="7" t="e">
        <f ca="1">[1]!tメーカー名(BU33)</f>
        <v>#NAME?</v>
      </c>
      <c r="BW33" s="7" t="e">
        <f t="shared" si="19"/>
        <v>#VALUE!</v>
      </c>
      <c r="BX33" s="28"/>
      <c r="BY33" s="7" t="e">
        <f t="shared" si="20"/>
        <v>#VALUE!</v>
      </c>
      <c r="BZ33" s="28"/>
      <c r="CA33" s="54"/>
      <c r="CB33" s="54"/>
      <c r="CC33" s="7" t="e">
        <f t="shared" si="21"/>
        <v>#VALUE!</v>
      </c>
      <c r="CD33" s="28"/>
      <c r="CE33" s="7" t="e">
        <f t="shared" si="22"/>
        <v>#VALUE!</v>
      </c>
      <c r="CF33" s="28"/>
      <c r="CG33" s="7" t="e">
        <f t="shared" si="23"/>
        <v>#VALUE!</v>
      </c>
      <c r="CH33" s="28"/>
      <c r="CI33" s="7" t="e">
        <f t="shared" si="24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6">
        <f t="shared" si="3"/>
        <v>0</v>
      </c>
      <c r="CT33" s="7"/>
      <c r="CU33" s="7"/>
      <c r="CV33" s="97"/>
      <c r="CW33" s="97"/>
      <c r="CX33" s="97"/>
      <c r="CY33" s="98"/>
      <c r="CZ33" s="98"/>
      <c r="DA33" s="97"/>
      <c r="DB33" s="98"/>
      <c r="DC33" s="97"/>
      <c r="DD33" s="97" t="s">
        <v>1693</v>
      </c>
      <c r="DE33" s="97" t="s">
        <v>1682</v>
      </c>
      <c r="DF33" s="98"/>
      <c r="DG33" s="98"/>
      <c r="DH33" s="98"/>
      <c r="DI33" s="98"/>
      <c r="DJ33" s="98"/>
      <c r="DK33" s="98"/>
      <c r="DL33" s="98"/>
      <c r="DM33" s="97"/>
      <c r="DN33" s="97"/>
      <c r="DO33" s="97"/>
      <c r="DP33" s="97"/>
      <c r="DQ33" s="97"/>
      <c r="DR33" s="97"/>
      <c r="DS33" s="97"/>
      <c r="DT33" s="99"/>
      <c r="DU33" s="98"/>
      <c r="DV33" s="97"/>
      <c r="DW33" s="97"/>
      <c r="DX33" s="97"/>
      <c r="DY33" s="97"/>
      <c r="DZ33" s="97"/>
      <c r="EA33" s="97"/>
      <c r="EB33" s="97"/>
      <c r="EC33" s="97"/>
      <c r="ED33" s="97"/>
      <c r="EE33" s="97"/>
      <c r="EF33" s="97"/>
      <c r="EG33" s="97"/>
      <c r="EH33" s="97"/>
      <c r="EI33" s="97"/>
      <c r="EJ33" s="97"/>
      <c r="EK33" s="97"/>
      <c r="EL33" s="97"/>
      <c r="EM33" s="97"/>
      <c r="EN33" s="97"/>
      <c r="EO33" s="97"/>
      <c r="EP33" s="97"/>
      <c r="EQ33" s="97"/>
      <c r="ER33" s="97"/>
      <c r="ES33" s="97"/>
      <c r="ET33" s="97"/>
      <c r="EU33" s="97"/>
      <c r="EV33" s="97"/>
      <c r="EW33" s="97"/>
      <c r="EX33" s="97"/>
      <c r="EY33" s="97"/>
      <c r="EZ33" s="97"/>
      <c r="FA33" s="97"/>
      <c r="FB33" s="97"/>
      <c r="FC33" s="97"/>
      <c r="FD33" s="97"/>
      <c r="FE33" s="97"/>
      <c r="FF33" s="97"/>
      <c r="FG33" s="97"/>
      <c r="FH33" s="97"/>
      <c r="FI33" s="97"/>
      <c r="FJ33" s="97"/>
      <c r="FK33" s="97"/>
      <c r="FL33" s="97"/>
      <c r="FM33" s="97"/>
      <c r="FN33" s="97"/>
      <c r="FO33" s="97"/>
      <c r="FP33" s="97"/>
      <c r="FQ33" s="97"/>
      <c r="FR33" s="97"/>
      <c r="FS33" s="97"/>
      <c r="FT33" s="97"/>
      <c r="FU33" s="97"/>
      <c r="FV33" s="97"/>
      <c r="FW33" s="97"/>
      <c r="FX33" s="97"/>
      <c r="FY33" s="6"/>
      <c r="FZ33" s="7" t="str">
        <f>IF(FY33="","",VLOOKUP(FY33,MT商品ﾏｽﾀ参照シート!AM:AN,2,0))</f>
        <v/>
      </c>
      <c r="GA33" s="8"/>
      <c r="GB33" s="8"/>
      <c r="GC33" s="8"/>
      <c r="GD33" s="8"/>
      <c r="GE33" s="58"/>
      <c r="GF33" s="7" t="str">
        <f>IF(GE33="","",VLOOKUP(GE33,MT商品ﾏｽﾀ参照シート!AO:AP,2,0))</f>
        <v/>
      </c>
      <c r="GG33" s="7"/>
      <c r="GH33" s="7"/>
      <c r="GI33" s="7"/>
      <c r="GJ33" s="7"/>
      <c r="GK33" s="49"/>
      <c r="GL33" s="6"/>
      <c r="GM33" s="6"/>
      <c r="GN33" s="7"/>
      <c r="GO33" s="7"/>
      <c r="GP33" s="7"/>
      <c r="GQ33" s="7"/>
      <c r="GR33" s="7">
        <v>2975</v>
      </c>
      <c r="GS33" s="7">
        <v>3500</v>
      </c>
      <c r="GT33" s="7">
        <v>3500</v>
      </c>
      <c r="GU33" s="7">
        <v>3500</v>
      </c>
      <c r="GV33" s="7">
        <v>3500</v>
      </c>
      <c r="GW33" s="8"/>
      <c r="GX33" s="8"/>
      <c r="GY33" s="8"/>
      <c r="GZ33" s="8"/>
      <c r="HA33" s="8"/>
      <c r="HB33" s="8"/>
      <c r="HC33" s="8"/>
      <c r="HD33" s="8"/>
      <c r="HE33" s="58"/>
      <c r="HF33" s="58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82"/>
      <c r="HR33" s="82"/>
      <c r="HS33" s="82"/>
      <c r="HT33" s="26"/>
      <c r="HU33" s="23"/>
      <c r="HV33" s="23"/>
      <c r="HW33" s="24"/>
      <c r="HX33" s="24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76"/>
      <c r="IY33" s="76"/>
      <c r="IZ33" s="76"/>
      <c r="JA33" s="71"/>
      <c r="JB33" s="71"/>
      <c r="JC33" s="72"/>
      <c r="JD33" s="72"/>
      <c r="JE33" s="72"/>
      <c r="JF33" s="72"/>
      <c r="JG33" s="72"/>
      <c r="JH33" s="72"/>
      <c r="JI33" s="71"/>
      <c r="JJ33" s="71"/>
      <c r="JK33" s="72"/>
      <c r="JL33" s="72"/>
      <c r="JM33" s="72"/>
      <c r="JN33" s="72"/>
    </row>
    <row r="34" spans="1:274" ht="13.5" customHeight="1">
      <c r="A34" s="7">
        <v>22</v>
      </c>
      <c r="B34" s="7"/>
      <c r="C34" s="7" t="e">
        <f t="shared" si="25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/>
      <c r="L34" s="7"/>
      <c r="M34" s="7"/>
      <c r="N34" s="7"/>
      <c r="O34" s="7"/>
      <c r="P34" s="7"/>
      <c r="Q34" s="53"/>
      <c r="R34" s="7"/>
      <c r="S34" s="7"/>
      <c r="T34" s="53"/>
      <c r="U34" s="7"/>
      <c r="V34" s="7" t="e">
        <f t="shared" si="4"/>
        <v>#VALUE!</v>
      </c>
      <c r="W34" s="28"/>
      <c r="X34" s="7" t="e">
        <f t="shared" si="4"/>
        <v>#VALUE!</v>
      </c>
      <c r="Y34" s="28"/>
      <c r="Z34" s="7" t="e">
        <f t="shared" si="5"/>
        <v>#VALUE!</v>
      </c>
      <c r="AA34" s="28"/>
      <c r="AB34" s="7"/>
      <c r="AC34" s="7"/>
      <c r="AD34" s="7"/>
      <c r="AE34" s="7"/>
      <c r="AF34" s="7">
        <v>0</v>
      </c>
      <c r="AG34" s="7" t="e">
        <f t="shared" si="6"/>
        <v>#VALUE!</v>
      </c>
      <c r="AH34" s="28"/>
      <c r="AI34" s="7"/>
      <c r="AJ34" s="7" t="e">
        <f t="shared" si="7"/>
        <v>#VALUE!</v>
      </c>
      <c r="AK34" s="28"/>
      <c r="AL34" s="7" t="e">
        <f t="shared" si="8"/>
        <v>#VALUE!</v>
      </c>
      <c r="AM34" s="28"/>
      <c r="AN34" s="7" t="e">
        <f t="shared" si="9"/>
        <v>#VALUE!</v>
      </c>
      <c r="AO34" s="28"/>
      <c r="AP34" s="7">
        <f t="shared" si="10"/>
        <v>2</v>
      </c>
      <c r="AQ34" s="28" t="s">
        <v>2301</v>
      </c>
      <c r="AR34" s="7"/>
      <c r="AS34" s="7"/>
      <c r="AT34" s="7"/>
      <c r="AU34" s="7"/>
      <c r="AV34" s="7">
        <f t="shared" si="11"/>
        <v>4617</v>
      </c>
      <c r="AW34" s="28" t="s">
        <v>2302</v>
      </c>
      <c r="AX34" s="7">
        <v>1</v>
      </c>
      <c r="AY34" s="7" t="e">
        <f t="shared" si="12"/>
        <v>#VALUE!</v>
      </c>
      <c r="AZ34" s="28"/>
      <c r="BA34" s="7">
        <v>0</v>
      </c>
      <c r="BB34" s="7">
        <v>10</v>
      </c>
      <c r="BC34" s="7">
        <v>0</v>
      </c>
      <c r="BD34" s="7">
        <v>10</v>
      </c>
      <c r="BE34" s="7"/>
      <c r="BF34" s="7" t="e">
        <f t="shared" si="13"/>
        <v>#VALUE!</v>
      </c>
      <c r="BG34" s="28"/>
      <c r="BH34" s="7" t="e">
        <f t="shared" si="14"/>
        <v>#VALUE!</v>
      </c>
      <c r="BI34" s="28"/>
      <c r="BJ34" s="7" t="e">
        <f t="shared" si="15"/>
        <v>#VALUE!</v>
      </c>
      <c r="BK34" s="28"/>
      <c r="BL34" s="7"/>
      <c r="BM34" s="7"/>
      <c r="BN34" s="7" t="e">
        <f t="shared" si="16"/>
        <v>#VALUE!</v>
      </c>
      <c r="BO34" s="28"/>
      <c r="BP34" s="7" t="e">
        <f t="shared" si="17"/>
        <v>#VALUE!</v>
      </c>
      <c r="BQ34" s="28"/>
      <c r="BR34" s="7"/>
      <c r="BS34" s="7" t="e">
        <f t="shared" si="18"/>
        <v>#VALUE!</v>
      </c>
      <c r="BT34" s="28"/>
      <c r="BU34" s="7"/>
      <c r="BV34" s="7" t="e">
        <f ca="1">[1]!tメーカー名(BU34)</f>
        <v>#NAME?</v>
      </c>
      <c r="BW34" s="7" t="e">
        <f t="shared" si="19"/>
        <v>#VALUE!</v>
      </c>
      <c r="BX34" s="28"/>
      <c r="BY34" s="7">
        <f t="shared" si="20"/>
        <v>1</v>
      </c>
      <c r="BZ34" s="28" t="s">
        <v>2649</v>
      </c>
      <c r="CA34" s="54"/>
      <c r="CB34" s="54"/>
      <c r="CC34" s="7" t="e">
        <f t="shared" si="21"/>
        <v>#VALUE!</v>
      </c>
      <c r="CD34" s="28"/>
      <c r="CE34" s="7" t="e">
        <f t="shared" si="22"/>
        <v>#VALUE!</v>
      </c>
      <c r="CF34" s="28"/>
      <c r="CG34" s="7" t="e">
        <f t="shared" si="23"/>
        <v>#VALUE!</v>
      </c>
      <c r="CH34" s="28"/>
      <c r="CI34" s="7" t="e">
        <f t="shared" si="24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6">
        <f t="shared" si="3"/>
        <v>0</v>
      </c>
      <c r="CT34" s="7"/>
      <c r="CU34" s="7"/>
      <c r="CV34" s="97"/>
      <c r="CW34" s="97"/>
      <c r="CX34" s="97"/>
      <c r="CY34" s="98"/>
      <c r="CZ34" s="98"/>
      <c r="DA34" s="97"/>
      <c r="DB34" s="98"/>
      <c r="DC34" s="97"/>
      <c r="DD34" s="97" t="s">
        <v>1694</v>
      </c>
      <c r="DE34" s="97" t="s">
        <v>1682</v>
      </c>
      <c r="DF34" s="98"/>
      <c r="DG34" s="98"/>
      <c r="DH34" s="98"/>
      <c r="DI34" s="98"/>
      <c r="DJ34" s="98"/>
      <c r="DK34" s="98"/>
      <c r="DL34" s="98"/>
      <c r="DM34" s="97"/>
      <c r="DN34" s="97"/>
      <c r="DO34" s="97"/>
      <c r="DP34" s="97"/>
      <c r="DQ34" s="97"/>
      <c r="DR34" s="97"/>
      <c r="DS34" s="97"/>
      <c r="DT34" s="99"/>
      <c r="DU34" s="98"/>
      <c r="DV34" s="97"/>
      <c r="DW34" s="97"/>
      <c r="DX34" s="97"/>
      <c r="DY34" s="97"/>
      <c r="DZ34" s="97"/>
      <c r="EA34" s="97"/>
      <c r="EB34" s="97"/>
      <c r="EC34" s="97"/>
      <c r="ED34" s="97"/>
      <c r="EE34" s="97"/>
      <c r="EF34" s="97"/>
      <c r="EG34" s="97"/>
      <c r="EH34" s="97"/>
      <c r="EI34" s="97"/>
      <c r="EJ34" s="97"/>
      <c r="EK34" s="97"/>
      <c r="EL34" s="97"/>
      <c r="EM34" s="97"/>
      <c r="EN34" s="97"/>
      <c r="EO34" s="97"/>
      <c r="EP34" s="97"/>
      <c r="EQ34" s="97"/>
      <c r="ER34" s="97"/>
      <c r="ES34" s="97"/>
      <c r="ET34" s="97"/>
      <c r="EU34" s="97"/>
      <c r="EV34" s="97"/>
      <c r="EW34" s="97"/>
      <c r="EX34" s="97"/>
      <c r="EY34" s="97"/>
      <c r="EZ34" s="97"/>
      <c r="FA34" s="97"/>
      <c r="FB34" s="97"/>
      <c r="FC34" s="97"/>
      <c r="FD34" s="97"/>
      <c r="FE34" s="97"/>
      <c r="FF34" s="97"/>
      <c r="FG34" s="97"/>
      <c r="FH34" s="97"/>
      <c r="FI34" s="97"/>
      <c r="FJ34" s="97"/>
      <c r="FK34" s="97"/>
      <c r="FL34" s="97"/>
      <c r="FM34" s="97"/>
      <c r="FN34" s="97"/>
      <c r="FO34" s="97"/>
      <c r="FP34" s="97"/>
      <c r="FQ34" s="97"/>
      <c r="FR34" s="97"/>
      <c r="FS34" s="97"/>
      <c r="FT34" s="97"/>
      <c r="FU34" s="97"/>
      <c r="FV34" s="97"/>
      <c r="FW34" s="97"/>
      <c r="FX34" s="97"/>
      <c r="FY34" s="6"/>
      <c r="FZ34" s="7" t="str">
        <f>IF(FY34="","",VLOOKUP(FY34,MT商品ﾏｽﾀ参照シート!AM:AN,2,0))</f>
        <v/>
      </c>
      <c r="GA34" s="8"/>
      <c r="GB34" s="8"/>
      <c r="GC34" s="8"/>
      <c r="GD34" s="8"/>
      <c r="GE34" s="58"/>
      <c r="GF34" s="7" t="str">
        <f>IF(GE34="","",VLOOKUP(GE34,MT商品ﾏｽﾀ参照シート!AO:AP,2,0))</f>
        <v/>
      </c>
      <c r="GG34" s="7"/>
      <c r="GH34" s="7"/>
      <c r="GI34" s="7"/>
      <c r="GJ34" s="7"/>
      <c r="GK34" s="49"/>
      <c r="GL34" s="6"/>
      <c r="GM34" s="6"/>
      <c r="GN34" s="7"/>
      <c r="GO34" s="7"/>
      <c r="GP34" s="7"/>
      <c r="GQ34" s="7"/>
      <c r="GR34" s="7">
        <v>3655</v>
      </c>
      <c r="GS34" s="7">
        <v>4300</v>
      </c>
      <c r="GT34" s="7">
        <v>4300</v>
      </c>
      <c r="GU34" s="7">
        <v>4300</v>
      </c>
      <c r="GV34" s="7">
        <v>4300</v>
      </c>
      <c r="GW34" s="8"/>
      <c r="GX34" s="8"/>
      <c r="GY34" s="8"/>
      <c r="GZ34" s="8"/>
      <c r="HA34" s="8"/>
      <c r="HB34" s="8"/>
      <c r="HC34" s="8"/>
      <c r="HD34" s="8"/>
      <c r="HE34" s="58"/>
      <c r="HF34" s="58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82"/>
      <c r="HR34" s="82"/>
      <c r="HS34" s="82"/>
      <c r="HT34" s="26"/>
      <c r="HU34" s="23"/>
      <c r="HV34" s="23"/>
      <c r="HW34" s="24"/>
      <c r="HX34" s="24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76"/>
      <c r="IY34" s="76"/>
      <c r="IZ34" s="76"/>
      <c r="JA34" s="71"/>
      <c r="JB34" s="71"/>
      <c r="JC34" s="72"/>
      <c r="JD34" s="72"/>
      <c r="JE34" s="72"/>
      <c r="JF34" s="72"/>
      <c r="JG34" s="72"/>
      <c r="JH34" s="72"/>
      <c r="JI34" s="71"/>
      <c r="JJ34" s="71"/>
      <c r="JK34" s="72"/>
      <c r="JL34" s="72"/>
      <c r="JM34" s="72"/>
      <c r="JN34" s="72"/>
    </row>
    <row r="35" spans="1:274" ht="13.5" customHeight="1">
      <c r="A35" s="7">
        <v>23</v>
      </c>
      <c r="B35" s="7"/>
      <c r="C35" s="7" t="e">
        <f t="shared" si="25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/>
      <c r="L35" s="7"/>
      <c r="M35" s="7"/>
      <c r="N35" s="7"/>
      <c r="O35" s="7"/>
      <c r="P35" s="7"/>
      <c r="Q35" s="53"/>
      <c r="R35" s="7"/>
      <c r="S35" s="7"/>
      <c r="T35" s="53"/>
      <c r="U35" s="7"/>
      <c r="V35" s="7" t="e">
        <f t="shared" si="4"/>
        <v>#VALUE!</v>
      </c>
      <c r="W35" s="28"/>
      <c r="X35" s="7" t="e">
        <f t="shared" si="4"/>
        <v>#VALUE!</v>
      </c>
      <c r="Y35" s="28"/>
      <c r="Z35" s="7" t="e">
        <f t="shared" si="5"/>
        <v>#VALUE!</v>
      </c>
      <c r="AA35" s="28"/>
      <c r="AB35" s="7"/>
      <c r="AC35" s="7"/>
      <c r="AD35" s="7"/>
      <c r="AE35" s="7"/>
      <c r="AF35" s="7">
        <v>0</v>
      </c>
      <c r="AG35" s="7" t="e">
        <f t="shared" si="6"/>
        <v>#VALUE!</v>
      </c>
      <c r="AH35" s="28"/>
      <c r="AI35" s="7"/>
      <c r="AJ35" s="7" t="e">
        <f t="shared" si="7"/>
        <v>#VALUE!</v>
      </c>
      <c r="AK35" s="28"/>
      <c r="AL35" s="7" t="e">
        <f t="shared" si="8"/>
        <v>#VALUE!</v>
      </c>
      <c r="AM35" s="28"/>
      <c r="AN35" s="7" t="e">
        <f t="shared" si="9"/>
        <v>#VALUE!</v>
      </c>
      <c r="AO35" s="28"/>
      <c r="AP35" s="7">
        <f t="shared" si="10"/>
        <v>2</v>
      </c>
      <c r="AQ35" s="28" t="s">
        <v>2301</v>
      </c>
      <c r="AR35" s="7"/>
      <c r="AS35" s="7"/>
      <c r="AT35" s="7"/>
      <c r="AU35" s="7"/>
      <c r="AV35" s="7">
        <f t="shared" si="11"/>
        <v>4617</v>
      </c>
      <c r="AW35" s="28" t="s">
        <v>2302</v>
      </c>
      <c r="AX35" s="7">
        <v>1</v>
      </c>
      <c r="AY35" s="7" t="e">
        <f t="shared" si="12"/>
        <v>#VALUE!</v>
      </c>
      <c r="AZ35" s="28"/>
      <c r="BA35" s="7">
        <v>0</v>
      </c>
      <c r="BB35" s="7">
        <v>10</v>
      </c>
      <c r="BC35" s="7">
        <v>0</v>
      </c>
      <c r="BD35" s="7">
        <v>10</v>
      </c>
      <c r="BE35" s="7"/>
      <c r="BF35" s="7" t="e">
        <f t="shared" si="13"/>
        <v>#VALUE!</v>
      </c>
      <c r="BG35" s="28"/>
      <c r="BH35" s="7" t="e">
        <f t="shared" si="14"/>
        <v>#VALUE!</v>
      </c>
      <c r="BI35" s="28"/>
      <c r="BJ35" s="7" t="e">
        <f t="shared" si="15"/>
        <v>#VALUE!</v>
      </c>
      <c r="BK35" s="28"/>
      <c r="BL35" s="7"/>
      <c r="BM35" s="7"/>
      <c r="BN35" s="7" t="e">
        <f t="shared" si="16"/>
        <v>#VALUE!</v>
      </c>
      <c r="BO35" s="28"/>
      <c r="BP35" s="7" t="e">
        <f t="shared" si="17"/>
        <v>#VALUE!</v>
      </c>
      <c r="BQ35" s="28"/>
      <c r="BR35" s="7"/>
      <c r="BS35" s="7" t="e">
        <f t="shared" si="18"/>
        <v>#VALUE!</v>
      </c>
      <c r="BT35" s="28"/>
      <c r="BU35" s="7"/>
      <c r="BV35" s="7" t="e">
        <f ca="1">[1]!tメーカー名(BU35)</f>
        <v>#NAME?</v>
      </c>
      <c r="BW35" s="7" t="e">
        <f t="shared" si="19"/>
        <v>#VALUE!</v>
      </c>
      <c r="BX35" s="28"/>
      <c r="BY35" s="7" t="e">
        <f t="shared" si="20"/>
        <v>#VALUE!</v>
      </c>
      <c r="BZ35" s="28"/>
      <c r="CA35" s="54"/>
      <c r="CB35" s="54"/>
      <c r="CC35" s="7" t="e">
        <f t="shared" si="21"/>
        <v>#VALUE!</v>
      </c>
      <c r="CD35" s="28"/>
      <c r="CE35" s="7" t="e">
        <f t="shared" si="22"/>
        <v>#VALUE!</v>
      </c>
      <c r="CF35" s="28"/>
      <c r="CG35" s="7" t="e">
        <f t="shared" si="23"/>
        <v>#VALUE!</v>
      </c>
      <c r="CH35" s="28"/>
      <c r="CI35" s="7" t="e">
        <f t="shared" si="24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6">
        <f t="shared" si="3"/>
        <v>0</v>
      </c>
      <c r="CT35" s="7"/>
      <c r="CU35" s="7"/>
      <c r="CV35" s="97"/>
      <c r="CW35" s="97"/>
      <c r="CX35" s="97"/>
      <c r="CY35" s="98"/>
      <c r="CZ35" s="98"/>
      <c r="DA35" s="97"/>
      <c r="DB35" s="98"/>
      <c r="DC35" s="97"/>
      <c r="DD35" s="97" t="s">
        <v>1695</v>
      </c>
      <c r="DE35" s="97" t="s">
        <v>1682</v>
      </c>
      <c r="DF35" s="98"/>
      <c r="DG35" s="98"/>
      <c r="DH35" s="98"/>
      <c r="DI35" s="98"/>
      <c r="DJ35" s="98"/>
      <c r="DK35" s="98"/>
      <c r="DL35" s="98"/>
      <c r="DM35" s="97"/>
      <c r="DN35" s="97"/>
      <c r="DO35" s="97"/>
      <c r="DP35" s="97"/>
      <c r="DQ35" s="97"/>
      <c r="DR35" s="97"/>
      <c r="DS35" s="97"/>
      <c r="DT35" s="99"/>
      <c r="DU35" s="98"/>
      <c r="DV35" s="97"/>
      <c r="DW35" s="97"/>
      <c r="DX35" s="97"/>
      <c r="DY35" s="97"/>
      <c r="DZ35" s="97"/>
      <c r="EA35" s="97"/>
      <c r="EB35" s="97"/>
      <c r="EC35" s="97"/>
      <c r="ED35" s="97"/>
      <c r="EE35" s="97"/>
      <c r="EF35" s="97"/>
      <c r="EG35" s="97"/>
      <c r="EH35" s="97"/>
      <c r="EI35" s="97"/>
      <c r="EJ35" s="97"/>
      <c r="EK35" s="97"/>
      <c r="EL35" s="97"/>
      <c r="EM35" s="97"/>
      <c r="EN35" s="97"/>
      <c r="EO35" s="97"/>
      <c r="EP35" s="97"/>
      <c r="EQ35" s="97"/>
      <c r="ER35" s="97"/>
      <c r="ES35" s="97"/>
      <c r="ET35" s="97"/>
      <c r="EU35" s="97"/>
      <c r="EV35" s="97"/>
      <c r="EW35" s="97"/>
      <c r="EX35" s="97"/>
      <c r="EY35" s="97"/>
      <c r="EZ35" s="97"/>
      <c r="FA35" s="97"/>
      <c r="FB35" s="97"/>
      <c r="FC35" s="97"/>
      <c r="FD35" s="97"/>
      <c r="FE35" s="97"/>
      <c r="FF35" s="97"/>
      <c r="FG35" s="97"/>
      <c r="FH35" s="97"/>
      <c r="FI35" s="97"/>
      <c r="FJ35" s="97"/>
      <c r="FK35" s="97"/>
      <c r="FL35" s="97"/>
      <c r="FM35" s="97"/>
      <c r="FN35" s="97"/>
      <c r="FO35" s="97"/>
      <c r="FP35" s="97"/>
      <c r="FQ35" s="97"/>
      <c r="FR35" s="97"/>
      <c r="FS35" s="97"/>
      <c r="FT35" s="97"/>
      <c r="FU35" s="97"/>
      <c r="FV35" s="97"/>
      <c r="FW35" s="97"/>
      <c r="FX35" s="97"/>
      <c r="FY35" s="6"/>
      <c r="FZ35" s="7" t="str">
        <f>IF(FY35="","",VLOOKUP(FY35,MT商品ﾏｽﾀ参照シート!AM:AN,2,0))</f>
        <v/>
      </c>
      <c r="GA35" s="8"/>
      <c r="GB35" s="8"/>
      <c r="GC35" s="8"/>
      <c r="GD35" s="8"/>
      <c r="GE35" s="58"/>
      <c r="GF35" s="7" t="str">
        <f>IF(GE35="","",VLOOKUP(GE35,MT商品ﾏｽﾀ参照シート!AO:AP,2,0))</f>
        <v/>
      </c>
      <c r="GG35" s="7"/>
      <c r="GH35" s="7"/>
      <c r="GI35" s="7"/>
      <c r="GJ35" s="7"/>
      <c r="GK35" s="49"/>
      <c r="GL35" s="6"/>
      <c r="GM35" s="6"/>
      <c r="GN35" s="7"/>
      <c r="GO35" s="7"/>
      <c r="GP35" s="7"/>
      <c r="GQ35" s="7"/>
      <c r="GR35" s="7">
        <v>2805</v>
      </c>
      <c r="GS35" s="7">
        <v>3300</v>
      </c>
      <c r="GT35" s="7">
        <v>3300</v>
      </c>
      <c r="GU35" s="7">
        <v>3300</v>
      </c>
      <c r="GV35" s="7">
        <v>3300</v>
      </c>
      <c r="GW35" s="8"/>
      <c r="GX35" s="8"/>
      <c r="GY35" s="8"/>
      <c r="GZ35" s="8"/>
      <c r="HA35" s="8"/>
      <c r="HB35" s="8"/>
      <c r="HC35" s="8"/>
      <c r="HD35" s="8"/>
      <c r="HE35" s="58"/>
      <c r="HF35" s="58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82"/>
      <c r="HR35" s="82"/>
      <c r="HS35" s="82"/>
      <c r="HT35" s="26"/>
      <c r="HU35" s="23"/>
      <c r="HV35" s="23"/>
      <c r="HW35" s="24"/>
      <c r="HX35" s="24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76"/>
      <c r="IY35" s="76"/>
      <c r="IZ35" s="76"/>
      <c r="JA35" s="71"/>
      <c r="JB35" s="71"/>
      <c r="JC35" s="72"/>
      <c r="JD35" s="72"/>
      <c r="JE35" s="72"/>
      <c r="JF35" s="72"/>
      <c r="JG35" s="72"/>
      <c r="JH35" s="72"/>
      <c r="JI35" s="71"/>
      <c r="JJ35" s="71"/>
      <c r="JK35" s="72"/>
      <c r="JL35" s="72"/>
      <c r="JM35" s="72"/>
      <c r="JN35" s="72"/>
    </row>
    <row r="36" spans="1:274" ht="13.5" customHeight="1">
      <c r="A36" s="7">
        <v>24</v>
      </c>
      <c r="B36" s="7"/>
      <c r="C36" s="7" t="e">
        <f t="shared" si="25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/>
      <c r="L36" s="7"/>
      <c r="M36" s="7"/>
      <c r="N36" s="7"/>
      <c r="O36" s="7"/>
      <c r="P36" s="7"/>
      <c r="Q36" s="53"/>
      <c r="R36" s="7"/>
      <c r="S36" s="7"/>
      <c r="T36" s="53"/>
      <c r="U36" s="7"/>
      <c r="V36" s="7" t="e">
        <f t="shared" si="4"/>
        <v>#VALUE!</v>
      </c>
      <c r="W36" s="28"/>
      <c r="X36" s="7" t="e">
        <f t="shared" si="4"/>
        <v>#VALUE!</v>
      </c>
      <c r="Y36" s="28"/>
      <c r="Z36" s="7" t="e">
        <f t="shared" si="5"/>
        <v>#VALUE!</v>
      </c>
      <c r="AA36" s="28"/>
      <c r="AB36" s="7"/>
      <c r="AC36" s="7"/>
      <c r="AD36" s="7"/>
      <c r="AE36" s="7"/>
      <c r="AF36" s="7">
        <v>0</v>
      </c>
      <c r="AG36" s="7" t="e">
        <f t="shared" si="6"/>
        <v>#VALUE!</v>
      </c>
      <c r="AH36" s="28"/>
      <c r="AI36" s="7"/>
      <c r="AJ36" s="7" t="e">
        <f t="shared" si="7"/>
        <v>#VALUE!</v>
      </c>
      <c r="AK36" s="28"/>
      <c r="AL36" s="7" t="e">
        <f t="shared" si="8"/>
        <v>#VALUE!</v>
      </c>
      <c r="AM36" s="28"/>
      <c r="AN36" s="7" t="e">
        <f t="shared" si="9"/>
        <v>#VALUE!</v>
      </c>
      <c r="AO36" s="28"/>
      <c r="AP36" s="7">
        <f t="shared" si="10"/>
        <v>2</v>
      </c>
      <c r="AQ36" s="28" t="s">
        <v>2301</v>
      </c>
      <c r="AR36" s="7"/>
      <c r="AS36" s="7"/>
      <c r="AT36" s="7"/>
      <c r="AU36" s="7"/>
      <c r="AV36" s="7">
        <f t="shared" si="11"/>
        <v>4617</v>
      </c>
      <c r="AW36" s="28" t="s">
        <v>2302</v>
      </c>
      <c r="AX36" s="7">
        <v>1</v>
      </c>
      <c r="AY36" s="7" t="e">
        <f t="shared" si="12"/>
        <v>#VALUE!</v>
      </c>
      <c r="AZ36" s="28"/>
      <c r="BA36" s="7">
        <v>0</v>
      </c>
      <c r="BB36" s="7">
        <v>10</v>
      </c>
      <c r="BC36" s="7">
        <v>0</v>
      </c>
      <c r="BD36" s="7">
        <v>10</v>
      </c>
      <c r="BE36" s="7"/>
      <c r="BF36" s="7" t="e">
        <f t="shared" si="13"/>
        <v>#VALUE!</v>
      </c>
      <c r="BG36" s="28"/>
      <c r="BH36" s="7" t="e">
        <f t="shared" si="14"/>
        <v>#VALUE!</v>
      </c>
      <c r="BI36" s="28"/>
      <c r="BJ36" s="7" t="e">
        <f t="shared" si="15"/>
        <v>#VALUE!</v>
      </c>
      <c r="BK36" s="28"/>
      <c r="BL36" s="7"/>
      <c r="BM36" s="7"/>
      <c r="BN36" s="7" t="e">
        <f t="shared" si="16"/>
        <v>#VALUE!</v>
      </c>
      <c r="BO36" s="28"/>
      <c r="BP36" s="7" t="e">
        <f t="shared" si="17"/>
        <v>#VALUE!</v>
      </c>
      <c r="BQ36" s="28"/>
      <c r="BR36" s="7"/>
      <c r="BS36" s="7" t="e">
        <f t="shared" si="18"/>
        <v>#VALUE!</v>
      </c>
      <c r="BT36" s="28"/>
      <c r="BU36" s="7"/>
      <c r="BV36" s="7" t="e">
        <f ca="1">[1]!tメーカー名(BU36)</f>
        <v>#NAME?</v>
      </c>
      <c r="BW36" s="7" t="e">
        <f t="shared" si="19"/>
        <v>#VALUE!</v>
      </c>
      <c r="BX36" s="28"/>
      <c r="BY36" s="7" t="e">
        <f t="shared" si="20"/>
        <v>#VALUE!</v>
      </c>
      <c r="BZ36" s="28"/>
      <c r="CA36" s="54"/>
      <c r="CB36" s="54"/>
      <c r="CC36" s="7" t="e">
        <f t="shared" si="21"/>
        <v>#VALUE!</v>
      </c>
      <c r="CD36" s="28"/>
      <c r="CE36" s="7" t="e">
        <f t="shared" si="22"/>
        <v>#VALUE!</v>
      </c>
      <c r="CF36" s="28"/>
      <c r="CG36" s="7" t="e">
        <f t="shared" si="23"/>
        <v>#VALUE!</v>
      </c>
      <c r="CH36" s="28"/>
      <c r="CI36" s="7" t="e">
        <f t="shared" si="24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6">
        <f t="shared" si="3"/>
        <v>0</v>
      </c>
      <c r="CT36" s="7"/>
      <c r="CU36" s="7"/>
      <c r="CV36" s="97"/>
      <c r="CW36" s="97"/>
      <c r="CX36" s="97"/>
      <c r="CY36" s="98"/>
      <c r="CZ36" s="98"/>
      <c r="DA36" s="97"/>
      <c r="DB36" s="98"/>
      <c r="DC36" s="97"/>
      <c r="DD36" s="97" t="s">
        <v>1696</v>
      </c>
      <c r="DE36" s="97" t="s">
        <v>1682</v>
      </c>
      <c r="DF36" s="98"/>
      <c r="DG36" s="98"/>
      <c r="DH36" s="98"/>
      <c r="DI36" s="98"/>
      <c r="DJ36" s="98"/>
      <c r="DK36" s="98"/>
      <c r="DL36" s="98"/>
      <c r="DM36" s="97"/>
      <c r="DN36" s="97"/>
      <c r="DO36" s="97"/>
      <c r="DP36" s="97"/>
      <c r="DQ36" s="97"/>
      <c r="DR36" s="97"/>
      <c r="DS36" s="97"/>
      <c r="DT36" s="99"/>
      <c r="DU36" s="98"/>
      <c r="DV36" s="97"/>
      <c r="DW36" s="97"/>
      <c r="DX36" s="97"/>
      <c r="DY36" s="97"/>
      <c r="DZ36" s="97"/>
      <c r="EA36" s="97"/>
      <c r="EB36" s="97"/>
      <c r="EC36" s="97"/>
      <c r="ED36" s="97"/>
      <c r="EE36" s="97"/>
      <c r="EF36" s="97"/>
      <c r="EG36" s="97"/>
      <c r="EH36" s="97"/>
      <c r="EI36" s="97"/>
      <c r="EJ36" s="97"/>
      <c r="EK36" s="97"/>
      <c r="EL36" s="97"/>
      <c r="EM36" s="97"/>
      <c r="EN36" s="97"/>
      <c r="EO36" s="97"/>
      <c r="EP36" s="97"/>
      <c r="EQ36" s="97"/>
      <c r="ER36" s="97"/>
      <c r="ES36" s="97"/>
      <c r="ET36" s="97"/>
      <c r="EU36" s="97"/>
      <c r="EV36" s="97"/>
      <c r="EW36" s="97"/>
      <c r="EX36" s="97"/>
      <c r="EY36" s="97"/>
      <c r="EZ36" s="97"/>
      <c r="FA36" s="97"/>
      <c r="FB36" s="97"/>
      <c r="FC36" s="97"/>
      <c r="FD36" s="97"/>
      <c r="FE36" s="97"/>
      <c r="FF36" s="97"/>
      <c r="FG36" s="97"/>
      <c r="FH36" s="97"/>
      <c r="FI36" s="97"/>
      <c r="FJ36" s="97"/>
      <c r="FK36" s="97"/>
      <c r="FL36" s="97"/>
      <c r="FM36" s="97"/>
      <c r="FN36" s="97"/>
      <c r="FO36" s="97"/>
      <c r="FP36" s="97"/>
      <c r="FQ36" s="97"/>
      <c r="FR36" s="97"/>
      <c r="FS36" s="97"/>
      <c r="FT36" s="97"/>
      <c r="FU36" s="97"/>
      <c r="FV36" s="97"/>
      <c r="FW36" s="97"/>
      <c r="FX36" s="97"/>
      <c r="FY36" s="6"/>
      <c r="FZ36" s="7" t="str">
        <f>IF(FY36="","",VLOOKUP(FY36,MT商品ﾏｽﾀ参照シート!AM:AN,2,0))</f>
        <v/>
      </c>
      <c r="GA36" s="8"/>
      <c r="GB36" s="8"/>
      <c r="GC36" s="8"/>
      <c r="GD36" s="8"/>
      <c r="GE36" s="58"/>
      <c r="GF36" s="7" t="str">
        <f>IF(GE36="","",VLOOKUP(GE36,MT商品ﾏｽﾀ参照シート!AO:AP,2,0))</f>
        <v/>
      </c>
      <c r="GG36" s="7"/>
      <c r="GH36" s="7"/>
      <c r="GI36" s="7"/>
      <c r="GJ36" s="7"/>
      <c r="GK36" s="49"/>
      <c r="GL36" s="6"/>
      <c r="GM36" s="6"/>
      <c r="GN36" s="7"/>
      <c r="GO36" s="7"/>
      <c r="GP36" s="7"/>
      <c r="GQ36" s="7"/>
      <c r="GR36" s="7">
        <v>3400</v>
      </c>
      <c r="GS36" s="7">
        <v>4000</v>
      </c>
      <c r="GT36" s="7">
        <v>4000</v>
      </c>
      <c r="GU36" s="7">
        <v>4000</v>
      </c>
      <c r="GV36" s="7">
        <v>4000</v>
      </c>
      <c r="GW36" s="8"/>
      <c r="GX36" s="8"/>
      <c r="GY36" s="8"/>
      <c r="GZ36" s="8"/>
      <c r="HA36" s="8"/>
      <c r="HB36" s="8"/>
      <c r="HC36" s="8"/>
      <c r="HD36" s="8"/>
      <c r="HE36" s="58"/>
      <c r="HF36" s="58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82"/>
      <c r="HR36" s="82"/>
      <c r="HS36" s="82"/>
      <c r="HT36" s="26"/>
      <c r="HU36" s="23"/>
      <c r="HV36" s="23"/>
      <c r="HW36" s="24"/>
      <c r="HX36" s="24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76"/>
      <c r="IY36" s="76"/>
      <c r="IZ36" s="76"/>
      <c r="JA36" s="71"/>
      <c r="JB36" s="71"/>
      <c r="JC36" s="72"/>
      <c r="JD36" s="72"/>
      <c r="JE36" s="72"/>
      <c r="JF36" s="72"/>
      <c r="JG36" s="72"/>
      <c r="JH36" s="72"/>
      <c r="JI36" s="71"/>
      <c r="JJ36" s="71"/>
      <c r="JK36" s="72"/>
      <c r="JL36" s="72"/>
      <c r="JM36" s="72"/>
      <c r="JN36" s="72"/>
    </row>
    <row r="37" spans="1:274" ht="13.5" customHeight="1">
      <c r="A37" s="7">
        <v>25</v>
      </c>
      <c r="B37" s="7"/>
      <c r="C37" s="7" t="e">
        <f t="shared" si="25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/>
      <c r="L37" s="7"/>
      <c r="M37" s="7"/>
      <c r="N37" s="7"/>
      <c r="O37" s="7"/>
      <c r="P37" s="7"/>
      <c r="Q37" s="53"/>
      <c r="R37" s="7"/>
      <c r="S37" s="7"/>
      <c r="T37" s="53"/>
      <c r="U37" s="7"/>
      <c r="V37" s="7" t="e">
        <f t="shared" si="4"/>
        <v>#VALUE!</v>
      </c>
      <c r="W37" s="28"/>
      <c r="X37" s="7" t="e">
        <f t="shared" si="4"/>
        <v>#VALUE!</v>
      </c>
      <c r="Y37" s="28"/>
      <c r="Z37" s="7" t="e">
        <f t="shared" si="5"/>
        <v>#VALUE!</v>
      </c>
      <c r="AA37" s="28"/>
      <c r="AB37" s="7"/>
      <c r="AC37" s="7"/>
      <c r="AD37" s="7"/>
      <c r="AE37" s="7"/>
      <c r="AF37" s="7">
        <v>0</v>
      </c>
      <c r="AG37" s="7" t="e">
        <f t="shared" si="6"/>
        <v>#VALUE!</v>
      </c>
      <c r="AH37" s="28"/>
      <c r="AI37" s="7"/>
      <c r="AJ37" s="7" t="e">
        <f t="shared" si="7"/>
        <v>#VALUE!</v>
      </c>
      <c r="AK37" s="28"/>
      <c r="AL37" s="7" t="e">
        <f t="shared" si="8"/>
        <v>#VALUE!</v>
      </c>
      <c r="AM37" s="28"/>
      <c r="AN37" s="7" t="e">
        <f t="shared" si="9"/>
        <v>#VALUE!</v>
      </c>
      <c r="AO37" s="28"/>
      <c r="AP37" s="7">
        <f t="shared" si="10"/>
        <v>2</v>
      </c>
      <c r="AQ37" s="28" t="s">
        <v>2301</v>
      </c>
      <c r="AR37" s="7"/>
      <c r="AS37" s="7"/>
      <c r="AT37" s="7"/>
      <c r="AU37" s="7"/>
      <c r="AV37" s="7">
        <f t="shared" si="11"/>
        <v>4617</v>
      </c>
      <c r="AW37" s="28" t="s">
        <v>2302</v>
      </c>
      <c r="AX37" s="7">
        <v>1</v>
      </c>
      <c r="AY37" s="7" t="e">
        <f t="shared" si="12"/>
        <v>#VALUE!</v>
      </c>
      <c r="AZ37" s="28"/>
      <c r="BA37" s="7">
        <v>0</v>
      </c>
      <c r="BB37" s="7">
        <v>10</v>
      </c>
      <c r="BC37" s="7">
        <v>0</v>
      </c>
      <c r="BD37" s="7">
        <v>10</v>
      </c>
      <c r="BE37" s="7"/>
      <c r="BF37" s="7" t="e">
        <f t="shared" si="13"/>
        <v>#VALUE!</v>
      </c>
      <c r="BG37" s="28"/>
      <c r="BH37" s="7" t="e">
        <f t="shared" si="14"/>
        <v>#VALUE!</v>
      </c>
      <c r="BI37" s="28"/>
      <c r="BJ37" s="7" t="e">
        <f t="shared" si="15"/>
        <v>#VALUE!</v>
      </c>
      <c r="BK37" s="28"/>
      <c r="BL37" s="7"/>
      <c r="BM37" s="7"/>
      <c r="BN37" s="7" t="e">
        <f t="shared" si="16"/>
        <v>#VALUE!</v>
      </c>
      <c r="BO37" s="28"/>
      <c r="BP37" s="7" t="e">
        <f t="shared" si="17"/>
        <v>#VALUE!</v>
      </c>
      <c r="BQ37" s="28"/>
      <c r="BR37" s="7"/>
      <c r="BS37" s="7" t="e">
        <f t="shared" si="18"/>
        <v>#VALUE!</v>
      </c>
      <c r="BT37" s="28"/>
      <c r="BU37" s="7"/>
      <c r="BV37" s="7" t="e">
        <f ca="1">[1]!tメーカー名(BU37)</f>
        <v>#NAME?</v>
      </c>
      <c r="BW37" s="7" t="e">
        <f t="shared" si="19"/>
        <v>#VALUE!</v>
      </c>
      <c r="BX37" s="28"/>
      <c r="BY37" s="7" t="e">
        <f t="shared" si="20"/>
        <v>#VALUE!</v>
      </c>
      <c r="BZ37" s="28"/>
      <c r="CA37" s="54"/>
      <c r="CB37" s="54"/>
      <c r="CC37" s="7" t="e">
        <f t="shared" si="21"/>
        <v>#VALUE!</v>
      </c>
      <c r="CD37" s="28"/>
      <c r="CE37" s="7" t="e">
        <f t="shared" si="22"/>
        <v>#VALUE!</v>
      </c>
      <c r="CF37" s="28"/>
      <c r="CG37" s="7" t="e">
        <f t="shared" si="23"/>
        <v>#VALUE!</v>
      </c>
      <c r="CH37" s="28"/>
      <c r="CI37" s="7" t="e">
        <f t="shared" si="24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6">
        <f t="shared" si="3"/>
        <v>0</v>
      </c>
      <c r="CT37" s="7"/>
      <c r="CU37" s="7"/>
      <c r="CV37" s="97"/>
      <c r="CW37" s="97"/>
      <c r="CX37" s="97"/>
      <c r="CY37" s="98"/>
      <c r="CZ37" s="98"/>
      <c r="DA37" s="97"/>
      <c r="DB37" s="98"/>
      <c r="DC37" s="97"/>
      <c r="DD37" s="97" t="s">
        <v>1697</v>
      </c>
      <c r="DE37" s="97" t="s">
        <v>1682</v>
      </c>
      <c r="DF37" s="98"/>
      <c r="DG37" s="98"/>
      <c r="DH37" s="98"/>
      <c r="DI37" s="98"/>
      <c r="DJ37" s="98"/>
      <c r="DK37" s="98"/>
      <c r="DL37" s="98"/>
      <c r="DM37" s="97"/>
      <c r="DN37" s="97"/>
      <c r="DO37" s="97"/>
      <c r="DP37" s="97"/>
      <c r="DQ37" s="97"/>
      <c r="DR37" s="97"/>
      <c r="DS37" s="97"/>
      <c r="DT37" s="99"/>
      <c r="DU37" s="98"/>
      <c r="DV37" s="97"/>
      <c r="DW37" s="97"/>
      <c r="DX37" s="97"/>
      <c r="DY37" s="97"/>
      <c r="DZ37" s="97"/>
      <c r="EA37" s="97"/>
      <c r="EB37" s="97"/>
      <c r="EC37" s="97"/>
      <c r="ED37" s="97"/>
      <c r="EE37" s="97"/>
      <c r="EF37" s="97"/>
      <c r="EG37" s="97"/>
      <c r="EH37" s="97"/>
      <c r="EI37" s="97"/>
      <c r="EJ37" s="97"/>
      <c r="EK37" s="97"/>
      <c r="EL37" s="97"/>
      <c r="EM37" s="97"/>
      <c r="EN37" s="97"/>
      <c r="EO37" s="97"/>
      <c r="EP37" s="97"/>
      <c r="EQ37" s="97"/>
      <c r="ER37" s="97"/>
      <c r="ES37" s="97"/>
      <c r="ET37" s="97"/>
      <c r="EU37" s="97"/>
      <c r="EV37" s="97"/>
      <c r="EW37" s="97"/>
      <c r="EX37" s="97"/>
      <c r="EY37" s="97"/>
      <c r="EZ37" s="97"/>
      <c r="FA37" s="97"/>
      <c r="FB37" s="97"/>
      <c r="FC37" s="97"/>
      <c r="FD37" s="97"/>
      <c r="FE37" s="97"/>
      <c r="FF37" s="97"/>
      <c r="FG37" s="97"/>
      <c r="FH37" s="97"/>
      <c r="FI37" s="97"/>
      <c r="FJ37" s="97"/>
      <c r="FK37" s="97"/>
      <c r="FL37" s="97"/>
      <c r="FM37" s="97"/>
      <c r="FN37" s="97"/>
      <c r="FO37" s="97"/>
      <c r="FP37" s="97"/>
      <c r="FQ37" s="97"/>
      <c r="FR37" s="97"/>
      <c r="FS37" s="97"/>
      <c r="FT37" s="97"/>
      <c r="FU37" s="97"/>
      <c r="FV37" s="97"/>
      <c r="FW37" s="97"/>
      <c r="FX37" s="97"/>
      <c r="FY37" s="6"/>
      <c r="FZ37" s="7" t="str">
        <f>IF(FY37="","",VLOOKUP(FY37,MT商品ﾏｽﾀ参照シート!AM:AN,2,0))</f>
        <v/>
      </c>
      <c r="GA37" s="8"/>
      <c r="GB37" s="8"/>
      <c r="GC37" s="8"/>
      <c r="GD37" s="8"/>
      <c r="GE37" s="58"/>
      <c r="GF37" s="7" t="str">
        <f>IF(GE37="","",VLOOKUP(GE37,MT商品ﾏｽﾀ参照シート!AO:AP,2,0))</f>
        <v/>
      </c>
      <c r="GG37" s="7"/>
      <c r="GH37" s="7"/>
      <c r="GI37" s="7"/>
      <c r="GJ37" s="7"/>
      <c r="GK37" s="49"/>
      <c r="GL37" s="6"/>
      <c r="GM37" s="6"/>
      <c r="GN37" s="7"/>
      <c r="GO37" s="7"/>
      <c r="GP37" s="7"/>
      <c r="GQ37" s="7"/>
      <c r="GR37" s="7">
        <v>2975</v>
      </c>
      <c r="GS37" s="7">
        <v>3500</v>
      </c>
      <c r="GT37" s="7">
        <v>3500</v>
      </c>
      <c r="GU37" s="7">
        <v>3500</v>
      </c>
      <c r="GV37" s="7">
        <v>3500</v>
      </c>
      <c r="GW37" s="8"/>
      <c r="GX37" s="8"/>
      <c r="GY37" s="8"/>
      <c r="GZ37" s="8"/>
      <c r="HA37" s="8"/>
      <c r="HB37" s="8"/>
      <c r="HC37" s="8"/>
      <c r="HD37" s="8"/>
      <c r="HE37" s="58"/>
      <c r="HF37" s="58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82"/>
      <c r="HR37" s="82"/>
      <c r="HS37" s="82"/>
      <c r="HT37" s="26"/>
      <c r="HU37" s="23"/>
      <c r="HV37" s="23"/>
      <c r="HW37" s="24"/>
      <c r="HX37" s="24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76"/>
      <c r="IY37" s="76"/>
      <c r="IZ37" s="76"/>
      <c r="JA37" s="71"/>
      <c r="JB37" s="71"/>
      <c r="JC37" s="72"/>
      <c r="JD37" s="72"/>
      <c r="JE37" s="72"/>
      <c r="JF37" s="72"/>
      <c r="JG37" s="72"/>
      <c r="JH37" s="72"/>
      <c r="JI37" s="71"/>
      <c r="JJ37" s="71"/>
      <c r="JK37" s="72"/>
      <c r="JL37" s="72"/>
      <c r="JM37" s="72"/>
      <c r="JN37" s="72"/>
    </row>
    <row r="38" spans="1:274" ht="13.5" customHeight="1">
      <c r="A38" s="7">
        <v>26</v>
      </c>
      <c r="B38" s="7"/>
      <c r="C38" s="7" t="e">
        <f t="shared" si="25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/>
      <c r="L38" s="7"/>
      <c r="M38" s="7"/>
      <c r="N38" s="7"/>
      <c r="O38" s="7"/>
      <c r="P38" s="7"/>
      <c r="Q38" s="53"/>
      <c r="R38" s="7"/>
      <c r="S38" s="7"/>
      <c r="T38" s="53"/>
      <c r="U38" s="7"/>
      <c r="V38" s="7" t="e">
        <f t="shared" si="4"/>
        <v>#VALUE!</v>
      </c>
      <c r="W38" s="28"/>
      <c r="X38" s="7" t="e">
        <f t="shared" si="4"/>
        <v>#VALUE!</v>
      </c>
      <c r="Y38" s="28"/>
      <c r="Z38" s="7" t="e">
        <f t="shared" si="5"/>
        <v>#VALUE!</v>
      </c>
      <c r="AA38" s="28"/>
      <c r="AB38" s="7"/>
      <c r="AC38" s="7"/>
      <c r="AD38" s="7"/>
      <c r="AE38" s="7"/>
      <c r="AF38" s="7">
        <v>0</v>
      </c>
      <c r="AG38" s="7" t="e">
        <f t="shared" si="6"/>
        <v>#VALUE!</v>
      </c>
      <c r="AH38" s="28"/>
      <c r="AI38" s="7"/>
      <c r="AJ38" s="7" t="e">
        <f t="shared" si="7"/>
        <v>#VALUE!</v>
      </c>
      <c r="AK38" s="28"/>
      <c r="AL38" s="7" t="e">
        <f t="shared" si="8"/>
        <v>#VALUE!</v>
      </c>
      <c r="AM38" s="28"/>
      <c r="AN38" s="7" t="e">
        <f t="shared" si="9"/>
        <v>#VALUE!</v>
      </c>
      <c r="AO38" s="28"/>
      <c r="AP38" s="7">
        <f t="shared" si="10"/>
        <v>2</v>
      </c>
      <c r="AQ38" s="28" t="s">
        <v>2301</v>
      </c>
      <c r="AR38" s="7"/>
      <c r="AS38" s="7"/>
      <c r="AT38" s="7"/>
      <c r="AU38" s="7"/>
      <c r="AV38" s="7">
        <f t="shared" si="11"/>
        <v>4617</v>
      </c>
      <c r="AW38" s="28" t="s">
        <v>2302</v>
      </c>
      <c r="AX38" s="7">
        <v>1</v>
      </c>
      <c r="AY38" s="7" t="e">
        <f t="shared" si="12"/>
        <v>#VALUE!</v>
      </c>
      <c r="AZ38" s="28"/>
      <c r="BA38" s="7">
        <v>0</v>
      </c>
      <c r="BB38" s="7">
        <v>10</v>
      </c>
      <c r="BC38" s="7">
        <v>0</v>
      </c>
      <c r="BD38" s="7">
        <v>10</v>
      </c>
      <c r="BE38" s="7"/>
      <c r="BF38" s="7" t="e">
        <f t="shared" si="13"/>
        <v>#VALUE!</v>
      </c>
      <c r="BG38" s="28"/>
      <c r="BH38" s="7" t="e">
        <f t="shared" si="14"/>
        <v>#VALUE!</v>
      </c>
      <c r="BI38" s="28"/>
      <c r="BJ38" s="7" t="e">
        <f t="shared" si="15"/>
        <v>#VALUE!</v>
      </c>
      <c r="BK38" s="28"/>
      <c r="BL38" s="7"/>
      <c r="BM38" s="7"/>
      <c r="BN38" s="7" t="e">
        <f t="shared" si="16"/>
        <v>#VALUE!</v>
      </c>
      <c r="BO38" s="28"/>
      <c r="BP38" s="7" t="e">
        <f t="shared" si="17"/>
        <v>#VALUE!</v>
      </c>
      <c r="BQ38" s="28"/>
      <c r="BR38" s="7"/>
      <c r="BS38" s="7" t="e">
        <f t="shared" si="18"/>
        <v>#VALUE!</v>
      </c>
      <c r="BT38" s="28"/>
      <c r="BU38" s="7"/>
      <c r="BV38" s="7" t="e">
        <f ca="1">[1]!tメーカー名(BU38)</f>
        <v>#NAME?</v>
      </c>
      <c r="BW38" s="7" t="e">
        <f t="shared" si="19"/>
        <v>#VALUE!</v>
      </c>
      <c r="BX38" s="28"/>
      <c r="BY38" s="7" t="e">
        <f t="shared" si="20"/>
        <v>#VALUE!</v>
      </c>
      <c r="BZ38" s="28"/>
      <c r="CA38" s="54"/>
      <c r="CB38" s="54"/>
      <c r="CC38" s="7" t="e">
        <f t="shared" si="21"/>
        <v>#VALUE!</v>
      </c>
      <c r="CD38" s="28"/>
      <c r="CE38" s="7" t="e">
        <f t="shared" si="22"/>
        <v>#VALUE!</v>
      </c>
      <c r="CF38" s="28"/>
      <c r="CG38" s="7" t="e">
        <f t="shared" si="23"/>
        <v>#VALUE!</v>
      </c>
      <c r="CH38" s="28"/>
      <c r="CI38" s="7" t="e">
        <f t="shared" si="24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6">
        <f t="shared" si="3"/>
        <v>0</v>
      </c>
      <c r="CT38" s="7"/>
      <c r="CU38" s="7"/>
      <c r="CV38" s="97"/>
      <c r="CW38" s="97"/>
      <c r="CX38" s="97"/>
      <c r="CY38" s="98"/>
      <c r="CZ38" s="98"/>
      <c r="DA38" s="97"/>
      <c r="DB38" s="98"/>
      <c r="DC38" s="97"/>
      <c r="DD38" s="97" t="s">
        <v>1698</v>
      </c>
      <c r="DE38" s="97" t="s">
        <v>1682</v>
      </c>
      <c r="DF38" s="98"/>
      <c r="DG38" s="98"/>
      <c r="DH38" s="98"/>
      <c r="DI38" s="98"/>
      <c r="DJ38" s="98"/>
      <c r="DK38" s="98"/>
      <c r="DL38" s="98"/>
      <c r="DM38" s="97"/>
      <c r="DN38" s="97"/>
      <c r="DO38" s="97"/>
      <c r="DP38" s="97"/>
      <c r="DQ38" s="97"/>
      <c r="DR38" s="97"/>
      <c r="DS38" s="97"/>
      <c r="DT38" s="99"/>
      <c r="DU38" s="98"/>
      <c r="DV38" s="97"/>
      <c r="DW38" s="97"/>
      <c r="DX38" s="97"/>
      <c r="DY38" s="97"/>
      <c r="DZ38" s="97"/>
      <c r="EA38" s="97"/>
      <c r="EB38" s="97"/>
      <c r="EC38" s="97"/>
      <c r="ED38" s="97"/>
      <c r="EE38" s="97"/>
      <c r="EF38" s="97"/>
      <c r="EG38" s="97"/>
      <c r="EH38" s="97"/>
      <c r="EI38" s="97"/>
      <c r="EJ38" s="97"/>
      <c r="EK38" s="97"/>
      <c r="EL38" s="97"/>
      <c r="EM38" s="97"/>
      <c r="EN38" s="97"/>
      <c r="EO38" s="97"/>
      <c r="EP38" s="97"/>
      <c r="EQ38" s="97"/>
      <c r="ER38" s="97"/>
      <c r="ES38" s="97"/>
      <c r="ET38" s="97"/>
      <c r="EU38" s="97"/>
      <c r="EV38" s="97"/>
      <c r="EW38" s="97"/>
      <c r="EX38" s="97"/>
      <c r="EY38" s="97"/>
      <c r="EZ38" s="97"/>
      <c r="FA38" s="97"/>
      <c r="FB38" s="97"/>
      <c r="FC38" s="97"/>
      <c r="FD38" s="97"/>
      <c r="FE38" s="97"/>
      <c r="FF38" s="97"/>
      <c r="FG38" s="97"/>
      <c r="FH38" s="97"/>
      <c r="FI38" s="97"/>
      <c r="FJ38" s="97"/>
      <c r="FK38" s="97"/>
      <c r="FL38" s="97"/>
      <c r="FM38" s="97"/>
      <c r="FN38" s="97"/>
      <c r="FO38" s="97"/>
      <c r="FP38" s="97"/>
      <c r="FQ38" s="97"/>
      <c r="FR38" s="97"/>
      <c r="FS38" s="97"/>
      <c r="FT38" s="97"/>
      <c r="FU38" s="97"/>
      <c r="FV38" s="97"/>
      <c r="FW38" s="97"/>
      <c r="FX38" s="97"/>
      <c r="FY38" s="6"/>
      <c r="FZ38" s="7" t="str">
        <f>IF(FY38="","",VLOOKUP(FY38,MT商品ﾏｽﾀ参照シート!AM:AN,2,0))</f>
        <v/>
      </c>
      <c r="GA38" s="8"/>
      <c r="GB38" s="8"/>
      <c r="GC38" s="8"/>
      <c r="GD38" s="8"/>
      <c r="GE38" s="58"/>
      <c r="GF38" s="7" t="str">
        <f>IF(GE38="","",VLOOKUP(GE38,MT商品ﾏｽﾀ参照シート!AO:AP,2,0))</f>
        <v/>
      </c>
      <c r="GG38" s="7"/>
      <c r="GH38" s="7"/>
      <c r="GI38" s="7"/>
      <c r="GJ38" s="7"/>
      <c r="GK38" s="49"/>
      <c r="GL38" s="6"/>
      <c r="GM38" s="6"/>
      <c r="GN38" s="7"/>
      <c r="GO38" s="7"/>
      <c r="GP38" s="7"/>
      <c r="GQ38" s="7"/>
      <c r="GR38" s="7">
        <v>2805</v>
      </c>
      <c r="GS38" s="7">
        <v>3300</v>
      </c>
      <c r="GT38" s="7">
        <v>3300</v>
      </c>
      <c r="GU38" s="7">
        <v>3300</v>
      </c>
      <c r="GV38" s="7">
        <v>3300</v>
      </c>
      <c r="GW38" s="8"/>
      <c r="GX38" s="8"/>
      <c r="GY38" s="8"/>
      <c r="GZ38" s="8"/>
      <c r="HA38" s="8"/>
      <c r="HB38" s="8"/>
      <c r="HC38" s="8"/>
      <c r="HD38" s="8"/>
      <c r="HE38" s="58"/>
      <c r="HF38" s="58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82"/>
      <c r="HR38" s="82"/>
      <c r="HS38" s="82"/>
      <c r="HT38" s="26"/>
      <c r="HU38" s="23"/>
      <c r="HV38" s="23"/>
      <c r="HW38" s="24"/>
      <c r="HX38" s="24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76"/>
      <c r="IY38" s="76"/>
      <c r="IZ38" s="76"/>
      <c r="JA38" s="71"/>
      <c r="JB38" s="71"/>
      <c r="JC38" s="72"/>
      <c r="JD38" s="72"/>
      <c r="JE38" s="72"/>
      <c r="JF38" s="72"/>
      <c r="JG38" s="72"/>
      <c r="JH38" s="72"/>
      <c r="JI38" s="71"/>
      <c r="JJ38" s="71"/>
      <c r="JK38" s="72"/>
      <c r="JL38" s="72"/>
      <c r="JM38" s="72"/>
      <c r="JN38" s="72"/>
    </row>
    <row r="39" spans="1:274" ht="13.5" customHeight="1">
      <c r="A39" s="7">
        <v>27</v>
      </c>
      <c r="B39" s="7"/>
      <c r="C39" s="7" t="e">
        <f t="shared" si="25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/>
      <c r="L39" s="7"/>
      <c r="M39" s="7"/>
      <c r="N39" s="7"/>
      <c r="O39" s="7"/>
      <c r="P39" s="7"/>
      <c r="Q39" s="53"/>
      <c r="R39" s="7"/>
      <c r="S39" s="7"/>
      <c r="T39" s="53"/>
      <c r="U39" s="7"/>
      <c r="V39" s="7" t="e">
        <f t="shared" si="4"/>
        <v>#VALUE!</v>
      </c>
      <c r="W39" s="28"/>
      <c r="X39" s="7" t="e">
        <f t="shared" si="4"/>
        <v>#VALUE!</v>
      </c>
      <c r="Y39" s="28"/>
      <c r="Z39" s="7" t="e">
        <f t="shared" si="5"/>
        <v>#VALUE!</v>
      </c>
      <c r="AA39" s="28"/>
      <c r="AB39" s="7"/>
      <c r="AC39" s="7"/>
      <c r="AD39" s="7"/>
      <c r="AE39" s="7"/>
      <c r="AF39" s="7">
        <v>0</v>
      </c>
      <c r="AG39" s="7" t="e">
        <f t="shared" si="6"/>
        <v>#VALUE!</v>
      </c>
      <c r="AH39" s="28"/>
      <c r="AI39" s="7"/>
      <c r="AJ39" s="7" t="e">
        <f t="shared" si="7"/>
        <v>#VALUE!</v>
      </c>
      <c r="AK39" s="28"/>
      <c r="AL39" s="7" t="e">
        <f t="shared" si="8"/>
        <v>#VALUE!</v>
      </c>
      <c r="AM39" s="28"/>
      <c r="AN39" s="7" t="e">
        <f t="shared" si="9"/>
        <v>#VALUE!</v>
      </c>
      <c r="AO39" s="28"/>
      <c r="AP39" s="7">
        <f t="shared" si="10"/>
        <v>2</v>
      </c>
      <c r="AQ39" s="28" t="s">
        <v>2301</v>
      </c>
      <c r="AR39" s="7"/>
      <c r="AS39" s="7"/>
      <c r="AT39" s="7"/>
      <c r="AU39" s="7"/>
      <c r="AV39" s="7">
        <f t="shared" si="11"/>
        <v>4617</v>
      </c>
      <c r="AW39" s="28" t="s">
        <v>2302</v>
      </c>
      <c r="AX39" s="7">
        <v>1</v>
      </c>
      <c r="AY39" s="7" t="e">
        <f t="shared" si="12"/>
        <v>#VALUE!</v>
      </c>
      <c r="AZ39" s="28"/>
      <c r="BA39" s="7">
        <v>0</v>
      </c>
      <c r="BB39" s="7">
        <v>10</v>
      </c>
      <c r="BC39" s="7">
        <v>0</v>
      </c>
      <c r="BD39" s="7">
        <v>10</v>
      </c>
      <c r="BE39" s="7"/>
      <c r="BF39" s="7" t="e">
        <f t="shared" si="13"/>
        <v>#VALUE!</v>
      </c>
      <c r="BG39" s="28"/>
      <c r="BH39" s="7" t="e">
        <f t="shared" si="14"/>
        <v>#VALUE!</v>
      </c>
      <c r="BI39" s="28"/>
      <c r="BJ39" s="7" t="e">
        <f t="shared" si="15"/>
        <v>#VALUE!</v>
      </c>
      <c r="BK39" s="28"/>
      <c r="BL39" s="7"/>
      <c r="BM39" s="7"/>
      <c r="BN39" s="7" t="e">
        <f t="shared" si="16"/>
        <v>#VALUE!</v>
      </c>
      <c r="BO39" s="28"/>
      <c r="BP39" s="7" t="e">
        <f t="shared" si="17"/>
        <v>#VALUE!</v>
      </c>
      <c r="BQ39" s="28"/>
      <c r="BR39" s="7"/>
      <c r="BS39" s="7" t="e">
        <f t="shared" si="18"/>
        <v>#VALUE!</v>
      </c>
      <c r="BT39" s="28"/>
      <c r="BU39" s="7"/>
      <c r="BV39" s="7" t="e">
        <f ca="1">[1]!tメーカー名(BU39)</f>
        <v>#NAME?</v>
      </c>
      <c r="BW39" s="7" t="e">
        <f t="shared" si="19"/>
        <v>#VALUE!</v>
      </c>
      <c r="BX39" s="28"/>
      <c r="BY39" s="7" t="e">
        <f t="shared" si="20"/>
        <v>#VALUE!</v>
      </c>
      <c r="BZ39" s="28"/>
      <c r="CA39" s="54"/>
      <c r="CB39" s="54"/>
      <c r="CC39" s="7" t="e">
        <f t="shared" si="21"/>
        <v>#VALUE!</v>
      </c>
      <c r="CD39" s="28"/>
      <c r="CE39" s="7" t="e">
        <f t="shared" si="22"/>
        <v>#VALUE!</v>
      </c>
      <c r="CF39" s="28"/>
      <c r="CG39" s="7" t="e">
        <f t="shared" si="23"/>
        <v>#VALUE!</v>
      </c>
      <c r="CH39" s="28"/>
      <c r="CI39" s="7" t="e">
        <f t="shared" si="24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6">
        <f t="shared" si="3"/>
        <v>0</v>
      </c>
      <c r="CT39" s="7"/>
      <c r="CU39" s="7"/>
      <c r="CV39" s="97"/>
      <c r="CW39" s="97"/>
      <c r="CX39" s="97"/>
      <c r="CY39" s="98"/>
      <c r="CZ39" s="98"/>
      <c r="DA39" s="97"/>
      <c r="DB39" s="98"/>
      <c r="DC39" s="97"/>
      <c r="DD39" s="97" t="s">
        <v>1699</v>
      </c>
      <c r="DE39" s="97" t="s">
        <v>1682</v>
      </c>
      <c r="DF39" s="98"/>
      <c r="DG39" s="98"/>
      <c r="DH39" s="98"/>
      <c r="DI39" s="98"/>
      <c r="DJ39" s="98"/>
      <c r="DK39" s="98"/>
      <c r="DL39" s="98"/>
      <c r="DM39" s="97"/>
      <c r="DN39" s="97"/>
      <c r="DO39" s="97"/>
      <c r="DP39" s="97"/>
      <c r="DQ39" s="97"/>
      <c r="DR39" s="97"/>
      <c r="DS39" s="97"/>
      <c r="DT39" s="99"/>
      <c r="DU39" s="98"/>
      <c r="DV39" s="97"/>
      <c r="DW39" s="97"/>
      <c r="DX39" s="97"/>
      <c r="DY39" s="97"/>
      <c r="DZ39" s="97"/>
      <c r="EA39" s="97"/>
      <c r="EB39" s="97"/>
      <c r="EC39" s="97"/>
      <c r="ED39" s="97"/>
      <c r="EE39" s="97"/>
      <c r="EF39" s="97"/>
      <c r="EG39" s="97"/>
      <c r="EH39" s="97"/>
      <c r="EI39" s="97"/>
      <c r="EJ39" s="97"/>
      <c r="EK39" s="97"/>
      <c r="EL39" s="97"/>
      <c r="EM39" s="97"/>
      <c r="EN39" s="97"/>
      <c r="EO39" s="97"/>
      <c r="EP39" s="97"/>
      <c r="EQ39" s="97"/>
      <c r="ER39" s="97"/>
      <c r="ES39" s="97"/>
      <c r="ET39" s="97"/>
      <c r="EU39" s="97"/>
      <c r="EV39" s="97"/>
      <c r="EW39" s="97"/>
      <c r="EX39" s="97"/>
      <c r="EY39" s="97"/>
      <c r="EZ39" s="97"/>
      <c r="FA39" s="97"/>
      <c r="FB39" s="97"/>
      <c r="FC39" s="97"/>
      <c r="FD39" s="97"/>
      <c r="FE39" s="97"/>
      <c r="FF39" s="97"/>
      <c r="FG39" s="97"/>
      <c r="FH39" s="97"/>
      <c r="FI39" s="97"/>
      <c r="FJ39" s="97"/>
      <c r="FK39" s="97"/>
      <c r="FL39" s="97"/>
      <c r="FM39" s="97"/>
      <c r="FN39" s="97"/>
      <c r="FO39" s="97"/>
      <c r="FP39" s="97"/>
      <c r="FQ39" s="97"/>
      <c r="FR39" s="97"/>
      <c r="FS39" s="97"/>
      <c r="FT39" s="97"/>
      <c r="FU39" s="97"/>
      <c r="FV39" s="97"/>
      <c r="FW39" s="97"/>
      <c r="FX39" s="97"/>
      <c r="FY39" s="6"/>
      <c r="FZ39" s="7" t="str">
        <f>IF(FY39="","",VLOOKUP(FY39,MT商品ﾏｽﾀ参照シート!AM:AN,2,0))</f>
        <v/>
      </c>
      <c r="GA39" s="8"/>
      <c r="GB39" s="8"/>
      <c r="GC39" s="8"/>
      <c r="GD39" s="8"/>
      <c r="GE39" s="58"/>
      <c r="GF39" s="7" t="str">
        <f>IF(GE39="","",VLOOKUP(GE39,MT商品ﾏｽﾀ参照シート!AO:AP,2,0))</f>
        <v/>
      </c>
      <c r="GG39" s="7"/>
      <c r="GH39" s="7"/>
      <c r="GI39" s="7"/>
      <c r="GJ39" s="7"/>
      <c r="GK39" s="49"/>
      <c r="GL39" s="6"/>
      <c r="GM39" s="6"/>
      <c r="GN39" s="7"/>
      <c r="GO39" s="7"/>
      <c r="GP39" s="7"/>
      <c r="GQ39" s="7"/>
      <c r="GR39" s="7">
        <v>2805</v>
      </c>
      <c r="GS39" s="7">
        <v>3300</v>
      </c>
      <c r="GT39" s="7">
        <v>3300</v>
      </c>
      <c r="GU39" s="7">
        <v>3300</v>
      </c>
      <c r="GV39" s="7">
        <v>3300</v>
      </c>
      <c r="GW39" s="8"/>
      <c r="GX39" s="8"/>
      <c r="GY39" s="8"/>
      <c r="GZ39" s="8"/>
      <c r="HA39" s="8"/>
      <c r="HB39" s="8"/>
      <c r="HC39" s="8"/>
      <c r="HD39" s="8"/>
      <c r="HE39" s="58"/>
      <c r="HF39" s="58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82"/>
      <c r="HR39" s="82"/>
      <c r="HS39" s="82"/>
      <c r="HT39" s="26"/>
      <c r="HU39" s="23"/>
      <c r="HV39" s="23"/>
      <c r="HW39" s="24"/>
      <c r="HX39" s="24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76"/>
      <c r="IY39" s="76"/>
      <c r="IZ39" s="76"/>
      <c r="JA39" s="71"/>
      <c r="JB39" s="71"/>
      <c r="JC39" s="72"/>
      <c r="JD39" s="72"/>
      <c r="JE39" s="72"/>
      <c r="JF39" s="72"/>
      <c r="JG39" s="72"/>
      <c r="JH39" s="72"/>
      <c r="JI39" s="71"/>
      <c r="JJ39" s="71"/>
      <c r="JK39" s="72"/>
      <c r="JL39" s="72"/>
      <c r="JM39" s="72"/>
      <c r="JN39" s="72"/>
    </row>
    <row r="40" spans="1:274" ht="13.5" customHeight="1">
      <c r="A40" s="7">
        <v>28</v>
      </c>
      <c r="B40" s="7"/>
      <c r="C40" s="7" t="e">
        <f t="shared" si="25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/>
      <c r="L40" s="7"/>
      <c r="M40" s="7"/>
      <c r="N40" s="7"/>
      <c r="O40" s="7"/>
      <c r="P40" s="7"/>
      <c r="Q40" s="53"/>
      <c r="R40" s="7"/>
      <c r="S40" s="7"/>
      <c r="T40" s="53"/>
      <c r="U40" s="7"/>
      <c r="V40" s="7" t="e">
        <f t="shared" si="4"/>
        <v>#VALUE!</v>
      </c>
      <c r="W40" s="28"/>
      <c r="X40" s="7" t="e">
        <f t="shared" si="4"/>
        <v>#VALUE!</v>
      </c>
      <c r="Y40" s="28"/>
      <c r="Z40" s="7" t="e">
        <f t="shared" si="5"/>
        <v>#VALUE!</v>
      </c>
      <c r="AA40" s="28"/>
      <c r="AB40" s="7"/>
      <c r="AC40" s="7"/>
      <c r="AD40" s="7"/>
      <c r="AE40" s="7"/>
      <c r="AF40" s="7">
        <v>0</v>
      </c>
      <c r="AG40" s="7" t="e">
        <f t="shared" si="6"/>
        <v>#VALUE!</v>
      </c>
      <c r="AH40" s="28"/>
      <c r="AI40" s="7"/>
      <c r="AJ40" s="7" t="e">
        <f t="shared" si="7"/>
        <v>#VALUE!</v>
      </c>
      <c r="AK40" s="28"/>
      <c r="AL40" s="7" t="e">
        <f t="shared" si="8"/>
        <v>#VALUE!</v>
      </c>
      <c r="AM40" s="28"/>
      <c r="AN40" s="7" t="e">
        <f t="shared" si="9"/>
        <v>#VALUE!</v>
      </c>
      <c r="AO40" s="28"/>
      <c r="AP40" s="7">
        <f t="shared" si="10"/>
        <v>2</v>
      </c>
      <c r="AQ40" s="28" t="s">
        <v>2301</v>
      </c>
      <c r="AR40" s="7"/>
      <c r="AS40" s="7"/>
      <c r="AT40" s="7"/>
      <c r="AU40" s="7"/>
      <c r="AV40" s="7">
        <f t="shared" si="11"/>
        <v>4617</v>
      </c>
      <c r="AW40" s="28" t="s">
        <v>2302</v>
      </c>
      <c r="AX40" s="7">
        <v>1</v>
      </c>
      <c r="AY40" s="7" t="e">
        <f t="shared" si="12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3"/>
        <v>#VALUE!</v>
      </c>
      <c r="BG40" s="28"/>
      <c r="BH40" s="7" t="e">
        <f t="shared" si="14"/>
        <v>#VALUE!</v>
      </c>
      <c r="BI40" s="28"/>
      <c r="BJ40" s="7" t="e">
        <f t="shared" si="15"/>
        <v>#VALUE!</v>
      </c>
      <c r="BK40" s="28"/>
      <c r="BL40" s="7"/>
      <c r="BM40" s="7"/>
      <c r="BN40" s="7" t="e">
        <f t="shared" si="16"/>
        <v>#VALUE!</v>
      </c>
      <c r="BO40" s="28"/>
      <c r="BP40" s="7" t="e">
        <f t="shared" si="17"/>
        <v>#VALUE!</v>
      </c>
      <c r="BQ40" s="28"/>
      <c r="BR40" s="7"/>
      <c r="BS40" s="7" t="e">
        <f t="shared" si="18"/>
        <v>#VALUE!</v>
      </c>
      <c r="BT40" s="28"/>
      <c r="BU40" s="7"/>
      <c r="BV40" s="7" t="e">
        <f ca="1">[1]!tメーカー名(BU40)</f>
        <v>#NAME?</v>
      </c>
      <c r="BW40" s="7" t="e">
        <f t="shared" si="19"/>
        <v>#VALUE!</v>
      </c>
      <c r="BX40" s="28"/>
      <c r="BY40" s="7" t="e">
        <f t="shared" si="20"/>
        <v>#VALUE!</v>
      </c>
      <c r="BZ40" s="28"/>
      <c r="CA40" s="54"/>
      <c r="CB40" s="54"/>
      <c r="CC40" s="7" t="e">
        <f t="shared" si="21"/>
        <v>#VALUE!</v>
      </c>
      <c r="CD40" s="28"/>
      <c r="CE40" s="7" t="e">
        <f t="shared" si="22"/>
        <v>#VALUE!</v>
      </c>
      <c r="CF40" s="28"/>
      <c r="CG40" s="7" t="e">
        <f t="shared" si="23"/>
        <v>#VALUE!</v>
      </c>
      <c r="CH40" s="28"/>
      <c r="CI40" s="7" t="e">
        <f t="shared" si="24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6">
        <f t="shared" si="3"/>
        <v>0</v>
      </c>
      <c r="CT40" s="7"/>
      <c r="CU40" s="7"/>
      <c r="CV40" s="97"/>
      <c r="CW40" s="97"/>
      <c r="CX40" s="97"/>
      <c r="CY40" s="98"/>
      <c r="CZ40" s="98"/>
      <c r="DA40" s="97"/>
      <c r="DB40" s="98"/>
      <c r="DC40" s="97"/>
      <c r="DD40" s="97" t="s">
        <v>1700</v>
      </c>
      <c r="DE40" s="97" t="s">
        <v>1682</v>
      </c>
      <c r="DF40" s="98"/>
      <c r="DG40" s="98"/>
      <c r="DH40" s="98"/>
      <c r="DI40" s="98"/>
      <c r="DJ40" s="98"/>
      <c r="DK40" s="98"/>
      <c r="DL40" s="98"/>
      <c r="DM40" s="97"/>
      <c r="DN40" s="97"/>
      <c r="DO40" s="97"/>
      <c r="DP40" s="97"/>
      <c r="DQ40" s="97"/>
      <c r="DR40" s="97"/>
      <c r="DS40" s="97"/>
      <c r="DT40" s="99"/>
      <c r="DU40" s="98"/>
      <c r="DV40" s="97"/>
      <c r="DW40" s="97"/>
      <c r="DX40" s="97"/>
      <c r="DY40" s="97"/>
      <c r="DZ40" s="97"/>
      <c r="EA40" s="97"/>
      <c r="EB40" s="97"/>
      <c r="EC40" s="97"/>
      <c r="ED40" s="97"/>
      <c r="EE40" s="97"/>
      <c r="EF40" s="97"/>
      <c r="EG40" s="97"/>
      <c r="EH40" s="97"/>
      <c r="EI40" s="97"/>
      <c r="EJ40" s="97"/>
      <c r="EK40" s="97"/>
      <c r="EL40" s="97"/>
      <c r="EM40" s="97"/>
      <c r="EN40" s="97"/>
      <c r="EO40" s="97"/>
      <c r="EP40" s="97"/>
      <c r="EQ40" s="97"/>
      <c r="ER40" s="97"/>
      <c r="ES40" s="97"/>
      <c r="ET40" s="97"/>
      <c r="EU40" s="97"/>
      <c r="EV40" s="97"/>
      <c r="EW40" s="97"/>
      <c r="EX40" s="97"/>
      <c r="EY40" s="97"/>
      <c r="EZ40" s="97"/>
      <c r="FA40" s="97"/>
      <c r="FB40" s="97"/>
      <c r="FC40" s="97"/>
      <c r="FD40" s="97"/>
      <c r="FE40" s="97"/>
      <c r="FF40" s="97"/>
      <c r="FG40" s="97"/>
      <c r="FH40" s="97"/>
      <c r="FI40" s="97"/>
      <c r="FJ40" s="97"/>
      <c r="FK40" s="97"/>
      <c r="FL40" s="97"/>
      <c r="FM40" s="97"/>
      <c r="FN40" s="97"/>
      <c r="FO40" s="97"/>
      <c r="FP40" s="97"/>
      <c r="FQ40" s="97"/>
      <c r="FR40" s="97"/>
      <c r="FS40" s="97"/>
      <c r="FT40" s="97"/>
      <c r="FU40" s="97"/>
      <c r="FV40" s="97"/>
      <c r="FW40" s="97"/>
      <c r="FX40" s="97"/>
      <c r="FY40" s="6"/>
      <c r="FZ40" s="7" t="str">
        <f>IF(FY40="","",VLOOKUP(FY40,MT商品ﾏｽﾀ参照シート!AM:AN,2,0))</f>
        <v/>
      </c>
      <c r="GA40" s="8"/>
      <c r="GB40" s="8"/>
      <c r="GC40" s="8"/>
      <c r="GD40" s="8"/>
      <c r="GE40" s="58"/>
      <c r="GF40" s="7" t="str">
        <f>IF(GE40="","",VLOOKUP(GE40,MT商品ﾏｽﾀ参照シート!AO:AP,2,0))</f>
        <v/>
      </c>
      <c r="GG40" s="7"/>
      <c r="GH40" s="7"/>
      <c r="GI40" s="7"/>
      <c r="GJ40" s="7"/>
      <c r="GK40" s="49"/>
      <c r="GL40" s="6"/>
      <c r="GM40" s="6"/>
      <c r="GN40" s="7"/>
      <c r="GO40" s="7"/>
      <c r="GP40" s="7"/>
      <c r="GQ40" s="7"/>
      <c r="GR40" s="7">
        <v>2210</v>
      </c>
      <c r="GS40" s="7">
        <v>2600</v>
      </c>
      <c r="GT40" s="7">
        <v>2600</v>
      </c>
      <c r="GU40" s="7">
        <v>2600</v>
      </c>
      <c r="GV40" s="7">
        <v>2600</v>
      </c>
      <c r="GW40" s="8"/>
      <c r="GX40" s="8"/>
      <c r="GY40" s="8"/>
      <c r="GZ40" s="8"/>
      <c r="HA40" s="8"/>
      <c r="HB40" s="8"/>
      <c r="HC40" s="8"/>
      <c r="HD40" s="8"/>
      <c r="HE40" s="58"/>
      <c r="HF40" s="58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82"/>
      <c r="HR40" s="82"/>
      <c r="HS40" s="82"/>
      <c r="HT40" s="26"/>
      <c r="HU40" s="23"/>
      <c r="HV40" s="23"/>
      <c r="HW40" s="24"/>
      <c r="HX40" s="24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76"/>
      <c r="IY40" s="76"/>
      <c r="IZ40" s="76"/>
      <c r="JA40" s="71"/>
      <c r="JB40" s="71"/>
      <c r="JC40" s="72"/>
      <c r="JD40" s="72"/>
      <c r="JE40" s="72"/>
      <c r="JF40" s="72"/>
      <c r="JG40" s="72"/>
      <c r="JH40" s="72"/>
      <c r="JI40" s="71"/>
      <c r="JJ40" s="71"/>
      <c r="JK40" s="72"/>
      <c r="JL40" s="72"/>
      <c r="JM40" s="72"/>
      <c r="JN40" s="72"/>
    </row>
    <row r="41" spans="1:274" ht="13.5" customHeight="1">
      <c r="A41" s="7">
        <v>29</v>
      </c>
      <c r="B41" s="7"/>
      <c r="C41" s="7" t="e">
        <f t="shared" si="25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/>
      <c r="L41" s="7"/>
      <c r="M41" s="7"/>
      <c r="N41" s="7"/>
      <c r="O41" s="7"/>
      <c r="P41" s="7"/>
      <c r="Q41" s="53"/>
      <c r="R41" s="7"/>
      <c r="S41" s="7"/>
      <c r="T41" s="53"/>
      <c r="U41" s="7"/>
      <c r="V41" s="7" t="e">
        <f t="shared" si="4"/>
        <v>#VALUE!</v>
      </c>
      <c r="W41" s="28"/>
      <c r="X41" s="7" t="e">
        <f t="shared" si="4"/>
        <v>#VALUE!</v>
      </c>
      <c r="Y41" s="28"/>
      <c r="Z41" s="7" t="e">
        <f t="shared" si="5"/>
        <v>#VALUE!</v>
      </c>
      <c r="AA41" s="28"/>
      <c r="AB41" s="7"/>
      <c r="AC41" s="7"/>
      <c r="AD41" s="7"/>
      <c r="AE41" s="7"/>
      <c r="AF41" s="7">
        <v>0</v>
      </c>
      <c r="AG41" s="7" t="e">
        <f t="shared" si="6"/>
        <v>#VALUE!</v>
      </c>
      <c r="AH41" s="28"/>
      <c r="AI41" s="7"/>
      <c r="AJ41" s="7" t="e">
        <f t="shared" si="7"/>
        <v>#VALUE!</v>
      </c>
      <c r="AK41" s="28"/>
      <c r="AL41" s="7" t="e">
        <f t="shared" si="8"/>
        <v>#VALUE!</v>
      </c>
      <c r="AM41" s="28"/>
      <c r="AN41" s="7" t="e">
        <f t="shared" si="9"/>
        <v>#VALUE!</v>
      </c>
      <c r="AO41" s="28"/>
      <c r="AP41" s="7">
        <f t="shared" si="10"/>
        <v>2</v>
      </c>
      <c r="AQ41" s="28" t="s">
        <v>2301</v>
      </c>
      <c r="AR41" s="7"/>
      <c r="AS41" s="7"/>
      <c r="AT41" s="7"/>
      <c r="AU41" s="7"/>
      <c r="AV41" s="7">
        <f t="shared" si="11"/>
        <v>4617</v>
      </c>
      <c r="AW41" s="28" t="s">
        <v>2302</v>
      </c>
      <c r="AX41" s="7">
        <v>1</v>
      </c>
      <c r="AY41" s="7" t="e">
        <f t="shared" si="12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3"/>
        <v>#VALUE!</v>
      </c>
      <c r="BG41" s="28"/>
      <c r="BH41" s="7" t="e">
        <f t="shared" si="14"/>
        <v>#VALUE!</v>
      </c>
      <c r="BI41" s="28"/>
      <c r="BJ41" s="7" t="e">
        <f t="shared" si="15"/>
        <v>#VALUE!</v>
      </c>
      <c r="BK41" s="28"/>
      <c r="BL41" s="7"/>
      <c r="BM41" s="7"/>
      <c r="BN41" s="7" t="e">
        <f t="shared" si="16"/>
        <v>#VALUE!</v>
      </c>
      <c r="BO41" s="28"/>
      <c r="BP41" s="7" t="e">
        <f t="shared" si="17"/>
        <v>#VALUE!</v>
      </c>
      <c r="BQ41" s="28"/>
      <c r="BR41" s="7"/>
      <c r="BS41" s="7" t="e">
        <f t="shared" si="18"/>
        <v>#VALUE!</v>
      </c>
      <c r="BT41" s="28"/>
      <c r="BU41" s="7"/>
      <c r="BV41" s="7" t="e">
        <f ca="1">[1]!tメーカー名(BU41)</f>
        <v>#NAME?</v>
      </c>
      <c r="BW41" s="7" t="e">
        <f t="shared" si="19"/>
        <v>#VALUE!</v>
      </c>
      <c r="BX41" s="28"/>
      <c r="BY41" s="7" t="e">
        <f t="shared" si="20"/>
        <v>#VALUE!</v>
      </c>
      <c r="BZ41" s="28"/>
      <c r="CA41" s="54"/>
      <c r="CB41" s="54"/>
      <c r="CC41" s="7" t="e">
        <f t="shared" si="21"/>
        <v>#VALUE!</v>
      </c>
      <c r="CD41" s="28"/>
      <c r="CE41" s="7" t="e">
        <f t="shared" si="22"/>
        <v>#VALUE!</v>
      </c>
      <c r="CF41" s="28"/>
      <c r="CG41" s="7" t="e">
        <f t="shared" si="23"/>
        <v>#VALUE!</v>
      </c>
      <c r="CH41" s="28"/>
      <c r="CI41" s="7" t="e">
        <f t="shared" si="24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6">
        <f t="shared" si="3"/>
        <v>0</v>
      </c>
      <c r="CT41" s="7"/>
      <c r="CU41" s="7"/>
      <c r="CV41" s="97"/>
      <c r="CW41" s="97"/>
      <c r="CX41" s="97"/>
      <c r="CY41" s="98"/>
      <c r="CZ41" s="98"/>
      <c r="DA41" s="97"/>
      <c r="DB41" s="98"/>
      <c r="DC41" s="97"/>
      <c r="DD41" s="97" t="s">
        <v>1701</v>
      </c>
      <c r="DE41" s="97" t="s">
        <v>1682</v>
      </c>
      <c r="DF41" s="98"/>
      <c r="DG41" s="98"/>
      <c r="DH41" s="98"/>
      <c r="DI41" s="98"/>
      <c r="DJ41" s="98"/>
      <c r="DK41" s="98"/>
      <c r="DL41" s="98"/>
      <c r="DM41" s="97"/>
      <c r="DN41" s="97"/>
      <c r="DO41" s="97"/>
      <c r="DP41" s="97"/>
      <c r="DQ41" s="97"/>
      <c r="DR41" s="97"/>
      <c r="DS41" s="97"/>
      <c r="DT41" s="99"/>
      <c r="DU41" s="98"/>
      <c r="DV41" s="97"/>
      <c r="DW41" s="97"/>
      <c r="DX41" s="97"/>
      <c r="DY41" s="97"/>
      <c r="DZ41" s="97"/>
      <c r="EA41" s="97"/>
      <c r="EB41" s="97"/>
      <c r="EC41" s="97"/>
      <c r="ED41" s="97"/>
      <c r="EE41" s="97"/>
      <c r="EF41" s="97"/>
      <c r="EG41" s="97"/>
      <c r="EH41" s="97"/>
      <c r="EI41" s="97"/>
      <c r="EJ41" s="97"/>
      <c r="EK41" s="97"/>
      <c r="EL41" s="97"/>
      <c r="EM41" s="97"/>
      <c r="EN41" s="97"/>
      <c r="EO41" s="97"/>
      <c r="EP41" s="97"/>
      <c r="EQ41" s="97"/>
      <c r="ER41" s="97"/>
      <c r="ES41" s="97"/>
      <c r="ET41" s="97"/>
      <c r="EU41" s="97"/>
      <c r="EV41" s="97"/>
      <c r="EW41" s="97"/>
      <c r="EX41" s="97"/>
      <c r="EY41" s="97"/>
      <c r="EZ41" s="97"/>
      <c r="FA41" s="97"/>
      <c r="FB41" s="97"/>
      <c r="FC41" s="97"/>
      <c r="FD41" s="97"/>
      <c r="FE41" s="97"/>
      <c r="FF41" s="97"/>
      <c r="FG41" s="97"/>
      <c r="FH41" s="97"/>
      <c r="FI41" s="97"/>
      <c r="FJ41" s="97"/>
      <c r="FK41" s="97"/>
      <c r="FL41" s="97"/>
      <c r="FM41" s="97"/>
      <c r="FN41" s="97"/>
      <c r="FO41" s="97"/>
      <c r="FP41" s="97"/>
      <c r="FQ41" s="97"/>
      <c r="FR41" s="97"/>
      <c r="FS41" s="97"/>
      <c r="FT41" s="97"/>
      <c r="FU41" s="97"/>
      <c r="FV41" s="97"/>
      <c r="FW41" s="97"/>
      <c r="FX41" s="97"/>
      <c r="FY41" s="6"/>
      <c r="FZ41" s="7" t="str">
        <f>IF(FY41="","",VLOOKUP(FY41,MT商品ﾏｽﾀ参照シート!AM:AN,2,0))</f>
        <v/>
      </c>
      <c r="GA41" s="8"/>
      <c r="GB41" s="8"/>
      <c r="GC41" s="8"/>
      <c r="GD41" s="8"/>
      <c r="GE41" s="58"/>
      <c r="GF41" s="7" t="str">
        <f>IF(GE41="","",VLOOKUP(GE41,MT商品ﾏｽﾀ参照シート!AO:AP,2,0))</f>
        <v/>
      </c>
      <c r="GG41" s="7"/>
      <c r="GH41" s="7"/>
      <c r="GI41" s="7"/>
      <c r="GJ41" s="7"/>
      <c r="GK41" s="49"/>
      <c r="GL41" s="6"/>
      <c r="GM41" s="6"/>
      <c r="GN41" s="7"/>
      <c r="GO41" s="7"/>
      <c r="GP41" s="7"/>
      <c r="GQ41" s="7"/>
      <c r="GR41" s="7">
        <v>3230</v>
      </c>
      <c r="GS41" s="7">
        <v>3800</v>
      </c>
      <c r="GT41" s="7">
        <v>3800</v>
      </c>
      <c r="GU41" s="7">
        <v>3800</v>
      </c>
      <c r="GV41" s="7">
        <v>3800</v>
      </c>
      <c r="GW41" s="8"/>
      <c r="GX41" s="8"/>
      <c r="GY41" s="8"/>
      <c r="GZ41" s="8"/>
      <c r="HA41" s="8"/>
      <c r="HB41" s="8"/>
      <c r="HC41" s="8"/>
      <c r="HD41" s="8"/>
      <c r="HE41" s="58"/>
      <c r="HF41" s="58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82"/>
      <c r="HR41" s="82"/>
      <c r="HS41" s="82"/>
      <c r="HT41" s="26"/>
      <c r="HU41" s="23"/>
      <c r="HV41" s="23"/>
      <c r="HW41" s="24"/>
      <c r="HX41" s="24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76"/>
      <c r="IY41" s="76"/>
      <c r="IZ41" s="76"/>
      <c r="JA41" s="71"/>
      <c r="JB41" s="71"/>
      <c r="JC41" s="72"/>
      <c r="JD41" s="72"/>
      <c r="JE41" s="72"/>
      <c r="JF41" s="72"/>
      <c r="JG41" s="72"/>
      <c r="JH41" s="72"/>
      <c r="JI41" s="71"/>
      <c r="JJ41" s="71"/>
      <c r="JK41" s="72"/>
      <c r="JL41" s="72"/>
      <c r="JM41" s="72"/>
      <c r="JN41" s="72"/>
    </row>
    <row r="42" spans="1:274" ht="13.5" customHeight="1">
      <c r="A42" s="7">
        <v>30</v>
      </c>
      <c r="B42" s="7"/>
      <c r="C42" s="7" t="e">
        <f t="shared" si="25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/>
      <c r="L42" s="7"/>
      <c r="M42" s="7"/>
      <c r="N42" s="7"/>
      <c r="O42" s="7"/>
      <c r="P42" s="7"/>
      <c r="Q42" s="53"/>
      <c r="R42" s="7"/>
      <c r="S42" s="7"/>
      <c r="T42" s="53"/>
      <c r="U42" s="7"/>
      <c r="V42" s="7" t="e">
        <f t="shared" si="4"/>
        <v>#VALUE!</v>
      </c>
      <c r="W42" s="28"/>
      <c r="X42" s="7" t="e">
        <f t="shared" si="4"/>
        <v>#VALUE!</v>
      </c>
      <c r="Y42" s="28"/>
      <c r="Z42" s="7" t="e">
        <f t="shared" si="5"/>
        <v>#VALUE!</v>
      </c>
      <c r="AA42" s="28"/>
      <c r="AB42" s="7"/>
      <c r="AC42" s="7"/>
      <c r="AD42" s="7"/>
      <c r="AE42" s="7"/>
      <c r="AF42" s="7">
        <v>0</v>
      </c>
      <c r="AG42" s="7" t="e">
        <f t="shared" si="6"/>
        <v>#VALUE!</v>
      </c>
      <c r="AH42" s="28"/>
      <c r="AI42" s="7"/>
      <c r="AJ42" s="7" t="e">
        <f t="shared" si="7"/>
        <v>#VALUE!</v>
      </c>
      <c r="AK42" s="28"/>
      <c r="AL42" s="7" t="e">
        <f t="shared" si="8"/>
        <v>#VALUE!</v>
      </c>
      <c r="AM42" s="28"/>
      <c r="AN42" s="7" t="e">
        <f t="shared" si="9"/>
        <v>#VALUE!</v>
      </c>
      <c r="AO42" s="28"/>
      <c r="AP42" s="7">
        <f t="shared" si="10"/>
        <v>2</v>
      </c>
      <c r="AQ42" s="28" t="s">
        <v>2301</v>
      </c>
      <c r="AR42" s="7"/>
      <c r="AS42" s="7"/>
      <c r="AT42" s="7"/>
      <c r="AU42" s="7"/>
      <c r="AV42" s="7">
        <f t="shared" si="11"/>
        <v>4617</v>
      </c>
      <c r="AW42" s="28" t="s">
        <v>2302</v>
      </c>
      <c r="AX42" s="7">
        <v>1</v>
      </c>
      <c r="AY42" s="7" t="e">
        <f t="shared" si="12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3"/>
        <v>#VALUE!</v>
      </c>
      <c r="BG42" s="28"/>
      <c r="BH42" s="7" t="e">
        <f t="shared" si="14"/>
        <v>#VALUE!</v>
      </c>
      <c r="BI42" s="28"/>
      <c r="BJ42" s="7" t="e">
        <f t="shared" si="15"/>
        <v>#VALUE!</v>
      </c>
      <c r="BK42" s="28"/>
      <c r="BL42" s="7"/>
      <c r="BM42" s="7"/>
      <c r="BN42" s="7" t="e">
        <f t="shared" si="16"/>
        <v>#VALUE!</v>
      </c>
      <c r="BO42" s="28"/>
      <c r="BP42" s="7" t="e">
        <f t="shared" si="17"/>
        <v>#VALUE!</v>
      </c>
      <c r="BQ42" s="28"/>
      <c r="BR42" s="7"/>
      <c r="BS42" s="7" t="e">
        <f t="shared" si="18"/>
        <v>#VALUE!</v>
      </c>
      <c r="BT42" s="28"/>
      <c r="BU42" s="7"/>
      <c r="BV42" s="7" t="e">
        <f ca="1">[1]!tメーカー名(BU42)</f>
        <v>#NAME?</v>
      </c>
      <c r="BW42" s="7" t="e">
        <f t="shared" si="19"/>
        <v>#VALUE!</v>
      </c>
      <c r="BX42" s="28"/>
      <c r="BY42" s="7" t="e">
        <f t="shared" si="20"/>
        <v>#VALUE!</v>
      </c>
      <c r="BZ42" s="28"/>
      <c r="CA42" s="54"/>
      <c r="CB42" s="54"/>
      <c r="CC42" s="7" t="e">
        <f t="shared" si="21"/>
        <v>#VALUE!</v>
      </c>
      <c r="CD42" s="28"/>
      <c r="CE42" s="7" t="e">
        <f t="shared" si="22"/>
        <v>#VALUE!</v>
      </c>
      <c r="CF42" s="28"/>
      <c r="CG42" s="7" t="e">
        <f t="shared" si="23"/>
        <v>#VALUE!</v>
      </c>
      <c r="CH42" s="28"/>
      <c r="CI42" s="7" t="e">
        <f t="shared" si="24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6">
        <f t="shared" si="3"/>
        <v>0</v>
      </c>
      <c r="CT42" s="7"/>
      <c r="CU42" s="7"/>
      <c r="CV42" s="97"/>
      <c r="CW42" s="97"/>
      <c r="CX42" s="97"/>
      <c r="CY42" s="98"/>
      <c r="CZ42" s="98"/>
      <c r="DA42" s="97"/>
      <c r="DB42" s="98"/>
      <c r="DC42" s="97"/>
      <c r="DD42" s="97" t="s">
        <v>1702</v>
      </c>
      <c r="DE42" s="97" t="s">
        <v>1682</v>
      </c>
      <c r="DF42" s="98"/>
      <c r="DG42" s="98"/>
      <c r="DH42" s="98"/>
      <c r="DI42" s="98"/>
      <c r="DJ42" s="98"/>
      <c r="DK42" s="98"/>
      <c r="DL42" s="98"/>
      <c r="DM42" s="97"/>
      <c r="DN42" s="97"/>
      <c r="DO42" s="97"/>
      <c r="DP42" s="97"/>
      <c r="DQ42" s="97"/>
      <c r="DR42" s="97"/>
      <c r="DS42" s="97"/>
      <c r="DT42" s="99"/>
      <c r="DU42" s="98"/>
      <c r="DV42" s="97"/>
      <c r="DW42" s="97"/>
      <c r="DX42" s="97"/>
      <c r="DY42" s="97"/>
      <c r="DZ42" s="97"/>
      <c r="EA42" s="97"/>
      <c r="EB42" s="97"/>
      <c r="EC42" s="97"/>
      <c r="ED42" s="97"/>
      <c r="EE42" s="97"/>
      <c r="EF42" s="97"/>
      <c r="EG42" s="97"/>
      <c r="EH42" s="97"/>
      <c r="EI42" s="97"/>
      <c r="EJ42" s="97"/>
      <c r="EK42" s="97"/>
      <c r="EL42" s="97"/>
      <c r="EM42" s="97"/>
      <c r="EN42" s="97"/>
      <c r="EO42" s="97"/>
      <c r="EP42" s="97"/>
      <c r="EQ42" s="97"/>
      <c r="ER42" s="97"/>
      <c r="ES42" s="97"/>
      <c r="ET42" s="97"/>
      <c r="EU42" s="97"/>
      <c r="EV42" s="97"/>
      <c r="EW42" s="97"/>
      <c r="EX42" s="97"/>
      <c r="EY42" s="97"/>
      <c r="EZ42" s="97"/>
      <c r="FA42" s="97"/>
      <c r="FB42" s="97"/>
      <c r="FC42" s="97"/>
      <c r="FD42" s="97"/>
      <c r="FE42" s="97"/>
      <c r="FF42" s="97"/>
      <c r="FG42" s="97"/>
      <c r="FH42" s="97"/>
      <c r="FI42" s="97"/>
      <c r="FJ42" s="97"/>
      <c r="FK42" s="97"/>
      <c r="FL42" s="97"/>
      <c r="FM42" s="97"/>
      <c r="FN42" s="97"/>
      <c r="FO42" s="97"/>
      <c r="FP42" s="97"/>
      <c r="FQ42" s="97"/>
      <c r="FR42" s="97"/>
      <c r="FS42" s="97"/>
      <c r="FT42" s="97"/>
      <c r="FU42" s="97"/>
      <c r="FV42" s="97"/>
      <c r="FW42" s="97"/>
      <c r="FX42" s="97"/>
      <c r="FY42" s="6"/>
      <c r="FZ42" s="7" t="str">
        <f>IF(FY42="","",VLOOKUP(FY42,MT商品ﾏｽﾀ参照シート!AM:AN,2,0))</f>
        <v/>
      </c>
      <c r="GA42" s="8"/>
      <c r="GB42" s="8"/>
      <c r="GC42" s="8"/>
      <c r="GD42" s="8"/>
      <c r="GE42" s="58"/>
      <c r="GF42" s="7" t="str">
        <f>IF(GE42="","",VLOOKUP(GE42,MT商品ﾏｽﾀ参照シート!AO:AP,2,0))</f>
        <v/>
      </c>
      <c r="GG42" s="7"/>
      <c r="GH42" s="7"/>
      <c r="GI42" s="7"/>
      <c r="GJ42" s="7"/>
      <c r="GK42" s="49"/>
      <c r="GL42" s="6"/>
      <c r="GM42" s="6"/>
      <c r="GN42" s="7"/>
      <c r="GO42" s="7"/>
      <c r="GP42" s="7"/>
      <c r="GQ42" s="7"/>
      <c r="GR42" s="7">
        <v>2975</v>
      </c>
      <c r="GS42" s="7">
        <v>3500</v>
      </c>
      <c r="GT42" s="7">
        <v>3500</v>
      </c>
      <c r="GU42" s="7">
        <v>3500</v>
      </c>
      <c r="GV42" s="7">
        <v>3500</v>
      </c>
      <c r="GW42" s="8"/>
      <c r="GX42" s="8"/>
      <c r="GY42" s="8"/>
      <c r="GZ42" s="8"/>
      <c r="HA42" s="8"/>
      <c r="HB42" s="8"/>
      <c r="HC42" s="8"/>
      <c r="HD42" s="8"/>
      <c r="HE42" s="58"/>
      <c r="HF42" s="58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82"/>
      <c r="HR42" s="82"/>
      <c r="HS42" s="82"/>
      <c r="HT42" s="26"/>
      <c r="HU42" s="23"/>
      <c r="HV42" s="23"/>
      <c r="HW42" s="24"/>
      <c r="HX42" s="24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76"/>
      <c r="IY42" s="76"/>
      <c r="IZ42" s="76"/>
      <c r="JA42" s="71"/>
      <c r="JB42" s="71"/>
      <c r="JC42" s="72"/>
      <c r="JD42" s="72"/>
      <c r="JE42" s="72"/>
      <c r="JF42" s="72"/>
      <c r="JG42" s="72"/>
      <c r="JH42" s="72"/>
      <c r="JI42" s="71"/>
      <c r="JJ42" s="71"/>
      <c r="JK42" s="72"/>
      <c r="JL42" s="72"/>
      <c r="JM42" s="72"/>
      <c r="JN42" s="72"/>
    </row>
    <row r="43" spans="1:274" ht="13.5" customHeight="1">
      <c r="A43" s="7">
        <v>31</v>
      </c>
      <c r="B43" s="7"/>
      <c r="C43" s="7" t="e">
        <f t="shared" si="25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/>
      <c r="L43" s="7"/>
      <c r="M43" s="7"/>
      <c r="N43" s="7"/>
      <c r="O43" s="7"/>
      <c r="P43" s="7"/>
      <c r="Q43" s="53"/>
      <c r="R43" s="7"/>
      <c r="S43" s="7"/>
      <c r="T43" s="53"/>
      <c r="U43" s="7"/>
      <c r="V43" s="7" t="e">
        <f t="shared" si="4"/>
        <v>#VALUE!</v>
      </c>
      <c r="W43" s="28"/>
      <c r="X43" s="7" t="e">
        <f t="shared" si="4"/>
        <v>#VALUE!</v>
      </c>
      <c r="Y43" s="28"/>
      <c r="Z43" s="7" t="e">
        <f t="shared" si="5"/>
        <v>#VALUE!</v>
      </c>
      <c r="AA43" s="28"/>
      <c r="AB43" s="7"/>
      <c r="AC43" s="7"/>
      <c r="AD43" s="7"/>
      <c r="AE43" s="7"/>
      <c r="AF43" s="7">
        <v>0</v>
      </c>
      <c r="AG43" s="7" t="e">
        <f t="shared" si="6"/>
        <v>#VALUE!</v>
      </c>
      <c r="AH43" s="28"/>
      <c r="AI43" s="7"/>
      <c r="AJ43" s="7" t="e">
        <f t="shared" si="7"/>
        <v>#VALUE!</v>
      </c>
      <c r="AK43" s="28"/>
      <c r="AL43" s="7" t="e">
        <f t="shared" si="8"/>
        <v>#VALUE!</v>
      </c>
      <c r="AM43" s="28"/>
      <c r="AN43" s="7" t="e">
        <f t="shared" si="9"/>
        <v>#VALUE!</v>
      </c>
      <c r="AO43" s="28"/>
      <c r="AP43" s="7">
        <f t="shared" si="10"/>
        <v>2</v>
      </c>
      <c r="AQ43" s="28" t="s">
        <v>2301</v>
      </c>
      <c r="AR43" s="7"/>
      <c r="AS43" s="7"/>
      <c r="AT43" s="7"/>
      <c r="AU43" s="7"/>
      <c r="AV43" s="7">
        <f t="shared" si="11"/>
        <v>4617</v>
      </c>
      <c r="AW43" s="28" t="s">
        <v>2302</v>
      </c>
      <c r="AX43" s="7">
        <v>1</v>
      </c>
      <c r="AY43" s="7" t="e">
        <f t="shared" si="12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3"/>
        <v>#VALUE!</v>
      </c>
      <c r="BG43" s="28"/>
      <c r="BH43" s="7" t="e">
        <f t="shared" si="14"/>
        <v>#VALUE!</v>
      </c>
      <c r="BI43" s="28"/>
      <c r="BJ43" s="7" t="e">
        <f t="shared" si="15"/>
        <v>#VALUE!</v>
      </c>
      <c r="BK43" s="28"/>
      <c r="BL43" s="7"/>
      <c r="BM43" s="7"/>
      <c r="BN43" s="7" t="e">
        <f t="shared" si="16"/>
        <v>#VALUE!</v>
      </c>
      <c r="BO43" s="28"/>
      <c r="BP43" s="7" t="e">
        <f t="shared" si="17"/>
        <v>#VALUE!</v>
      </c>
      <c r="BQ43" s="28"/>
      <c r="BR43" s="7"/>
      <c r="BS43" s="7" t="e">
        <f t="shared" si="18"/>
        <v>#VALUE!</v>
      </c>
      <c r="BT43" s="28"/>
      <c r="BU43" s="7"/>
      <c r="BV43" s="7" t="e">
        <f ca="1">[1]!tメーカー名(BU43)</f>
        <v>#NAME?</v>
      </c>
      <c r="BW43" s="7" t="e">
        <f t="shared" si="19"/>
        <v>#VALUE!</v>
      </c>
      <c r="BX43" s="28"/>
      <c r="BY43" s="7" t="e">
        <f t="shared" si="20"/>
        <v>#VALUE!</v>
      </c>
      <c r="BZ43" s="28"/>
      <c r="CA43" s="54"/>
      <c r="CB43" s="54"/>
      <c r="CC43" s="7" t="e">
        <f t="shared" si="21"/>
        <v>#VALUE!</v>
      </c>
      <c r="CD43" s="28"/>
      <c r="CE43" s="7" t="e">
        <f t="shared" si="22"/>
        <v>#VALUE!</v>
      </c>
      <c r="CF43" s="28"/>
      <c r="CG43" s="7" t="e">
        <f t="shared" si="23"/>
        <v>#VALUE!</v>
      </c>
      <c r="CH43" s="28"/>
      <c r="CI43" s="7" t="e">
        <f t="shared" si="24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6">
        <f t="shared" si="3"/>
        <v>0</v>
      </c>
      <c r="CT43" s="7"/>
      <c r="CU43" s="7"/>
      <c r="CV43" s="97"/>
      <c r="CW43" s="97"/>
      <c r="CX43" s="97"/>
      <c r="CY43" s="98"/>
      <c r="CZ43" s="98"/>
      <c r="DA43" s="97"/>
      <c r="DB43" s="98"/>
      <c r="DC43" s="97"/>
      <c r="DD43" s="97" t="s">
        <v>1703</v>
      </c>
      <c r="DE43" s="97" t="s">
        <v>1682</v>
      </c>
      <c r="DF43" s="98"/>
      <c r="DG43" s="98"/>
      <c r="DH43" s="98"/>
      <c r="DI43" s="98"/>
      <c r="DJ43" s="98"/>
      <c r="DK43" s="98"/>
      <c r="DL43" s="98"/>
      <c r="DM43" s="97"/>
      <c r="DN43" s="97"/>
      <c r="DO43" s="97"/>
      <c r="DP43" s="97"/>
      <c r="DQ43" s="97"/>
      <c r="DR43" s="97"/>
      <c r="DS43" s="97"/>
      <c r="DT43" s="99"/>
      <c r="DU43" s="98"/>
      <c r="DV43" s="97"/>
      <c r="DW43" s="97"/>
      <c r="DX43" s="97"/>
      <c r="DY43" s="97"/>
      <c r="DZ43" s="97"/>
      <c r="EA43" s="97"/>
      <c r="EB43" s="97"/>
      <c r="EC43" s="97"/>
      <c r="ED43" s="97"/>
      <c r="EE43" s="97"/>
      <c r="EF43" s="97"/>
      <c r="EG43" s="97"/>
      <c r="EH43" s="97"/>
      <c r="EI43" s="97"/>
      <c r="EJ43" s="97"/>
      <c r="EK43" s="97"/>
      <c r="EL43" s="97"/>
      <c r="EM43" s="97"/>
      <c r="EN43" s="97"/>
      <c r="EO43" s="97"/>
      <c r="EP43" s="97"/>
      <c r="EQ43" s="97"/>
      <c r="ER43" s="97"/>
      <c r="ES43" s="97"/>
      <c r="ET43" s="97"/>
      <c r="EU43" s="97"/>
      <c r="EV43" s="97"/>
      <c r="EW43" s="97"/>
      <c r="EX43" s="97"/>
      <c r="EY43" s="97"/>
      <c r="EZ43" s="97"/>
      <c r="FA43" s="97"/>
      <c r="FB43" s="97"/>
      <c r="FC43" s="97"/>
      <c r="FD43" s="97"/>
      <c r="FE43" s="97"/>
      <c r="FF43" s="97"/>
      <c r="FG43" s="97"/>
      <c r="FH43" s="97"/>
      <c r="FI43" s="97"/>
      <c r="FJ43" s="97"/>
      <c r="FK43" s="97"/>
      <c r="FL43" s="97"/>
      <c r="FM43" s="97"/>
      <c r="FN43" s="97"/>
      <c r="FO43" s="97"/>
      <c r="FP43" s="97"/>
      <c r="FQ43" s="97"/>
      <c r="FR43" s="97"/>
      <c r="FS43" s="97"/>
      <c r="FT43" s="97"/>
      <c r="FU43" s="97"/>
      <c r="FV43" s="97"/>
      <c r="FW43" s="97"/>
      <c r="FX43" s="97"/>
      <c r="FY43" s="6"/>
      <c r="FZ43" s="7" t="str">
        <f>IF(FY43="","",VLOOKUP(FY43,MT商品ﾏｽﾀ参照シート!AM:AN,2,0))</f>
        <v/>
      </c>
      <c r="GA43" s="8"/>
      <c r="GB43" s="8"/>
      <c r="GC43" s="8"/>
      <c r="GD43" s="8"/>
      <c r="GE43" s="58"/>
      <c r="GF43" s="7" t="str">
        <f>IF(GE43="","",VLOOKUP(GE43,MT商品ﾏｽﾀ参照シート!AO:AP,2,0))</f>
        <v/>
      </c>
      <c r="GG43" s="7"/>
      <c r="GH43" s="7"/>
      <c r="GI43" s="7"/>
      <c r="GJ43" s="7"/>
      <c r="GK43" s="49"/>
      <c r="GL43" s="6"/>
      <c r="GM43" s="6"/>
      <c r="GN43" s="7"/>
      <c r="GO43" s="7"/>
      <c r="GP43" s="7"/>
      <c r="GQ43" s="7"/>
      <c r="GR43" s="7">
        <v>3570</v>
      </c>
      <c r="GS43" s="7">
        <v>4200</v>
      </c>
      <c r="GT43" s="7">
        <v>4200</v>
      </c>
      <c r="GU43" s="7">
        <v>4200</v>
      </c>
      <c r="GV43" s="7">
        <v>4200</v>
      </c>
      <c r="GW43" s="8"/>
      <c r="GX43" s="8"/>
      <c r="GY43" s="8"/>
      <c r="GZ43" s="8"/>
      <c r="HA43" s="8"/>
      <c r="HB43" s="8"/>
      <c r="HC43" s="8"/>
      <c r="HD43" s="8"/>
      <c r="HE43" s="58"/>
      <c r="HF43" s="58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82"/>
      <c r="HR43" s="82"/>
      <c r="HS43" s="82"/>
      <c r="HT43" s="26"/>
      <c r="HU43" s="23"/>
      <c r="HV43" s="23"/>
      <c r="HW43" s="24"/>
      <c r="HX43" s="24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76"/>
      <c r="IY43" s="76"/>
      <c r="IZ43" s="76"/>
      <c r="JA43" s="71"/>
      <c r="JB43" s="71"/>
      <c r="JC43" s="72"/>
      <c r="JD43" s="72"/>
      <c r="JE43" s="72"/>
      <c r="JF43" s="72"/>
      <c r="JG43" s="72"/>
      <c r="JH43" s="72"/>
      <c r="JI43" s="71"/>
      <c r="JJ43" s="71"/>
      <c r="JK43" s="72"/>
      <c r="JL43" s="72"/>
      <c r="JM43" s="72"/>
      <c r="JN43" s="72"/>
    </row>
    <row r="44" spans="1:274" ht="13.5" customHeight="1">
      <c r="A44" s="7">
        <v>32</v>
      </c>
      <c r="B44" s="7"/>
      <c r="C44" s="7" t="e">
        <f t="shared" si="25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/>
      <c r="L44" s="7"/>
      <c r="M44" s="7"/>
      <c r="N44" s="7"/>
      <c r="O44" s="7"/>
      <c r="P44" s="7"/>
      <c r="Q44" s="53"/>
      <c r="R44" s="7"/>
      <c r="S44" s="7"/>
      <c r="T44" s="53"/>
      <c r="U44" s="7"/>
      <c r="V44" s="7" t="e">
        <f t="shared" si="4"/>
        <v>#VALUE!</v>
      </c>
      <c r="W44" s="28"/>
      <c r="X44" s="7" t="e">
        <f t="shared" si="4"/>
        <v>#VALUE!</v>
      </c>
      <c r="Y44" s="28"/>
      <c r="Z44" s="7" t="e">
        <f t="shared" si="5"/>
        <v>#VALUE!</v>
      </c>
      <c r="AA44" s="28"/>
      <c r="AB44" s="7"/>
      <c r="AC44" s="7"/>
      <c r="AD44" s="7"/>
      <c r="AE44" s="7"/>
      <c r="AF44" s="7">
        <v>0</v>
      </c>
      <c r="AG44" s="7" t="e">
        <f t="shared" si="6"/>
        <v>#VALUE!</v>
      </c>
      <c r="AH44" s="28"/>
      <c r="AI44" s="7"/>
      <c r="AJ44" s="7" t="e">
        <f t="shared" si="7"/>
        <v>#VALUE!</v>
      </c>
      <c r="AK44" s="28"/>
      <c r="AL44" s="7" t="e">
        <f t="shared" si="8"/>
        <v>#VALUE!</v>
      </c>
      <c r="AM44" s="28"/>
      <c r="AN44" s="7" t="e">
        <f t="shared" si="9"/>
        <v>#VALUE!</v>
      </c>
      <c r="AO44" s="28"/>
      <c r="AP44" s="7">
        <f t="shared" si="10"/>
        <v>2</v>
      </c>
      <c r="AQ44" s="28" t="s">
        <v>2301</v>
      </c>
      <c r="AR44" s="7"/>
      <c r="AS44" s="7"/>
      <c r="AT44" s="7"/>
      <c r="AU44" s="7"/>
      <c r="AV44" s="7">
        <f t="shared" si="11"/>
        <v>4617</v>
      </c>
      <c r="AW44" s="28" t="s">
        <v>2302</v>
      </c>
      <c r="AX44" s="7">
        <v>1</v>
      </c>
      <c r="AY44" s="7" t="e">
        <f t="shared" si="12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3"/>
        <v>#VALUE!</v>
      </c>
      <c r="BG44" s="28"/>
      <c r="BH44" s="7" t="e">
        <f t="shared" si="14"/>
        <v>#VALUE!</v>
      </c>
      <c r="BI44" s="28"/>
      <c r="BJ44" s="7" t="e">
        <f t="shared" si="15"/>
        <v>#VALUE!</v>
      </c>
      <c r="BK44" s="28"/>
      <c r="BL44" s="7"/>
      <c r="BM44" s="7"/>
      <c r="BN44" s="7" t="e">
        <f t="shared" si="16"/>
        <v>#VALUE!</v>
      </c>
      <c r="BO44" s="28"/>
      <c r="BP44" s="7" t="e">
        <f t="shared" si="17"/>
        <v>#VALUE!</v>
      </c>
      <c r="BQ44" s="28"/>
      <c r="BR44" s="7"/>
      <c r="BS44" s="7" t="e">
        <f t="shared" si="18"/>
        <v>#VALUE!</v>
      </c>
      <c r="BT44" s="28"/>
      <c r="BU44" s="7"/>
      <c r="BV44" s="7" t="e">
        <f ca="1">[1]!tメーカー名(BU44)</f>
        <v>#NAME?</v>
      </c>
      <c r="BW44" s="7" t="e">
        <f t="shared" si="19"/>
        <v>#VALUE!</v>
      </c>
      <c r="BX44" s="28"/>
      <c r="BY44" s="7" t="e">
        <f t="shared" si="20"/>
        <v>#VALUE!</v>
      </c>
      <c r="BZ44" s="28"/>
      <c r="CA44" s="54"/>
      <c r="CB44" s="54"/>
      <c r="CC44" s="7" t="e">
        <f t="shared" si="21"/>
        <v>#VALUE!</v>
      </c>
      <c r="CD44" s="28"/>
      <c r="CE44" s="7" t="e">
        <f t="shared" si="22"/>
        <v>#VALUE!</v>
      </c>
      <c r="CF44" s="28"/>
      <c r="CG44" s="7" t="e">
        <f t="shared" si="23"/>
        <v>#VALUE!</v>
      </c>
      <c r="CH44" s="28"/>
      <c r="CI44" s="7" t="e">
        <f t="shared" si="24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6">
        <f t="shared" si="3"/>
        <v>0</v>
      </c>
      <c r="CT44" s="7"/>
      <c r="CU44" s="7"/>
      <c r="CV44" s="97"/>
      <c r="CW44" s="97"/>
      <c r="CX44" s="97"/>
      <c r="CY44" s="98"/>
      <c r="CZ44" s="98"/>
      <c r="DA44" s="97"/>
      <c r="DB44" s="98"/>
      <c r="DC44" s="97"/>
      <c r="DD44" s="97" t="s">
        <v>1704</v>
      </c>
      <c r="DE44" s="97" t="s">
        <v>1682</v>
      </c>
      <c r="DF44" s="98"/>
      <c r="DG44" s="98"/>
      <c r="DH44" s="98"/>
      <c r="DI44" s="98"/>
      <c r="DJ44" s="98"/>
      <c r="DK44" s="98"/>
      <c r="DL44" s="98"/>
      <c r="DM44" s="97"/>
      <c r="DN44" s="97"/>
      <c r="DO44" s="97"/>
      <c r="DP44" s="97"/>
      <c r="DQ44" s="97"/>
      <c r="DR44" s="97"/>
      <c r="DS44" s="97"/>
      <c r="DT44" s="99"/>
      <c r="DU44" s="98"/>
      <c r="DV44" s="97"/>
      <c r="DW44" s="97"/>
      <c r="DX44" s="97"/>
      <c r="DY44" s="97"/>
      <c r="DZ44" s="97"/>
      <c r="EA44" s="97"/>
      <c r="EB44" s="97"/>
      <c r="EC44" s="97"/>
      <c r="ED44" s="97"/>
      <c r="EE44" s="97"/>
      <c r="EF44" s="97"/>
      <c r="EG44" s="97"/>
      <c r="EH44" s="97"/>
      <c r="EI44" s="97"/>
      <c r="EJ44" s="97"/>
      <c r="EK44" s="97"/>
      <c r="EL44" s="97"/>
      <c r="EM44" s="97"/>
      <c r="EN44" s="97"/>
      <c r="EO44" s="97"/>
      <c r="EP44" s="97"/>
      <c r="EQ44" s="97"/>
      <c r="ER44" s="97"/>
      <c r="ES44" s="97"/>
      <c r="ET44" s="97"/>
      <c r="EU44" s="97"/>
      <c r="EV44" s="97"/>
      <c r="EW44" s="97"/>
      <c r="EX44" s="97"/>
      <c r="EY44" s="97"/>
      <c r="EZ44" s="97"/>
      <c r="FA44" s="97"/>
      <c r="FB44" s="97"/>
      <c r="FC44" s="97"/>
      <c r="FD44" s="97"/>
      <c r="FE44" s="97"/>
      <c r="FF44" s="97"/>
      <c r="FG44" s="97"/>
      <c r="FH44" s="97"/>
      <c r="FI44" s="97"/>
      <c r="FJ44" s="97"/>
      <c r="FK44" s="97"/>
      <c r="FL44" s="97"/>
      <c r="FM44" s="97"/>
      <c r="FN44" s="97"/>
      <c r="FO44" s="97"/>
      <c r="FP44" s="97"/>
      <c r="FQ44" s="97"/>
      <c r="FR44" s="97"/>
      <c r="FS44" s="97"/>
      <c r="FT44" s="97"/>
      <c r="FU44" s="97"/>
      <c r="FV44" s="97"/>
      <c r="FW44" s="97"/>
      <c r="FX44" s="97"/>
      <c r="FY44" s="6"/>
      <c r="FZ44" s="7" t="str">
        <f>IF(FY44="","",VLOOKUP(FY44,MT商品ﾏｽﾀ参照シート!AM:AN,2,0))</f>
        <v/>
      </c>
      <c r="GA44" s="8"/>
      <c r="GB44" s="8"/>
      <c r="GC44" s="8"/>
      <c r="GD44" s="8"/>
      <c r="GE44" s="58"/>
      <c r="GF44" s="7" t="str">
        <f>IF(GE44="","",VLOOKUP(GE44,MT商品ﾏｽﾀ参照シート!AO:AP,2,0))</f>
        <v/>
      </c>
      <c r="GG44" s="7"/>
      <c r="GH44" s="7"/>
      <c r="GI44" s="7"/>
      <c r="GJ44" s="7"/>
      <c r="GK44" s="49"/>
      <c r="GL44" s="6"/>
      <c r="GM44" s="6"/>
      <c r="GN44" s="7"/>
      <c r="GO44" s="7"/>
      <c r="GP44" s="7"/>
      <c r="GQ44" s="7"/>
      <c r="GR44" s="7">
        <v>2550</v>
      </c>
      <c r="GS44" s="7">
        <v>3000</v>
      </c>
      <c r="GT44" s="7">
        <v>3000</v>
      </c>
      <c r="GU44" s="7">
        <v>3000</v>
      </c>
      <c r="GV44" s="7">
        <v>3000</v>
      </c>
      <c r="GW44" s="8"/>
      <c r="GX44" s="8"/>
      <c r="GY44" s="8"/>
      <c r="GZ44" s="8"/>
      <c r="HA44" s="8"/>
      <c r="HB44" s="8"/>
      <c r="HC44" s="8"/>
      <c r="HD44" s="8"/>
      <c r="HE44" s="58"/>
      <c r="HF44" s="58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82"/>
      <c r="HR44" s="82"/>
      <c r="HS44" s="82"/>
      <c r="HT44" s="26"/>
      <c r="HU44" s="23"/>
      <c r="HV44" s="23"/>
      <c r="HW44" s="24"/>
      <c r="HX44" s="24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76"/>
      <c r="IY44" s="76"/>
      <c r="IZ44" s="76"/>
      <c r="JA44" s="71"/>
      <c r="JB44" s="71"/>
      <c r="JC44" s="72"/>
      <c r="JD44" s="72"/>
      <c r="JE44" s="72"/>
      <c r="JF44" s="72"/>
      <c r="JG44" s="72"/>
      <c r="JH44" s="72"/>
      <c r="JI44" s="71"/>
      <c r="JJ44" s="71"/>
      <c r="JK44" s="72"/>
      <c r="JL44" s="72"/>
      <c r="JM44" s="72"/>
      <c r="JN44" s="72"/>
    </row>
    <row r="45" spans="1:274" ht="13.5" customHeight="1">
      <c r="A45" s="7">
        <v>33</v>
      </c>
      <c r="B45" s="7"/>
      <c r="C45" s="7" t="e">
        <f t="shared" si="25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/>
      <c r="L45" s="7"/>
      <c r="M45" s="7"/>
      <c r="N45" s="7"/>
      <c r="O45" s="7"/>
      <c r="P45" s="7"/>
      <c r="Q45" s="53"/>
      <c r="R45" s="7"/>
      <c r="S45" s="7"/>
      <c r="T45" s="53"/>
      <c r="U45" s="7"/>
      <c r="V45" s="7" t="e">
        <f t="shared" si="4"/>
        <v>#VALUE!</v>
      </c>
      <c r="W45" s="28"/>
      <c r="X45" s="7" t="e">
        <f t="shared" si="4"/>
        <v>#VALUE!</v>
      </c>
      <c r="Y45" s="28"/>
      <c r="Z45" s="7" t="e">
        <f t="shared" si="5"/>
        <v>#VALUE!</v>
      </c>
      <c r="AA45" s="28"/>
      <c r="AB45" s="7"/>
      <c r="AC45" s="7"/>
      <c r="AD45" s="7"/>
      <c r="AE45" s="7"/>
      <c r="AF45" s="7">
        <v>0</v>
      </c>
      <c r="AG45" s="7" t="e">
        <f t="shared" si="6"/>
        <v>#VALUE!</v>
      </c>
      <c r="AH45" s="28"/>
      <c r="AI45" s="7"/>
      <c r="AJ45" s="7" t="e">
        <f t="shared" si="7"/>
        <v>#VALUE!</v>
      </c>
      <c r="AK45" s="28"/>
      <c r="AL45" s="7" t="e">
        <f t="shared" si="8"/>
        <v>#VALUE!</v>
      </c>
      <c r="AM45" s="28"/>
      <c r="AN45" s="7" t="e">
        <f t="shared" si="9"/>
        <v>#VALUE!</v>
      </c>
      <c r="AO45" s="28"/>
      <c r="AP45" s="7">
        <f t="shared" si="10"/>
        <v>2</v>
      </c>
      <c r="AQ45" s="28" t="s">
        <v>2301</v>
      </c>
      <c r="AR45" s="7"/>
      <c r="AS45" s="7"/>
      <c r="AT45" s="7"/>
      <c r="AU45" s="7"/>
      <c r="AV45" s="7">
        <f t="shared" si="11"/>
        <v>4617</v>
      </c>
      <c r="AW45" s="28" t="s">
        <v>2302</v>
      </c>
      <c r="AX45" s="7">
        <v>1</v>
      </c>
      <c r="AY45" s="7" t="e">
        <f t="shared" si="12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3"/>
        <v>#VALUE!</v>
      </c>
      <c r="BG45" s="28"/>
      <c r="BH45" s="7" t="e">
        <f t="shared" si="14"/>
        <v>#VALUE!</v>
      </c>
      <c r="BI45" s="28"/>
      <c r="BJ45" s="7" t="e">
        <f t="shared" si="15"/>
        <v>#VALUE!</v>
      </c>
      <c r="BK45" s="28"/>
      <c r="BL45" s="7"/>
      <c r="BM45" s="7"/>
      <c r="BN45" s="7" t="e">
        <f t="shared" si="16"/>
        <v>#VALUE!</v>
      </c>
      <c r="BO45" s="28"/>
      <c r="BP45" s="7" t="e">
        <f t="shared" si="17"/>
        <v>#VALUE!</v>
      </c>
      <c r="BQ45" s="28"/>
      <c r="BR45" s="7"/>
      <c r="BS45" s="7" t="e">
        <f t="shared" si="18"/>
        <v>#VALUE!</v>
      </c>
      <c r="BT45" s="28"/>
      <c r="BU45" s="7"/>
      <c r="BV45" s="7" t="e">
        <f ca="1">[1]!tメーカー名(BU45)</f>
        <v>#NAME?</v>
      </c>
      <c r="BW45" s="7" t="e">
        <f t="shared" si="19"/>
        <v>#VALUE!</v>
      </c>
      <c r="BX45" s="28"/>
      <c r="BY45" s="7" t="e">
        <f t="shared" si="20"/>
        <v>#VALUE!</v>
      </c>
      <c r="BZ45" s="28"/>
      <c r="CA45" s="54"/>
      <c r="CB45" s="54"/>
      <c r="CC45" s="7" t="e">
        <f t="shared" si="21"/>
        <v>#VALUE!</v>
      </c>
      <c r="CD45" s="28"/>
      <c r="CE45" s="7" t="e">
        <f t="shared" si="22"/>
        <v>#VALUE!</v>
      </c>
      <c r="CF45" s="28"/>
      <c r="CG45" s="7" t="e">
        <f t="shared" si="23"/>
        <v>#VALUE!</v>
      </c>
      <c r="CH45" s="28"/>
      <c r="CI45" s="7" t="e">
        <f t="shared" si="24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6">
        <f t="shared" ref="CS45:CS76" si="26">O45*(BM45/100)*0.8</f>
        <v>0</v>
      </c>
      <c r="CT45" s="7"/>
      <c r="CU45" s="7"/>
      <c r="CV45" s="97"/>
      <c r="CW45" s="97"/>
      <c r="CX45" s="97"/>
      <c r="CY45" s="98"/>
      <c r="CZ45" s="98"/>
      <c r="DA45" s="97"/>
      <c r="DB45" s="98"/>
      <c r="DC45" s="97"/>
      <c r="DD45" s="97" t="s">
        <v>1705</v>
      </c>
      <c r="DE45" s="97" t="s">
        <v>1682</v>
      </c>
      <c r="DF45" s="98"/>
      <c r="DG45" s="98"/>
      <c r="DH45" s="98"/>
      <c r="DI45" s="98"/>
      <c r="DJ45" s="98"/>
      <c r="DK45" s="98"/>
      <c r="DL45" s="98"/>
      <c r="DM45" s="97"/>
      <c r="DN45" s="97"/>
      <c r="DO45" s="97"/>
      <c r="DP45" s="97"/>
      <c r="DQ45" s="97"/>
      <c r="DR45" s="97"/>
      <c r="DS45" s="97"/>
      <c r="DT45" s="99"/>
      <c r="DU45" s="98"/>
      <c r="DV45" s="97"/>
      <c r="DW45" s="97"/>
      <c r="DX45" s="97"/>
      <c r="DY45" s="97"/>
      <c r="DZ45" s="97"/>
      <c r="EA45" s="97"/>
      <c r="EB45" s="97"/>
      <c r="EC45" s="97"/>
      <c r="ED45" s="97"/>
      <c r="EE45" s="97"/>
      <c r="EF45" s="97"/>
      <c r="EG45" s="97"/>
      <c r="EH45" s="97"/>
      <c r="EI45" s="97"/>
      <c r="EJ45" s="97"/>
      <c r="EK45" s="97"/>
      <c r="EL45" s="97"/>
      <c r="EM45" s="97"/>
      <c r="EN45" s="97"/>
      <c r="EO45" s="97"/>
      <c r="EP45" s="97"/>
      <c r="EQ45" s="97"/>
      <c r="ER45" s="97"/>
      <c r="ES45" s="97"/>
      <c r="ET45" s="97"/>
      <c r="EU45" s="97"/>
      <c r="EV45" s="97"/>
      <c r="EW45" s="97"/>
      <c r="EX45" s="97"/>
      <c r="EY45" s="97"/>
      <c r="EZ45" s="97"/>
      <c r="FA45" s="97"/>
      <c r="FB45" s="97"/>
      <c r="FC45" s="97"/>
      <c r="FD45" s="97"/>
      <c r="FE45" s="97"/>
      <c r="FF45" s="97"/>
      <c r="FG45" s="97"/>
      <c r="FH45" s="97"/>
      <c r="FI45" s="97"/>
      <c r="FJ45" s="97"/>
      <c r="FK45" s="97"/>
      <c r="FL45" s="97"/>
      <c r="FM45" s="97"/>
      <c r="FN45" s="97"/>
      <c r="FO45" s="97"/>
      <c r="FP45" s="97"/>
      <c r="FQ45" s="97"/>
      <c r="FR45" s="97"/>
      <c r="FS45" s="97"/>
      <c r="FT45" s="97"/>
      <c r="FU45" s="97"/>
      <c r="FV45" s="97"/>
      <c r="FW45" s="97"/>
      <c r="FX45" s="97"/>
      <c r="FY45" s="6"/>
      <c r="FZ45" s="7" t="str">
        <f>IF(FY45="","",VLOOKUP(FY45,MT商品ﾏｽﾀ参照シート!AM:AN,2,0))</f>
        <v/>
      </c>
      <c r="GA45" s="8"/>
      <c r="GB45" s="8"/>
      <c r="GC45" s="8"/>
      <c r="GD45" s="8"/>
      <c r="GE45" s="58"/>
      <c r="GF45" s="7" t="str">
        <f>IF(GE45="","",VLOOKUP(GE45,MT商品ﾏｽﾀ参照シート!AO:AP,2,0))</f>
        <v/>
      </c>
      <c r="GG45" s="7"/>
      <c r="GH45" s="7"/>
      <c r="GI45" s="7"/>
      <c r="GJ45" s="7"/>
      <c r="GK45" s="49"/>
      <c r="GL45" s="6"/>
      <c r="GM45" s="6"/>
      <c r="GN45" s="7"/>
      <c r="GO45" s="7"/>
      <c r="GP45" s="7"/>
      <c r="GQ45" s="7"/>
      <c r="GR45" s="7">
        <v>3230</v>
      </c>
      <c r="GS45" s="7">
        <v>3800</v>
      </c>
      <c r="GT45" s="7">
        <v>3800</v>
      </c>
      <c r="GU45" s="7">
        <v>3800</v>
      </c>
      <c r="GV45" s="7">
        <v>3800</v>
      </c>
      <c r="GW45" s="8"/>
      <c r="GX45" s="8"/>
      <c r="GY45" s="8"/>
      <c r="GZ45" s="8"/>
      <c r="HA45" s="8"/>
      <c r="HB45" s="8"/>
      <c r="HC45" s="8"/>
      <c r="HD45" s="8"/>
      <c r="HE45" s="58"/>
      <c r="HF45" s="58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82"/>
      <c r="HR45" s="82"/>
      <c r="HS45" s="82"/>
      <c r="HT45" s="26"/>
      <c r="HU45" s="23"/>
      <c r="HV45" s="23"/>
      <c r="HW45" s="24"/>
      <c r="HX45" s="24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76"/>
      <c r="IY45" s="76"/>
      <c r="IZ45" s="76"/>
      <c r="JA45" s="71"/>
      <c r="JB45" s="71"/>
      <c r="JC45" s="72"/>
      <c r="JD45" s="72"/>
      <c r="JE45" s="72"/>
      <c r="JF45" s="72"/>
      <c r="JG45" s="72"/>
      <c r="JH45" s="72"/>
      <c r="JI45" s="71"/>
      <c r="JJ45" s="71"/>
      <c r="JK45" s="72"/>
      <c r="JL45" s="72"/>
      <c r="JM45" s="72"/>
      <c r="JN45" s="72"/>
    </row>
    <row r="46" spans="1:274" ht="13.5" customHeight="1">
      <c r="A46" s="7">
        <v>34</v>
      </c>
      <c r="B46" s="7"/>
      <c r="C46" s="7" t="e">
        <f t="shared" si="25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/>
      <c r="L46" s="7"/>
      <c r="M46" s="7"/>
      <c r="N46" s="7"/>
      <c r="O46" s="7"/>
      <c r="P46" s="7"/>
      <c r="Q46" s="53"/>
      <c r="R46" s="7"/>
      <c r="S46" s="7"/>
      <c r="T46" s="53"/>
      <c r="U46" s="7"/>
      <c r="V46" s="7" t="e">
        <f t="shared" si="4"/>
        <v>#VALUE!</v>
      </c>
      <c r="W46" s="28"/>
      <c r="X46" s="7" t="e">
        <f t="shared" si="4"/>
        <v>#VALUE!</v>
      </c>
      <c r="Y46" s="28"/>
      <c r="Z46" s="7" t="e">
        <f t="shared" si="5"/>
        <v>#VALUE!</v>
      </c>
      <c r="AA46" s="28"/>
      <c r="AB46" s="7"/>
      <c r="AC46" s="7"/>
      <c r="AD46" s="7"/>
      <c r="AE46" s="7"/>
      <c r="AF46" s="7">
        <v>0</v>
      </c>
      <c r="AG46" s="7" t="e">
        <f t="shared" si="6"/>
        <v>#VALUE!</v>
      </c>
      <c r="AH46" s="28"/>
      <c r="AI46" s="7"/>
      <c r="AJ46" s="7" t="e">
        <f t="shared" si="7"/>
        <v>#VALUE!</v>
      </c>
      <c r="AK46" s="28"/>
      <c r="AL46" s="7" t="e">
        <f t="shared" si="8"/>
        <v>#VALUE!</v>
      </c>
      <c r="AM46" s="28"/>
      <c r="AN46" s="7" t="e">
        <f t="shared" si="9"/>
        <v>#VALUE!</v>
      </c>
      <c r="AO46" s="28"/>
      <c r="AP46" s="7">
        <f t="shared" si="10"/>
        <v>2</v>
      </c>
      <c r="AQ46" s="28" t="s">
        <v>2301</v>
      </c>
      <c r="AR46" s="7"/>
      <c r="AS46" s="7"/>
      <c r="AT46" s="7"/>
      <c r="AU46" s="7"/>
      <c r="AV46" s="7">
        <f t="shared" si="11"/>
        <v>4617</v>
      </c>
      <c r="AW46" s="28" t="s">
        <v>2302</v>
      </c>
      <c r="AX46" s="7">
        <v>1</v>
      </c>
      <c r="AY46" s="7" t="e">
        <f t="shared" si="12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3"/>
        <v>#VALUE!</v>
      </c>
      <c r="BG46" s="28"/>
      <c r="BH46" s="7" t="e">
        <f t="shared" si="14"/>
        <v>#VALUE!</v>
      </c>
      <c r="BI46" s="28"/>
      <c r="BJ46" s="7" t="e">
        <f t="shared" si="15"/>
        <v>#VALUE!</v>
      </c>
      <c r="BK46" s="28"/>
      <c r="BL46" s="7"/>
      <c r="BM46" s="7"/>
      <c r="BN46" s="7" t="e">
        <f t="shared" si="16"/>
        <v>#VALUE!</v>
      </c>
      <c r="BO46" s="28"/>
      <c r="BP46" s="7" t="e">
        <f t="shared" si="17"/>
        <v>#VALUE!</v>
      </c>
      <c r="BQ46" s="28"/>
      <c r="BR46" s="7"/>
      <c r="BS46" s="7" t="e">
        <f t="shared" si="18"/>
        <v>#VALUE!</v>
      </c>
      <c r="BT46" s="28"/>
      <c r="BU46" s="7"/>
      <c r="BV46" s="7" t="e">
        <f ca="1">[1]!tメーカー名(BU46)</f>
        <v>#NAME?</v>
      </c>
      <c r="BW46" s="7" t="e">
        <f t="shared" si="19"/>
        <v>#VALUE!</v>
      </c>
      <c r="BX46" s="28"/>
      <c r="BY46" s="7" t="e">
        <f t="shared" si="20"/>
        <v>#VALUE!</v>
      </c>
      <c r="BZ46" s="28"/>
      <c r="CA46" s="54"/>
      <c r="CB46" s="54"/>
      <c r="CC46" s="7" t="e">
        <f t="shared" si="21"/>
        <v>#VALUE!</v>
      </c>
      <c r="CD46" s="28"/>
      <c r="CE46" s="7" t="e">
        <f t="shared" si="22"/>
        <v>#VALUE!</v>
      </c>
      <c r="CF46" s="28"/>
      <c r="CG46" s="7" t="e">
        <f t="shared" si="23"/>
        <v>#VALUE!</v>
      </c>
      <c r="CH46" s="28"/>
      <c r="CI46" s="7" t="e">
        <f t="shared" si="24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6">
        <f t="shared" si="26"/>
        <v>0</v>
      </c>
      <c r="CT46" s="7"/>
      <c r="CU46" s="7"/>
      <c r="CV46" s="97"/>
      <c r="CW46" s="97"/>
      <c r="CX46" s="97"/>
      <c r="CY46" s="98"/>
      <c r="CZ46" s="98"/>
      <c r="DA46" s="97"/>
      <c r="DB46" s="98"/>
      <c r="DC46" s="97"/>
      <c r="DD46" s="97" t="s">
        <v>1706</v>
      </c>
      <c r="DE46" s="97" t="s">
        <v>1682</v>
      </c>
      <c r="DF46" s="98"/>
      <c r="DG46" s="98"/>
      <c r="DH46" s="98"/>
      <c r="DI46" s="98"/>
      <c r="DJ46" s="98"/>
      <c r="DK46" s="98"/>
      <c r="DL46" s="98"/>
      <c r="DM46" s="97"/>
      <c r="DN46" s="97"/>
      <c r="DO46" s="97"/>
      <c r="DP46" s="97"/>
      <c r="DQ46" s="97"/>
      <c r="DR46" s="97"/>
      <c r="DS46" s="97"/>
      <c r="DT46" s="99"/>
      <c r="DU46" s="98"/>
      <c r="DV46" s="97"/>
      <c r="DW46" s="97"/>
      <c r="DX46" s="97"/>
      <c r="DY46" s="97"/>
      <c r="DZ46" s="97"/>
      <c r="EA46" s="97"/>
      <c r="EB46" s="97"/>
      <c r="EC46" s="97"/>
      <c r="ED46" s="97"/>
      <c r="EE46" s="97"/>
      <c r="EF46" s="97"/>
      <c r="EG46" s="97"/>
      <c r="EH46" s="97"/>
      <c r="EI46" s="97"/>
      <c r="EJ46" s="97"/>
      <c r="EK46" s="97"/>
      <c r="EL46" s="97"/>
      <c r="EM46" s="97"/>
      <c r="EN46" s="97"/>
      <c r="EO46" s="97"/>
      <c r="EP46" s="97"/>
      <c r="EQ46" s="97"/>
      <c r="ER46" s="97"/>
      <c r="ES46" s="97"/>
      <c r="ET46" s="97"/>
      <c r="EU46" s="97"/>
      <c r="EV46" s="97"/>
      <c r="EW46" s="97"/>
      <c r="EX46" s="97"/>
      <c r="EY46" s="97"/>
      <c r="EZ46" s="97"/>
      <c r="FA46" s="97"/>
      <c r="FB46" s="97"/>
      <c r="FC46" s="97"/>
      <c r="FD46" s="97"/>
      <c r="FE46" s="97"/>
      <c r="FF46" s="97"/>
      <c r="FG46" s="97"/>
      <c r="FH46" s="97"/>
      <c r="FI46" s="97"/>
      <c r="FJ46" s="97"/>
      <c r="FK46" s="97"/>
      <c r="FL46" s="97"/>
      <c r="FM46" s="97"/>
      <c r="FN46" s="97"/>
      <c r="FO46" s="97"/>
      <c r="FP46" s="97"/>
      <c r="FQ46" s="97"/>
      <c r="FR46" s="97"/>
      <c r="FS46" s="97"/>
      <c r="FT46" s="97"/>
      <c r="FU46" s="97"/>
      <c r="FV46" s="97"/>
      <c r="FW46" s="97"/>
      <c r="FX46" s="97"/>
      <c r="FY46" s="6"/>
      <c r="FZ46" s="7" t="str">
        <f>IF(FY46="","",VLOOKUP(FY46,MT商品ﾏｽﾀ参照シート!AM:AN,2,0))</f>
        <v/>
      </c>
      <c r="GA46" s="8"/>
      <c r="GB46" s="8"/>
      <c r="GC46" s="8"/>
      <c r="GD46" s="8"/>
      <c r="GE46" s="58"/>
      <c r="GF46" s="7" t="str">
        <f>IF(GE46="","",VLOOKUP(GE46,MT商品ﾏｽﾀ参照シート!AO:AP,2,0))</f>
        <v/>
      </c>
      <c r="GG46" s="7"/>
      <c r="GH46" s="7"/>
      <c r="GI46" s="7"/>
      <c r="GJ46" s="7"/>
      <c r="GK46" s="49"/>
      <c r="GL46" s="6"/>
      <c r="GM46" s="6"/>
      <c r="GN46" s="7"/>
      <c r="GO46" s="7"/>
      <c r="GP46" s="7"/>
      <c r="GQ46" s="7"/>
      <c r="GR46" s="7">
        <v>2975</v>
      </c>
      <c r="GS46" s="7">
        <v>3500</v>
      </c>
      <c r="GT46" s="7">
        <v>3500</v>
      </c>
      <c r="GU46" s="7">
        <v>3500</v>
      </c>
      <c r="GV46" s="7">
        <v>3500</v>
      </c>
      <c r="GW46" s="8"/>
      <c r="GX46" s="8"/>
      <c r="GY46" s="8"/>
      <c r="GZ46" s="8"/>
      <c r="HA46" s="8"/>
      <c r="HB46" s="8"/>
      <c r="HC46" s="8"/>
      <c r="HD46" s="8"/>
      <c r="HE46" s="58"/>
      <c r="HF46" s="58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82"/>
      <c r="HR46" s="82"/>
      <c r="HS46" s="82"/>
      <c r="HT46" s="26"/>
      <c r="HU46" s="23"/>
      <c r="HV46" s="23"/>
      <c r="HW46" s="24"/>
      <c r="HX46" s="24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76"/>
      <c r="IY46" s="76"/>
      <c r="IZ46" s="76"/>
      <c r="JA46" s="71"/>
      <c r="JB46" s="71"/>
      <c r="JC46" s="72"/>
      <c r="JD46" s="72"/>
      <c r="JE46" s="72"/>
      <c r="JF46" s="72"/>
      <c r="JG46" s="72"/>
      <c r="JH46" s="72"/>
      <c r="JI46" s="71"/>
      <c r="JJ46" s="71"/>
      <c r="JK46" s="72"/>
      <c r="JL46" s="72"/>
      <c r="JM46" s="72"/>
      <c r="JN46" s="72"/>
    </row>
    <row r="47" spans="1:274" ht="13.5" customHeight="1">
      <c r="A47" s="7">
        <v>35</v>
      </c>
      <c r="B47" s="7"/>
      <c r="C47" s="7" t="e">
        <f t="shared" si="25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/>
      <c r="L47" s="7"/>
      <c r="M47" s="7"/>
      <c r="N47" s="7"/>
      <c r="O47" s="7"/>
      <c r="P47" s="7"/>
      <c r="Q47" s="53"/>
      <c r="R47" s="7"/>
      <c r="S47" s="7"/>
      <c r="T47" s="53"/>
      <c r="U47" s="7"/>
      <c r="V47" s="7" t="e">
        <f t="shared" si="4"/>
        <v>#VALUE!</v>
      </c>
      <c r="W47" s="28"/>
      <c r="X47" s="7" t="e">
        <f t="shared" si="4"/>
        <v>#VALUE!</v>
      </c>
      <c r="Y47" s="28"/>
      <c r="Z47" s="7" t="e">
        <f t="shared" si="5"/>
        <v>#VALUE!</v>
      </c>
      <c r="AA47" s="28"/>
      <c r="AB47" s="7"/>
      <c r="AC47" s="7"/>
      <c r="AD47" s="7"/>
      <c r="AE47" s="7"/>
      <c r="AF47" s="7">
        <v>0</v>
      </c>
      <c r="AG47" s="7" t="e">
        <f t="shared" si="6"/>
        <v>#VALUE!</v>
      </c>
      <c r="AH47" s="28"/>
      <c r="AI47" s="7"/>
      <c r="AJ47" s="7" t="e">
        <f t="shared" si="7"/>
        <v>#VALUE!</v>
      </c>
      <c r="AK47" s="28"/>
      <c r="AL47" s="7" t="e">
        <f t="shared" si="8"/>
        <v>#VALUE!</v>
      </c>
      <c r="AM47" s="28"/>
      <c r="AN47" s="7" t="e">
        <f t="shared" si="9"/>
        <v>#VALUE!</v>
      </c>
      <c r="AO47" s="28"/>
      <c r="AP47" s="7">
        <f t="shared" si="10"/>
        <v>2</v>
      </c>
      <c r="AQ47" s="28" t="s">
        <v>2301</v>
      </c>
      <c r="AR47" s="7"/>
      <c r="AS47" s="7"/>
      <c r="AT47" s="7"/>
      <c r="AU47" s="7"/>
      <c r="AV47" s="7">
        <f t="shared" si="11"/>
        <v>4617</v>
      </c>
      <c r="AW47" s="28" t="s">
        <v>2302</v>
      </c>
      <c r="AX47" s="7">
        <v>1</v>
      </c>
      <c r="AY47" s="7" t="e">
        <f t="shared" si="12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3"/>
        <v>#VALUE!</v>
      </c>
      <c r="BG47" s="28"/>
      <c r="BH47" s="7" t="e">
        <f t="shared" si="14"/>
        <v>#VALUE!</v>
      </c>
      <c r="BI47" s="28"/>
      <c r="BJ47" s="7" t="e">
        <f t="shared" si="15"/>
        <v>#VALUE!</v>
      </c>
      <c r="BK47" s="28"/>
      <c r="BL47" s="7"/>
      <c r="BM47" s="7"/>
      <c r="BN47" s="7" t="e">
        <f t="shared" si="16"/>
        <v>#VALUE!</v>
      </c>
      <c r="BO47" s="28"/>
      <c r="BP47" s="7" t="e">
        <f t="shared" si="17"/>
        <v>#VALUE!</v>
      </c>
      <c r="BQ47" s="28"/>
      <c r="BR47" s="7"/>
      <c r="BS47" s="7" t="e">
        <f t="shared" si="18"/>
        <v>#VALUE!</v>
      </c>
      <c r="BT47" s="28"/>
      <c r="BU47" s="7"/>
      <c r="BV47" s="7" t="e">
        <f ca="1">[1]!tメーカー名(BU47)</f>
        <v>#NAME?</v>
      </c>
      <c r="BW47" s="7" t="e">
        <f t="shared" si="19"/>
        <v>#VALUE!</v>
      </c>
      <c r="BX47" s="28"/>
      <c r="BY47" s="7" t="e">
        <f t="shared" si="20"/>
        <v>#VALUE!</v>
      </c>
      <c r="BZ47" s="28"/>
      <c r="CA47" s="54"/>
      <c r="CB47" s="54"/>
      <c r="CC47" s="7" t="e">
        <f t="shared" si="21"/>
        <v>#VALUE!</v>
      </c>
      <c r="CD47" s="28"/>
      <c r="CE47" s="7" t="e">
        <f t="shared" si="22"/>
        <v>#VALUE!</v>
      </c>
      <c r="CF47" s="28"/>
      <c r="CG47" s="7" t="e">
        <f t="shared" si="23"/>
        <v>#VALUE!</v>
      </c>
      <c r="CH47" s="28"/>
      <c r="CI47" s="7" t="e">
        <f t="shared" si="24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6">
        <f t="shared" si="26"/>
        <v>0</v>
      </c>
      <c r="CT47" s="7"/>
      <c r="CU47" s="7"/>
      <c r="CV47" s="97"/>
      <c r="CW47" s="97"/>
      <c r="CX47" s="97"/>
      <c r="CY47" s="98"/>
      <c r="CZ47" s="98"/>
      <c r="DA47" s="97"/>
      <c r="DB47" s="98"/>
      <c r="DC47" s="97"/>
      <c r="DD47" s="97" t="s">
        <v>1707</v>
      </c>
      <c r="DE47" s="97" t="s">
        <v>1682</v>
      </c>
      <c r="DF47" s="98"/>
      <c r="DG47" s="98"/>
      <c r="DH47" s="98"/>
      <c r="DI47" s="98"/>
      <c r="DJ47" s="98"/>
      <c r="DK47" s="98"/>
      <c r="DL47" s="98"/>
      <c r="DM47" s="97"/>
      <c r="DN47" s="97"/>
      <c r="DO47" s="97"/>
      <c r="DP47" s="97"/>
      <c r="DQ47" s="97"/>
      <c r="DR47" s="97"/>
      <c r="DS47" s="97"/>
      <c r="DT47" s="99"/>
      <c r="DU47" s="98"/>
      <c r="DV47" s="97"/>
      <c r="DW47" s="97"/>
      <c r="DX47" s="97"/>
      <c r="DY47" s="97"/>
      <c r="DZ47" s="97"/>
      <c r="EA47" s="97"/>
      <c r="EB47" s="97"/>
      <c r="EC47" s="97"/>
      <c r="ED47" s="97"/>
      <c r="EE47" s="97"/>
      <c r="EF47" s="97"/>
      <c r="EG47" s="97"/>
      <c r="EH47" s="97"/>
      <c r="EI47" s="97"/>
      <c r="EJ47" s="97"/>
      <c r="EK47" s="97"/>
      <c r="EL47" s="97"/>
      <c r="EM47" s="97"/>
      <c r="EN47" s="97"/>
      <c r="EO47" s="97"/>
      <c r="EP47" s="97"/>
      <c r="EQ47" s="97"/>
      <c r="ER47" s="97"/>
      <c r="ES47" s="97"/>
      <c r="ET47" s="97"/>
      <c r="EU47" s="97"/>
      <c r="EV47" s="97"/>
      <c r="EW47" s="97"/>
      <c r="EX47" s="97"/>
      <c r="EY47" s="97"/>
      <c r="EZ47" s="97"/>
      <c r="FA47" s="97"/>
      <c r="FB47" s="97"/>
      <c r="FC47" s="97"/>
      <c r="FD47" s="97"/>
      <c r="FE47" s="97"/>
      <c r="FF47" s="97"/>
      <c r="FG47" s="97"/>
      <c r="FH47" s="97"/>
      <c r="FI47" s="97"/>
      <c r="FJ47" s="97"/>
      <c r="FK47" s="97"/>
      <c r="FL47" s="97"/>
      <c r="FM47" s="97"/>
      <c r="FN47" s="97"/>
      <c r="FO47" s="97"/>
      <c r="FP47" s="97"/>
      <c r="FQ47" s="97"/>
      <c r="FR47" s="97"/>
      <c r="FS47" s="97"/>
      <c r="FT47" s="97"/>
      <c r="FU47" s="97"/>
      <c r="FV47" s="97"/>
      <c r="FW47" s="97"/>
      <c r="FX47" s="97"/>
      <c r="FY47" s="6"/>
      <c r="FZ47" s="7" t="str">
        <f>IF(FY47="","",VLOOKUP(FY47,MT商品ﾏｽﾀ参照シート!AM:AN,2,0))</f>
        <v/>
      </c>
      <c r="GA47" s="8"/>
      <c r="GB47" s="8"/>
      <c r="GC47" s="8"/>
      <c r="GD47" s="8"/>
      <c r="GE47" s="58"/>
      <c r="GF47" s="7" t="str">
        <f>IF(GE47="","",VLOOKUP(GE47,MT商品ﾏｽﾀ参照シート!AO:AP,2,0))</f>
        <v/>
      </c>
      <c r="GG47" s="7"/>
      <c r="GH47" s="7"/>
      <c r="GI47" s="7"/>
      <c r="GJ47" s="7"/>
      <c r="GK47" s="49"/>
      <c r="GL47" s="6"/>
      <c r="GM47" s="6"/>
      <c r="GN47" s="7"/>
      <c r="GO47" s="7"/>
      <c r="GP47" s="7"/>
      <c r="GQ47" s="7"/>
      <c r="GR47" s="7">
        <v>2975</v>
      </c>
      <c r="GS47" s="7">
        <v>3500</v>
      </c>
      <c r="GT47" s="7">
        <v>3500</v>
      </c>
      <c r="GU47" s="7">
        <v>3500</v>
      </c>
      <c r="GV47" s="7">
        <v>3500</v>
      </c>
      <c r="GW47" s="8"/>
      <c r="GX47" s="8"/>
      <c r="GY47" s="8"/>
      <c r="GZ47" s="8"/>
      <c r="HA47" s="8"/>
      <c r="HB47" s="8"/>
      <c r="HC47" s="8"/>
      <c r="HD47" s="8"/>
      <c r="HE47" s="58"/>
      <c r="HF47" s="58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82"/>
      <c r="HR47" s="82"/>
      <c r="HS47" s="82"/>
      <c r="HT47" s="26"/>
      <c r="HU47" s="23"/>
      <c r="HV47" s="23"/>
      <c r="HW47" s="24"/>
      <c r="HX47" s="24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76"/>
      <c r="IY47" s="76"/>
      <c r="IZ47" s="76"/>
      <c r="JA47" s="71"/>
      <c r="JB47" s="71"/>
      <c r="JC47" s="72"/>
      <c r="JD47" s="72"/>
      <c r="JE47" s="72"/>
      <c r="JF47" s="72"/>
      <c r="JG47" s="72"/>
      <c r="JH47" s="72"/>
      <c r="JI47" s="71"/>
      <c r="JJ47" s="71"/>
      <c r="JK47" s="72"/>
      <c r="JL47" s="72"/>
      <c r="JM47" s="72"/>
      <c r="JN47" s="72"/>
    </row>
    <row r="48" spans="1:274" ht="13.5" customHeight="1">
      <c r="A48" s="7">
        <v>36</v>
      </c>
      <c r="B48" s="7"/>
      <c r="C48" s="7" t="e">
        <f t="shared" si="25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/>
      <c r="L48" s="7"/>
      <c r="M48" s="7"/>
      <c r="N48" s="7"/>
      <c r="O48" s="7"/>
      <c r="P48" s="7"/>
      <c r="Q48" s="53"/>
      <c r="R48" s="7"/>
      <c r="S48" s="7"/>
      <c r="T48" s="53"/>
      <c r="U48" s="7"/>
      <c r="V48" s="7" t="e">
        <f t="shared" si="4"/>
        <v>#VALUE!</v>
      </c>
      <c r="W48" s="28"/>
      <c r="X48" s="7" t="e">
        <f t="shared" si="4"/>
        <v>#VALUE!</v>
      </c>
      <c r="Y48" s="28"/>
      <c r="Z48" s="7" t="e">
        <f t="shared" si="5"/>
        <v>#VALUE!</v>
      </c>
      <c r="AA48" s="28"/>
      <c r="AB48" s="7"/>
      <c r="AC48" s="7"/>
      <c r="AD48" s="7"/>
      <c r="AE48" s="7"/>
      <c r="AF48" s="7">
        <v>0</v>
      </c>
      <c r="AG48" s="7" t="e">
        <f t="shared" si="6"/>
        <v>#VALUE!</v>
      </c>
      <c r="AH48" s="28"/>
      <c r="AI48" s="7"/>
      <c r="AJ48" s="7" t="e">
        <f t="shared" si="7"/>
        <v>#VALUE!</v>
      </c>
      <c r="AK48" s="28"/>
      <c r="AL48" s="7" t="e">
        <f t="shared" si="8"/>
        <v>#VALUE!</v>
      </c>
      <c r="AM48" s="28"/>
      <c r="AN48" s="7" t="e">
        <f t="shared" si="9"/>
        <v>#VALUE!</v>
      </c>
      <c r="AO48" s="28"/>
      <c r="AP48" s="7">
        <f t="shared" si="10"/>
        <v>2</v>
      </c>
      <c r="AQ48" s="28" t="s">
        <v>2301</v>
      </c>
      <c r="AR48" s="7"/>
      <c r="AS48" s="7"/>
      <c r="AT48" s="7"/>
      <c r="AU48" s="7"/>
      <c r="AV48" s="7">
        <f t="shared" si="11"/>
        <v>4617</v>
      </c>
      <c r="AW48" s="28" t="s">
        <v>2302</v>
      </c>
      <c r="AX48" s="7">
        <v>1</v>
      </c>
      <c r="AY48" s="7" t="e">
        <f t="shared" si="12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3"/>
        <v>#VALUE!</v>
      </c>
      <c r="BG48" s="28"/>
      <c r="BH48" s="7" t="e">
        <f t="shared" si="14"/>
        <v>#VALUE!</v>
      </c>
      <c r="BI48" s="28"/>
      <c r="BJ48" s="7" t="e">
        <f t="shared" si="15"/>
        <v>#VALUE!</v>
      </c>
      <c r="BK48" s="28"/>
      <c r="BL48" s="7"/>
      <c r="BM48" s="7"/>
      <c r="BN48" s="7" t="e">
        <f t="shared" si="16"/>
        <v>#VALUE!</v>
      </c>
      <c r="BO48" s="28"/>
      <c r="BP48" s="7" t="e">
        <f t="shared" si="17"/>
        <v>#VALUE!</v>
      </c>
      <c r="BQ48" s="28"/>
      <c r="BR48" s="7"/>
      <c r="BS48" s="7" t="e">
        <f t="shared" si="18"/>
        <v>#VALUE!</v>
      </c>
      <c r="BT48" s="28"/>
      <c r="BU48" s="7"/>
      <c r="BV48" s="7" t="e">
        <f ca="1">[1]!tメーカー名(BU48)</f>
        <v>#NAME?</v>
      </c>
      <c r="BW48" s="7" t="e">
        <f t="shared" si="19"/>
        <v>#VALUE!</v>
      </c>
      <c r="BX48" s="28"/>
      <c r="BY48" s="7" t="e">
        <f t="shared" si="20"/>
        <v>#VALUE!</v>
      </c>
      <c r="BZ48" s="28"/>
      <c r="CA48" s="54"/>
      <c r="CB48" s="54"/>
      <c r="CC48" s="7" t="e">
        <f t="shared" si="21"/>
        <v>#VALUE!</v>
      </c>
      <c r="CD48" s="28"/>
      <c r="CE48" s="7" t="e">
        <f t="shared" si="22"/>
        <v>#VALUE!</v>
      </c>
      <c r="CF48" s="28"/>
      <c r="CG48" s="7" t="e">
        <f t="shared" si="23"/>
        <v>#VALUE!</v>
      </c>
      <c r="CH48" s="28"/>
      <c r="CI48" s="7" t="e">
        <f t="shared" si="24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6">
        <f t="shared" si="26"/>
        <v>0</v>
      </c>
      <c r="CT48" s="7"/>
      <c r="CU48" s="7"/>
      <c r="CV48" s="97"/>
      <c r="CW48" s="97"/>
      <c r="CX48" s="97"/>
      <c r="CY48" s="98"/>
      <c r="CZ48" s="98"/>
      <c r="DA48" s="97"/>
      <c r="DB48" s="98"/>
      <c r="DC48" s="97"/>
      <c r="DD48" s="97" t="s">
        <v>1708</v>
      </c>
      <c r="DE48" s="97" t="s">
        <v>1682</v>
      </c>
      <c r="DF48" s="98"/>
      <c r="DG48" s="98"/>
      <c r="DH48" s="98"/>
      <c r="DI48" s="98"/>
      <c r="DJ48" s="98"/>
      <c r="DK48" s="98"/>
      <c r="DL48" s="98"/>
      <c r="DM48" s="97"/>
      <c r="DN48" s="97"/>
      <c r="DO48" s="97"/>
      <c r="DP48" s="97"/>
      <c r="DQ48" s="97"/>
      <c r="DR48" s="97"/>
      <c r="DS48" s="97"/>
      <c r="DT48" s="99"/>
      <c r="DU48" s="98"/>
      <c r="DV48" s="97"/>
      <c r="DW48" s="97"/>
      <c r="DX48" s="97"/>
      <c r="DY48" s="97"/>
      <c r="DZ48" s="97"/>
      <c r="EA48" s="97"/>
      <c r="EB48" s="97"/>
      <c r="EC48" s="97"/>
      <c r="ED48" s="97"/>
      <c r="EE48" s="97"/>
      <c r="EF48" s="97"/>
      <c r="EG48" s="97"/>
      <c r="EH48" s="97"/>
      <c r="EI48" s="97"/>
      <c r="EJ48" s="97"/>
      <c r="EK48" s="97"/>
      <c r="EL48" s="97"/>
      <c r="EM48" s="97"/>
      <c r="EN48" s="97"/>
      <c r="EO48" s="97"/>
      <c r="EP48" s="97"/>
      <c r="EQ48" s="97"/>
      <c r="ER48" s="97"/>
      <c r="ES48" s="97"/>
      <c r="ET48" s="97"/>
      <c r="EU48" s="97"/>
      <c r="EV48" s="97"/>
      <c r="EW48" s="97"/>
      <c r="EX48" s="97"/>
      <c r="EY48" s="97"/>
      <c r="EZ48" s="97"/>
      <c r="FA48" s="97"/>
      <c r="FB48" s="97"/>
      <c r="FC48" s="97"/>
      <c r="FD48" s="97"/>
      <c r="FE48" s="97"/>
      <c r="FF48" s="97"/>
      <c r="FG48" s="97"/>
      <c r="FH48" s="97"/>
      <c r="FI48" s="97"/>
      <c r="FJ48" s="97"/>
      <c r="FK48" s="97"/>
      <c r="FL48" s="97"/>
      <c r="FM48" s="97"/>
      <c r="FN48" s="97"/>
      <c r="FO48" s="97"/>
      <c r="FP48" s="97"/>
      <c r="FQ48" s="97"/>
      <c r="FR48" s="97"/>
      <c r="FS48" s="97"/>
      <c r="FT48" s="97"/>
      <c r="FU48" s="97"/>
      <c r="FV48" s="97"/>
      <c r="FW48" s="97"/>
      <c r="FX48" s="97"/>
      <c r="FY48" s="6"/>
      <c r="FZ48" s="7" t="str">
        <f>IF(FY48="","",VLOOKUP(FY48,MT商品ﾏｽﾀ参照シート!AM:AN,2,0))</f>
        <v/>
      </c>
      <c r="GA48" s="8"/>
      <c r="GB48" s="8"/>
      <c r="GC48" s="8"/>
      <c r="GD48" s="8"/>
      <c r="GE48" s="58"/>
      <c r="GF48" s="7" t="str">
        <f>IF(GE48="","",VLOOKUP(GE48,MT商品ﾏｽﾀ参照シート!AO:AP,2,0))</f>
        <v/>
      </c>
      <c r="GG48" s="7"/>
      <c r="GH48" s="7"/>
      <c r="GI48" s="7"/>
      <c r="GJ48" s="7"/>
      <c r="GK48" s="49"/>
      <c r="GL48" s="6"/>
      <c r="GM48" s="6"/>
      <c r="GN48" s="7"/>
      <c r="GO48" s="7"/>
      <c r="GP48" s="7"/>
      <c r="GQ48" s="7"/>
      <c r="GR48" s="7">
        <v>3230</v>
      </c>
      <c r="GS48" s="7">
        <v>3800</v>
      </c>
      <c r="GT48" s="7">
        <v>3800</v>
      </c>
      <c r="GU48" s="7">
        <v>3800</v>
      </c>
      <c r="GV48" s="7">
        <v>3800</v>
      </c>
      <c r="GW48" s="8"/>
      <c r="GX48" s="8"/>
      <c r="GY48" s="8"/>
      <c r="GZ48" s="8"/>
      <c r="HA48" s="8"/>
      <c r="HB48" s="8"/>
      <c r="HC48" s="8"/>
      <c r="HD48" s="8"/>
      <c r="HE48" s="58"/>
      <c r="HF48" s="58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82"/>
      <c r="HR48" s="82"/>
      <c r="HS48" s="82"/>
      <c r="HT48" s="26"/>
      <c r="HU48" s="23"/>
      <c r="HV48" s="23"/>
      <c r="HW48" s="24"/>
      <c r="HX48" s="24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76"/>
      <c r="IY48" s="76"/>
      <c r="IZ48" s="76"/>
      <c r="JA48" s="71"/>
      <c r="JB48" s="71"/>
      <c r="JC48" s="72"/>
      <c r="JD48" s="72"/>
      <c r="JE48" s="72"/>
      <c r="JF48" s="72"/>
      <c r="JG48" s="72"/>
      <c r="JH48" s="72"/>
      <c r="JI48" s="71"/>
      <c r="JJ48" s="71"/>
      <c r="JK48" s="72"/>
      <c r="JL48" s="72"/>
      <c r="JM48" s="72"/>
      <c r="JN48" s="72"/>
    </row>
    <row r="49" spans="1:274" ht="13.5" customHeight="1">
      <c r="A49" s="7">
        <v>37</v>
      </c>
      <c r="B49" s="7"/>
      <c r="C49" s="7" t="e">
        <f t="shared" si="25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/>
      <c r="L49" s="7"/>
      <c r="M49" s="7"/>
      <c r="N49" s="7"/>
      <c r="O49" s="7"/>
      <c r="P49" s="7"/>
      <c r="Q49" s="53"/>
      <c r="R49" s="7"/>
      <c r="S49" s="7"/>
      <c r="T49" s="53"/>
      <c r="U49" s="7"/>
      <c r="V49" s="7" t="e">
        <f t="shared" si="4"/>
        <v>#VALUE!</v>
      </c>
      <c r="W49" s="28"/>
      <c r="X49" s="7" t="e">
        <f t="shared" si="4"/>
        <v>#VALUE!</v>
      </c>
      <c r="Y49" s="28"/>
      <c r="Z49" s="7" t="e">
        <f t="shared" si="5"/>
        <v>#VALUE!</v>
      </c>
      <c r="AA49" s="28"/>
      <c r="AB49" s="7"/>
      <c r="AC49" s="7"/>
      <c r="AD49" s="7"/>
      <c r="AE49" s="7"/>
      <c r="AF49" s="7">
        <v>0</v>
      </c>
      <c r="AG49" s="7" t="e">
        <f t="shared" si="6"/>
        <v>#VALUE!</v>
      </c>
      <c r="AH49" s="28"/>
      <c r="AI49" s="7"/>
      <c r="AJ49" s="7" t="e">
        <f t="shared" si="7"/>
        <v>#VALUE!</v>
      </c>
      <c r="AK49" s="28"/>
      <c r="AL49" s="7" t="e">
        <f t="shared" si="8"/>
        <v>#VALUE!</v>
      </c>
      <c r="AM49" s="28"/>
      <c r="AN49" s="7" t="e">
        <f t="shared" si="9"/>
        <v>#VALUE!</v>
      </c>
      <c r="AO49" s="28"/>
      <c r="AP49" s="7">
        <f t="shared" si="10"/>
        <v>2</v>
      </c>
      <c r="AQ49" s="28" t="s">
        <v>2301</v>
      </c>
      <c r="AR49" s="7"/>
      <c r="AS49" s="7"/>
      <c r="AT49" s="7"/>
      <c r="AU49" s="7"/>
      <c r="AV49" s="7">
        <f t="shared" si="11"/>
        <v>4617</v>
      </c>
      <c r="AW49" s="28" t="s">
        <v>2302</v>
      </c>
      <c r="AX49" s="7">
        <v>1</v>
      </c>
      <c r="AY49" s="7" t="e">
        <f t="shared" si="12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3"/>
        <v>#VALUE!</v>
      </c>
      <c r="BG49" s="28"/>
      <c r="BH49" s="7" t="e">
        <f t="shared" si="14"/>
        <v>#VALUE!</v>
      </c>
      <c r="BI49" s="28"/>
      <c r="BJ49" s="7" t="e">
        <f t="shared" si="15"/>
        <v>#VALUE!</v>
      </c>
      <c r="BK49" s="28"/>
      <c r="BL49" s="7"/>
      <c r="BM49" s="7"/>
      <c r="BN49" s="7" t="e">
        <f t="shared" si="16"/>
        <v>#VALUE!</v>
      </c>
      <c r="BO49" s="28"/>
      <c r="BP49" s="7" t="e">
        <f t="shared" si="17"/>
        <v>#VALUE!</v>
      </c>
      <c r="BQ49" s="28"/>
      <c r="BR49" s="7"/>
      <c r="BS49" s="7" t="e">
        <f t="shared" si="18"/>
        <v>#VALUE!</v>
      </c>
      <c r="BT49" s="28"/>
      <c r="BU49" s="7"/>
      <c r="BV49" s="7" t="e">
        <f ca="1">[1]!tメーカー名(BU49)</f>
        <v>#NAME?</v>
      </c>
      <c r="BW49" s="7" t="e">
        <f t="shared" si="19"/>
        <v>#VALUE!</v>
      </c>
      <c r="BX49" s="28"/>
      <c r="BY49" s="7" t="e">
        <f t="shared" si="20"/>
        <v>#VALUE!</v>
      </c>
      <c r="BZ49" s="28"/>
      <c r="CA49" s="54"/>
      <c r="CB49" s="54"/>
      <c r="CC49" s="7" t="e">
        <f t="shared" si="21"/>
        <v>#VALUE!</v>
      </c>
      <c r="CD49" s="28"/>
      <c r="CE49" s="7" t="e">
        <f t="shared" si="22"/>
        <v>#VALUE!</v>
      </c>
      <c r="CF49" s="28"/>
      <c r="CG49" s="7" t="e">
        <f t="shared" si="23"/>
        <v>#VALUE!</v>
      </c>
      <c r="CH49" s="28"/>
      <c r="CI49" s="7" t="e">
        <f t="shared" si="24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6">
        <f t="shared" si="26"/>
        <v>0</v>
      </c>
      <c r="CT49" s="7"/>
      <c r="CU49" s="7"/>
      <c r="CV49" s="97"/>
      <c r="CW49" s="97"/>
      <c r="CX49" s="97"/>
      <c r="CY49" s="98"/>
      <c r="CZ49" s="98"/>
      <c r="DA49" s="97"/>
      <c r="DB49" s="98"/>
      <c r="DC49" s="97"/>
      <c r="DD49" s="97" t="s">
        <v>1709</v>
      </c>
      <c r="DE49" s="97" t="s">
        <v>1682</v>
      </c>
      <c r="DF49" s="98"/>
      <c r="DG49" s="98"/>
      <c r="DH49" s="98"/>
      <c r="DI49" s="98"/>
      <c r="DJ49" s="98"/>
      <c r="DK49" s="98"/>
      <c r="DL49" s="98"/>
      <c r="DM49" s="97"/>
      <c r="DN49" s="97"/>
      <c r="DO49" s="97"/>
      <c r="DP49" s="97"/>
      <c r="DQ49" s="97"/>
      <c r="DR49" s="97"/>
      <c r="DS49" s="97"/>
      <c r="DT49" s="99"/>
      <c r="DU49" s="98"/>
      <c r="DV49" s="97"/>
      <c r="DW49" s="97"/>
      <c r="DX49" s="97"/>
      <c r="DY49" s="97"/>
      <c r="DZ49" s="97"/>
      <c r="EA49" s="97"/>
      <c r="EB49" s="97"/>
      <c r="EC49" s="97"/>
      <c r="ED49" s="97"/>
      <c r="EE49" s="97"/>
      <c r="EF49" s="97"/>
      <c r="EG49" s="97"/>
      <c r="EH49" s="97"/>
      <c r="EI49" s="97"/>
      <c r="EJ49" s="97"/>
      <c r="EK49" s="97"/>
      <c r="EL49" s="97"/>
      <c r="EM49" s="97"/>
      <c r="EN49" s="97"/>
      <c r="EO49" s="97"/>
      <c r="EP49" s="97"/>
      <c r="EQ49" s="97"/>
      <c r="ER49" s="97"/>
      <c r="ES49" s="97"/>
      <c r="ET49" s="97"/>
      <c r="EU49" s="97"/>
      <c r="EV49" s="97"/>
      <c r="EW49" s="97"/>
      <c r="EX49" s="97"/>
      <c r="EY49" s="97"/>
      <c r="EZ49" s="97"/>
      <c r="FA49" s="97"/>
      <c r="FB49" s="97"/>
      <c r="FC49" s="97"/>
      <c r="FD49" s="97"/>
      <c r="FE49" s="97"/>
      <c r="FF49" s="97"/>
      <c r="FG49" s="97"/>
      <c r="FH49" s="97"/>
      <c r="FI49" s="97"/>
      <c r="FJ49" s="97"/>
      <c r="FK49" s="97"/>
      <c r="FL49" s="97"/>
      <c r="FM49" s="97"/>
      <c r="FN49" s="97"/>
      <c r="FO49" s="97"/>
      <c r="FP49" s="97"/>
      <c r="FQ49" s="97"/>
      <c r="FR49" s="97"/>
      <c r="FS49" s="97"/>
      <c r="FT49" s="97"/>
      <c r="FU49" s="97"/>
      <c r="FV49" s="97"/>
      <c r="FW49" s="97"/>
      <c r="FX49" s="97"/>
      <c r="FY49" s="6"/>
      <c r="FZ49" s="7" t="str">
        <f>IF(FY49="","",VLOOKUP(FY49,MT商品ﾏｽﾀ参照シート!AM:AN,2,0))</f>
        <v/>
      </c>
      <c r="GA49" s="8"/>
      <c r="GB49" s="8"/>
      <c r="GC49" s="8"/>
      <c r="GD49" s="8"/>
      <c r="GE49" s="58"/>
      <c r="GF49" s="7" t="str">
        <f>IF(GE49="","",VLOOKUP(GE49,MT商品ﾏｽﾀ参照シート!AO:AP,2,0))</f>
        <v/>
      </c>
      <c r="GG49" s="7"/>
      <c r="GH49" s="7"/>
      <c r="GI49" s="7"/>
      <c r="GJ49" s="7"/>
      <c r="GK49" s="49"/>
      <c r="GL49" s="6"/>
      <c r="GM49" s="6"/>
      <c r="GN49" s="7"/>
      <c r="GO49" s="7"/>
      <c r="GP49" s="7"/>
      <c r="GQ49" s="7"/>
      <c r="GR49" s="7">
        <v>4250</v>
      </c>
      <c r="GS49" s="7">
        <v>5000</v>
      </c>
      <c r="GT49" s="7">
        <v>5000</v>
      </c>
      <c r="GU49" s="7">
        <v>5000</v>
      </c>
      <c r="GV49" s="7">
        <v>5000</v>
      </c>
      <c r="GW49" s="8"/>
      <c r="GX49" s="8"/>
      <c r="GY49" s="8"/>
      <c r="GZ49" s="8"/>
      <c r="HA49" s="8"/>
      <c r="HB49" s="8"/>
      <c r="HC49" s="8"/>
      <c r="HD49" s="8"/>
      <c r="HE49" s="58"/>
      <c r="HF49" s="58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82"/>
      <c r="HR49" s="82"/>
      <c r="HS49" s="82"/>
      <c r="HT49" s="26"/>
      <c r="HU49" s="23"/>
      <c r="HV49" s="23"/>
      <c r="HW49" s="24"/>
      <c r="HX49" s="24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76"/>
      <c r="IY49" s="76"/>
      <c r="IZ49" s="76"/>
      <c r="JA49" s="71"/>
      <c r="JB49" s="71"/>
      <c r="JC49" s="72"/>
      <c r="JD49" s="72"/>
      <c r="JE49" s="72"/>
      <c r="JF49" s="72"/>
      <c r="JG49" s="72"/>
      <c r="JH49" s="72"/>
      <c r="JI49" s="71"/>
      <c r="JJ49" s="71"/>
      <c r="JK49" s="72"/>
      <c r="JL49" s="72"/>
      <c r="JM49" s="72"/>
      <c r="JN49" s="72"/>
    </row>
    <row r="50" spans="1:274" ht="13.5" customHeight="1">
      <c r="A50" s="7">
        <v>38</v>
      </c>
      <c r="B50" s="7"/>
      <c r="C50" s="7" t="e">
        <f t="shared" si="25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/>
      <c r="L50" s="7"/>
      <c r="M50" s="7"/>
      <c r="N50" s="7"/>
      <c r="O50" s="7"/>
      <c r="P50" s="7"/>
      <c r="Q50" s="53"/>
      <c r="R50" s="7"/>
      <c r="S50" s="7"/>
      <c r="T50" s="53"/>
      <c r="U50" s="7"/>
      <c r="V50" s="7" t="e">
        <f t="shared" si="4"/>
        <v>#VALUE!</v>
      </c>
      <c r="W50" s="28"/>
      <c r="X50" s="7" t="e">
        <f t="shared" si="4"/>
        <v>#VALUE!</v>
      </c>
      <c r="Y50" s="28"/>
      <c r="Z50" s="7" t="e">
        <f t="shared" si="5"/>
        <v>#VALUE!</v>
      </c>
      <c r="AA50" s="28"/>
      <c r="AB50" s="7"/>
      <c r="AC50" s="7"/>
      <c r="AD50" s="7"/>
      <c r="AE50" s="7"/>
      <c r="AF50" s="7">
        <v>0</v>
      </c>
      <c r="AG50" s="7" t="e">
        <f t="shared" si="6"/>
        <v>#VALUE!</v>
      </c>
      <c r="AH50" s="28"/>
      <c r="AI50" s="7"/>
      <c r="AJ50" s="7" t="e">
        <f t="shared" si="7"/>
        <v>#VALUE!</v>
      </c>
      <c r="AK50" s="28"/>
      <c r="AL50" s="7" t="e">
        <f t="shared" si="8"/>
        <v>#VALUE!</v>
      </c>
      <c r="AM50" s="28"/>
      <c r="AN50" s="7" t="e">
        <f t="shared" si="9"/>
        <v>#VALUE!</v>
      </c>
      <c r="AO50" s="28"/>
      <c r="AP50" s="7">
        <f t="shared" si="10"/>
        <v>2</v>
      </c>
      <c r="AQ50" s="28" t="s">
        <v>2301</v>
      </c>
      <c r="AR50" s="7"/>
      <c r="AS50" s="7"/>
      <c r="AT50" s="7"/>
      <c r="AU50" s="7"/>
      <c r="AV50" s="7">
        <f t="shared" si="11"/>
        <v>4617</v>
      </c>
      <c r="AW50" s="28" t="s">
        <v>2302</v>
      </c>
      <c r="AX50" s="7">
        <v>1</v>
      </c>
      <c r="AY50" s="7" t="e">
        <f t="shared" si="12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3"/>
        <v>#VALUE!</v>
      </c>
      <c r="BG50" s="28"/>
      <c r="BH50" s="7" t="e">
        <f t="shared" si="14"/>
        <v>#VALUE!</v>
      </c>
      <c r="BI50" s="28"/>
      <c r="BJ50" s="7" t="e">
        <f t="shared" si="15"/>
        <v>#VALUE!</v>
      </c>
      <c r="BK50" s="28"/>
      <c r="BL50" s="7"/>
      <c r="BM50" s="7"/>
      <c r="BN50" s="7" t="e">
        <f t="shared" si="16"/>
        <v>#VALUE!</v>
      </c>
      <c r="BO50" s="28"/>
      <c r="BP50" s="7" t="e">
        <f t="shared" si="17"/>
        <v>#VALUE!</v>
      </c>
      <c r="BQ50" s="28"/>
      <c r="BR50" s="7"/>
      <c r="BS50" s="7" t="e">
        <f t="shared" si="18"/>
        <v>#VALUE!</v>
      </c>
      <c r="BT50" s="28"/>
      <c r="BU50" s="7"/>
      <c r="BV50" s="7" t="e">
        <f ca="1">[1]!tメーカー名(BU50)</f>
        <v>#NAME?</v>
      </c>
      <c r="BW50" s="7" t="e">
        <f t="shared" si="19"/>
        <v>#VALUE!</v>
      </c>
      <c r="BX50" s="28"/>
      <c r="BY50" s="7" t="e">
        <f t="shared" si="20"/>
        <v>#VALUE!</v>
      </c>
      <c r="BZ50" s="28"/>
      <c r="CA50" s="54"/>
      <c r="CB50" s="54"/>
      <c r="CC50" s="7" t="e">
        <f t="shared" si="21"/>
        <v>#VALUE!</v>
      </c>
      <c r="CD50" s="28"/>
      <c r="CE50" s="7" t="e">
        <f t="shared" si="22"/>
        <v>#VALUE!</v>
      </c>
      <c r="CF50" s="28"/>
      <c r="CG50" s="7" t="e">
        <f t="shared" si="23"/>
        <v>#VALUE!</v>
      </c>
      <c r="CH50" s="28"/>
      <c r="CI50" s="7" t="e">
        <f t="shared" si="24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6">
        <f t="shared" si="26"/>
        <v>0</v>
      </c>
      <c r="CT50" s="7"/>
      <c r="CU50" s="7"/>
      <c r="CV50" s="97"/>
      <c r="CW50" s="97"/>
      <c r="CX50" s="97"/>
      <c r="CY50" s="98"/>
      <c r="CZ50" s="98"/>
      <c r="DA50" s="97"/>
      <c r="DB50" s="98"/>
      <c r="DC50" s="97"/>
      <c r="DD50" s="97" t="s">
        <v>1710</v>
      </c>
      <c r="DE50" s="97" t="s">
        <v>1682</v>
      </c>
      <c r="DF50" s="98"/>
      <c r="DG50" s="98"/>
      <c r="DH50" s="98"/>
      <c r="DI50" s="98"/>
      <c r="DJ50" s="98"/>
      <c r="DK50" s="98"/>
      <c r="DL50" s="98"/>
      <c r="DM50" s="97"/>
      <c r="DN50" s="97"/>
      <c r="DO50" s="97"/>
      <c r="DP50" s="97"/>
      <c r="DQ50" s="97"/>
      <c r="DR50" s="97"/>
      <c r="DS50" s="97"/>
      <c r="DT50" s="99"/>
      <c r="DU50" s="98"/>
      <c r="DV50" s="97"/>
      <c r="DW50" s="97"/>
      <c r="DX50" s="97"/>
      <c r="DY50" s="97"/>
      <c r="DZ50" s="97"/>
      <c r="EA50" s="97"/>
      <c r="EB50" s="97"/>
      <c r="EC50" s="97"/>
      <c r="ED50" s="97"/>
      <c r="EE50" s="97"/>
      <c r="EF50" s="97"/>
      <c r="EG50" s="97"/>
      <c r="EH50" s="97"/>
      <c r="EI50" s="97"/>
      <c r="EJ50" s="97"/>
      <c r="EK50" s="97"/>
      <c r="EL50" s="97"/>
      <c r="EM50" s="97"/>
      <c r="EN50" s="97"/>
      <c r="EO50" s="97"/>
      <c r="EP50" s="97"/>
      <c r="EQ50" s="97"/>
      <c r="ER50" s="97"/>
      <c r="ES50" s="97"/>
      <c r="ET50" s="97"/>
      <c r="EU50" s="97"/>
      <c r="EV50" s="97"/>
      <c r="EW50" s="97"/>
      <c r="EX50" s="97"/>
      <c r="EY50" s="97"/>
      <c r="EZ50" s="97"/>
      <c r="FA50" s="97"/>
      <c r="FB50" s="97"/>
      <c r="FC50" s="97"/>
      <c r="FD50" s="97"/>
      <c r="FE50" s="97"/>
      <c r="FF50" s="97"/>
      <c r="FG50" s="97"/>
      <c r="FH50" s="97"/>
      <c r="FI50" s="97"/>
      <c r="FJ50" s="97"/>
      <c r="FK50" s="97"/>
      <c r="FL50" s="97"/>
      <c r="FM50" s="97"/>
      <c r="FN50" s="97"/>
      <c r="FO50" s="97"/>
      <c r="FP50" s="97"/>
      <c r="FQ50" s="97"/>
      <c r="FR50" s="97"/>
      <c r="FS50" s="97"/>
      <c r="FT50" s="97"/>
      <c r="FU50" s="97"/>
      <c r="FV50" s="97"/>
      <c r="FW50" s="97"/>
      <c r="FX50" s="97"/>
      <c r="FY50" s="6"/>
      <c r="FZ50" s="7" t="str">
        <f>IF(FY50="","",VLOOKUP(FY50,MT商品ﾏｽﾀ参照シート!AM:AN,2,0))</f>
        <v/>
      </c>
      <c r="GA50" s="8"/>
      <c r="GB50" s="8"/>
      <c r="GC50" s="8"/>
      <c r="GD50" s="8"/>
      <c r="GE50" s="58"/>
      <c r="GF50" s="7" t="str">
        <f>IF(GE50="","",VLOOKUP(GE50,MT商品ﾏｽﾀ参照シート!AO:AP,2,0))</f>
        <v/>
      </c>
      <c r="GG50" s="7"/>
      <c r="GH50" s="7"/>
      <c r="GI50" s="7"/>
      <c r="GJ50" s="7"/>
      <c r="GK50" s="49"/>
      <c r="GL50" s="6"/>
      <c r="GM50" s="6"/>
      <c r="GN50" s="7"/>
      <c r="GO50" s="7"/>
      <c r="GP50" s="7"/>
      <c r="GQ50" s="7"/>
      <c r="GR50" s="7">
        <v>3145</v>
      </c>
      <c r="GS50" s="7">
        <v>3700</v>
      </c>
      <c r="GT50" s="7">
        <v>3700</v>
      </c>
      <c r="GU50" s="7">
        <v>3700</v>
      </c>
      <c r="GV50" s="7">
        <v>3700</v>
      </c>
      <c r="GW50" s="8"/>
      <c r="GX50" s="8"/>
      <c r="GY50" s="8"/>
      <c r="GZ50" s="8"/>
      <c r="HA50" s="8"/>
      <c r="HB50" s="8"/>
      <c r="HC50" s="8"/>
      <c r="HD50" s="8"/>
      <c r="HE50" s="58"/>
      <c r="HF50" s="58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82"/>
      <c r="HR50" s="82"/>
      <c r="HS50" s="82"/>
      <c r="HT50" s="26"/>
      <c r="HU50" s="23"/>
      <c r="HV50" s="23"/>
      <c r="HW50" s="24"/>
      <c r="HX50" s="24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76"/>
      <c r="IY50" s="76"/>
      <c r="IZ50" s="76"/>
      <c r="JA50" s="71"/>
      <c r="JB50" s="71"/>
      <c r="JC50" s="72"/>
      <c r="JD50" s="72"/>
      <c r="JE50" s="72"/>
      <c r="JF50" s="72"/>
      <c r="JG50" s="72"/>
      <c r="JH50" s="72"/>
      <c r="JI50" s="71"/>
      <c r="JJ50" s="71"/>
      <c r="JK50" s="72"/>
      <c r="JL50" s="72"/>
      <c r="JM50" s="72"/>
      <c r="JN50" s="72"/>
    </row>
    <row r="51" spans="1:274" ht="13.5" customHeight="1">
      <c r="A51" s="7">
        <v>39</v>
      </c>
      <c r="B51" s="7"/>
      <c r="C51" s="7" t="e">
        <f t="shared" si="25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/>
      <c r="L51" s="7"/>
      <c r="M51" s="7"/>
      <c r="N51" s="7"/>
      <c r="O51" s="7"/>
      <c r="P51" s="7"/>
      <c r="Q51" s="53"/>
      <c r="R51" s="7"/>
      <c r="S51" s="7"/>
      <c r="T51" s="53"/>
      <c r="U51" s="7"/>
      <c r="V51" s="7" t="e">
        <f t="shared" si="4"/>
        <v>#VALUE!</v>
      </c>
      <c r="W51" s="28"/>
      <c r="X51" s="7" t="e">
        <f t="shared" si="4"/>
        <v>#VALUE!</v>
      </c>
      <c r="Y51" s="28"/>
      <c r="Z51" s="7" t="e">
        <f t="shared" si="5"/>
        <v>#VALUE!</v>
      </c>
      <c r="AA51" s="28"/>
      <c r="AB51" s="7"/>
      <c r="AC51" s="7"/>
      <c r="AD51" s="7"/>
      <c r="AE51" s="7"/>
      <c r="AF51" s="7">
        <v>0</v>
      </c>
      <c r="AG51" s="7" t="e">
        <f t="shared" si="6"/>
        <v>#VALUE!</v>
      </c>
      <c r="AH51" s="28"/>
      <c r="AI51" s="7"/>
      <c r="AJ51" s="7" t="e">
        <f t="shared" si="7"/>
        <v>#VALUE!</v>
      </c>
      <c r="AK51" s="28"/>
      <c r="AL51" s="7" t="e">
        <f t="shared" si="8"/>
        <v>#VALUE!</v>
      </c>
      <c r="AM51" s="28"/>
      <c r="AN51" s="7" t="e">
        <f t="shared" si="9"/>
        <v>#VALUE!</v>
      </c>
      <c r="AO51" s="28"/>
      <c r="AP51" s="7">
        <f t="shared" si="10"/>
        <v>2</v>
      </c>
      <c r="AQ51" s="28" t="s">
        <v>2301</v>
      </c>
      <c r="AR51" s="7"/>
      <c r="AS51" s="7"/>
      <c r="AT51" s="7"/>
      <c r="AU51" s="7"/>
      <c r="AV51" s="7">
        <f t="shared" si="11"/>
        <v>4617</v>
      </c>
      <c r="AW51" s="28" t="s">
        <v>2302</v>
      </c>
      <c r="AX51" s="7">
        <v>1</v>
      </c>
      <c r="AY51" s="7" t="e">
        <f t="shared" si="12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3"/>
        <v>#VALUE!</v>
      </c>
      <c r="BG51" s="28"/>
      <c r="BH51" s="7" t="e">
        <f t="shared" si="14"/>
        <v>#VALUE!</v>
      </c>
      <c r="BI51" s="28"/>
      <c r="BJ51" s="7" t="e">
        <f t="shared" si="15"/>
        <v>#VALUE!</v>
      </c>
      <c r="BK51" s="28"/>
      <c r="BL51" s="7"/>
      <c r="BM51" s="7"/>
      <c r="BN51" s="7" t="e">
        <f t="shared" si="16"/>
        <v>#VALUE!</v>
      </c>
      <c r="BO51" s="28"/>
      <c r="BP51" s="7" t="e">
        <f t="shared" si="17"/>
        <v>#VALUE!</v>
      </c>
      <c r="BQ51" s="28"/>
      <c r="BR51" s="7"/>
      <c r="BS51" s="7" t="e">
        <f t="shared" si="18"/>
        <v>#VALUE!</v>
      </c>
      <c r="BT51" s="28"/>
      <c r="BU51" s="7"/>
      <c r="BV51" s="7" t="e">
        <f ca="1">[1]!tメーカー名(BU51)</f>
        <v>#NAME?</v>
      </c>
      <c r="BW51" s="7" t="e">
        <f t="shared" si="19"/>
        <v>#VALUE!</v>
      </c>
      <c r="BX51" s="28"/>
      <c r="BY51" s="7" t="e">
        <f t="shared" si="20"/>
        <v>#VALUE!</v>
      </c>
      <c r="BZ51" s="28"/>
      <c r="CA51" s="54"/>
      <c r="CB51" s="54"/>
      <c r="CC51" s="7" t="e">
        <f t="shared" si="21"/>
        <v>#VALUE!</v>
      </c>
      <c r="CD51" s="28"/>
      <c r="CE51" s="7" t="e">
        <f t="shared" si="22"/>
        <v>#VALUE!</v>
      </c>
      <c r="CF51" s="28"/>
      <c r="CG51" s="7" t="e">
        <f t="shared" si="23"/>
        <v>#VALUE!</v>
      </c>
      <c r="CH51" s="28"/>
      <c r="CI51" s="7" t="e">
        <f t="shared" si="24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6">
        <f t="shared" si="26"/>
        <v>0</v>
      </c>
      <c r="CT51" s="7"/>
      <c r="CU51" s="7"/>
      <c r="CV51" s="97"/>
      <c r="CW51" s="97"/>
      <c r="CX51" s="97"/>
      <c r="CY51" s="98"/>
      <c r="CZ51" s="98"/>
      <c r="DA51" s="97"/>
      <c r="DB51" s="98"/>
      <c r="DC51" s="97"/>
      <c r="DD51" s="97" t="s">
        <v>1711</v>
      </c>
      <c r="DE51" s="97" t="s">
        <v>1682</v>
      </c>
      <c r="DF51" s="98"/>
      <c r="DG51" s="98"/>
      <c r="DH51" s="98"/>
      <c r="DI51" s="98"/>
      <c r="DJ51" s="98"/>
      <c r="DK51" s="98"/>
      <c r="DL51" s="98"/>
      <c r="DM51" s="97"/>
      <c r="DN51" s="97"/>
      <c r="DO51" s="97"/>
      <c r="DP51" s="97"/>
      <c r="DQ51" s="97"/>
      <c r="DR51" s="97"/>
      <c r="DS51" s="97"/>
      <c r="DT51" s="99"/>
      <c r="DU51" s="98"/>
      <c r="DV51" s="97"/>
      <c r="DW51" s="97"/>
      <c r="DX51" s="97"/>
      <c r="DY51" s="97"/>
      <c r="DZ51" s="97"/>
      <c r="EA51" s="97"/>
      <c r="EB51" s="97"/>
      <c r="EC51" s="97"/>
      <c r="ED51" s="97"/>
      <c r="EE51" s="97"/>
      <c r="EF51" s="97"/>
      <c r="EG51" s="97"/>
      <c r="EH51" s="97"/>
      <c r="EI51" s="97"/>
      <c r="EJ51" s="97"/>
      <c r="EK51" s="97"/>
      <c r="EL51" s="97"/>
      <c r="EM51" s="97"/>
      <c r="EN51" s="97"/>
      <c r="EO51" s="97"/>
      <c r="EP51" s="97"/>
      <c r="EQ51" s="97"/>
      <c r="ER51" s="97"/>
      <c r="ES51" s="97"/>
      <c r="ET51" s="97"/>
      <c r="EU51" s="97"/>
      <c r="EV51" s="97"/>
      <c r="EW51" s="97"/>
      <c r="EX51" s="97"/>
      <c r="EY51" s="97"/>
      <c r="EZ51" s="97"/>
      <c r="FA51" s="97"/>
      <c r="FB51" s="97"/>
      <c r="FC51" s="97"/>
      <c r="FD51" s="97"/>
      <c r="FE51" s="97"/>
      <c r="FF51" s="97"/>
      <c r="FG51" s="97"/>
      <c r="FH51" s="97"/>
      <c r="FI51" s="97"/>
      <c r="FJ51" s="97"/>
      <c r="FK51" s="97"/>
      <c r="FL51" s="97"/>
      <c r="FM51" s="97"/>
      <c r="FN51" s="97"/>
      <c r="FO51" s="97"/>
      <c r="FP51" s="97"/>
      <c r="FQ51" s="97"/>
      <c r="FR51" s="97"/>
      <c r="FS51" s="97"/>
      <c r="FT51" s="97"/>
      <c r="FU51" s="97"/>
      <c r="FV51" s="97"/>
      <c r="FW51" s="97"/>
      <c r="FX51" s="97"/>
      <c r="FY51" s="6"/>
      <c r="FZ51" s="7" t="str">
        <f>IF(FY51="","",VLOOKUP(FY51,MT商品ﾏｽﾀ参照シート!AM:AN,2,0))</f>
        <v/>
      </c>
      <c r="GA51" s="8"/>
      <c r="GB51" s="8"/>
      <c r="GC51" s="8"/>
      <c r="GD51" s="8"/>
      <c r="GE51" s="58"/>
      <c r="GF51" s="7" t="str">
        <f>IF(GE51="","",VLOOKUP(GE51,MT商品ﾏｽﾀ参照シート!AO:AP,2,0))</f>
        <v/>
      </c>
      <c r="GG51" s="7"/>
      <c r="GH51" s="7"/>
      <c r="GI51" s="7"/>
      <c r="GJ51" s="7"/>
      <c r="GK51" s="49"/>
      <c r="GL51" s="6"/>
      <c r="GM51" s="6"/>
      <c r="GN51" s="7"/>
      <c r="GO51" s="7"/>
      <c r="GP51" s="7"/>
      <c r="GQ51" s="7"/>
      <c r="GR51" s="7">
        <v>2890</v>
      </c>
      <c r="GS51" s="7">
        <v>3400</v>
      </c>
      <c r="GT51" s="7">
        <v>3400</v>
      </c>
      <c r="GU51" s="7">
        <v>3400</v>
      </c>
      <c r="GV51" s="7">
        <v>3400</v>
      </c>
      <c r="GW51" s="8"/>
      <c r="GX51" s="8"/>
      <c r="GY51" s="8"/>
      <c r="GZ51" s="8"/>
      <c r="HA51" s="8"/>
      <c r="HB51" s="8"/>
      <c r="HC51" s="8"/>
      <c r="HD51" s="8"/>
      <c r="HE51" s="58"/>
      <c r="HF51" s="58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82"/>
      <c r="HR51" s="82"/>
      <c r="HS51" s="82"/>
      <c r="HT51" s="26"/>
      <c r="HU51" s="23"/>
      <c r="HV51" s="23"/>
      <c r="HW51" s="24"/>
      <c r="HX51" s="24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76"/>
      <c r="IY51" s="76"/>
      <c r="IZ51" s="76"/>
      <c r="JA51" s="71"/>
      <c r="JB51" s="71"/>
      <c r="JC51" s="72"/>
      <c r="JD51" s="72"/>
      <c r="JE51" s="72"/>
      <c r="JF51" s="72"/>
      <c r="JG51" s="72"/>
      <c r="JH51" s="72"/>
      <c r="JI51" s="71"/>
      <c r="JJ51" s="71"/>
      <c r="JK51" s="72"/>
      <c r="JL51" s="72"/>
      <c r="JM51" s="72"/>
      <c r="JN51" s="72"/>
    </row>
    <row r="52" spans="1:274" ht="13.5" customHeight="1">
      <c r="A52" s="7">
        <v>40</v>
      </c>
      <c r="B52" s="7"/>
      <c r="C52" s="7" t="e">
        <f t="shared" si="25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/>
      <c r="L52" s="7"/>
      <c r="M52" s="7"/>
      <c r="N52" s="7"/>
      <c r="O52" s="7"/>
      <c r="P52" s="7"/>
      <c r="Q52" s="53"/>
      <c r="R52" s="7"/>
      <c r="S52" s="7"/>
      <c r="T52" s="53"/>
      <c r="U52" s="7"/>
      <c r="V52" s="7" t="e">
        <f t="shared" si="4"/>
        <v>#VALUE!</v>
      </c>
      <c r="W52" s="28"/>
      <c r="X52" s="7" t="e">
        <f t="shared" si="4"/>
        <v>#VALUE!</v>
      </c>
      <c r="Y52" s="28"/>
      <c r="Z52" s="7" t="e">
        <f t="shared" si="5"/>
        <v>#VALUE!</v>
      </c>
      <c r="AA52" s="28"/>
      <c r="AB52" s="7"/>
      <c r="AC52" s="7"/>
      <c r="AD52" s="7"/>
      <c r="AE52" s="7"/>
      <c r="AF52" s="7">
        <v>0</v>
      </c>
      <c r="AG52" s="7" t="e">
        <f t="shared" si="6"/>
        <v>#VALUE!</v>
      </c>
      <c r="AH52" s="28"/>
      <c r="AI52" s="7"/>
      <c r="AJ52" s="7" t="e">
        <f t="shared" si="7"/>
        <v>#VALUE!</v>
      </c>
      <c r="AK52" s="28"/>
      <c r="AL52" s="7" t="e">
        <f t="shared" si="8"/>
        <v>#VALUE!</v>
      </c>
      <c r="AM52" s="28"/>
      <c r="AN52" s="7" t="e">
        <f t="shared" si="9"/>
        <v>#VALUE!</v>
      </c>
      <c r="AO52" s="28"/>
      <c r="AP52" s="7">
        <f t="shared" si="10"/>
        <v>2</v>
      </c>
      <c r="AQ52" s="28" t="s">
        <v>2301</v>
      </c>
      <c r="AR52" s="7"/>
      <c r="AS52" s="7"/>
      <c r="AT52" s="7"/>
      <c r="AU52" s="7"/>
      <c r="AV52" s="7">
        <f t="shared" si="11"/>
        <v>4617</v>
      </c>
      <c r="AW52" s="28" t="s">
        <v>2302</v>
      </c>
      <c r="AX52" s="7">
        <v>1</v>
      </c>
      <c r="AY52" s="7" t="e">
        <f t="shared" si="12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3"/>
        <v>#VALUE!</v>
      </c>
      <c r="BG52" s="28"/>
      <c r="BH52" s="7" t="e">
        <f t="shared" si="14"/>
        <v>#VALUE!</v>
      </c>
      <c r="BI52" s="28"/>
      <c r="BJ52" s="7" t="e">
        <f t="shared" si="15"/>
        <v>#VALUE!</v>
      </c>
      <c r="BK52" s="28"/>
      <c r="BL52" s="7"/>
      <c r="BM52" s="7"/>
      <c r="BN52" s="7" t="e">
        <f t="shared" si="16"/>
        <v>#VALUE!</v>
      </c>
      <c r="BO52" s="28"/>
      <c r="BP52" s="7" t="e">
        <f t="shared" si="17"/>
        <v>#VALUE!</v>
      </c>
      <c r="BQ52" s="28"/>
      <c r="BR52" s="7"/>
      <c r="BS52" s="7" t="e">
        <f t="shared" si="18"/>
        <v>#VALUE!</v>
      </c>
      <c r="BT52" s="28"/>
      <c r="BU52" s="7"/>
      <c r="BV52" s="7" t="e">
        <f ca="1">[1]!tメーカー名(BU52)</f>
        <v>#NAME?</v>
      </c>
      <c r="BW52" s="7" t="e">
        <f t="shared" si="19"/>
        <v>#VALUE!</v>
      </c>
      <c r="BX52" s="28"/>
      <c r="BY52" s="7" t="e">
        <f t="shared" si="20"/>
        <v>#VALUE!</v>
      </c>
      <c r="BZ52" s="28"/>
      <c r="CA52" s="54"/>
      <c r="CB52" s="54"/>
      <c r="CC52" s="7" t="e">
        <f t="shared" si="21"/>
        <v>#VALUE!</v>
      </c>
      <c r="CD52" s="28"/>
      <c r="CE52" s="7" t="e">
        <f t="shared" si="22"/>
        <v>#VALUE!</v>
      </c>
      <c r="CF52" s="28"/>
      <c r="CG52" s="7" t="e">
        <f t="shared" si="23"/>
        <v>#VALUE!</v>
      </c>
      <c r="CH52" s="28"/>
      <c r="CI52" s="7" t="e">
        <f t="shared" si="24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6">
        <f t="shared" si="26"/>
        <v>0</v>
      </c>
      <c r="CT52" s="7"/>
      <c r="CU52" s="7"/>
      <c r="CV52" s="97"/>
      <c r="CW52" s="97"/>
      <c r="CX52" s="97"/>
      <c r="CY52" s="98"/>
      <c r="CZ52" s="98"/>
      <c r="DA52" s="97"/>
      <c r="DB52" s="98"/>
      <c r="DC52" s="97"/>
      <c r="DD52" s="97" t="s">
        <v>1712</v>
      </c>
      <c r="DE52" s="97" t="s">
        <v>1682</v>
      </c>
      <c r="DF52" s="98"/>
      <c r="DG52" s="98"/>
      <c r="DH52" s="98"/>
      <c r="DI52" s="98"/>
      <c r="DJ52" s="98"/>
      <c r="DK52" s="98"/>
      <c r="DL52" s="98"/>
      <c r="DM52" s="97"/>
      <c r="DN52" s="97"/>
      <c r="DO52" s="97"/>
      <c r="DP52" s="97"/>
      <c r="DQ52" s="97"/>
      <c r="DR52" s="97"/>
      <c r="DS52" s="97"/>
      <c r="DT52" s="99"/>
      <c r="DU52" s="98"/>
      <c r="DV52" s="97"/>
      <c r="DW52" s="97"/>
      <c r="DX52" s="97"/>
      <c r="DY52" s="97"/>
      <c r="DZ52" s="97"/>
      <c r="EA52" s="97"/>
      <c r="EB52" s="97"/>
      <c r="EC52" s="97"/>
      <c r="ED52" s="97"/>
      <c r="EE52" s="97"/>
      <c r="EF52" s="97"/>
      <c r="EG52" s="97"/>
      <c r="EH52" s="97"/>
      <c r="EI52" s="97"/>
      <c r="EJ52" s="97"/>
      <c r="EK52" s="97"/>
      <c r="EL52" s="97"/>
      <c r="EM52" s="97"/>
      <c r="EN52" s="97"/>
      <c r="EO52" s="97"/>
      <c r="EP52" s="97"/>
      <c r="EQ52" s="97"/>
      <c r="ER52" s="97"/>
      <c r="ES52" s="97"/>
      <c r="ET52" s="97"/>
      <c r="EU52" s="97"/>
      <c r="EV52" s="97"/>
      <c r="EW52" s="97"/>
      <c r="EX52" s="97"/>
      <c r="EY52" s="97"/>
      <c r="EZ52" s="97"/>
      <c r="FA52" s="97"/>
      <c r="FB52" s="97"/>
      <c r="FC52" s="97"/>
      <c r="FD52" s="97"/>
      <c r="FE52" s="97"/>
      <c r="FF52" s="97"/>
      <c r="FG52" s="97"/>
      <c r="FH52" s="97"/>
      <c r="FI52" s="97"/>
      <c r="FJ52" s="97"/>
      <c r="FK52" s="97"/>
      <c r="FL52" s="97"/>
      <c r="FM52" s="97"/>
      <c r="FN52" s="97"/>
      <c r="FO52" s="97"/>
      <c r="FP52" s="97"/>
      <c r="FQ52" s="97"/>
      <c r="FR52" s="97"/>
      <c r="FS52" s="97"/>
      <c r="FT52" s="97"/>
      <c r="FU52" s="97"/>
      <c r="FV52" s="97"/>
      <c r="FW52" s="97"/>
      <c r="FX52" s="97"/>
      <c r="FY52" s="6"/>
      <c r="FZ52" s="7" t="str">
        <f>IF(FY52="","",VLOOKUP(FY52,MT商品ﾏｽﾀ参照シート!AM:AN,2,0))</f>
        <v/>
      </c>
      <c r="GA52" s="8"/>
      <c r="GB52" s="8"/>
      <c r="GC52" s="8"/>
      <c r="GD52" s="8"/>
      <c r="GE52" s="58"/>
      <c r="GF52" s="7" t="str">
        <f>IF(GE52="","",VLOOKUP(GE52,MT商品ﾏｽﾀ参照シート!AO:AP,2,0))</f>
        <v/>
      </c>
      <c r="GG52" s="7"/>
      <c r="GH52" s="7"/>
      <c r="GI52" s="7"/>
      <c r="GJ52" s="7"/>
      <c r="GK52" s="49"/>
      <c r="GL52" s="6"/>
      <c r="GM52" s="6"/>
      <c r="GN52" s="7"/>
      <c r="GO52" s="7"/>
      <c r="GP52" s="7"/>
      <c r="GQ52" s="7"/>
      <c r="GR52" s="7">
        <v>3230</v>
      </c>
      <c r="GS52" s="7">
        <v>3800</v>
      </c>
      <c r="GT52" s="7">
        <v>3800</v>
      </c>
      <c r="GU52" s="7">
        <v>3800</v>
      </c>
      <c r="GV52" s="7">
        <v>3800</v>
      </c>
      <c r="GW52" s="8"/>
      <c r="GX52" s="8"/>
      <c r="GY52" s="8"/>
      <c r="GZ52" s="8"/>
      <c r="HA52" s="8"/>
      <c r="HB52" s="8"/>
      <c r="HC52" s="8"/>
      <c r="HD52" s="8"/>
      <c r="HE52" s="58"/>
      <c r="HF52" s="58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82"/>
      <c r="HR52" s="82"/>
      <c r="HS52" s="82"/>
      <c r="HT52" s="26"/>
      <c r="HU52" s="23"/>
      <c r="HV52" s="23"/>
      <c r="HW52" s="24"/>
      <c r="HX52" s="24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76"/>
      <c r="IY52" s="76"/>
      <c r="IZ52" s="76"/>
      <c r="JA52" s="71"/>
      <c r="JB52" s="71"/>
      <c r="JC52" s="72"/>
      <c r="JD52" s="72"/>
      <c r="JE52" s="72"/>
      <c r="JF52" s="72"/>
      <c r="JG52" s="72"/>
      <c r="JH52" s="72"/>
      <c r="JI52" s="71"/>
      <c r="JJ52" s="71"/>
      <c r="JK52" s="72"/>
      <c r="JL52" s="72"/>
      <c r="JM52" s="72"/>
      <c r="JN52" s="72"/>
    </row>
    <row r="53" spans="1:274" ht="13.5" customHeight="1">
      <c r="A53" s="7">
        <v>41</v>
      </c>
      <c r="B53" s="7"/>
      <c r="C53" s="7" t="e">
        <f t="shared" si="25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/>
      <c r="L53" s="7"/>
      <c r="M53" s="7"/>
      <c r="N53" s="7"/>
      <c r="O53" s="7"/>
      <c r="P53" s="7"/>
      <c r="Q53" s="53"/>
      <c r="R53" s="7"/>
      <c r="S53" s="7"/>
      <c r="T53" s="53"/>
      <c r="U53" s="7"/>
      <c r="V53" s="7" t="e">
        <f t="shared" si="4"/>
        <v>#VALUE!</v>
      </c>
      <c r="W53" s="28"/>
      <c r="X53" s="7" t="e">
        <f t="shared" si="4"/>
        <v>#VALUE!</v>
      </c>
      <c r="Y53" s="28"/>
      <c r="Z53" s="7" t="e">
        <f t="shared" si="5"/>
        <v>#VALUE!</v>
      </c>
      <c r="AA53" s="28"/>
      <c r="AB53" s="7"/>
      <c r="AC53" s="7"/>
      <c r="AD53" s="7"/>
      <c r="AE53" s="7"/>
      <c r="AF53" s="7">
        <v>0</v>
      </c>
      <c r="AG53" s="7" t="e">
        <f t="shared" si="6"/>
        <v>#VALUE!</v>
      </c>
      <c r="AH53" s="28"/>
      <c r="AI53" s="7"/>
      <c r="AJ53" s="7" t="e">
        <f t="shared" si="7"/>
        <v>#VALUE!</v>
      </c>
      <c r="AK53" s="28"/>
      <c r="AL53" s="7" t="e">
        <f t="shared" si="8"/>
        <v>#VALUE!</v>
      </c>
      <c r="AM53" s="28"/>
      <c r="AN53" s="7" t="e">
        <f t="shared" si="9"/>
        <v>#VALUE!</v>
      </c>
      <c r="AO53" s="28"/>
      <c r="AP53" s="7">
        <f t="shared" si="10"/>
        <v>2</v>
      </c>
      <c r="AQ53" s="28" t="s">
        <v>2301</v>
      </c>
      <c r="AR53" s="7"/>
      <c r="AS53" s="7"/>
      <c r="AT53" s="7"/>
      <c r="AU53" s="7"/>
      <c r="AV53" s="7">
        <f t="shared" si="11"/>
        <v>4617</v>
      </c>
      <c r="AW53" s="28" t="s">
        <v>2302</v>
      </c>
      <c r="AX53" s="7">
        <v>1</v>
      </c>
      <c r="AY53" s="7" t="e">
        <f t="shared" si="12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3"/>
        <v>#VALUE!</v>
      </c>
      <c r="BG53" s="28"/>
      <c r="BH53" s="7" t="e">
        <f t="shared" si="14"/>
        <v>#VALUE!</v>
      </c>
      <c r="BI53" s="28"/>
      <c r="BJ53" s="7" t="e">
        <f t="shared" si="15"/>
        <v>#VALUE!</v>
      </c>
      <c r="BK53" s="28"/>
      <c r="BL53" s="7"/>
      <c r="BM53" s="7"/>
      <c r="BN53" s="7" t="e">
        <f t="shared" si="16"/>
        <v>#VALUE!</v>
      </c>
      <c r="BO53" s="28"/>
      <c r="BP53" s="7" t="e">
        <f t="shared" si="17"/>
        <v>#VALUE!</v>
      </c>
      <c r="BQ53" s="28"/>
      <c r="BR53" s="7"/>
      <c r="BS53" s="7" t="e">
        <f t="shared" si="18"/>
        <v>#VALUE!</v>
      </c>
      <c r="BT53" s="28"/>
      <c r="BU53" s="7"/>
      <c r="BV53" s="7" t="e">
        <f ca="1">[1]!tメーカー名(BU53)</f>
        <v>#NAME?</v>
      </c>
      <c r="BW53" s="7" t="e">
        <f t="shared" si="19"/>
        <v>#VALUE!</v>
      </c>
      <c r="BX53" s="28"/>
      <c r="BY53" s="7" t="e">
        <f t="shared" si="20"/>
        <v>#VALUE!</v>
      </c>
      <c r="BZ53" s="28"/>
      <c r="CA53" s="54"/>
      <c r="CB53" s="54"/>
      <c r="CC53" s="7" t="e">
        <f t="shared" si="21"/>
        <v>#VALUE!</v>
      </c>
      <c r="CD53" s="28"/>
      <c r="CE53" s="7" t="e">
        <f t="shared" si="22"/>
        <v>#VALUE!</v>
      </c>
      <c r="CF53" s="28"/>
      <c r="CG53" s="7" t="e">
        <f t="shared" si="23"/>
        <v>#VALUE!</v>
      </c>
      <c r="CH53" s="28"/>
      <c r="CI53" s="7" t="e">
        <f t="shared" si="24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6">
        <f t="shared" si="26"/>
        <v>0</v>
      </c>
      <c r="CT53" s="7"/>
      <c r="CU53" s="7"/>
      <c r="CV53" s="97"/>
      <c r="CW53" s="97"/>
      <c r="CX53" s="97"/>
      <c r="CY53" s="98"/>
      <c r="CZ53" s="98"/>
      <c r="DA53" s="97"/>
      <c r="DB53" s="98"/>
      <c r="DC53" s="97"/>
      <c r="DD53" s="97" t="s">
        <v>1713</v>
      </c>
      <c r="DE53" s="97" t="s">
        <v>1682</v>
      </c>
      <c r="DF53" s="98"/>
      <c r="DG53" s="98"/>
      <c r="DH53" s="98"/>
      <c r="DI53" s="98"/>
      <c r="DJ53" s="98"/>
      <c r="DK53" s="98"/>
      <c r="DL53" s="98"/>
      <c r="DM53" s="97"/>
      <c r="DN53" s="97"/>
      <c r="DO53" s="97"/>
      <c r="DP53" s="97"/>
      <c r="DQ53" s="97"/>
      <c r="DR53" s="97"/>
      <c r="DS53" s="97"/>
      <c r="DT53" s="99"/>
      <c r="DU53" s="98"/>
      <c r="DV53" s="97"/>
      <c r="DW53" s="97"/>
      <c r="DX53" s="97"/>
      <c r="DY53" s="97"/>
      <c r="DZ53" s="97"/>
      <c r="EA53" s="97"/>
      <c r="EB53" s="97"/>
      <c r="EC53" s="97"/>
      <c r="ED53" s="97"/>
      <c r="EE53" s="97"/>
      <c r="EF53" s="97"/>
      <c r="EG53" s="97"/>
      <c r="EH53" s="97"/>
      <c r="EI53" s="97"/>
      <c r="EJ53" s="97"/>
      <c r="EK53" s="97"/>
      <c r="EL53" s="97"/>
      <c r="EM53" s="97"/>
      <c r="EN53" s="97"/>
      <c r="EO53" s="97"/>
      <c r="EP53" s="97"/>
      <c r="EQ53" s="97"/>
      <c r="ER53" s="97"/>
      <c r="ES53" s="97"/>
      <c r="ET53" s="97"/>
      <c r="EU53" s="97"/>
      <c r="EV53" s="97"/>
      <c r="EW53" s="97"/>
      <c r="EX53" s="97"/>
      <c r="EY53" s="97"/>
      <c r="EZ53" s="97"/>
      <c r="FA53" s="97"/>
      <c r="FB53" s="97"/>
      <c r="FC53" s="97"/>
      <c r="FD53" s="97"/>
      <c r="FE53" s="97"/>
      <c r="FF53" s="97"/>
      <c r="FG53" s="97"/>
      <c r="FH53" s="97"/>
      <c r="FI53" s="97"/>
      <c r="FJ53" s="97"/>
      <c r="FK53" s="97"/>
      <c r="FL53" s="97"/>
      <c r="FM53" s="97"/>
      <c r="FN53" s="97"/>
      <c r="FO53" s="97"/>
      <c r="FP53" s="97"/>
      <c r="FQ53" s="97"/>
      <c r="FR53" s="97"/>
      <c r="FS53" s="97"/>
      <c r="FT53" s="97"/>
      <c r="FU53" s="97"/>
      <c r="FV53" s="97"/>
      <c r="FW53" s="97"/>
      <c r="FX53" s="97"/>
      <c r="FY53" s="6"/>
      <c r="FZ53" s="7" t="str">
        <f>IF(FY53="","",VLOOKUP(FY53,MT商品ﾏｽﾀ参照シート!AM:AN,2,0))</f>
        <v/>
      </c>
      <c r="GA53" s="8"/>
      <c r="GB53" s="8"/>
      <c r="GC53" s="8"/>
      <c r="GD53" s="8"/>
      <c r="GE53" s="58"/>
      <c r="GF53" s="7" t="str">
        <f>IF(GE53="","",VLOOKUP(GE53,MT商品ﾏｽﾀ参照シート!AO:AP,2,0))</f>
        <v/>
      </c>
      <c r="GG53" s="7"/>
      <c r="GH53" s="7"/>
      <c r="GI53" s="7"/>
      <c r="GJ53" s="7"/>
      <c r="GK53" s="49"/>
      <c r="GL53" s="6"/>
      <c r="GM53" s="6"/>
      <c r="GN53" s="7"/>
      <c r="GO53" s="7"/>
      <c r="GP53" s="7"/>
      <c r="GQ53" s="7"/>
      <c r="GR53" s="7">
        <v>2975</v>
      </c>
      <c r="GS53" s="7">
        <v>3500</v>
      </c>
      <c r="GT53" s="7">
        <v>3500</v>
      </c>
      <c r="GU53" s="7">
        <v>3500</v>
      </c>
      <c r="GV53" s="7">
        <v>3500</v>
      </c>
      <c r="GW53" s="8"/>
      <c r="GX53" s="8"/>
      <c r="GY53" s="8"/>
      <c r="GZ53" s="8"/>
      <c r="HA53" s="8"/>
      <c r="HB53" s="8"/>
      <c r="HC53" s="8"/>
      <c r="HD53" s="8"/>
      <c r="HE53" s="58"/>
      <c r="HF53" s="58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82"/>
      <c r="HR53" s="82"/>
      <c r="HS53" s="82"/>
      <c r="HT53" s="26"/>
      <c r="HU53" s="23"/>
      <c r="HV53" s="23"/>
      <c r="HW53" s="24"/>
      <c r="HX53" s="24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76"/>
      <c r="IY53" s="76"/>
      <c r="IZ53" s="76"/>
      <c r="JA53" s="71"/>
      <c r="JB53" s="71"/>
      <c r="JC53" s="72"/>
      <c r="JD53" s="72"/>
      <c r="JE53" s="72"/>
      <c r="JF53" s="72"/>
      <c r="JG53" s="72"/>
      <c r="JH53" s="72"/>
      <c r="JI53" s="71"/>
      <c r="JJ53" s="71"/>
      <c r="JK53" s="72"/>
      <c r="JL53" s="72"/>
      <c r="JM53" s="72"/>
      <c r="JN53" s="72"/>
    </row>
    <row r="54" spans="1:274" ht="13.5" customHeight="1">
      <c r="A54" s="7">
        <v>42</v>
      </c>
      <c r="B54" s="7"/>
      <c r="C54" s="7" t="e">
        <f t="shared" si="25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/>
      <c r="L54" s="7"/>
      <c r="M54" s="7"/>
      <c r="N54" s="7"/>
      <c r="O54" s="7"/>
      <c r="P54" s="7"/>
      <c r="Q54" s="53"/>
      <c r="R54" s="7"/>
      <c r="S54" s="7"/>
      <c r="T54" s="53"/>
      <c r="U54" s="7"/>
      <c r="V54" s="7" t="e">
        <f t="shared" si="4"/>
        <v>#VALUE!</v>
      </c>
      <c r="W54" s="28"/>
      <c r="X54" s="7" t="e">
        <f t="shared" si="4"/>
        <v>#VALUE!</v>
      </c>
      <c r="Y54" s="28"/>
      <c r="Z54" s="7" t="e">
        <f t="shared" si="5"/>
        <v>#VALUE!</v>
      </c>
      <c r="AA54" s="28"/>
      <c r="AB54" s="7"/>
      <c r="AC54" s="7"/>
      <c r="AD54" s="7"/>
      <c r="AE54" s="7"/>
      <c r="AF54" s="7">
        <v>0</v>
      </c>
      <c r="AG54" s="7" t="e">
        <f t="shared" si="6"/>
        <v>#VALUE!</v>
      </c>
      <c r="AH54" s="28"/>
      <c r="AI54" s="7"/>
      <c r="AJ54" s="7" t="e">
        <f t="shared" si="7"/>
        <v>#VALUE!</v>
      </c>
      <c r="AK54" s="28"/>
      <c r="AL54" s="7" t="e">
        <f t="shared" si="8"/>
        <v>#VALUE!</v>
      </c>
      <c r="AM54" s="28"/>
      <c r="AN54" s="7" t="e">
        <f t="shared" si="9"/>
        <v>#VALUE!</v>
      </c>
      <c r="AO54" s="28"/>
      <c r="AP54" s="7">
        <f t="shared" si="10"/>
        <v>2</v>
      </c>
      <c r="AQ54" s="28" t="s">
        <v>2301</v>
      </c>
      <c r="AR54" s="7"/>
      <c r="AS54" s="7"/>
      <c r="AT54" s="7"/>
      <c r="AU54" s="7"/>
      <c r="AV54" s="7">
        <f t="shared" si="11"/>
        <v>4617</v>
      </c>
      <c r="AW54" s="28" t="s">
        <v>2302</v>
      </c>
      <c r="AX54" s="7">
        <v>1</v>
      </c>
      <c r="AY54" s="7" t="e">
        <f t="shared" si="12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3"/>
        <v>#VALUE!</v>
      </c>
      <c r="BG54" s="28"/>
      <c r="BH54" s="7" t="e">
        <f t="shared" si="14"/>
        <v>#VALUE!</v>
      </c>
      <c r="BI54" s="28"/>
      <c r="BJ54" s="7" t="e">
        <f t="shared" si="15"/>
        <v>#VALUE!</v>
      </c>
      <c r="BK54" s="28"/>
      <c r="BL54" s="7"/>
      <c r="BM54" s="7"/>
      <c r="BN54" s="7" t="e">
        <f t="shared" si="16"/>
        <v>#VALUE!</v>
      </c>
      <c r="BO54" s="28"/>
      <c r="BP54" s="7" t="e">
        <f t="shared" si="17"/>
        <v>#VALUE!</v>
      </c>
      <c r="BQ54" s="28"/>
      <c r="BR54" s="7"/>
      <c r="BS54" s="7" t="e">
        <f t="shared" si="18"/>
        <v>#VALUE!</v>
      </c>
      <c r="BT54" s="28"/>
      <c r="BU54" s="7"/>
      <c r="BV54" s="7" t="e">
        <f ca="1">[1]!tメーカー名(BU54)</f>
        <v>#NAME?</v>
      </c>
      <c r="BW54" s="7" t="e">
        <f t="shared" si="19"/>
        <v>#VALUE!</v>
      </c>
      <c r="BX54" s="28"/>
      <c r="BY54" s="7" t="e">
        <f t="shared" si="20"/>
        <v>#VALUE!</v>
      </c>
      <c r="BZ54" s="28"/>
      <c r="CA54" s="54"/>
      <c r="CB54" s="54"/>
      <c r="CC54" s="7" t="e">
        <f t="shared" si="21"/>
        <v>#VALUE!</v>
      </c>
      <c r="CD54" s="28"/>
      <c r="CE54" s="7" t="e">
        <f t="shared" si="22"/>
        <v>#VALUE!</v>
      </c>
      <c r="CF54" s="28"/>
      <c r="CG54" s="7" t="e">
        <f t="shared" si="23"/>
        <v>#VALUE!</v>
      </c>
      <c r="CH54" s="28"/>
      <c r="CI54" s="7" t="e">
        <f t="shared" si="24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6">
        <f t="shared" si="26"/>
        <v>0</v>
      </c>
      <c r="CT54" s="7"/>
      <c r="CU54" s="7"/>
      <c r="CV54" s="97"/>
      <c r="CW54" s="97"/>
      <c r="CX54" s="97"/>
      <c r="CY54" s="98"/>
      <c r="CZ54" s="98"/>
      <c r="DA54" s="97"/>
      <c r="DB54" s="98"/>
      <c r="DC54" s="97"/>
      <c r="DD54" s="97" t="s">
        <v>1714</v>
      </c>
      <c r="DE54" s="97" t="s">
        <v>1682</v>
      </c>
      <c r="DF54" s="98"/>
      <c r="DG54" s="98"/>
      <c r="DH54" s="98"/>
      <c r="DI54" s="98"/>
      <c r="DJ54" s="98"/>
      <c r="DK54" s="98"/>
      <c r="DL54" s="98"/>
      <c r="DM54" s="97"/>
      <c r="DN54" s="97"/>
      <c r="DO54" s="97"/>
      <c r="DP54" s="97"/>
      <c r="DQ54" s="97"/>
      <c r="DR54" s="97"/>
      <c r="DS54" s="97"/>
      <c r="DT54" s="99"/>
      <c r="DU54" s="98"/>
      <c r="DV54" s="97"/>
      <c r="DW54" s="97"/>
      <c r="DX54" s="97"/>
      <c r="DY54" s="97"/>
      <c r="DZ54" s="97"/>
      <c r="EA54" s="97"/>
      <c r="EB54" s="97"/>
      <c r="EC54" s="97"/>
      <c r="ED54" s="97"/>
      <c r="EE54" s="97"/>
      <c r="EF54" s="97"/>
      <c r="EG54" s="97"/>
      <c r="EH54" s="97"/>
      <c r="EI54" s="97"/>
      <c r="EJ54" s="97"/>
      <c r="EK54" s="97"/>
      <c r="EL54" s="97"/>
      <c r="EM54" s="97"/>
      <c r="EN54" s="97"/>
      <c r="EO54" s="97"/>
      <c r="EP54" s="97"/>
      <c r="EQ54" s="97"/>
      <c r="ER54" s="97"/>
      <c r="ES54" s="97"/>
      <c r="ET54" s="97"/>
      <c r="EU54" s="97"/>
      <c r="EV54" s="97"/>
      <c r="EW54" s="97"/>
      <c r="EX54" s="97"/>
      <c r="EY54" s="97"/>
      <c r="EZ54" s="97"/>
      <c r="FA54" s="97"/>
      <c r="FB54" s="97"/>
      <c r="FC54" s="97"/>
      <c r="FD54" s="97"/>
      <c r="FE54" s="97"/>
      <c r="FF54" s="97"/>
      <c r="FG54" s="97"/>
      <c r="FH54" s="97"/>
      <c r="FI54" s="97"/>
      <c r="FJ54" s="97"/>
      <c r="FK54" s="97"/>
      <c r="FL54" s="97"/>
      <c r="FM54" s="97"/>
      <c r="FN54" s="97"/>
      <c r="FO54" s="97"/>
      <c r="FP54" s="97"/>
      <c r="FQ54" s="97"/>
      <c r="FR54" s="97"/>
      <c r="FS54" s="97"/>
      <c r="FT54" s="97"/>
      <c r="FU54" s="97"/>
      <c r="FV54" s="97"/>
      <c r="FW54" s="97"/>
      <c r="FX54" s="97"/>
      <c r="FY54" s="6"/>
      <c r="FZ54" s="7" t="str">
        <f>IF(FY54="","",VLOOKUP(FY54,MT商品ﾏｽﾀ参照シート!AM:AN,2,0))</f>
        <v/>
      </c>
      <c r="GA54" s="8"/>
      <c r="GB54" s="8"/>
      <c r="GC54" s="8"/>
      <c r="GD54" s="8"/>
      <c r="GE54" s="58"/>
      <c r="GF54" s="7" t="str">
        <f>IF(GE54="","",VLOOKUP(GE54,MT商品ﾏｽﾀ参照シート!AO:AP,2,0))</f>
        <v/>
      </c>
      <c r="GG54" s="7"/>
      <c r="GH54" s="7"/>
      <c r="GI54" s="7"/>
      <c r="GJ54" s="7"/>
      <c r="GK54" s="49"/>
      <c r="GL54" s="6"/>
      <c r="GM54" s="6"/>
      <c r="GN54" s="7"/>
      <c r="GO54" s="7"/>
      <c r="GP54" s="7"/>
      <c r="GQ54" s="7"/>
      <c r="GR54" s="7">
        <v>2465</v>
      </c>
      <c r="GS54" s="7">
        <v>2900</v>
      </c>
      <c r="GT54" s="7">
        <v>2900</v>
      </c>
      <c r="GU54" s="7">
        <v>2900</v>
      </c>
      <c r="GV54" s="7">
        <v>2900</v>
      </c>
      <c r="GW54" s="8"/>
      <c r="GX54" s="8"/>
      <c r="GY54" s="8"/>
      <c r="GZ54" s="8"/>
      <c r="HA54" s="8"/>
      <c r="HB54" s="8"/>
      <c r="HC54" s="8"/>
      <c r="HD54" s="8"/>
      <c r="HE54" s="58"/>
      <c r="HF54" s="58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82"/>
      <c r="HR54" s="82"/>
      <c r="HS54" s="82"/>
      <c r="HT54" s="26"/>
      <c r="HU54" s="23"/>
      <c r="HV54" s="23"/>
      <c r="HW54" s="24"/>
      <c r="HX54" s="24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76"/>
      <c r="IY54" s="76"/>
      <c r="IZ54" s="76"/>
      <c r="JA54" s="71"/>
      <c r="JB54" s="71"/>
      <c r="JC54" s="72"/>
      <c r="JD54" s="72"/>
      <c r="JE54" s="72"/>
      <c r="JF54" s="72"/>
      <c r="JG54" s="72"/>
      <c r="JH54" s="72"/>
      <c r="JI54" s="71"/>
      <c r="JJ54" s="71"/>
      <c r="JK54" s="72"/>
      <c r="JL54" s="72"/>
      <c r="JM54" s="72"/>
      <c r="JN54" s="72"/>
    </row>
    <row r="55" spans="1:274" ht="13.5" customHeight="1">
      <c r="A55" s="7">
        <v>43</v>
      </c>
      <c r="B55" s="7"/>
      <c r="C55" s="7" t="e">
        <f t="shared" si="25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/>
      <c r="L55" s="7"/>
      <c r="M55" s="7"/>
      <c r="N55" s="7"/>
      <c r="O55" s="7"/>
      <c r="P55" s="7"/>
      <c r="Q55" s="53"/>
      <c r="R55" s="7"/>
      <c r="S55" s="7"/>
      <c r="T55" s="53"/>
      <c r="U55" s="7"/>
      <c r="V55" s="7" t="e">
        <f t="shared" si="4"/>
        <v>#VALUE!</v>
      </c>
      <c r="W55" s="28"/>
      <c r="X55" s="7" t="e">
        <f t="shared" si="4"/>
        <v>#VALUE!</v>
      </c>
      <c r="Y55" s="28"/>
      <c r="Z55" s="7" t="e">
        <f t="shared" si="5"/>
        <v>#VALUE!</v>
      </c>
      <c r="AA55" s="28"/>
      <c r="AB55" s="7"/>
      <c r="AC55" s="7"/>
      <c r="AD55" s="7"/>
      <c r="AE55" s="7"/>
      <c r="AF55" s="7">
        <v>0</v>
      </c>
      <c r="AG55" s="7" t="e">
        <f t="shared" si="6"/>
        <v>#VALUE!</v>
      </c>
      <c r="AH55" s="28"/>
      <c r="AI55" s="7"/>
      <c r="AJ55" s="7" t="e">
        <f t="shared" si="7"/>
        <v>#VALUE!</v>
      </c>
      <c r="AK55" s="28"/>
      <c r="AL55" s="7" t="e">
        <f t="shared" si="8"/>
        <v>#VALUE!</v>
      </c>
      <c r="AM55" s="28"/>
      <c r="AN55" s="7" t="e">
        <f t="shared" si="9"/>
        <v>#VALUE!</v>
      </c>
      <c r="AO55" s="28"/>
      <c r="AP55" s="7">
        <f t="shared" si="10"/>
        <v>2</v>
      </c>
      <c r="AQ55" s="28" t="s">
        <v>2301</v>
      </c>
      <c r="AR55" s="7"/>
      <c r="AS55" s="7"/>
      <c r="AT55" s="7"/>
      <c r="AU55" s="7"/>
      <c r="AV55" s="7">
        <f t="shared" si="11"/>
        <v>4617</v>
      </c>
      <c r="AW55" s="28" t="s">
        <v>2302</v>
      </c>
      <c r="AX55" s="7">
        <v>1</v>
      </c>
      <c r="AY55" s="7" t="e">
        <f t="shared" si="12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3"/>
        <v>#VALUE!</v>
      </c>
      <c r="BG55" s="28"/>
      <c r="BH55" s="7" t="e">
        <f t="shared" si="14"/>
        <v>#VALUE!</v>
      </c>
      <c r="BI55" s="28"/>
      <c r="BJ55" s="7" t="e">
        <f t="shared" si="15"/>
        <v>#VALUE!</v>
      </c>
      <c r="BK55" s="28"/>
      <c r="BL55" s="7"/>
      <c r="BM55" s="7"/>
      <c r="BN55" s="7" t="e">
        <f t="shared" si="16"/>
        <v>#VALUE!</v>
      </c>
      <c r="BO55" s="28"/>
      <c r="BP55" s="7" t="e">
        <f t="shared" si="17"/>
        <v>#VALUE!</v>
      </c>
      <c r="BQ55" s="28"/>
      <c r="BR55" s="7"/>
      <c r="BS55" s="7" t="e">
        <f t="shared" si="18"/>
        <v>#VALUE!</v>
      </c>
      <c r="BT55" s="28"/>
      <c r="BU55" s="7"/>
      <c r="BV55" s="7" t="e">
        <f ca="1">[1]!tメーカー名(BU55)</f>
        <v>#NAME?</v>
      </c>
      <c r="BW55" s="7" t="e">
        <f t="shared" si="19"/>
        <v>#VALUE!</v>
      </c>
      <c r="BX55" s="28"/>
      <c r="BY55" s="7" t="e">
        <f t="shared" si="20"/>
        <v>#VALUE!</v>
      </c>
      <c r="BZ55" s="28"/>
      <c r="CA55" s="54"/>
      <c r="CB55" s="54"/>
      <c r="CC55" s="7" t="e">
        <f t="shared" si="21"/>
        <v>#VALUE!</v>
      </c>
      <c r="CD55" s="28"/>
      <c r="CE55" s="7" t="e">
        <f t="shared" si="22"/>
        <v>#VALUE!</v>
      </c>
      <c r="CF55" s="28"/>
      <c r="CG55" s="7" t="e">
        <f t="shared" si="23"/>
        <v>#VALUE!</v>
      </c>
      <c r="CH55" s="28"/>
      <c r="CI55" s="7" t="e">
        <f t="shared" si="24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6">
        <f t="shared" si="26"/>
        <v>0</v>
      </c>
      <c r="CT55" s="7"/>
      <c r="CU55" s="7"/>
      <c r="CV55" s="97"/>
      <c r="CW55" s="97"/>
      <c r="CX55" s="97"/>
      <c r="CY55" s="98"/>
      <c r="CZ55" s="98"/>
      <c r="DA55" s="97"/>
      <c r="DB55" s="98"/>
      <c r="DC55" s="97"/>
      <c r="DD55" s="97"/>
      <c r="DE55" s="97" t="s">
        <v>1682</v>
      </c>
      <c r="DF55" s="98"/>
      <c r="DG55" s="98"/>
      <c r="DH55" s="98"/>
      <c r="DI55" s="98"/>
      <c r="DJ55" s="98"/>
      <c r="DK55" s="98"/>
      <c r="DL55" s="98"/>
      <c r="DM55" s="97"/>
      <c r="DN55" s="97"/>
      <c r="DO55" s="97"/>
      <c r="DP55" s="97"/>
      <c r="DQ55" s="97"/>
      <c r="DR55" s="97"/>
      <c r="DS55" s="97"/>
      <c r="DT55" s="99"/>
      <c r="DU55" s="98"/>
      <c r="DV55" s="97"/>
      <c r="DW55" s="97"/>
      <c r="DX55" s="97"/>
      <c r="DY55" s="97"/>
      <c r="DZ55" s="97"/>
      <c r="EA55" s="97"/>
      <c r="EB55" s="97"/>
      <c r="EC55" s="97"/>
      <c r="ED55" s="97"/>
      <c r="EE55" s="97"/>
      <c r="EF55" s="97"/>
      <c r="EG55" s="97"/>
      <c r="EH55" s="97"/>
      <c r="EI55" s="97"/>
      <c r="EJ55" s="97"/>
      <c r="EK55" s="97"/>
      <c r="EL55" s="97"/>
      <c r="EM55" s="97"/>
      <c r="EN55" s="97"/>
      <c r="EO55" s="97"/>
      <c r="EP55" s="97"/>
      <c r="EQ55" s="97"/>
      <c r="ER55" s="97"/>
      <c r="ES55" s="97"/>
      <c r="ET55" s="97"/>
      <c r="EU55" s="97"/>
      <c r="EV55" s="97"/>
      <c r="EW55" s="97"/>
      <c r="EX55" s="97"/>
      <c r="EY55" s="97"/>
      <c r="EZ55" s="97"/>
      <c r="FA55" s="97"/>
      <c r="FB55" s="97"/>
      <c r="FC55" s="97"/>
      <c r="FD55" s="97"/>
      <c r="FE55" s="97"/>
      <c r="FF55" s="97"/>
      <c r="FG55" s="97"/>
      <c r="FH55" s="97"/>
      <c r="FI55" s="97"/>
      <c r="FJ55" s="97"/>
      <c r="FK55" s="97"/>
      <c r="FL55" s="97"/>
      <c r="FM55" s="97"/>
      <c r="FN55" s="97"/>
      <c r="FO55" s="97"/>
      <c r="FP55" s="97"/>
      <c r="FQ55" s="97"/>
      <c r="FR55" s="97"/>
      <c r="FS55" s="97"/>
      <c r="FT55" s="97"/>
      <c r="FU55" s="97"/>
      <c r="FV55" s="97"/>
      <c r="FW55" s="97"/>
      <c r="FX55" s="97"/>
      <c r="FY55" s="6"/>
      <c r="FZ55" s="7" t="str">
        <f>IF(FY55="","",VLOOKUP(FY55,MT商品ﾏｽﾀ参照シート!AM:AN,2,0))</f>
        <v/>
      </c>
      <c r="GA55" s="8"/>
      <c r="GB55" s="8"/>
      <c r="GC55" s="8"/>
      <c r="GD55" s="8"/>
      <c r="GE55" s="58"/>
      <c r="GF55" s="7" t="str">
        <f>IF(GE55="","",VLOOKUP(GE55,MT商品ﾏｽﾀ参照シート!AO:AP,2,0))</f>
        <v/>
      </c>
      <c r="GG55" s="7"/>
      <c r="GH55" s="7"/>
      <c r="GI55" s="7"/>
      <c r="GJ55" s="7"/>
      <c r="GK55" s="49"/>
      <c r="GL55" s="6"/>
      <c r="GM55" s="6"/>
      <c r="GN55" s="7"/>
      <c r="GO55" s="7"/>
      <c r="GP55" s="7"/>
      <c r="GQ55" s="7"/>
      <c r="GR55" s="7">
        <v>3022</v>
      </c>
      <c r="GS55" s="7">
        <v>3555</v>
      </c>
      <c r="GT55" s="7">
        <v>3555</v>
      </c>
      <c r="GU55" s="7">
        <v>3555</v>
      </c>
      <c r="GV55" s="7">
        <v>3555</v>
      </c>
      <c r="GW55" s="8"/>
      <c r="GX55" s="8"/>
      <c r="GY55" s="8"/>
      <c r="GZ55" s="8"/>
      <c r="HA55" s="8"/>
      <c r="HB55" s="8"/>
      <c r="HC55" s="8"/>
      <c r="HD55" s="8"/>
      <c r="HE55" s="58"/>
      <c r="HF55" s="58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82"/>
      <c r="HR55" s="82"/>
      <c r="HS55" s="82"/>
      <c r="HT55" s="26"/>
      <c r="HU55" s="23"/>
      <c r="HV55" s="23"/>
      <c r="HW55" s="24"/>
      <c r="HX55" s="24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76"/>
      <c r="IY55" s="76"/>
      <c r="IZ55" s="76"/>
      <c r="JA55" s="71"/>
      <c r="JB55" s="71"/>
      <c r="JC55" s="72"/>
      <c r="JD55" s="72"/>
      <c r="JE55" s="72"/>
      <c r="JF55" s="72"/>
      <c r="JG55" s="72"/>
      <c r="JH55" s="72"/>
      <c r="JI55" s="71"/>
      <c r="JJ55" s="71"/>
      <c r="JK55" s="72"/>
      <c r="JL55" s="72"/>
      <c r="JM55" s="72"/>
      <c r="JN55" s="72"/>
    </row>
    <row r="56" spans="1:274" ht="13.5" customHeight="1">
      <c r="A56" s="7">
        <v>44</v>
      </c>
      <c r="B56" s="7"/>
      <c r="C56" s="7" t="e">
        <f t="shared" si="25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/>
      <c r="L56" s="7"/>
      <c r="M56" s="7"/>
      <c r="N56" s="7"/>
      <c r="O56" s="7"/>
      <c r="P56" s="7"/>
      <c r="Q56" s="53"/>
      <c r="R56" s="7"/>
      <c r="S56" s="7"/>
      <c r="T56" s="53"/>
      <c r="U56" s="7"/>
      <c r="V56" s="7" t="e">
        <f t="shared" si="4"/>
        <v>#VALUE!</v>
      </c>
      <c r="W56" s="28"/>
      <c r="X56" s="7" t="e">
        <f t="shared" si="4"/>
        <v>#VALUE!</v>
      </c>
      <c r="Y56" s="28"/>
      <c r="Z56" s="7" t="e">
        <f t="shared" si="5"/>
        <v>#VALUE!</v>
      </c>
      <c r="AA56" s="28"/>
      <c r="AB56" s="7"/>
      <c r="AC56" s="7"/>
      <c r="AD56" s="7"/>
      <c r="AE56" s="7"/>
      <c r="AF56" s="7">
        <v>0</v>
      </c>
      <c r="AG56" s="7" t="e">
        <f t="shared" si="6"/>
        <v>#VALUE!</v>
      </c>
      <c r="AH56" s="28"/>
      <c r="AI56" s="7"/>
      <c r="AJ56" s="7" t="e">
        <f t="shared" si="7"/>
        <v>#VALUE!</v>
      </c>
      <c r="AK56" s="28"/>
      <c r="AL56" s="7" t="e">
        <f t="shared" si="8"/>
        <v>#VALUE!</v>
      </c>
      <c r="AM56" s="28"/>
      <c r="AN56" s="7" t="e">
        <f t="shared" si="9"/>
        <v>#VALUE!</v>
      </c>
      <c r="AO56" s="28"/>
      <c r="AP56" s="7">
        <f t="shared" si="10"/>
        <v>2</v>
      </c>
      <c r="AQ56" s="28" t="s">
        <v>2301</v>
      </c>
      <c r="AR56" s="7"/>
      <c r="AS56" s="7"/>
      <c r="AT56" s="7"/>
      <c r="AU56" s="7"/>
      <c r="AV56" s="7">
        <f t="shared" si="11"/>
        <v>4617</v>
      </c>
      <c r="AW56" s="28" t="s">
        <v>2302</v>
      </c>
      <c r="AX56" s="7">
        <v>1</v>
      </c>
      <c r="AY56" s="7" t="e">
        <f t="shared" si="12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3"/>
        <v>#VALUE!</v>
      </c>
      <c r="BG56" s="28"/>
      <c r="BH56" s="7" t="e">
        <f t="shared" si="14"/>
        <v>#VALUE!</v>
      </c>
      <c r="BI56" s="28"/>
      <c r="BJ56" s="7" t="e">
        <f t="shared" si="15"/>
        <v>#VALUE!</v>
      </c>
      <c r="BK56" s="28"/>
      <c r="BL56" s="7"/>
      <c r="BM56" s="7"/>
      <c r="BN56" s="7" t="e">
        <f t="shared" si="16"/>
        <v>#VALUE!</v>
      </c>
      <c r="BO56" s="28"/>
      <c r="BP56" s="7" t="e">
        <f t="shared" si="17"/>
        <v>#VALUE!</v>
      </c>
      <c r="BQ56" s="28"/>
      <c r="BR56" s="7"/>
      <c r="BS56" s="7" t="e">
        <f t="shared" si="18"/>
        <v>#VALUE!</v>
      </c>
      <c r="BT56" s="28"/>
      <c r="BU56" s="7"/>
      <c r="BV56" s="7" t="e">
        <f ca="1">[1]!tメーカー名(BU56)</f>
        <v>#NAME?</v>
      </c>
      <c r="BW56" s="7" t="e">
        <f t="shared" si="19"/>
        <v>#VALUE!</v>
      </c>
      <c r="BX56" s="28"/>
      <c r="BY56" s="7" t="e">
        <f t="shared" si="20"/>
        <v>#VALUE!</v>
      </c>
      <c r="BZ56" s="28"/>
      <c r="CA56" s="54"/>
      <c r="CB56" s="54"/>
      <c r="CC56" s="7" t="e">
        <f t="shared" si="21"/>
        <v>#VALUE!</v>
      </c>
      <c r="CD56" s="28"/>
      <c r="CE56" s="7" t="e">
        <f t="shared" si="22"/>
        <v>#VALUE!</v>
      </c>
      <c r="CF56" s="28"/>
      <c r="CG56" s="7" t="e">
        <f t="shared" si="23"/>
        <v>#VALUE!</v>
      </c>
      <c r="CH56" s="28"/>
      <c r="CI56" s="7" t="e">
        <f t="shared" si="24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6">
        <f t="shared" si="26"/>
        <v>0</v>
      </c>
      <c r="CT56" s="7"/>
      <c r="CU56" s="7"/>
      <c r="CV56" s="97"/>
      <c r="CW56" s="97"/>
      <c r="CX56" s="97"/>
      <c r="CY56" s="98"/>
      <c r="CZ56" s="98"/>
      <c r="DA56" s="97"/>
      <c r="DB56" s="98"/>
      <c r="DC56" s="97"/>
      <c r="DD56" s="97" t="s">
        <v>1715</v>
      </c>
      <c r="DE56" s="97" t="s">
        <v>1682</v>
      </c>
      <c r="DF56" s="98"/>
      <c r="DG56" s="98"/>
      <c r="DH56" s="98"/>
      <c r="DI56" s="98"/>
      <c r="DJ56" s="98"/>
      <c r="DK56" s="98"/>
      <c r="DL56" s="98"/>
      <c r="DM56" s="97"/>
      <c r="DN56" s="97"/>
      <c r="DO56" s="97"/>
      <c r="DP56" s="97"/>
      <c r="DQ56" s="97"/>
      <c r="DR56" s="97"/>
      <c r="DS56" s="97"/>
      <c r="DT56" s="99"/>
      <c r="DU56" s="98"/>
      <c r="DV56" s="97"/>
      <c r="DW56" s="97"/>
      <c r="DX56" s="97"/>
      <c r="DY56" s="97"/>
      <c r="DZ56" s="97"/>
      <c r="EA56" s="97"/>
      <c r="EB56" s="97"/>
      <c r="EC56" s="97"/>
      <c r="ED56" s="97"/>
      <c r="EE56" s="97"/>
      <c r="EF56" s="97"/>
      <c r="EG56" s="97"/>
      <c r="EH56" s="97"/>
      <c r="EI56" s="97"/>
      <c r="EJ56" s="97"/>
      <c r="EK56" s="97"/>
      <c r="EL56" s="97"/>
      <c r="EM56" s="97"/>
      <c r="EN56" s="97"/>
      <c r="EO56" s="97"/>
      <c r="EP56" s="97"/>
      <c r="EQ56" s="97"/>
      <c r="ER56" s="97"/>
      <c r="ES56" s="97"/>
      <c r="ET56" s="97"/>
      <c r="EU56" s="97"/>
      <c r="EV56" s="97"/>
      <c r="EW56" s="97"/>
      <c r="EX56" s="97"/>
      <c r="EY56" s="97"/>
      <c r="EZ56" s="97"/>
      <c r="FA56" s="97"/>
      <c r="FB56" s="97"/>
      <c r="FC56" s="97"/>
      <c r="FD56" s="97"/>
      <c r="FE56" s="97"/>
      <c r="FF56" s="97"/>
      <c r="FG56" s="97"/>
      <c r="FH56" s="97"/>
      <c r="FI56" s="97"/>
      <c r="FJ56" s="97"/>
      <c r="FK56" s="97"/>
      <c r="FL56" s="97"/>
      <c r="FM56" s="97"/>
      <c r="FN56" s="97"/>
      <c r="FO56" s="97"/>
      <c r="FP56" s="97"/>
      <c r="FQ56" s="97"/>
      <c r="FR56" s="97"/>
      <c r="FS56" s="97"/>
      <c r="FT56" s="97"/>
      <c r="FU56" s="97"/>
      <c r="FV56" s="97"/>
      <c r="FW56" s="97"/>
      <c r="FX56" s="97"/>
      <c r="FY56" s="6"/>
      <c r="FZ56" s="7" t="str">
        <f>IF(FY56="","",VLOOKUP(FY56,MT商品ﾏｽﾀ参照シート!AM:AN,2,0))</f>
        <v/>
      </c>
      <c r="GA56" s="8"/>
      <c r="GB56" s="8"/>
      <c r="GC56" s="8"/>
      <c r="GD56" s="8"/>
      <c r="GE56" s="58"/>
      <c r="GF56" s="7" t="str">
        <f>IF(GE56="","",VLOOKUP(GE56,MT商品ﾏｽﾀ参照シート!AO:AP,2,0))</f>
        <v/>
      </c>
      <c r="GG56" s="7"/>
      <c r="GH56" s="7"/>
      <c r="GI56" s="7"/>
      <c r="GJ56" s="7"/>
      <c r="GK56" s="49"/>
      <c r="GL56" s="6"/>
      <c r="GM56" s="6"/>
      <c r="GN56" s="7"/>
      <c r="GO56" s="7"/>
      <c r="GP56" s="7"/>
      <c r="GQ56" s="7"/>
      <c r="GR56" s="7">
        <v>3230</v>
      </c>
      <c r="GS56" s="7">
        <v>3800</v>
      </c>
      <c r="GT56" s="7">
        <v>3800</v>
      </c>
      <c r="GU56" s="7">
        <v>3800</v>
      </c>
      <c r="GV56" s="7">
        <v>3800</v>
      </c>
      <c r="GW56" s="8"/>
      <c r="GX56" s="8"/>
      <c r="GY56" s="8"/>
      <c r="GZ56" s="8"/>
      <c r="HA56" s="8"/>
      <c r="HB56" s="8"/>
      <c r="HC56" s="8"/>
      <c r="HD56" s="8"/>
      <c r="HE56" s="58"/>
      <c r="HF56" s="58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82"/>
      <c r="HR56" s="82"/>
      <c r="HS56" s="82"/>
      <c r="HT56" s="26"/>
      <c r="HU56" s="23"/>
      <c r="HV56" s="23"/>
      <c r="HW56" s="24"/>
      <c r="HX56" s="24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76"/>
      <c r="IY56" s="76"/>
      <c r="IZ56" s="76"/>
      <c r="JA56" s="71"/>
      <c r="JB56" s="71"/>
      <c r="JC56" s="72"/>
      <c r="JD56" s="72"/>
      <c r="JE56" s="72"/>
      <c r="JF56" s="72"/>
      <c r="JG56" s="72"/>
      <c r="JH56" s="72"/>
      <c r="JI56" s="71"/>
      <c r="JJ56" s="71"/>
      <c r="JK56" s="72"/>
      <c r="JL56" s="72"/>
      <c r="JM56" s="72"/>
      <c r="JN56" s="72"/>
    </row>
    <row r="57" spans="1:274" ht="13.5" customHeight="1">
      <c r="A57" s="7">
        <v>45</v>
      </c>
      <c r="B57" s="7"/>
      <c r="C57" s="7" t="e">
        <f t="shared" si="25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/>
      <c r="L57" s="7"/>
      <c r="M57" s="7"/>
      <c r="N57" s="7"/>
      <c r="O57" s="7"/>
      <c r="P57" s="7"/>
      <c r="Q57" s="53"/>
      <c r="R57" s="7"/>
      <c r="S57" s="7"/>
      <c r="T57" s="53"/>
      <c r="U57" s="7"/>
      <c r="V57" s="7" t="e">
        <f t="shared" si="4"/>
        <v>#VALUE!</v>
      </c>
      <c r="W57" s="28"/>
      <c r="X57" s="7" t="e">
        <f t="shared" si="4"/>
        <v>#VALUE!</v>
      </c>
      <c r="Y57" s="28"/>
      <c r="Z57" s="7" t="e">
        <f t="shared" si="5"/>
        <v>#VALUE!</v>
      </c>
      <c r="AA57" s="28"/>
      <c r="AB57" s="7"/>
      <c r="AC57" s="7"/>
      <c r="AD57" s="7"/>
      <c r="AE57" s="7"/>
      <c r="AF57" s="7">
        <v>0</v>
      </c>
      <c r="AG57" s="7" t="e">
        <f t="shared" si="6"/>
        <v>#VALUE!</v>
      </c>
      <c r="AH57" s="28"/>
      <c r="AI57" s="7"/>
      <c r="AJ57" s="7" t="e">
        <f t="shared" si="7"/>
        <v>#VALUE!</v>
      </c>
      <c r="AK57" s="28"/>
      <c r="AL57" s="7" t="e">
        <f t="shared" si="8"/>
        <v>#VALUE!</v>
      </c>
      <c r="AM57" s="28"/>
      <c r="AN57" s="7" t="e">
        <f t="shared" si="9"/>
        <v>#VALUE!</v>
      </c>
      <c r="AO57" s="28"/>
      <c r="AP57" s="7">
        <f t="shared" si="10"/>
        <v>2</v>
      </c>
      <c r="AQ57" s="28" t="s">
        <v>2301</v>
      </c>
      <c r="AR57" s="7"/>
      <c r="AS57" s="7"/>
      <c r="AT57" s="7"/>
      <c r="AU57" s="7"/>
      <c r="AV57" s="7">
        <f t="shared" si="11"/>
        <v>4617</v>
      </c>
      <c r="AW57" s="28" t="s">
        <v>2302</v>
      </c>
      <c r="AX57" s="7">
        <v>1</v>
      </c>
      <c r="AY57" s="7" t="e">
        <f t="shared" si="12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3"/>
        <v>#VALUE!</v>
      </c>
      <c r="BG57" s="28"/>
      <c r="BH57" s="7" t="e">
        <f t="shared" si="14"/>
        <v>#VALUE!</v>
      </c>
      <c r="BI57" s="28"/>
      <c r="BJ57" s="7" t="e">
        <f t="shared" si="15"/>
        <v>#VALUE!</v>
      </c>
      <c r="BK57" s="28"/>
      <c r="BL57" s="7"/>
      <c r="BM57" s="7"/>
      <c r="BN57" s="7" t="e">
        <f t="shared" si="16"/>
        <v>#VALUE!</v>
      </c>
      <c r="BO57" s="28"/>
      <c r="BP57" s="7" t="e">
        <f t="shared" si="17"/>
        <v>#VALUE!</v>
      </c>
      <c r="BQ57" s="28"/>
      <c r="BR57" s="7"/>
      <c r="BS57" s="7" t="e">
        <f t="shared" si="18"/>
        <v>#VALUE!</v>
      </c>
      <c r="BT57" s="28"/>
      <c r="BU57" s="7"/>
      <c r="BV57" s="7" t="e">
        <f ca="1">[1]!tメーカー名(BU57)</f>
        <v>#NAME?</v>
      </c>
      <c r="BW57" s="7" t="e">
        <f t="shared" si="19"/>
        <v>#VALUE!</v>
      </c>
      <c r="BX57" s="28"/>
      <c r="BY57" s="7" t="e">
        <f t="shared" si="20"/>
        <v>#VALUE!</v>
      </c>
      <c r="BZ57" s="28"/>
      <c r="CA57" s="54"/>
      <c r="CB57" s="54"/>
      <c r="CC57" s="7" t="e">
        <f t="shared" si="21"/>
        <v>#VALUE!</v>
      </c>
      <c r="CD57" s="28"/>
      <c r="CE57" s="7" t="e">
        <f t="shared" si="22"/>
        <v>#VALUE!</v>
      </c>
      <c r="CF57" s="28"/>
      <c r="CG57" s="7" t="e">
        <f t="shared" si="23"/>
        <v>#VALUE!</v>
      </c>
      <c r="CH57" s="28"/>
      <c r="CI57" s="7" t="e">
        <f t="shared" si="24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6">
        <f t="shared" si="26"/>
        <v>0</v>
      </c>
      <c r="CT57" s="7"/>
      <c r="CU57" s="7"/>
      <c r="CV57" s="97"/>
      <c r="CW57" s="97"/>
      <c r="CX57" s="97"/>
      <c r="CY57" s="98"/>
      <c r="CZ57" s="98"/>
      <c r="DA57" s="97"/>
      <c r="DB57" s="98"/>
      <c r="DC57" s="97"/>
      <c r="DD57" s="97" t="s">
        <v>1716</v>
      </c>
      <c r="DE57" s="97" t="s">
        <v>1682</v>
      </c>
      <c r="DF57" s="98"/>
      <c r="DG57" s="98"/>
      <c r="DH57" s="98"/>
      <c r="DI57" s="98"/>
      <c r="DJ57" s="98"/>
      <c r="DK57" s="98"/>
      <c r="DL57" s="98"/>
      <c r="DM57" s="97"/>
      <c r="DN57" s="97"/>
      <c r="DO57" s="97"/>
      <c r="DP57" s="97"/>
      <c r="DQ57" s="97"/>
      <c r="DR57" s="97"/>
      <c r="DS57" s="97"/>
      <c r="DT57" s="99"/>
      <c r="DU57" s="98"/>
      <c r="DV57" s="97"/>
      <c r="DW57" s="97"/>
      <c r="DX57" s="97"/>
      <c r="DY57" s="97"/>
      <c r="DZ57" s="97"/>
      <c r="EA57" s="97"/>
      <c r="EB57" s="97"/>
      <c r="EC57" s="97"/>
      <c r="ED57" s="97"/>
      <c r="EE57" s="97"/>
      <c r="EF57" s="97"/>
      <c r="EG57" s="97"/>
      <c r="EH57" s="97"/>
      <c r="EI57" s="97"/>
      <c r="EJ57" s="97"/>
      <c r="EK57" s="97"/>
      <c r="EL57" s="97"/>
      <c r="EM57" s="97"/>
      <c r="EN57" s="97"/>
      <c r="EO57" s="97"/>
      <c r="EP57" s="97"/>
      <c r="EQ57" s="97"/>
      <c r="ER57" s="97"/>
      <c r="ES57" s="97"/>
      <c r="ET57" s="97"/>
      <c r="EU57" s="97"/>
      <c r="EV57" s="97"/>
      <c r="EW57" s="97"/>
      <c r="EX57" s="97"/>
      <c r="EY57" s="97"/>
      <c r="EZ57" s="97"/>
      <c r="FA57" s="97"/>
      <c r="FB57" s="97"/>
      <c r="FC57" s="97"/>
      <c r="FD57" s="97"/>
      <c r="FE57" s="97"/>
      <c r="FF57" s="97"/>
      <c r="FG57" s="97"/>
      <c r="FH57" s="97"/>
      <c r="FI57" s="97"/>
      <c r="FJ57" s="97"/>
      <c r="FK57" s="97"/>
      <c r="FL57" s="97"/>
      <c r="FM57" s="97"/>
      <c r="FN57" s="97"/>
      <c r="FO57" s="97"/>
      <c r="FP57" s="97"/>
      <c r="FQ57" s="97"/>
      <c r="FR57" s="97"/>
      <c r="FS57" s="97"/>
      <c r="FT57" s="97"/>
      <c r="FU57" s="97"/>
      <c r="FV57" s="97"/>
      <c r="FW57" s="97"/>
      <c r="FX57" s="97"/>
      <c r="FY57" s="6"/>
      <c r="FZ57" s="7" t="str">
        <f>IF(FY57="","",VLOOKUP(FY57,MT商品ﾏｽﾀ参照シート!AM:AN,2,0))</f>
        <v/>
      </c>
      <c r="GA57" s="8"/>
      <c r="GB57" s="8"/>
      <c r="GC57" s="8"/>
      <c r="GD57" s="8"/>
      <c r="GE57" s="58"/>
      <c r="GF57" s="7" t="str">
        <f>IF(GE57="","",VLOOKUP(GE57,MT商品ﾏｽﾀ参照シート!AO:AP,2,0))</f>
        <v/>
      </c>
      <c r="GG57" s="7"/>
      <c r="GH57" s="7"/>
      <c r="GI57" s="7"/>
      <c r="GJ57" s="7"/>
      <c r="GK57" s="49"/>
      <c r="GL57" s="6"/>
      <c r="GM57" s="6"/>
      <c r="GN57" s="7"/>
      <c r="GO57" s="7"/>
      <c r="GP57" s="7"/>
      <c r="GQ57" s="7"/>
      <c r="GR57" s="7">
        <v>3188</v>
      </c>
      <c r="GS57" s="7">
        <v>3750</v>
      </c>
      <c r="GT57" s="7">
        <v>3750</v>
      </c>
      <c r="GU57" s="7">
        <v>3750</v>
      </c>
      <c r="GV57" s="7">
        <v>3750</v>
      </c>
      <c r="GW57" s="8"/>
      <c r="GX57" s="8"/>
      <c r="GY57" s="8"/>
      <c r="GZ57" s="8"/>
      <c r="HA57" s="8"/>
      <c r="HB57" s="8"/>
      <c r="HC57" s="8"/>
      <c r="HD57" s="8"/>
      <c r="HE57" s="58"/>
      <c r="HF57" s="58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82"/>
      <c r="HR57" s="82"/>
      <c r="HS57" s="82"/>
      <c r="HT57" s="26"/>
      <c r="HU57" s="23"/>
      <c r="HV57" s="23"/>
      <c r="HW57" s="24"/>
      <c r="HX57" s="24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76"/>
      <c r="IY57" s="76"/>
      <c r="IZ57" s="76"/>
      <c r="JA57" s="71"/>
      <c r="JB57" s="71"/>
      <c r="JC57" s="72"/>
      <c r="JD57" s="72"/>
      <c r="JE57" s="72"/>
      <c r="JF57" s="72"/>
      <c r="JG57" s="72"/>
      <c r="JH57" s="72"/>
      <c r="JI57" s="71"/>
      <c r="JJ57" s="71"/>
      <c r="JK57" s="72"/>
      <c r="JL57" s="72"/>
      <c r="JM57" s="72"/>
      <c r="JN57" s="72"/>
    </row>
    <row r="58" spans="1:274" ht="13.5" customHeight="1">
      <c r="A58" s="7">
        <v>46</v>
      </c>
      <c r="B58" s="7"/>
      <c r="C58" s="7" t="e">
        <f t="shared" si="25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/>
      <c r="L58" s="7"/>
      <c r="M58" s="7"/>
      <c r="N58" s="7"/>
      <c r="O58" s="7"/>
      <c r="P58" s="7"/>
      <c r="Q58" s="53"/>
      <c r="R58" s="7"/>
      <c r="S58" s="7"/>
      <c r="T58" s="53"/>
      <c r="U58" s="7"/>
      <c r="V58" s="7" t="e">
        <f t="shared" si="4"/>
        <v>#VALUE!</v>
      </c>
      <c r="W58" s="28"/>
      <c r="X58" s="7" t="e">
        <f t="shared" si="4"/>
        <v>#VALUE!</v>
      </c>
      <c r="Y58" s="28"/>
      <c r="Z58" s="7" t="e">
        <f t="shared" si="5"/>
        <v>#VALUE!</v>
      </c>
      <c r="AA58" s="28"/>
      <c r="AB58" s="7"/>
      <c r="AC58" s="7"/>
      <c r="AD58" s="7"/>
      <c r="AE58" s="7"/>
      <c r="AF58" s="7">
        <v>0</v>
      </c>
      <c r="AG58" s="7" t="e">
        <f t="shared" si="6"/>
        <v>#VALUE!</v>
      </c>
      <c r="AH58" s="28"/>
      <c r="AI58" s="7"/>
      <c r="AJ58" s="7" t="e">
        <f t="shared" si="7"/>
        <v>#VALUE!</v>
      </c>
      <c r="AK58" s="28"/>
      <c r="AL58" s="7" t="e">
        <f t="shared" si="8"/>
        <v>#VALUE!</v>
      </c>
      <c r="AM58" s="28"/>
      <c r="AN58" s="7" t="e">
        <f t="shared" si="9"/>
        <v>#VALUE!</v>
      </c>
      <c r="AO58" s="28"/>
      <c r="AP58" s="7">
        <f t="shared" si="10"/>
        <v>2</v>
      </c>
      <c r="AQ58" s="28" t="s">
        <v>2301</v>
      </c>
      <c r="AR58" s="7"/>
      <c r="AS58" s="7"/>
      <c r="AT58" s="7"/>
      <c r="AU58" s="7"/>
      <c r="AV58" s="7">
        <f t="shared" si="11"/>
        <v>4617</v>
      </c>
      <c r="AW58" s="28" t="s">
        <v>2302</v>
      </c>
      <c r="AX58" s="7">
        <v>1</v>
      </c>
      <c r="AY58" s="7" t="e">
        <f t="shared" si="12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3"/>
        <v>#VALUE!</v>
      </c>
      <c r="BG58" s="28"/>
      <c r="BH58" s="7" t="e">
        <f t="shared" si="14"/>
        <v>#VALUE!</v>
      </c>
      <c r="BI58" s="28"/>
      <c r="BJ58" s="7" t="e">
        <f t="shared" si="15"/>
        <v>#VALUE!</v>
      </c>
      <c r="BK58" s="28"/>
      <c r="BL58" s="7"/>
      <c r="BM58" s="7"/>
      <c r="BN58" s="7" t="e">
        <f t="shared" si="16"/>
        <v>#VALUE!</v>
      </c>
      <c r="BO58" s="28"/>
      <c r="BP58" s="7" t="e">
        <f t="shared" si="17"/>
        <v>#VALUE!</v>
      </c>
      <c r="BQ58" s="28"/>
      <c r="BR58" s="7"/>
      <c r="BS58" s="7" t="e">
        <f t="shared" si="18"/>
        <v>#VALUE!</v>
      </c>
      <c r="BT58" s="28"/>
      <c r="BU58" s="7"/>
      <c r="BV58" s="7" t="e">
        <f ca="1">[1]!tメーカー名(BU58)</f>
        <v>#NAME?</v>
      </c>
      <c r="BW58" s="7" t="e">
        <f t="shared" si="19"/>
        <v>#VALUE!</v>
      </c>
      <c r="BX58" s="28"/>
      <c r="BY58" s="7" t="e">
        <f t="shared" si="20"/>
        <v>#VALUE!</v>
      </c>
      <c r="BZ58" s="28"/>
      <c r="CA58" s="54"/>
      <c r="CB58" s="54"/>
      <c r="CC58" s="7" t="e">
        <f t="shared" si="21"/>
        <v>#VALUE!</v>
      </c>
      <c r="CD58" s="28"/>
      <c r="CE58" s="7" t="e">
        <f t="shared" si="22"/>
        <v>#VALUE!</v>
      </c>
      <c r="CF58" s="28"/>
      <c r="CG58" s="7" t="e">
        <f t="shared" si="23"/>
        <v>#VALUE!</v>
      </c>
      <c r="CH58" s="28"/>
      <c r="CI58" s="7" t="e">
        <f t="shared" si="24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6">
        <f t="shared" si="26"/>
        <v>0</v>
      </c>
      <c r="CT58" s="7"/>
      <c r="CU58" s="7"/>
      <c r="CV58" s="97"/>
      <c r="CW58" s="97"/>
      <c r="CX58" s="97"/>
      <c r="CY58" s="98"/>
      <c r="CZ58" s="98"/>
      <c r="DA58" s="97"/>
      <c r="DB58" s="98"/>
      <c r="DC58" s="97"/>
      <c r="DD58" s="97" t="s">
        <v>1717</v>
      </c>
      <c r="DE58" s="97" t="s">
        <v>1682</v>
      </c>
      <c r="DF58" s="98"/>
      <c r="DG58" s="98"/>
      <c r="DH58" s="98"/>
      <c r="DI58" s="98"/>
      <c r="DJ58" s="98"/>
      <c r="DK58" s="98"/>
      <c r="DL58" s="98"/>
      <c r="DM58" s="97"/>
      <c r="DN58" s="97"/>
      <c r="DO58" s="97"/>
      <c r="DP58" s="97"/>
      <c r="DQ58" s="97"/>
      <c r="DR58" s="97"/>
      <c r="DS58" s="97"/>
      <c r="DT58" s="99"/>
      <c r="DU58" s="98"/>
      <c r="DV58" s="97"/>
      <c r="DW58" s="97"/>
      <c r="DX58" s="97"/>
      <c r="DY58" s="97"/>
      <c r="DZ58" s="97"/>
      <c r="EA58" s="97"/>
      <c r="EB58" s="97"/>
      <c r="EC58" s="97"/>
      <c r="ED58" s="97"/>
      <c r="EE58" s="97"/>
      <c r="EF58" s="97"/>
      <c r="EG58" s="97"/>
      <c r="EH58" s="97"/>
      <c r="EI58" s="97"/>
      <c r="EJ58" s="97"/>
      <c r="EK58" s="97"/>
      <c r="EL58" s="97"/>
      <c r="EM58" s="97"/>
      <c r="EN58" s="97"/>
      <c r="EO58" s="97"/>
      <c r="EP58" s="97"/>
      <c r="EQ58" s="97"/>
      <c r="ER58" s="97"/>
      <c r="ES58" s="97"/>
      <c r="ET58" s="97"/>
      <c r="EU58" s="97"/>
      <c r="EV58" s="97"/>
      <c r="EW58" s="97"/>
      <c r="EX58" s="97"/>
      <c r="EY58" s="97"/>
      <c r="EZ58" s="97"/>
      <c r="FA58" s="97"/>
      <c r="FB58" s="97"/>
      <c r="FC58" s="97"/>
      <c r="FD58" s="97"/>
      <c r="FE58" s="97"/>
      <c r="FF58" s="97"/>
      <c r="FG58" s="97"/>
      <c r="FH58" s="97"/>
      <c r="FI58" s="97"/>
      <c r="FJ58" s="97"/>
      <c r="FK58" s="97"/>
      <c r="FL58" s="97"/>
      <c r="FM58" s="97"/>
      <c r="FN58" s="97"/>
      <c r="FO58" s="97"/>
      <c r="FP58" s="97"/>
      <c r="FQ58" s="97"/>
      <c r="FR58" s="97"/>
      <c r="FS58" s="97"/>
      <c r="FT58" s="97"/>
      <c r="FU58" s="97"/>
      <c r="FV58" s="97"/>
      <c r="FW58" s="97"/>
      <c r="FX58" s="97"/>
      <c r="FY58" s="6"/>
      <c r="FZ58" s="7" t="str">
        <f>IF(FY58="","",VLOOKUP(FY58,MT商品ﾏｽﾀ参照シート!AM:AN,2,0))</f>
        <v/>
      </c>
      <c r="GA58" s="8"/>
      <c r="GB58" s="8"/>
      <c r="GC58" s="8"/>
      <c r="GD58" s="8"/>
      <c r="GE58" s="58"/>
      <c r="GF58" s="7" t="str">
        <f>IF(GE58="","",VLOOKUP(GE58,MT商品ﾏｽﾀ参照シート!AO:AP,2,0))</f>
        <v/>
      </c>
      <c r="GG58" s="7"/>
      <c r="GH58" s="7"/>
      <c r="GI58" s="7"/>
      <c r="GJ58" s="7"/>
      <c r="GK58" s="49"/>
      <c r="GL58" s="6"/>
      <c r="GM58" s="6"/>
      <c r="GN58" s="7"/>
      <c r="GO58" s="7"/>
      <c r="GP58" s="7"/>
      <c r="GQ58" s="7"/>
      <c r="GR58" s="7">
        <v>3400</v>
      </c>
      <c r="GS58" s="7">
        <v>4000</v>
      </c>
      <c r="GT58" s="7">
        <v>4000</v>
      </c>
      <c r="GU58" s="7">
        <v>4000</v>
      </c>
      <c r="GV58" s="7">
        <v>4000</v>
      </c>
      <c r="GW58" s="8"/>
      <c r="GX58" s="8"/>
      <c r="GY58" s="8"/>
      <c r="GZ58" s="8"/>
      <c r="HA58" s="8"/>
      <c r="HB58" s="8"/>
      <c r="HC58" s="8"/>
      <c r="HD58" s="8"/>
      <c r="HE58" s="58"/>
      <c r="HF58" s="58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82"/>
      <c r="HR58" s="82"/>
      <c r="HS58" s="82"/>
      <c r="HT58" s="26"/>
      <c r="HU58" s="23"/>
      <c r="HV58" s="23"/>
      <c r="HW58" s="24"/>
      <c r="HX58" s="24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76"/>
      <c r="IY58" s="76"/>
      <c r="IZ58" s="76"/>
      <c r="JA58" s="71"/>
      <c r="JB58" s="71"/>
      <c r="JC58" s="72"/>
      <c r="JD58" s="72"/>
      <c r="JE58" s="72"/>
      <c r="JF58" s="72"/>
      <c r="JG58" s="72"/>
      <c r="JH58" s="72"/>
      <c r="JI58" s="71"/>
      <c r="JJ58" s="71"/>
      <c r="JK58" s="72"/>
      <c r="JL58" s="72"/>
      <c r="JM58" s="72"/>
      <c r="JN58" s="72"/>
    </row>
    <row r="59" spans="1:274" ht="13.5" customHeight="1">
      <c r="A59" s="7">
        <v>47</v>
      </c>
      <c r="B59" s="7"/>
      <c r="C59" s="7" t="e">
        <f t="shared" si="25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/>
      <c r="L59" s="7"/>
      <c r="M59" s="7"/>
      <c r="N59" s="7"/>
      <c r="O59" s="7"/>
      <c r="P59" s="7"/>
      <c r="Q59" s="53"/>
      <c r="R59" s="7"/>
      <c r="S59" s="7"/>
      <c r="T59" s="53"/>
      <c r="U59" s="7"/>
      <c r="V59" s="7" t="e">
        <f t="shared" si="4"/>
        <v>#VALUE!</v>
      </c>
      <c r="W59" s="28"/>
      <c r="X59" s="7" t="e">
        <f t="shared" si="4"/>
        <v>#VALUE!</v>
      </c>
      <c r="Y59" s="28"/>
      <c r="Z59" s="7" t="e">
        <f t="shared" si="5"/>
        <v>#VALUE!</v>
      </c>
      <c r="AA59" s="28"/>
      <c r="AB59" s="7"/>
      <c r="AC59" s="7"/>
      <c r="AD59" s="7"/>
      <c r="AE59" s="7"/>
      <c r="AF59" s="7">
        <v>0</v>
      </c>
      <c r="AG59" s="7" t="e">
        <f t="shared" si="6"/>
        <v>#VALUE!</v>
      </c>
      <c r="AH59" s="28"/>
      <c r="AI59" s="7"/>
      <c r="AJ59" s="7" t="e">
        <f t="shared" si="7"/>
        <v>#VALUE!</v>
      </c>
      <c r="AK59" s="28"/>
      <c r="AL59" s="7" t="e">
        <f t="shared" si="8"/>
        <v>#VALUE!</v>
      </c>
      <c r="AM59" s="28"/>
      <c r="AN59" s="7" t="e">
        <f t="shared" si="9"/>
        <v>#VALUE!</v>
      </c>
      <c r="AO59" s="28"/>
      <c r="AP59" s="7">
        <f t="shared" si="10"/>
        <v>2</v>
      </c>
      <c r="AQ59" s="28" t="s">
        <v>2301</v>
      </c>
      <c r="AR59" s="7"/>
      <c r="AS59" s="7"/>
      <c r="AT59" s="7"/>
      <c r="AU59" s="7"/>
      <c r="AV59" s="7">
        <f t="shared" si="11"/>
        <v>4617</v>
      </c>
      <c r="AW59" s="28" t="s">
        <v>2302</v>
      </c>
      <c r="AX59" s="7">
        <v>1</v>
      </c>
      <c r="AY59" s="7" t="e">
        <f t="shared" si="12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3"/>
        <v>#VALUE!</v>
      </c>
      <c r="BG59" s="28"/>
      <c r="BH59" s="7" t="e">
        <f t="shared" si="14"/>
        <v>#VALUE!</v>
      </c>
      <c r="BI59" s="28"/>
      <c r="BJ59" s="7" t="e">
        <f t="shared" si="15"/>
        <v>#VALUE!</v>
      </c>
      <c r="BK59" s="28"/>
      <c r="BL59" s="7"/>
      <c r="BM59" s="7"/>
      <c r="BN59" s="7" t="e">
        <f t="shared" si="16"/>
        <v>#VALUE!</v>
      </c>
      <c r="BO59" s="28"/>
      <c r="BP59" s="7" t="e">
        <f t="shared" si="17"/>
        <v>#VALUE!</v>
      </c>
      <c r="BQ59" s="28"/>
      <c r="BR59" s="7"/>
      <c r="BS59" s="7" t="e">
        <f t="shared" si="18"/>
        <v>#VALUE!</v>
      </c>
      <c r="BT59" s="28"/>
      <c r="BU59" s="7"/>
      <c r="BV59" s="7" t="e">
        <f ca="1">[1]!tメーカー名(BU59)</f>
        <v>#NAME?</v>
      </c>
      <c r="BW59" s="7" t="e">
        <f t="shared" si="19"/>
        <v>#VALUE!</v>
      </c>
      <c r="BX59" s="28"/>
      <c r="BY59" s="7" t="e">
        <f t="shared" si="20"/>
        <v>#VALUE!</v>
      </c>
      <c r="BZ59" s="28"/>
      <c r="CA59" s="54"/>
      <c r="CB59" s="54"/>
      <c r="CC59" s="7" t="e">
        <f t="shared" si="21"/>
        <v>#VALUE!</v>
      </c>
      <c r="CD59" s="28"/>
      <c r="CE59" s="7" t="e">
        <f t="shared" si="22"/>
        <v>#VALUE!</v>
      </c>
      <c r="CF59" s="28"/>
      <c r="CG59" s="7" t="e">
        <f t="shared" si="23"/>
        <v>#VALUE!</v>
      </c>
      <c r="CH59" s="28"/>
      <c r="CI59" s="7" t="e">
        <f t="shared" si="24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6">
        <f t="shared" si="26"/>
        <v>0</v>
      </c>
      <c r="CT59" s="7"/>
      <c r="CU59" s="7"/>
      <c r="CV59" s="97"/>
      <c r="CW59" s="97"/>
      <c r="CX59" s="97"/>
      <c r="CY59" s="98"/>
      <c r="CZ59" s="98"/>
      <c r="DA59" s="97"/>
      <c r="DB59" s="98"/>
      <c r="DC59" s="97"/>
      <c r="DD59" s="97" t="s">
        <v>1718</v>
      </c>
      <c r="DE59" s="97" t="s">
        <v>1682</v>
      </c>
      <c r="DF59" s="98"/>
      <c r="DG59" s="98"/>
      <c r="DH59" s="98"/>
      <c r="DI59" s="98"/>
      <c r="DJ59" s="98"/>
      <c r="DK59" s="98"/>
      <c r="DL59" s="98"/>
      <c r="DM59" s="97"/>
      <c r="DN59" s="97"/>
      <c r="DO59" s="97"/>
      <c r="DP59" s="97"/>
      <c r="DQ59" s="97"/>
      <c r="DR59" s="97"/>
      <c r="DS59" s="97"/>
      <c r="DT59" s="99"/>
      <c r="DU59" s="98"/>
      <c r="DV59" s="97"/>
      <c r="DW59" s="97"/>
      <c r="DX59" s="97"/>
      <c r="DY59" s="97"/>
      <c r="DZ59" s="97"/>
      <c r="EA59" s="97"/>
      <c r="EB59" s="97"/>
      <c r="EC59" s="97"/>
      <c r="ED59" s="97"/>
      <c r="EE59" s="97"/>
      <c r="EF59" s="97"/>
      <c r="EG59" s="97"/>
      <c r="EH59" s="97"/>
      <c r="EI59" s="97"/>
      <c r="EJ59" s="97"/>
      <c r="EK59" s="97"/>
      <c r="EL59" s="97"/>
      <c r="EM59" s="97"/>
      <c r="EN59" s="97"/>
      <c r="EO59" s="97"/>
      <c r="EP59" s="97"/>
      <c r="EQ59" s="97"/>
      <c r="ER59" s="97"/>
      <c r="ES59" s="97"/>
      <c r="ET59" s="97"/>
      <c r="EU59" s="97"/>
      <c r="EV59" s="97"/>
      <c r="EW59" s="97"/>
      <c r="EX59" s="97"/>
      <c r="EY59" s="97"/>
      <c r="EZ59" s="97"/>
      <c r="FA59" s="97"/>
      <c r="FB59" s="97"/>
      <c r="FC59" s="97"/>
      <c r="FD59" s="97"/>
      <c r="FE59" s="97"/>
      <c r="FF59" s="97"/>
      <c r="FG59" s="97"/>
      <c r="FH59" s="97"/>
      <c r="FI59" s="97"/>
      <c r="FJ59" s="97"/>
      <c r="FK59" s="97"/>
      <c r="FL59" s="97"/>
      <c r="FM59" s="97"/>
      <c r="FN59" s="97"/>
      <c r="FO59" s="97"/>
      <c r="FP59" s="97"/>
      <c r="FQ59" s="97"/>
      <c r="FR59" s="97"/>
      <c r="FS59" s="97"/>
      <c r="FT59" s="97"/>
      <c r="FU59" s="97"/>
      <c r="FV59" s="97"/>
      <c r="FW59" s="97"/>
      <c r="FX59" s="97"/>
      <c r="FY59" s="6"/>
      <c r="FZ59" s="7" t="str">
        <f>IF(FY59="","",VLOOKUP(FY59,MT商品ﾏｽﾀ参照シート!AM:AN,2,0))</f>
        <v/>
      </c>
      <c r="GA59" s="8"/>
      <c r="GB59" s="8"/>
      <c r="GC59" s="8"/>
      <c r="GD59" s="8"/>
      <c r="GE59" s="58"/>
      <c r="GF59" s="7" t="str">
        <f>IF(GE59="","",VLOOKUP(GE59,MT商品ﾏｽﾀ参照シート!AO:AP,2,0))</f>
        <v/>
      </c>
      <c r="GG59" s="7"/>
      <c r="GH59" s="7"/>
      <c r="GI59" s="7"/>
      <c r="GJ59" s="7"/>
      <c r="GK59" s="49"/>
      <c r="GL59" s="6"/>
      <c r="GM59" s="6"/>
      <c r="GN59" s="7"/>
      <c r="GO59" s="7"/>
      <c r="GP59" s="7"/>
      <c r="GQ59" s="7"/>
      <c r="GR59" s="7">
        <v>2975</v>
      </c>
      <c r="GS59" s="7">
        <v>3500</v>
      </c>
      <c r="GT59" s="7">
        <v>3500</v>
      </c>
      <c r="GU59" s="7">
        <v>3500</v>
      </c>
      <c r="GV59" s="7">
        <v>3500</v>
      </c>
      <c r="GW59" s="8"/>
      <c r="GX59" s="8"/>
      <c r="GY59" s="8"/>
      <c r="GZ59" s="8"/>
      <c r="HA59" s="8"/>
      <c r="HB59" s="8"/>
      <c r="HC59" s="8"/>
      <c r="HD59" s="8"/>
      <c r="HE59" s="58"/>
      <c r="HF59" s="58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82"/>
      <c r="HR59" s="82"/>
      <c r="HS59" s="82"/>
      <c r="HT59" s="26"/>
      <c r="HU59" s="23"/>
      <c r="HV59" s="23"/>
      <c r="HW59" s="24"/>
      <c r="HX59" s="24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76"/>
      <c r="IY59" s="76"/>
      <c r="IZ59" s="76"/>
      <c r="JA59" s="71"/>
      <c r="JB59" s="71"/>
      <c r="JC59" s="72"/>
      <c r="JD59" s="72"/>
      <c r="JE59" s="72"/>
      <c r="JF59" s="72"/>
      <c r="JG59" s="72"/>
      <c r="JH59" s="72"/>
      <c r="JI59" s="71"/>
      <c r="JJ59" s="71"/>
      <c r="JK59" s="72"/>
      <c r="JL59" s="72"/>
      <c r="JM59" s="72"/>
      <c r="JN59" s="72"/>
    </row>
    <row r="60" spans="1:274" ht="13.5" customHeight="1">
      <c r="A60" s="7">
        <v>48</v>
      </c>
      <c r="B60" s="7"/>
      <c r="C60" s="7" t="e">
        <f t="shared" si="25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/>
      <c r="L60" s="7"/>
      <c r="M60" s="7"/>
      <c r="N60" s="7"/>
      <c r="O60" s="7"/>
      <c r="P60" s="7"/>
      <c r="Q60" s="53"/>
      <c r="R60" s="7"/>
      <c r="S60" s="7"/>
      <c r="T60" s="53"/>
      <c r="U60" s="7"/>
      <c r="V60" s="7" t="e">
        <f t="shared" si="4"/>
        <v>#VALUE!</v>
      </c>
      <c r="W60" s="28"/>
      <c r="X60" s="7" t="e">
        <f t="shared" si="4"/>
        <v>#VALUE!</v>
      </c>
      <c r="Y60" s="28"/>
      <c r="Z60" s="7" t="e">
        <f t="shared" si="5"/>
        <v>#VALUE!</v>
      </c>
      <c r="AA60" s="28"/>
      <c r="AB60" s="7"/>
      <c r="AC60" s="7"/>
      <c r="AD60" s="7"/>
      <c r="AE60" s="7"/>
      <c r="AF60" s="7">
        <v>0</v>
      </c>
      <c r="AG60" s="7" t="e">
        <f t="shared" si="6"/>
        <v>#VALUE!</v>
      </c>
      <c r="AH60" s="28"/>
      <c r="AI60" s="7"/>
      <c r="AJ60" s="7" t="e">
        <f t="shared" si="7"/>
        <v>#VALUE!</v>
      </c>
      <c r="AK60" s="28"/>
      <c r="AL60" s="7" t="e">
        <f t="shared" si="8"/>
        <v>#VALUE!</v>
      </c>
      <c r="AM60" s="28"/>
      <c r="AN60" s="7" t="e">
        <f t="shared" si="9"/>
        <v>#VALUE!</v>
      </c>
      <c r="AO60" s="28"/>
      <c r="AP60" s="7">
        <f t="shared" si="10"/>
        <v>2</v>
      </c>
      <c r="AQ60" s="28" t="s">
        <v>2301</v>
      </c>
      <c r="AR60" s="7"/>
      <c r="AS60" s="7"/>
      <c r="AT60" s="7"/>
      <c r="AU60" s="7"/>
      <c r="AV60" s="7">
        <f t="shared" si="11"/>
        <v>4617</v>
      </c>
      <c r="AW60" s="28" t="s">
        <v>2302</v>
      </c>
      <c r="AX60" s="7">
        <v>1</v>
      </c>
      <c r="AY60" s="7" t="e">
        <f t="shared" si="12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3"/>
        <v>#VALUE!</v>
      </c>
      <c r="BG60" s="28"/>
      <c r="BH60" s="7" t="e">
        <f t="shared" si="14"/>
        <v>#VALUE!</v>
      </c>
      <c r="BI60" s="28"/>
      <c r="BJ60" s="7" t="e">
        <f t="shared" si="15"/>
        <v>#VALUE!</v>
      </c>
      <c r="BK60" s="28"/>
      <c r="BL60" s="7"/>
      <c r="BM60" s="7"/>
      <c r="BN60" s="7" t="e">
        <f t="shared" si="16"/>
        <v>#VALUE!</v>
      </c>
      <c r="BO60" s="28"/>
      <c r="BP60" s="7" t="e">
        <f t="shared" si="17"/>
        <v>#VALUE!</v>
      </c>
      <c r="BQ60" s="28"/>
      <c r="BR60" s="7"/>
      <c r="BS60" s="7" t="e">
        <f t="shared" si="18"/>
        <v>#VALUE!</v>
      </c>
      <c r="BT60" s="28"/>
      <c r="BU60" s="7"/>
      <c r="BV60" s="7" t="e">
        <f ca="1">[1]!tメーカー名(BU60)</f>
        <v>#NAME?</v>
      </c>
      <c r="BW60" s="7" t="e">
        <f t="shared" si="19"/>
        <v>#VALUE!</v>
      </c>
      <c r="BX60" s="28"/>
      <c r="BY60" s="7" t="e">
        <f t="shared" si="20"/>
        <v>#VALUE!</v>
      </c>
      <c r="BZ60" s="28"/>
      <c r="CA60" s="54"/>
      <c r="CB60" s="54"/>
      <c r="CC60" s="7" t="e">
        <f t="shared" si="21"/>
        <v>#VALUE!</v>
      </c>
      <c r="CD60" s="28"/>
      <c r="CE60" s="7" t="e">
        <f t="shared" si="22"/>
        <v>#VALUE!</v>
      </c>
      <c r="CF60" s="28"/>
      <c r="CG60" s="7" t="e">
        <f t="shared" si="23"/>
        <v>#VALUE!</v>
      </c>
      <c r="CH60" s="28"/>
      <c r="CI60" s="7" t="e">
        <f t="shared" si="24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6">
        <f t="shared" si="26"/>
        <v>0</v>
      </c>
      <c r="CT60" s="7"/>
      <c r="CU60" s="7"/>
      <c r="CV60" s="97"/>
      <c r="CW60" s="97"/>
      <c r="CX60" s="97"/>
      <c r="CY60" s="98"/>
      <c r="CZ60" s="98"/>
      <c r="DA60" s="97"/>
      <c r="DB60" s="98"/>
      <c r="DC60" s="97"/>
      <c r="DD60" s="97" t="s">
        <v>1719</v>
      </c>
      <c r="DE60" s="97" t="s">
        <v>1682</v>
      </c>
      <c r="DF60" s="98"/>
      <c r="DG60" s="98"/>
      <c r="DH60" s="98"/>
      <c r="DI60" s="98"/>
      <c r="DJ60" s="98"/>
      <c r="DK60" s="98"/>
      <c r="DL60" s="98"/>
      <c r="DM60" s="97"/>
      <c r="DN60" s="97"/>
      <c r="DO60" s="97"/>
      <c r="DP60" s="97"/>
      <c r="DQ60" s="97"/>
      <c r="DR60" s="97"/>
      <c r="DS60" s="97"/>
      <c r="DT60" s="99"/>
      <c r="DU60" s="98"/>
      <c r="DV60" s="97"/>
      <c r="DW60" s="97"/>
      <c r="DX60" s="97"/>
      <c r="DY60" s="97"/>
      <c r="DZ60" s="97"/>
      <c r="EA60" s="97"/>
      <c r="EB60" s="97"/>
      <c r="EC60" s="97"/>
      <c r="ED60" s="97"/>
      <c r="EE60" s="97"/>
      <c r="EF60" s="97"/>
      <c r="EG60" s="97"/>
      <c r="EH60" s="97"/>
      <c r="EI60" s="97"/>
      <c r="EJ60" s="97"/>
      <c r="EK60" s="97"/>
      <c r="EL60" s="97"/>
      <c r="EM60" s="97"/>
      <c r="EN60" s="97"/>
      <c r="EO60" s="97"/>
      <c r="EP60" s="97"/>
      <c r="EQ60" s="97"/>
      <c r="ER60" s="97"/>
      <c r="ES60" s="97"/>
      <c r="ET60" s="97"/>
      <c r="EU60" s="97"/>
      <c r="EV60" s="97"/>
      <c r="EW60" s="97"/>
      <c r="EX60" s="97"/>
      <c r="EY60" s="97"/>
      <c r="EZ60" s="97"/>
      <c r="FA60" s="97"/>
      <c r="FB60" s="97"/>
      <c r="FC60" s="97"/>
      <c r="FD60" s="97"/>
      <c r="FE60" s="97"/>
      <c r="FF60" s="97"/>
      <c r="FG60" s="97"/>
      <c r="FH60" s="97"/>
      <c r="FI60" s="97"/>
      <c r="FJ60" s="97"/>
      <c r="FK60" s="97"/>
      <c r="FL60" s="97"/>
      <c r="FM60" s="97"/>
      <c r="FN60" s="97"/>
      <c r="FO60" s="97"/>
      <c r="FP60" s="97"/>
      <c r="FQ60" s="97"/>
      <c r="FR60" s="97"/>
      <c r="FS60" s="97"/>
      <c r="FT60" s="97"/>
      <c r="FU60" s="97"/>
      <c r="FV60" s="97"/>
      <c r="FW60" s="97"/>
      <c r="FX60" s="97"/>
      <c r="FY60" s="6"/>
      <c r="FZ60" s="7" t="str">
        <f>IF(FY60="","",VLOOKUP(FY60,MT商品ﾏｽﾀ参照シート!AM:AN,2,0))</f>
        <v/>
      </c>
      <c r="GA60" s="8"/>
      <c r="GB60" s="8"/>
      <c r="GC60" s="8"/>
      <c r="GD60" s="8"/>
      <c r="GE60" s="58"/>
      <c r="GF60" s="7" t="str">
        <f>IF(GE60="","",VLOOKUP(GE60,MT商品ﾏｽﾀ参照シート!AO:AP,2,0))</f>
        <v/>
      </c>
      <c r="GG60" s="7"/>
      <c r="GH60" s="7"/>
      <c r="GI60" s="7"/>
      <c r="GJ60" s="7"/>
      <c r="GK60" s="49"/>
      <c r="GL60" s="6"/>
      <c r="GM60" s="6"/>
      <c r="GN60" s="7"/>
      <c r="GO60" s="7"/>
      <c r="GP60" s="7"/>
      <c r="GQ60" s="7"/>
      <c r="GR60" s="7">
        <v>2890</v>
      </c>
      <c r="GS60" s="7">
        <v>3400</v>
      </c>
      <c r="GT60" s="7">
        <v>3400</v>
      </c>
      <c r="GU60" s="7">
        <v>3400</v>
      </c>
      <c r="GV60" s="7">
        <v>3400</v>
      </c>
      <c r="GW60" s="8"/>
      <c r="GX60" s="8"/>
      <c r="GY60" s="8"/>
      <c r="GZ60" s="8"/>
      <c r="HA60" s="8"/>
      <c r="HB60" s="8"/>
      <c r="HC60" s="8"/>
      <c r="HD60" s="8"/>
      <c r="HE60" s="58"/>
      <c r="HF60" s="58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82"/>
      <c r="HR60" s="82"/>
      <c r="HS60" s="82"/>
      <c r="HT60" s="26"/>
      <c r="HU60" s="23"/>
      <c r="HV60" s="23"/>
      <c r="HW60" s="24"/>
      <c r="HX60" s="24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76"/>
      <c r="IY60" s="76"/>
      <c r="IZ60" s="76"/>
      <c r="JA60" s="71"/>
      <c r="JB60" s="71"/>
      <c r="JC60" s="72"/>
      <c r="JD60" s="72"/>
      <c r="JE60" s="72"/>
      <c r="JF60" s="72"/>
      <c r="JG60" s="72"/>
      <c r="JH60" s="72"/>
      <c r="JI60" s="71"/>
      <c r="JJ60" s="71"/>
      <c r="JK60" s="72"/>
      <c r="JL60" s="72"/>
      <c r="JM60" s="72"/>
      <c r="JN60" s="72"/>
    </row>
    <row r="61" spans="1:274" ht="13.5" customHeight="1">
      <c r="A61" s="7">
        <v>49</v>
      </c>
      <c r="B61" s="7"/>
      <c r="C61" s="7" t="e">
        <f t="shared" si="25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/>
      <c r="L61" s="7"/>
      <c r="M61" s="7"/>
      <c r="N61" s="7"/>
      <c r="O61" s="7"/>
      <c r="P61" s="7"/>
      <c r="Q61" s="53"/>
      <c r="R61" s="7"/>
      <c r="S61" s="7"/>
      <c r="T61" s="53"/>
      <c r="U61" s="7"/>
      <c r="V61" s="7" t="e">
        <f t="shared" si="4"/>
        <v>#VALUE!</v>
      </c>
      <c r="W61" s="28"/>
      <c r="X61" s="7" t="e">
        <f t="shared" si="4"/>
        <v>#VALUE!</v>
      </c>
      <c r="Y61" s="28"/>
      <c r="Z61" s="7" t="e">
        <f t="shared" si="5"/>
        <v>#VALUE!</v>
      </c>
      <c r="AA61" s="28"/>
      <c r="AB61" s="7"/>
      <c r="AC61" s="7"/>
      <c r="AD61" s="7"/>
      <c r="AE61" s="7"/>
      <c r="AF61" s="7">
        <v>0</v>
      </c>
      <c r="AG61" s="7" t="e">
        <f t="shared" si="6"/>
        <v>#VALUE!</v>
      </c>
      <c r="AH61" s="28"/>
      <c r="AI61" s="7"/>
      <c r="AJ61" s="7" t="e">
        <f t="shared" si="7"/>
        <v>#VALUE!</v>
      </c>
      <c r="AK61" s="28"/>
      <c r="AL61" s="7" t="e">
        <f t="shared" si="8"/>
        <v>#VALUE!</v>
      </c>
      <c r="AM61" s="28"/>
      <c r="AN61" s="7" t="e">
        <f t="shared" si="9"/>
        <v>#VALUE!</v>
      </c>
      <c r="AO61" s="28"/>
      <c r="AP61" s="7">
        <f t="shared" si="10"/>
        <v>2</v>
      </c>
      <c r="AQ61" s="28" t="s">
        <v>2301</v>
      </c>
      <c r="AR61" s="7"/>
      <c r="AS61" s="7"/>
      <c r="AT61" s="7"/>
      <c r="AU61" s="7"/>
      <c r="AV61" s="7">
        <f t="shared" si="11"/>
        <v>4617</v>
      </c>
      <c r="AW61" s="28" t="s">
        <v>2302</v>
      </c>
      <c r="AX61" s="7">
        <v>1</v>
      </c>
      <c r="AY61" s="7" t="e">
        <f t="shared" si="12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3"/>
        <v>#VALUE!</v>
      </c>
      <c r="BG61" s="28"/>
      <c r="BH61" s="7" t="e">
        <f t="shared" si="14"/>
        <v>#VALUE!</v>
      </c>
      <c r="BI61" s="28"/>
      <c r="BJ61" s="7" t="e">
        <f t="shared" si="15"/>
        <v>#VALUE!</v>
      </c>
      <c r="BK61" s="28"/>
      <c r="BL61" s="7"/>
      <c r="BM61" s="7"/>
      <c r="BN61" s="7" t="e">
        <f t="shared" si="16"/>
        <v>#VALUE!</v>
      </c>
      <c r="BO61" s="28"/>
      <c r="BP61" s="7" t="e">
        <f t="shared" si="17"/>
        <v>#VALUE!</v>
      </c>
      <c r="BQ61" s="28"/>
      <c r="BR61" s="7"/>
      <c r="BS61" s="7" t="e">
        <f t="shared" si="18"/>
        <v>#VALUE!</v>
      </c>
      <c r="BT61" s="28"/>
      <c r="BU61" s="7"/>
      <c r="BV61" s="7" t="e">
        <f ca="1">[1]!tメーカー名(BU61)</f>
        <v>#NAME?</v>
      </c>
      <c r="BW61" s="7" t="e">
        <f t="shared" si="19"/>
        <v>#VALUE!</v>
      </c>
      <c r="BX61" s="28"/>
      <c r="BY61" s="7" t="e">
        <f t="shared" si="20"/>
        <v>#VALUE!</v>
      </c>
      <c r="BZ61" s="28"/>
      <c r="CA61" s="54"/>
      <c r="CB61" s="54"/>
      <c r="CC61" s="7" t="e">
        <f t="shared" si="21"/>
        <v>#VALUE!</v>
      </c>
      <c r="CD61" s="28"/>
      <c r="CE61" s="7" t="e">
        <f t="shared" si="22"/>
        <v>#VALUE!</v>
      </c>
      <c r="CF61" s="28"/>
      <c r="CG61" s="7" t="e">
        <f t="shared" si="23"/>
        <v>#VALUE!</v>
      </c>
      <c r="CH61" s="28"/>
      <c r="CI61" s="7" t="e">
        <f t="shared" si="24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6">
        <f t="shared" si="26"/>
        <v>0</v>
      </c>
      <c r="CT61" s="7"/>
      <c r="CU61" s="7"/>
      <c r="CV61" s="97"/>
      <c r="CW61" s="97"/>
      <c r="CX61" s="97"/>
      <c r="CY61" s="98"/>
      <c r="CZ61" s="98"/>
      <c r="DA61" s="97"/>
      <c r="DB61" s="98"/>
      <c r="DC61" s="97"/>
      <c r="DD61" s="97" t="s">
        <v>1720</v>
      </c>
      <c r="DE61" s="97" t="s">
        <v>1682</v>
      </c>
      <c r="DF61" s="98"/>
      <c r="DG61" s="98"/>
      <c r="DH61" s="98"/>
      <c r="DI61" s="98"/>
      <c r="DJ61" s="98"/>
      <c r="DK61" s="98"/>
      <c r="DL61" s="98"/>
      <c r="DM61" s="97"/>
      <c r="DN61" s="97"/>
      <c r="DO61" s="97"/>
      <c r="DP61" s="97"/>
      <c r="DQ61" s="97"/>
      <c r="DR61" s="97"/>
      <c r="DS61" s="97"/>
      <c r="DT61" s="99"/>
      <c r="DU61" s="98"/>
      <c r="DV61" s="97"/>
      <c r="DW61" s="97"/>
      <c r="DX61" s="97"/>
      <c r="DY61" s="97"/>
      <c r="DZ61" s="97"/>
      <c r="EA61" s="97"/>
      <c r="EB61" s="97"/>
      <c r="EC61" s="97"/>
      <c r="ED61" s="97"/>
      <c r="EE61" s="97"/>
      <c r="EF61" s="97"/>
      <c r="EG61" s="97"/>
      <c r="EH61" s="97"/>
      <c r="EI61" s="97"/>
      <c r="EJ61" s="97"/>
      <c r="EK61" s="97"/>
      <c r="EL61" s="97"/>
      <c r="EM61" s="97"/>
      <c r="EN61" s="97"/>
      <c r="EO61" s="97"/>
      <c r="EP61" s="97"/>
      <c r="EQ61" s="97"/>
      <c r="ER61" s="97"/>
      <c r="ES61" s="97"/>
      <c r="ET61" s="97"/>
      <c r="EU61" s="97"/>
      <c r="EV61" s="97"/>
      <c r="EW61" s="97"/>
      <c r="EX61" s="97"/>
      <c r="EY61" s="97"/>
      <c r="EZ61" s="97"/>
      <c r="FA61" s="97"/>
      <c r="FB61" s="97"/>
      <c r="FC61" s="97"/>
      <c r="FD61" s="97"/>
      <c r="FE61" s="97"/>
      <c r="FF61" s="97"/>
      <c r="FG61" s="97"/>
      <c r="FH61" s="97"/>
      <c r="FI61" s="97"/>
      <c r="FJ61" s="97"/>
      <c r="FK61" s="97"/>
      <c r="FL61" s="97"/>
      <c r="FM61" s="97"/>
      <c r="FN61" s="97"/>
      <c r="FO61" s="97"/>
      <c r="FP61" s="97"/>
      <c r="FQ61" s="97"/>
      <c r="FR61" s="97"/>
      <c r="FS61" s="97"/>
      <c r="FT61" s="97"/>
      <c r="FU61" s="97"/>
      <c r="FV61" s="97"/>
      <c r="FW61" s="97"/>
      <c r="FX61" s="97"/>
      <c r="FY61" s="6"/>
      <c r="FZ61" s="7" t="str">
        <f>IF(FY61="","",VLOOKUP(FY61,MT商品ﾏｽﾀ参照シート!AM:AN,2,0))</f>
        <v/>
      </c>
      <c r="GA61" s="8"/>
      <c r="GB61" s="8"/>
      <c r="GC61" s="8"/>
      <c r="GD61" s="8"/>
      <c r="GE61" s="58"/>
      <c r="GF61" s="7" t="str">
        <f>IF(GE61="","",VLOOKUP(GE61,MT商品ﾏｽﾀ参照シート!AO:AP,2,0))</f>
        <v/>
      </c>
      <c r="GG61" s="7"/>
      <c r="GH61" s="7"/>
      <c r="GI61" s="7"/>
      <c r="GJ61" s="7"/>
      <c r="GK61" s="49"/>
      <c r="GL61" s="6"/>
      <c r="GM61" s="6"/>
      <c r="GN61" s="7"/>
      <c r="GO61" s="7"/>
      <c r="GP61" s="7"/>
      <c r="GQ61" s="7"/>
      <c r="GR61" s="7">
        <v>3400</v>
      </c>
      <c r="GS61" s="7">
        <v>4000</v>
      </c>
      <c r="GT61" s="7">
        <v>4000</v>
      </c>
      <c r="GU61" s="7">
        <v>4000</v>
      </c>
      <c r="GV61" s="7">
        <v>4000</v>
      </c>
      <c r="GW61" s="8"/>
      <c r="GX61" s="8"/>
      <c r="GY61" s="8"/>
      <c r="GZ61" s="8"/>
      <c r="HA61" s="8"/>
      <c r="HB61" s="8"/>
      <c r="HC61" s="8"/>
      <c r="HD61" s="8"/>
      <c r="HE61" s="58"/>
      <c r="HF61" s="58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82"/>
      <c r="HR61" s="82"/>
      <c r="HS61" s="82"/>
      <c r="HT61" s="26"/>
      <c r="HU61" s="23"/>
      <c r="HV61" s="23"/>
      <c r="HW61" s="24"/>
      <c r="HX61" s="24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76"/>
      <c r="IY61" s="76"/>
      <c r="IZ61" s="76"/>
      <c r="JA61" s="71"/>
      <c r="JB61" s="71"/>
      <c r="JC61" s="72"/>
      <c r="JD61" s="72"/>
      <c r="JE61" s="72"/>
      <c r="JF61" s="72"/>
      <c r="JG61" s="72"/>
      <c r="JH61" s="72"/>
      <c r="JI61" s="71"/>
      <c r="JJ61" s="71"/>
      <c r="JK61" s="72"/>
      <c r="JL61" s="72"/>
      <c r="JM61" s="72"/>
      <c r="JN61" s="72"/>
    </row>
    <row r="62" spans="1:274" ht="13.5" customHeight="1">
      <c r="A62" s="7">
        <v>50</v>
      </c>
      <c r="B62" s="7"/>
      <c r="C62" s="7" t="e">
        <f t="shared" si="25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/>
      <c r="L62" s="7"/>
      <c r="M62" s="7"/>
      <c r="N62" s="7"/>
      <c r="O62" s="7"/>
      <c r="P62" s="7"/>
      <c r="Q62" s="53"/>
      <c r="R62" s="7"/>
      <c r="S62" s="7"/>
      <c r="T62" s="53"/>
      <c r="U62" s="7"/>
      <c r="V62" s="7" t="e">
        <f t="shared" si="4"/>
        <v>#VALUE!</v>
      </c>
      <c r="W62" s="28"/>
      <c r="X62" s="7" t="e">
        <f t="shared" si="4"/>
        <v>#VALUE!</v>
      </c>
      <c r="Y62" s="28"/>
      <c r="Z62" s="7" t="e">
        <f t="shared" si="5"/>
        <v>#VALUE!</v>
      </c>
      <c r="AA62" s="28"/>
      <c r="AB62" s="7"/>
      <c r="AC62" s="7"/>
      <c r="AD62" s="7"/>
      <c r="AE62" s="7"/>
      <c r="AF62" s="7">
        <v>0</v>
      </c>
      <c r="AG62" s="7" t="e">
        <f t="shared" si="6"/>
        <v>#VALUE!</v>
      </c>
      <c r="AH62" s="28"/>
      <c r="AI62" s="7"/>
      <c r="AJ62" s="7" t="e">
        <f t="shared" si="7"/>
        <v>#VALUE!</v>
      </c>
      <c r="AK62" s="28"/>
      <c r="AL62" s="7" t="e">
        <f t="shared" si="8"/>
        <v>#VALUE!</v>
      </c>
      <c r="AM62" s="28"/>
      <c r="AN62" s="7" t="e">
        <f t="shared" si="9"/>
        <v>#VALUE!</v>
      </c>
      <c r="AO62" s="28"/>
      <c r="AP62" s="7">
        <f t="shared" si="10"/>
        <v>2</v>
      </c>
      <c r="AQ62" s="28" t="s">
        <v>2301</v>
      </c>
      <c r="AR62" s="7"/>
      <c r="AS62" s="7"/>
      <c r="AT62" s="7"/>
      <c r="AU62" s="7"/>
      <c r="AV62" s="7">
        <f t="shared" si="11"/>
        <v>4617</v>
      </c>
      <c r="AW62" s="28" t="s">
        <v>2302</v>
      </c>
      <c r="AX62" s="7">
        <v>1</v>
      </c>
      <c r="AY62" s="7" t="e">
        <f t="shared" si="12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3"/>
        <v>#VALUE!</v>
      </c>
      <c r="BG62" s="28"/>
      <c r="BH62" s="7" t="e">
        <f t="shared" si="14"/>
        <v>#VALUE!</v>
      </c>
      <c r="BI62" s="28"/>
      <c r="BJ62" s="7" t="e">
        <f t="shared" si="15"/>
        <v>#VALUE!</v>
      </c>
      <c r="BK62" s="28"/>
      <c r="BL62" s="7"/>
      <c r="BM62" s="7"/>
      <c r="BN62" s="7" t="e">
        <f t="shared" si="16"/>
        <v>#VALUE!</v>
      </c>
      <c r="BO62" s="28"/>
      <c r="BP62" s="7" t="e">
        <f t="shared" si="17"/>
        <v>#VALUE!</v>
      </c>
      <c r="BQ62" s="28"/>
      <c r="BR62" s="7"/>
      <c r="BS62" s="7" t="e">
        <f t="shared" si="18"/>
        <v>#VALUE!</v>
      </c>
      <c r="BT62" s="28"/>
      <c r="BU62" s="7"/>
      <c r="BV62" s="7" t="e">
        <f ca="1">[1]!tメーカー名(BU62)</f>
        <v>#NAME?</v>
      </c>
      <c r="BW62" s="7" t="e">
        <f t="shared" si="19"/>
        <v>#VALUE!</v>
      </c>
      <c r="BX62" s="28"/>
      <c r="BY62" s="7" t="e">
        <f t="shared" si="20"/>
        <v>#VALUE!</v>
      </c>
      <c r="BZ62" s="28"/>
      <c r="CA62" s="54"/>
      <c r="CB62" s="54"/>
      <c r="CC62" s="7" t="e">
        <f t="shared" si="21"/>
        <v>#VALUE!</v>
      </c>
      <c r="CD62" s="28"/>
      <c r="CE62" s="7" t="e">
        <f t="shared" si="22"/>
        <v>#VALUE!</v>
      </c>
      <c r="CF62" s="28"/>
      <c r="CG62" s="7" t="e">
        <f t="shared" si="23"/>
        <v>#VALUE!</v>
      </c>
      <c r="CH62" s="28"/>
      <c r="CI62" s="7" t="e">
        <f t="shared" si="24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6">
        <f t="shared" si="26"/>
        <v>0</v>
      </c>
      <c r="CT62" s="7"/>
      <c r="CU62" s="7"/>
      <c r="CV62" s="97"/>
      <c r="CW62" s="97"/>
      <c r="CX62" s="97"/>
      <c r="CY62" s="98"/>
      <c r="CZ62" s="98"/>
      <c r="DA62" s="97"/>
      <c r="DB62" s="98"/>
      <c r="DC62" s="97"/>
      <c r="DD62" s="97" t="s">
        <v>1721</v>
      </c>
      <c r="DE62" s="97">
        <v>4</v>
      </c>
      <c r="DF62" s="98"/>
      <c r="DG62" s="98"/>
      <c r="DH62" s="98"/>
      <c r="DI62" s="98"/>
      <c r="DJ62" s="98"/>
      <c r="DK62" s="98"/>
      <c r="DL62" s="98"/>
      <c r="DM62" s="97"/>
      <c r="DN62" s="97"/>
      <c r="DO62" s="97"/>
      <c r="DP62" s="97"/>
      <c r="DQ62" s="97"/>
      <c r="DR62" s="97"/>
      <c r="DS62" s="97"/>
      <c r="DT62" s="99"/>
      <c r="DU62" s="98"/>
      <c r="DV62" s="97"/>
      <c r="DW62" s="97"/>
      <c r="DX62" s="97"/>
      <c r="DY62" s="97"/>
      <c r="DZ62" s="97"/>
      <c r="EA62" s="97"/>
      <c r="EB62" s="97"/>
      <c r="EC62" s="97"/>
      <c r="ED62" s="97"/>
      <c r="EE62" s="97"/>
      <c r="EF62" s="97"/>
      <c r="EG62" s="97"/>
      <c r="EH62" s="97"/>
      <c r="EI62" s="97"/>
      <c r="EJ62" s="97"/>
      <c r="EK62" s="97"/>
      <c r="EL62" s="97"/>
      <c r="EM62" s="97"/>
      <c r="EN62" s="97"/>
      <c r="EO62" s="97"/>
      <c r="EP62" s="97"/>
      <c r="EQ62" s="97"/>
      <c r="ER62" s="97"/>
      <c r="ES62" s="97"/>
      <c r="ET62" s="97"/>
      <c r="EU62" s="97"/>
      <c r="EV62" s="97"/>
      <c r="EW62" s="97"/>
      <c r="EX62" s="97"/>
      <c r="EY62" s="97"/>
      <c r="EZ62" s="97"/>
      <c r="FA62" s="97"/>
      <c r="FB62" s="97"/>
      <c r="FC62" s="97"/>
      <c r="FD62" s="97"/>
      <c r="FE62" s="97"/>
      <c r="FF62" s="97"/>
      <c r="FG62" s="97"/>
      <c r="FH62" s="97"/>
      <c r="FI62" s="97"/>
      <c r="FJ62" s="97"/>
      <c r="FK62" s="97"/>
      <c r="FL62" s="97"/>
      <c r="FM62" s="97"/>
      <c r="FN62" s="97"/>
      <c r="FO62" s="97"/>
      <c r="FP62" s="97"/>
      <c r="FQ62" s="97"/>
      <c r="FR62" s="97"/>
      <c r="FS62" s="97"/>
      <c r="FT62" s="97"/>
      <c r="FU62" s="97"/>
      <c r="FV62" s="97"/>
      <c r="FW62" s="97"/>
      <c r="FX62" s="97"/>
      <c r="FY62" s="6"/>
      <c r="FZ62" s="7" t="str">
        <f>IF(FY62="","",VLOOKUP(FY62,MT商品ﾏｽﾀ参照シート!AM:AN,2,0))</f>
        <v/>
      </c>
      <c r="GA62" s="8"/>
      <c r="GB62" s="8"/>
      <c r="GC62" s="8"/>
      <c r="GD62" s="8"/>
      <c r="GE62" s="58"/>
      <c r="GF62" s="7" t="str">
        <f>IF(GE62="","",VLOOKUP(GE62,MT商品ﾏｽﾀ参照シート!AO:AP,2,0))</f>
        <v/>
      </c>
      <c r="GG62" s="7"/>
      <c r="GH62" s="7"/>
      <c r="GI62" s="7"/>
      <c r="GJ62" s="7"/>
      <c r="GK62" s="49"/>
      <c r="GL62" s="6"/>
      <c r="GM62" s="6"/>
      <c r="GN62" s="7"/>
      <c r="GO62" s="7"/>
      <c r="GP62" s="7"/>
      <c r="GQ62" s="7"/>
      <c r="GR62" s="7">
        <v>2805</v>
      </c>
      <c r="GS62" s="7">
        <v>3300</v>
      </c>
      <c r="GT62" s="7">
        <v>3300</v>
      </c>
      <c r="GU62" s="7">
        <v>3300</v>
      </c>
      <c r="GV62" s="7">
        <v>3300</v>
      </c>
      <c r="GW62" s="8"/>
      <c r="GX62" s="8"/>
      <c r="GY62" s="8"/>
      <c r="GZ62" s="8"/>
      <c r="HA62" s="8"/>
      <c r="HB62" s="8"/>
      <c r="HC62" s="8"/>
      <c r="HD62" s="8"/>
      <c r="HE62" s="58"/>
      <c r="HF62" s="58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82"/>
      <c r="HR62" s="82"/>
      <c r="HS62" s="82"/>
      <c r="HT62" s="26"/>
      <c r="HU62" s="23"/>
      <c r="HV62" s="23"/>
      <c r="HW62" s="24"/>
      <c r="HX62" s="24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76"/>
      <c r="IY62" s="76"/>
      <c r="IZ62" s="76"/>
      <c r="JA62" s="71"/>
      <c r="JB62" s="71"/>
      <c r="JC62" s="72"/>
      <c r="JD62" s="72"/>
      <c r="JE62" s="72"/>
      <c r="JF62" s="72"/>
      <c r="JG62" s="72"/>
      <c r="JH62" s="72"/>
      <c r="JI62" s="71"/>
      <c r="JJ62" s="71"/>
      <c r="JK62" s="72"/>
      <c r="JL62" s="72"/>
      <c r="JM62" s="72"/>
      <c r="JN62" s="72"/>
    </row>
    <row r="63" spans="1:274" ht="13.5" customHeight="1">
      <c r="A63" s="7">
        <v>51</v>
      </c>
      <c r="B63" s="7"/>
      <c r="C63" s="7" t="e">
        <f t="shared" si="25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/>
      <c r="L63" s="7"/>
      <c r="M63" s="7"/>
      <c r="N63" s="7"/>
      <c r="O63" s="7"/>
      <c r="P63" s="7"/>
      <c r="Q63" s="53"/>
      <c r="R63" s="7"/>
      <c r="S63" s="7"/>
      <c r="T63" s="53"/>
      <c r="U63" s="7"/>
      <c r="V63" s="7" t="e">
        <f t="shared" si="4"/>
        <v>#VALUE!</v>
      </c>
      <c r="W63" s="28"/>
      <c r="X63" s="7" t="e">
        <f t="shared" si="4"/>
        <v>#VALUE!</v>
      </c>
      <c r="Y63" s="28"/>
      <c r="Z63" s="7" t="e">
        <f t="shared" si="5"/>
        <v>#VALUE!</v>
      </c>
      <c r="AA63" s="28"/>
      <c r="AB63" s="7"/>
      <c r="AC63" s="7"/>
      <c r="AD63" s="7"/>
      <c r="AE63" s="7"/>
      <c r="AF63" s="7">
        <v>0</v>
      </c>
      <c r="AG63" s="7" t="e">
        <f t="shared" si="6"/>
        <v>#VALUE!</v>
      </c>
      <c r="AH63" s="28"/>
      <c r="AI63" s="7"/>
      <c r="AJ63" s="7" t="e">
        <f t="shared" si="7"/>
        <v>#VALUE!</v>
      </c>
      <c r="AK63" s="28"/>
      <c r="AL63" s="7" t="e">
        <f t="shared" si="8"/>
        <v>#VALUE!</v>
      </c>
      <c r="AM63" s="28"/>
      <c r="AN63" s="7" t="e">
        <f t="shared" si="9"/>
        <v>#VALUE!</v>
      </c>
      <c r="AO63" s="28"/>
      <c r="AP63" s="7">
        <f t="shared" si="10"/>
        <v>2</v>
      </c>
      <c r="AQ63" s="28" t="s">
        <v>2301</v>
      </c>
      <c r="AR63" s="7"/>
      <c r="AS63" s="7"/>
      <c r="AT63" s="7"/>
      <c r="AU63" s="7"/>
      <c r="AV63" s="7">
        <f t="shared" si="11"/>
        <v>4617</v>
      </c>
      <c r="AW63" s="28" t="s">
        <v>2302</v>
      </c>
      <c r="AX63" s="7">
        <v>1</v>
      </c>
      <c r="AY63" s="7" t="e">
        <f t="shared" si="12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3"/>
        <v>#VALUE!</v>
      </c>
      <c r="BG63" s="28"/>
      <c r="BH63" s="7" t="e">
        <f t="shared" si="14"/>
        <v>#VALUE!</v>
      </c>
      <c r="BI63" s="28"/>
      <c r="BJ63" s="7" t="e">
        <f t="shared" si="15"/>
        <v>#VALUE!</v>
      </c>
      <c r="BK63" s="28"/>
      <c r="BL63" s="7"/>
      <c r="BM63" s="7"/>
      <c r="BN63" s="7" t="e">
        <f t="shared" si="16"/>
        <v>#VALUE!</v>
      </c>
      <c r="BO63" s="28"/>
      <c r="BP63" s="7" t="e">
        <f t="shared" si="17"/>
        <v>#VALUE!</v>
      </c>
      <c r="BQ63" s="28"/>
      <c r="BR63" s="7"/>
      <c r="BS63" s="7" t="e">
        <f t="shared" si="18"/>
        <v>#VALUE!</v>
      </c>
      <c r="BT63" s="28"/>
      <c r="BU63" s="7"/>
      <c r="BV63" s="7" t="e">
        <f ca="1">[1]!tメーカー名(BU63)</f>
        <v>#NAME?</v>
      </c>
      <c r="BW63" s="7" t="e">
        <f t="shared" si="19"/>
        <v>#VALUE!</v>
      </c>
      <c r="BX63" s="28"/>
      <c r="BY63" s="7" t="e">
        <f t="shared" si="20"/>
        <v>#VALUE!</v>
      </c>
      <c r="BZ63" s="28"/>
      <c r="CA63" s="54"/>
      <c r="CB63" s="54"/>
      <c r="CC63" s="7" t="e">
        <f t="shared" si="21"/>
        <v>#VALUE!</v>
      </c>
      <c r="CD63" s="28"/>
      <c r="CE63" s="7" t="e">
        <f t="shared" si="22"/>
        <v>#VALUE!</v>
      </c>
      <c r="CF63" s="28"/>
      <c r="CG63" s="7" t="e">
        <f t="shared" si="23"/>
        <v>#VALUE!</v>
      </c>
      <c r="CH63" s="28"/>
      <c r="CI63" s="7" t="e">
        <f t="shared" si="24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6">
        <f t="shared" si="26"/>
        <v>0</v>
      </c>
      <c r="CT63" s="7"/>
      <c r="CU63" s="7"/>
      <c r="CV63" s="97"/>
      <c r="CW63" s="97"/>
      <c r="CX63" s="97"/>
      <c r="CY63" s="98"/>
      <c r="CZ63" s="98"/>
      <c r="DA63" s="97"/>
      <c r="DB63" s="98"/>
      <c r="DC63" s="97"/>
      <c r="DD63" s="97" t="s">
        <v>1722</v>
      </c>
      <c r="DE63" s="97">
        <v>4</v>
      </c>
      <c r="DF63" s="98"/>
      <c r="DG63" s="98"/>
      <c r="DH63" s="98"/>
      <c r="DI63" s="98"/>
      <c r="DJ63" s="98"/>
      <c r="DK63" s="98"/>
      <c r="DL63" s="98"/>
      <c r="DM63" s="97"/>
      <c r="DN63" s="97"/>
      <c r="DO63" s="97"/>
      <c r="DP63" s="97"/>
      <c r="DQ63" s="97"/>
      <c r="DR63" s="97"/>
      <c r="DS63" s="97"/>
      <c r="DT63" s="99"/>
      <c r="DU63" s="98"/>
      <c r="DV63" s="97"/>
      <c r="DW63" s="97"/>
      <c r="DX63" s="97"/>
      <c r="DY63" s="97"/>
      <c r="DZ63" s="97"/>
      <c r="EA63" s="97"/>
      <c r="EB63" s="97"/>
      <c r="EC63" s="97"/>
      <c r="ED63" s="97"/>
      <c r="EE63" s="97"/>
      <c r="EF63" s="97"/>
      <c r="EG63" s="97"/>
      <c r="EH63" s="97"/>
      <c r="EI63" s="97"/>
      <c r="EJ63" s="97"/>
      <c r="EK63" s="97"/>
      <c r="EL63" s="97"/>
      <c r="EM63" s="97"/>
      <c r="EN63" s="97"/>
      <c r="EO63" s="97"/>
      <c r="EP63" s="97"/>
      <c r="EQ63" s="97"/>
      <c r="ER63" s="97"/>
      <c r="ES63" s="97"/>
      <c r="ET63" s="97"/>
      <c r="EU63" s="97"/>
      <c r="EV63" s="97"/>
      <c r="EW63" s="97"/>
      <c r="EX63" s="97"/>
      <c r="EY63" s="97"/>
      <c r="EZ63" s="97"/>
      <c r="FA63" s="97"/>
      <c r="FB63" s="97"/>
      <c r="FC63" s="97"/>
      <c r="FD63" s="97"/>
      <c r="FE63" s="97"/>
      <c r="FF63" s="97"/>
      <c r="FG63" s="97"/>
      <c r="FH63" s="97"/>
      <c r="FI63" s="97"/>
      <c r="FJ63" s="97"/>
      <c r="FK63" s="97"/>
      <c r="FL63" s="97"/>
      <c r="FM63" s="97"/>
      <c r="FN63" s="97"/>
      <c r="FO63" s="97"/>
      <c r="FP63" s="97"/>
      <c r="FQ63" s="97"/>
      <c r="FR63" s="97"/>
      <c r="FS63" s="97"/>
      <c r="FT63" s="97"/>
      <c r="FU63" s="97"/>
      <c r="FV63" s="97"/>
      <c r="FW63" s="97"/>
      <c r="FX63" s="97"/>
      <c r="FY63" s="6"/>
      <c r="FZ63" s="7" t="str">
        <f>IF(FY63="","",VLOOKUP(FY63,MT商品ﾏｽﾀ参照シート!AM:AN,2,0))</f>
        <v/>
      </c>
      <c r="GA63" s="8"/>
      <c r="GB63" s="8"/>
      <c r="GC63" s="8"/>
      <c r="GD63" s="8"/>
      <c r="GE63" s="58"/>
      <c r="GF63" s="7" t="str">
        <f>IF(GE63="","",VLOOKUP(GE63,MT商品ﾏｽﾀ参照シート!AO:AP,2,0))</f>
        <v/>
      </c>
      <c r="GG63" s="7"/>
      <c r="GH63" s="7"/>
      <c r="GI63" s="7"/>
      <c r="GJ63" s="7"/>
      <c r="GK63" s="49"/>
      <c r="GL63" s="6"/>
      <c r="GM63" s="6"/>
      <c r="GN63" s="7"/>
      <c r="GO63" s="7"/>
      <c r="GP63" s="7"/>
      <c r="GQ63" s="7"/>
      <c r="GR63" s="7">
        <v>2805</v>
      </c>
      <c r="GS63" s="7">
        <v>3300</v>
      </c>
      <c r="GT63" s="7">
        <v>3300</v>
      </c>
      <c r="GU63" s="7">
        <v>3300</v>
      </c>
      <c r="GV63" s="7">
        <v>3300</v>
      </c>
      <c r="GW63" s="8"/>
      <c r="GX63" s="8"/>
      <c r="GY63" s="8"/>
      <c r="GZ63" s="8"/>
      <c r="HA63" s="8"/>
      <c r="HB63" s="8"/>
      <c r="HC63" s="8"/>
      <c r="HD63" s="8"/>
      <c r="HE63" s="58"/>
      <c r="HF63" s="58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82"/>
      <c r="HR63" s="82"/>
      <c r="HS63" s="82"/>
      <c r="HT63" s="26"/>
      <c r="HU63" s="23"/>
      <c r="HV63" s="23"/>
      <c r="HW63" s="24"/>
      <c r="HX63" s="24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76"/>
      <c r="IY63" s="76"/>
      <c r="IZ63" s="76"/>
      <c r="JA63" s="71"/>
      <c r="JB63" s="71"/>
      <c r="JC63" s="72"/>
      <c r="JD63" s="72"/>
      <c r="JE63" s="72"/>
      <c r="JF63" s="72"/>
      <c r="JG63" s="72"/>
      <c r="JH63" s="72"/>
      <c r="JI63" s="71"/>
      <c r="JJ63" s="71"/>
      <c r="JK63" s="72"/>
      <c r="JL63" s="72"/>
      <c r="JM63" s="72"/>
      <c r="JN63" s="72"/>
    </row>
    <row r="64" spans="1:274" ht="13.5" customHeight="1">
      <c r="A64" s="7">
        <v>52</v>
      </c>
      <c r="B64" s="7"/>
      <c r="C64" s="7" t="e">
        <f t="shared" si="25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/>
      <c r="L64" s="7"/>
      <c r="M64" s="7"/>
      <c r="N64" s="7"/>
      <c r="O64" s="7"/>
      <c r="P64" s="7"/>
      <c r="Q64" s="53"/>
      <c r="R64" s="7"/>
      <c r="S64" s="7"/>
      <c r="T64" s="53"/>
      <c r="U64" s="7"/>
      <c r="V64" s="7" t="e">
        <f t="shared" si="4"/>
        <v>#VALUE!</v>
      </c>
      <c r="W64" s="28"/>
      <c r="X64" s="7" t="e">
        <f t="shared" si="4"/>
        <v>#VALUE!</v>
      </c>
      <c r="Y64" s="28"/>
      <c r="Z64" s="7" t="e">
        <f t="shared" si="5"/>
        <v>#VALUE!</v>
      </c>
      <c r="AA64" s="28"/>
      <c r="AB64" s="7"/>
      <c r="AC64" s="7"/>
      <c r="AD64" s="7"/>
      <c r="AE64" s="7"/>
      <c r="AF64" s="7">
        <v>0</v>
      </c>
      <c r="AG64" s="7" t="e">
        <f t="shared" si="6"/>
        <v>#VALUE!</v>
      </c>
      <c r="AH64" s="28"/>
      <c r="AI64" s="7"/>
      <c r="AJ64" s="7" t="e">
        <f t="shared" si="7"/>
        <v>#VALUE!</v>
      </c>
      <c r="AK64" s="28"/>
      <c r="AL64" s="7" t="e">
        <f t="shared" si="8"/>
        <v>#VALUE!</v>
      </c>
      <c r="AM64" s="28"/>
      <c r="AN64" s="7" t="e">
        <f t="shared" si="9"/>
        <v>#VALUE!</v>
      </c>
      <c r="AO64" s="28"/>
      <c r="AP64" s="7">
        <f t="shared" si="10"/>
        <v>2</v>
      </c>
      <c r="AQ64" s="28" t="s">
        <v>2301</v>
      </c>
      <c r="AR64" s="7"/>
      <c r="AS64" s="7"/>
      <c r="AT64" s="7"/>
      <c r="AU64" s="7"/>
      <c r="AV64" s="7">
        <f t="shared" si="11"/>
        <v>4617</v>
      </c>
      <c r="AW64" s="28" t="s">
        <v>2302</v>
      </c>
      <c r="AX64" s="7">
        <v>1</v>
      </c>
      <c r="AY64" s="7" t="e">
        <f t="shared" si="12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3"/>
        <v>#VALUE!</v>
      </c>
      <c r="BG64" s="28"/>
      <c r="BH64" s="7" t="e">
        <f t="shared" si="14"/>
        <v>#VALUE!</v>
      </c>
      <c r="BI64" s="28"/>
      <c r="BJ64" s="7" t="e">
        <f t="shared" si="15"/>
        <v>#VALUE!</v>
      </c>
      <c r="BK64" s="28"/>
      <c r="BL64" s="7"/>
      <c r="BM64" s="7"/>
      <c r="BN64" s="7" t="e">
        <f t="shared" si="16"/>
        <v>#VALUE!</v>
      </c>
      <c r="BO64" s="28"/>
      <c r="BP64" s="7" t="e">
        <f t="shared" si="17"/>
        <v>#VALUE!</v>
      </c>
      <c r="BQ64" s="28"/>
      <c r="BR64" s="7"/>
      <c r="BS64" s="7" t="e">
        <f t="shared" si="18"/>
        <v>#VALUE!</v>
      </c>
      <c r="BT64" s="28"/>
      <c r="BU64" s="7"/>
      <c r="BV64" s="7" t="e">
        <f ca="1">[1]!tメーカー名(BU64)</f>
        <v>#NAME?</v>
      </c>
      <c r="BW64" s="7" t="e">
        <f t="shared" si="19"/>
        <v>#VALUE!</v>
      </c>
      <c r="BX64" s="28"/>
      <c r="BY64" s="7" t="e">
        <f t="shared" si="20"/>
        <v>#VALUE!</v>
      </c>
      <c r="BZ64" s="28"/>
      <c r="CA64" s="54"/>
      <c r="CB64" s="54"/>
      <c r="CC64" s="7" t="e">
        <f t="shared" si="21"/>
        <v>#VALUE!</v>
      </c>
      <c r="CD64" s="28"/>
      <c r="CE64" s="7" t="e">
        <f t="shared" si="22"/>
        <v>#VALUE!</v>
      </c>
      <c r="CF64" s="28"/>
      <c r="CG64" s="7" t="e">
        <f t="shared" si="23"/>
        <v>#VALUE!</v>
      </c>
      <c r="CH64" s="28"/>
      <c r="CI64" s="7" t="e">
        <f t="shared" si="24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6">
        <f t="shared" si="26"/>
        <v>0</v>
      </c>
      <c r="CT64" s="7"/>
      <c r="CU64" s="7"/>
      <c r="CV64" s="97"/>
      <c r="CW64" s="97"/>
      <c r="CX64" s="97"/>
      <c r="CY64" s="98"/>
      <c r="CZ64" s="98"/>
      <c r="DA64" s="97"/>
      <c r="DB64" s="98"/>
      <c r="DC64" s="97"/>
      <c r="DD64" s="97" t="s">
        <v>1723</v>
      </c>
      <c r="DE64" s="97">
        <v>4</v>
      </c>
      <c r="DF64" s="98"/>
      <c r="DG64" s="98"/>
      <c r="DH64" s="98"/>
      <c r="DI64" s="98"/>
      <c r="DJ64" s="98"/>
      <c r="DK64" s="98"/>
      <c r="DL64" s="98"/>
      <c r="DM64" s="97"/>
      <c r="DN64" s="97"/>
      <c r="DO64" s="97"/>
      <c r="DP64" s="97"/>
      <c r="DQ64" s="97"/>
      <c r="DR64" s="97"/>
      <c r="DS64" s="97"/>
      <c r="DT64" s="99"/>
      <c r="DU64" s="98"/>
      <c r="DV64" s="97"/>
      <c r="DW64" s="97"/>
      <c r="DX64" s="97"/>
      <c r="DY64" s="97"/>
      <c r="DZ64" s="97"/>
      <c r="EA64" s="97"/>
      <c r="EB64" s="97"/>
      <c r="EC64" s="97"/>
      <c r="ED64" s="97"/>
      <c r="EE64" s="97"/>
      <c r="EF64" s="97"/>
      <c r="EG64" s="97"/>
      <c r="EH64" s="97"/>
      <c r="EI64" s="97"/>
      <c r="EJ64" s="97"/>
      <c r="EK64" s="97"/>
      <c r="EL64" s="97"/>
      <c r="EM64" s="97"/>
      <c r="EN64" s="97"/>
      <c r="EO64" s="97"/>
      <c r="EP64" s="97"/>
      <c r="EQ64" s="97"/>
      <c r="ER64" s="97"/>
      <c r="ES64" s="97"/>
      <c r="ET64" s="97"/>
      <c r="EU64" s="97"/>
      <c r="EV64" s="97"/>
      <c r="EW64" s="97"/>
      <c r="EX64" s="97"/>
      <c r="EY64" s="97"/>
      <c r="EZ64" s="97"/>
      <c r="FA64" s="97"/>
      <c r="FB64" s="97"/>
      <c r="FC64" s="97"/>
      <c r="FD64" s="97"/>
      <c r="FE64" s="97"/>
      <c r="FF64" s="97"/>
      <c r="FG64" s="97"/>
      <c r="FH64" s="97"/>
      <c r="FI64" s="97"/>
      <c r="FJ64" s="97"/>
      <c r="FK64" s="97"/>
      <c r="FL64" s="97"/>
      <c r="FM64" s="97"/>
      <c r="FN64" s="97"/>
      <c r="FO64" s="97"/>
      <c r="FP64" s="97"/>
      <c r="FQ64" s="97"/>
      <c r="FR64" s="97"/>
      <c r="FS64" s="97"/>
      <c r="FT64" s="97"/>
      <c r="FU64" s="97"/>
      <c r="FV64" s="97"/>
      <c r="FW64" s="97"/>
      <c r="FX64" s="97"/>
      <c r="FY64" s="6"/>
      <c r="FZ64" s="7" t="str">
        <f>IF(FY64="","",VLOOKUP(FY64,MT商品ﾏｽﾀ参照シート!AM:AN,2,0))</f>
        <v/>
      </c>
      <c r="GA64" s="8"/>
      <c r="GB64" s="8"/>
      <c r="GC64" s="8"/>
      <c r="GD64" s="8"/>
      <c r="GE64" s="58"/>
      <c r="GF64" s="7" t="str">
        <f>IF(GE64="","",VLOOKUP(GE64,MT商品ﾏｽﾀ参照シート!AO:AP,2,0))</f>
        <v/>
      </c>
      <c r="GG64" s="7"/>
      <c r="GH64" s="7"/>
      <c r="GI64" s="7"/>
      <c r="GJ64" s="7"/>
      <c r="GK64" s="49"/>
      <c r="GL64" s="6"/>
      <c r="GM64" s="6"/>
      <c r="GN64" s="7"/>
      <c r="GO64" s="7"/>
      <c r="GP64" s="7"/>
      <c r="GQ64" s="7"/>
      <c r="GR64" s="7">
        <v>2805</v>
      </c>
      <c r="GS64" s="7">
        <v>3300</v>
      </c>
      <c r="GT64" s="7">
        <v>3300</v>
      </c>
      <c r="GU64" s="7">
        <v>3300</v>
      </c>
      <c r="GV64" s="7">
        <v>3300</v>
      </c>
      <c r="GW64" s="8"/>
      <c r="GX64" s="8"/>
      <c r="GY64" s="8"/>
      <c r="GZ64" s="8"/>
      <c r="HA64" s="8"/>
      <c r="HB64" s="8"/>
      <c r="HC64" s="8"/>
      <c r="HD64" s="8"/>
      <c r="HE64" s="58"/>
      <c r="HF64" s="58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82"/>
      <c r="HR64" s="82"/>
      <c r="HS64" s="82"/>
      <c r="HT64" s="26"/>
      <c r="HU64" s="23"/>
      <c r="HV64" s="23"/>
      <c r="HW64" s="24"/>
      <c r="HX64" s="24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76"/>
      <c r="IY64" s="76"/>
      <c r="IZ64" s="76"/>
      <c r="JA64" s="71"/>
      <c r="JB64" s="71"/>
      <c r="JC64" s="72"/>
      <c r="JD64" s="72"/>
      <c r="JE64" s="72"/>
      <c r="JF64" s="72"/>
      <c r="JG64" s="72"/>
      <c r="JH64" s="72"/>
      <c r="JI64" s="71"/>
      <c r="JJ64" s="71"/>
      <c r="JK64" s="72"/>
      <c r="JL64" s="72"/>
      <c r="JM64" s="72"/>
      <c r="JN64" s="72"/>
    </row>
    <row r="65" spans="1:274" ht="13.5" customHeight="1">
      <c r="A65" s="7">
        <v>53</v>
      </c>
      <c r="B65" s="7"/>
      <c r="C65" s="7" t="e">
        <f t="shared" si="25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/>
      <c r="L65" s="7"/>
      <c r="M65" s="7"/>
      <c r="N65" s="7"/>
      <c r="O65" s="7"/>
      <c r="P65" s="7"/>
      <c r="Q65" s="53"/>
      <c r="R65" s="7"/>
      <c r="S65" s="7"/>
      <c r="T65" s="53"/>
      <c r="U65" s="7"/>
      <c r="V65" s="7" t="e">
        <f t="shared" si="4"/>
        <v>#VALUE!</v>
      </c>
      <c r="W65" s="28"/>
      <c r="X65" s="7" t="e">
        <f t="shared" si="4"/>
        <v>#VALUE!</v>
      </c>
      <c r="Y65" s="28"/>
      <c r="Z65" s="7" t="e">
        <f t="shared" si="5"/>
        <v>#VALUE!</v>
      </c>
      <c r="AA65" s="28"/>
      <c r="AB65" s="7"/>
      <c r="AC65" s="7"/>
      <c r="AD65" s="7"/>
      <c r="AE65" s="7"/>
      <c r="AF65" s="7">
        <v>0</v>
      </c>
      <c r="AG65" s="7" t="e">
        <f t="shared" si="6"/>
        <v>#VALUE!</v>
      </c>
      <c r="AH65" s="28"/>
      <c r="AI65" s="7"/>
      <c r="AJ65" s="7" t="e">
        <f t="shared" si="7"/>
        <v>#VALUE!</v>
      </c>
      <c r="AK65" s="28"/>
      <c r="AL65" s="7" t="e">
        <f t="shared" si="8"/>
        <v>#VALUE!</v>
      </c>
      <c r="AM65" s="28"/>
      <c r="AN65" s="7" t="e">
        <f t="shared" si="9"/>
        <v>#VALUE!</v>
      </c>
      <c r="AO65" s="28"/>
      <c r="AP65" s="7">
        <f t="shared" si="10"/>
        <v>2</v>
      </c>
      <c r="AQ65" s="28" t="s">
        <v>2301</v>
      </c>
      <c r="AR65" s="7"/>
      <c r="AS65" s="7"/>
      <c r="AT65" s="7"/>
      <c r="AU65" s="7"/>
      <c r="AV65" s="7">
        <f t="shared" si="11"/>
        <v>4617</v>
      </c>
      <c r="AW65" s="28" t="s">
        <v>2302</v>
      </c>
      <c r="AX65" s="7">
        <v>1</v>
      </c>
      <c r="AY65" s="7" t="e">
        <f t="shared" si="12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3"/>
        <v>#VALUE!</v>
      </c>
      <c r="BG65" s="28"/>
      <c r="BH65" s="7" t="e">
        <f t="shared" si="14"/>
        <v>#VALUE!</v>
      </c>
      <c r="BI65" s="28"/>
      <c r="BJ65" s="7" t="e">
        <f t="shared" si="15"/>
        <v>#VALUE!</v>
      </c>
      <c r="BK65" s="28"/>
      <c r="BL65" s="7"/>
      <c r="BM65" s="7"/>
      <c r="BN65" s="7" t="e">
        <f t="shared" si="16"/>
        <v>#VALUE!</v>
      </c>
      <c r="BO65" s="28"/>
      <c r="BP65" s="7" t="e">
        <f t="shared" si="17"/>
        <v>#VALUE!</v>
      </c>
      <c r="BQ65" s="28"/>
      <c r="BR65" s="7"/>
      <c r="BS65" s="7" t="e">
        <f t="shared" si="18"/>
        <v>#VALUE!</v>
      </c>
      <c r="BT65" s="28"/>
      <c r="BU65" s="7"/>
      <c r="BV65" s="7" t="e">
        <f ca="1">[1]!tメーカー名(BU65)</f>
        <v>#NAME?</v>
      </c>
      <c r="BW65" s="7" t="e">
        <f t="shared" si="19"/>
        <v>#VALUE!</v>
      </c>
      <c r="BX65" s="28"/>
      <c r="BY65" s="7" t="e">
        <f t="shared" si="20"/>
        <v>#VALUE!</v>
      </c>
      <c r="BZ65" s="28"/>
      <c r="CA65" s="54"/>
      <c r="CB65" s="54"/>
      <c r="CC65" s="7" t="e">
        <f t="shared" si="21"/>
        <v>#VALUE!</v>
      </c>
      <c r="CD65" s="28"/>
      <c r="CE65" s="7" t="e">
        <f t="shared" si="22"/>
        <v>#VALUE!</v>
      </c>
      <c r="CF65" s="28"/>
      <c r="CG65" s="7" t="e">
        <f t="shared" si="23"/>
        <v>#VALUE!</v>
      </c>
      <c r="CH65" s="28"/>
      <c r="CI65" s="7" t="e">
        <f t="shared" si="24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6">
        <f t="shared" si="26"/>
        <v>0</v>
      </c>
      <c r="CT65" s="7"/>
      <c r="CU65" s="7"/>
      <c r="CV65" s="97"/>
      <c r="CW65" s="97"/>
      <c r="CX65" s="97"/>
      <c r="CY65" s="98"/>
      <c r="CZ65" s="98"/>
      <c r="DA65" s="97"/>
      <c r="DB65" s="98"/>
      <c r="DC65" s="97"/>
      <c r="DD65" s="97" t="s">
        <v>1724</v>
      </c>
      <c r="DE65" s="97">
        <v>10</v>
      </c>
      <c r="DF65" s="98"/>
      <c r="DG65" s="98"/>
      <c r="DH65" s="98"/>
      <c r="DI65" s="98"/>
      <c r="DJ65" s="98"/>
      <c r="DK65" s="98"/>
      <c r="DL65" s="98"/>
      <c r="DM65" s="97"/>
      <c r="DN65" s="97"/>
      <c r="DO65" s="97"/>
      <c r="DP65" s="97"/>
      <c r="DQ65" s="97"/>
      <c r="DR65" s="97"/>
      <c r="DS65" s="97"/>
      <c r="DT65" s="99"/>
      <c r="DU65" s="98"/>
      <c r="DV65" s="97"/>
      <c r="DW65" s="97"/>
      <c r="DX65" s="97"/>
      <c r="DY65" s="97"/>
      <c r="DZ65" s="97"/>
      <c r="EA65" s="97"/>
      <c r="EB65" s="97"/>
      <c r="EC65" s="97"/>
      <c r="ED65" s="97"/>
      <c r="EE65" s="97"/>
      <c r="EF65" s="97"/>
      <c r="EG65" s="97"/>
      <c r="EH65" s="97"/>
      <c r="EI65" s="97"/>
      <c r="EJ65" s="97"/>
      <c r="EK65" s="97"/>
      <c r="EL65" s="97"/>
      <c r="EM65" s="97"/>
      <c r="EN65" s="97"/>
      <c r="EO65" s="97"/>
      <c r="EP65" s="97"/>
      <c r="EQ65" s="97"/>
      <c r="ER65" s="97"/>
      <c r="ES65" s="97"/>
      <c r="ET65" s="97"/>
      <c r="EU65" s="97"/>
      <c r="EV65" s="97"/>
      <c r="EW65" s="97"/>
      <c r="EX65" s="97"/>
      <c r="EY65" s="97"/>
      <c r="EZ65" s="97"/>
      <c r="FA65" s="97"/>
      <c r="FB65" s="97"/>
      <c r="FC65" s="97"/>
      <c r="FD65" s="97"/>
      <c r="FE65" s="97"/>
      <c r="FF65" s="97"/>
      <c r="FG65" s="97"/>
      <c r="FH65" s="97"/>
      <c r="FI65" s="97"/>
      <c r="FJ65" s="97"/>
      <c r="FK65" s="97"/>
      <c r="FL65" s="97"/>
      <c r="FM65" s="97"/>
      <c r="FN65" s="97"/>
      <c r="FO65" s="97"/>
      <c r="FP65" s="97"/>
      <c r="FQ65" s="97"/>
      <c r="FR65" s="97"/>
      <c r="FS65" s="97"/>
      <c r="FT65" s="97"/>
      <c r="FU65" s="97"/>
      <c r="FV65" s="97"/>
      <c r="FW65" s="97"/>
      <c r="FX65" s="97"/>
      <c r="FY65" s="6"/>
      <c r="FZ65" s="7" t="str">
        <f>IF(FY65="","",VLOOKUP(FY65,MT商品ﾏｽﾀ参照シート!AM:AN,2,0))</f>
        <v/>
      </c>
      <c r="GA65" s="8"/>
      <c r="GB65" s="8"/>
      <c r="GC65" s="8"/>
      <c r="GD65" s="8"/>
      <c r="GE65" s="58"/>
      <c r="GF65" s="7" t="str">
        <f>IF(GE65="","",VLOOKUP(GE65,MT商品ﾏｽﾀ参照シート!AO:AP,2,0))</f>
        <v/>
      </c>
      <c r="GG65" s="7"/>
      <c r="GH65" s="7"/>
      <c r="GI65" s="7"/>
      <c r="GJ65" s="7"/>
      <c r="GK65" s="49"/>
      <c r="GL65" s="6"/>
      <c r="GM65" s="6"/>
      <c r="GN65" s="7"/>
      <c r="GO65" s="7"/>
      <c r="GP65" s="7"/>
      <c r="GQ65" s="7"/>
      <c r="GR65" s="7">
        <v>1955</v>
      </c>
      <c r="GS65" s="7">
        <v>2300</v>
      </c>
      <c r="GT65" s="7">
        <v>2300</v>
      </c>
      <c r="GU65" s="7">
        <v>2300</v>
      </c>
      <c r="GV65" s="7">
        <v>2300</v>
      </c>
      <c r="GW65" s="8"/>
      <c r="GX65" s="8"/>
      <c r="GY65" s="8"/>
      <c r="GZ65" s="8"/>
      <c r="HA65" s="8"/>
      <c r="HB65" s="8"/>
      <c r="HC65" s="8"/>
      <c r="HD65" s="8"/>
      <c r="HE65" s="58"/>
      <c r="HF65" s="58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82"/>
      <c r="HR65" s="82"/>
      <c r="HS65" s="82"/>
      <c r="HT65" s="26"/>
      <c r="HU65" s="23"/>
      <c r="HV65" s="23"/>
      <c r="HW65" s="24"/>
      <c r="HX65" s="24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76"/>
      <c r="IY65" s="76"/>
      <c r="IZ65" s="76"/>
      <c r="JA65" s="71"/>
      <c r="JB65" s="71"/>
      <c r="JC65" s="72"/>
      <c r="JD65" s="72"/>
      <c r="JE65" s="72"/>
      <c r="JF65" s="72"/>
      <c r="JG65" s="72"/>
      <c r="JH65" s="72"/>
      <c r="JI65" s="71"/>
      <c r="JJ65" s="71"/>
      <c r="JK65" s="72"/>
      <c r="JL65" s="72"/>
      <c r="JM65" s="72"/>
      <c r="JN65" s="72"/>
    </row>
    <row r="66" spans="1:274" ht="13.5" customHeight="1">
      <c r="A66" s="7">
        <v>54</v>
      </c>
      <c r="B66" s="7"/>
      <c r="C66" s="7" t="e">
        <f t="shared" si="25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/>
      <c r="L66" s="7"/>
      <c r="M66" s="7"/>
      <c r="N66" s="7"/>
      <c r="O66" s="7"/>
      <c r="P66" s="7"/>
      <c r="Q66" s="53"/>
      <c r="R66" s="7"/>
      <c r="S66" s="7"/>
      <c r="T66" s="53"/>
      <c r="U66" s="7"/>
      <c r="V66" s="7" t="e">
        <f t="shared" si="4"/>
        <v>#VALUE!</v>
      </c>
      <c r="W66" s="28"/>
      <c r="X66" s="7" t="e">
        <f t="shared" si="4"/>
        <v>#VALUE!</v>
      </c>
      <c r="Y66" s="28"/>
      <c r="Z66" s="7" t="e">
        <f t="shared" si="5"/>
        <v>#VALUE!</v>
      </c>
      <c r="AA66" s="28"/>
      <c r="AB66" s="7"/>
      <c r="AC66" s="7"/>
      <c r="AD66" s="7"/>
      <c r="AE66" s="7"/>
      <c r="AF66" s="7">
        <v>0</v>
      </c>
      <c r="AG66" s="7" t="e">
        <f t="shared" si="6"/>
        <v>#VALUE!</v>
      </c>
      <c r="AH66" s="28"/>
      <c r="AI66" s="7"/>
      <c r="AJ66" s="7" t="e">
        <f t="shared" si="7"/>
        <v>#VALUE!</v>
      </c>
      <c r="AK66" s="28"/>
      <c r="AL66" s="7" t="e">
        <f t="shared" si="8"/>
        <v>#VALUE!</v>
      </c>
      <c r="AM66" s="28"/>
      <c r="AN66" s="7" t="e">
        <f t="shared" si="9"/>
        <v>#VALUE!</v>
      </c>
      <c r="AO66" s="28"/>
      <c r="AP66" s="7">
        <f t="shared" si="10"/>
        <v>2</v>
      </c>
      <c r="AQ66" s="28" t="s">
        <v>2301</v>
      </c>
      <c r="AR66" s="7"/>
      <c r="AS66" s="7"/>
      <c r="AT66" s="7"/>
      <c r="AU66" s="7"/>
      <c r="AV66" s="7">
        <f t="shared" si="11"/>
        <v>4617</v>
      </c>
      <c r="AW66" s="28" t="s">
        <v>2302</v>
      </c>
      <c r="AX66" s="7">
        <v>1</v>
      </c>
      <c r="AY66" s="7" t="e">
        <f t="shared" si="12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3"/>
        <v>#VALUE!</v>
      </c>
      <c r="BG66" s="28"/>
      <c r="BH66" s="7" t="e">
        <f t="shared" si="14"/>
        <v>#VALUE!</v>
      </c>
      <c r="BI66" s="28"/>
      <c r="BJ66" s="7" t="e">
        <f t="shared" si="15"/>
        <v>#VALUE!</v>
      </c>
      <c r="BK66" s="28"/>
      <c r="BL66" s="7"/>
      <c r="BM66" s="7"/>
      <c r="BN66" s="7" t="e">
        <f t="shared" si="16"/>
        <v>#VALUE!</v>
      </c>
      <c r="BO66" s="28"/>
      <c r="BP66" s="7" t="e">
        <f t="shared" si="17"/>
        <v>#VALUE!</v>
      </c>
      <c r="BQ66" s="28"/>
      <c r="BR66" s="7"/>
      <c r="BS66" s="7" t="e">
        <f t="shared" si="18"/>
        <v>#VALUE!</v>
      </c>
      <c r="BT66" s="28"/>
      <c r="BU66" s="7"/>
      <c r="BV66" s="7" t="e">
        <f ca="1">[1]!tメーカー名(BU66)</f>
        <v>#NAME?</v>
      </c>
      <c r="BW66" s="7" t="e">
        <f t="shared" si="19"/>
        <v>#VALUE!</v>
      </c>
      <c r="BX66" s="28"/>
      <c r="BY66" s="7" t="e">
        <f t="shared" si="20"/>
        <v>#VALUE!</v>
      </c>
      <c r="BZ66" s="28"/>
      <c r="CA66" s="54"/>
      <c r="CB66" s="54"/>
      <c r="CC66" s="7" t="e">
        <f t="shared" si="21"/>
        <v>#VALUE!</v>
      </c>
      <c r="CD66" s="28"/>
      <c r="CE66" s="7" t="e">
        <f t="shared" si="22"/>
        <v>#VALUE!</v>
      </c>
      <c r="CF66" s="28"/>
      <c r="CG66" s="7" t="e">
        <f t="shared" si="23"/>
        <v>#VALUE!</v>
      </c>
      <c r="CH66" s="28"/>
      <c r="CI66" s="7" t="e">
        <f t="shared" si="24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6">
        <f t="shared" si="26"/>
        <v>0</v>
      </c>
      <c r="CT66" s="7"/>
      <c r="CU66" s="7"/>
      <c r="CV66" s="97"/>
      <c r="CW66" s="97"/>
      <c r="CX66" s="97"/>
      <c r="CY66" s="98"/>
      <c r="CZ66" s="98"/>
      <c r="DA66" s="97"/>
      <c r="DB66" s="98"/>
      <c r="DC66" s="97"/>
      <c r="DD66" s="97" t="s">
        <v>1725</v>
      </c>
      <c r="DE66" s="97">
        <v>6</v>
      </c>
      <c r="DF66" s="98"/>
      <c r="DG66" s="98"/>
      <c r="DH66" s="98"/>
      <c r="DI66" s="98"/>
      <c r="DJ66" s="98"/>
      <c r="DK66" s="98"/>
      <c r="DL66" s="98"/>
      <c r="DM66" s="97"/>
      <c r="DN66" s="97"/>
      <c r="DO66" s="97"/>
      <c r="DP66" s="97"/>
      <c r="DQ66" s="97"/>
      <c r="DR66" s="97"/>
      <c r="DS66" s="97"/>
      <c r="DT66" s="99"/>
      <c r="DU66" s="98"/>
      <c r="DV66" s="97"/>
      <c r="DW66" s="97"/>
      <c r="DX66" s="97"/>
      <c r="DY66" s="97"/>
      <c r="DZ66" s="97"/>
      <c r="EA66" s="97"/>
      <c r="EB66" s="97"/>
      <c r="EC66" s="97"/>
      <c r="ED66" s="97"/>
      <c r="EE66" s="97"/>
      <c r="EF66" s="97"/>
      <c r="EG66" s="97"/>
      <c r="EH66" s="97"/>
      <c r="EI66" s="97"/>
      <c r="EJ66" s="97"/>
      <c r="EK66" s="97"/>
      <c r="EL66" s="97"/>
      <c r="EM66" s="97"/>
      <c r="EN66" s="97"/>
      <c r="EO66" s="97"/>
      <c r="EP66" s="97"/>
      <c r="EQ66" s="97"/>
      <c r="ER66" s="97"/>
      <c r="ES66" s="97"/>
      <c r="ET66" s="97"/>
      <c r="EU66" s="97"/>
      <c r="EV66" s="97"/>
      <c r="EW66" s="97"/>
      <c r="EX66" s="97"/>
      <c r="EY66" s="97"/>
      <c r="EZ66" s="97"/>
      <c r="FA66" s="97"/>
      <c r="FB66" s="97"/>
      <c r="FC66" s="97"/>
      <c r="FD66" s="97"/>
      <c r="FE66" s="97"/>
      <c r="FF66" s="97"/>
      <c r="FG66" s="97"/>
      <c r="FH66" s="97"/>
      <c r="FI66" s="97"/>
      <c r="FJ66" s="97"/>
      <c r="FK66" s="97"/>
      <c r="FL66" s="97"/>
      <c r="FM66" s="97"/>
      <c r="FN66" s="97"/>
      <c r="FO66" s="97"/>
      <c r="FP66" s="97"/>
      <c r="FQ66" s="97"/>
      <c r="FR66" s="97"/>
      <c r="FS66" s="97"/>
      <c r="FT66" s="97"/>
      <c r="FU66" s="97"/>
      <c r="FV66" s="97"/>
      <c r="FW66" s="97"/>
      <c r="FX66" s="97"/>
      <c r="FY66" s="6"/>
      <c r="FZ66" s="7" t="str">
        <f>IF(FY66="","",VLOOKUP(FY66,MT商品ﾏｽﾀ参照シート!AM:AN,2,0))</f>
        <v/>
      </c>
      <c r="GA66" s="8"/>
      <c r="GB66" s="8"/>
      <c r="GC66" s="8"/>
      <c r="GD66" s="8"/>
      <c r="GE66" s="58"/>
      <c r="GF66" s="7" t="str">
        <f>IF(GE66="","",VLOOKUP(GE66,MT商品ﾏｽﾀ参照シート!AO:AP,2,0))</f>
        <v/>
      </c>
      <c r="GG66" s="7"/>
      <c r="GH66" s="7"/>
      <c r="GI66" s="7"/>
      <c r="GJ66" s="7"/>
      <c r="GK66" s="49"/>
      <c r="GL66" s="6"/>
      <c r="GM66" s="6"/>
      <c r="GN66" s="7"/>
      <c r="GO66" s="7"/>
      <c r="GP66" s="7"/>
      <c r="GQ66" s="7"/>
      <c r="GR66" s="7">
        <v>2805</v>
      </c>
      <c r="GS66" s="7">
        <v>3300</v>
      </c>
      <c r="GT66" s="7">
        <v>3300</v>
      </c>
      <c r="GU66" s="7">
        <v>3300</v>
      </c>
      <c r="GV66" s="7">
        <v>3300</v>
      </c>
      <c r="GW66" s="8"/>
      <c r="GX66" s="8"/>
      <c r="GY66" s="8"/>
      <c r="GZ66" s="8"/>
      <c r="HA66" s="8"/>
      <c r="HB66" s="8"/>
      <c r="HC66" s="8"/>
      <c r="HD66" s="8"/>
      <c r="HE66" s="58"/>
      <c r="HF66" s="58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82"/>
      <c r="HR66" s="82"/>
      <c r="HS66" s="82"/>
      <c r="HT66" s="26"/>
      <c r="HU66" s="23"/>
      <c r="HV66" s="23"/>
      <c r="HW66" s="24"/>
      <c r="HX66" s="24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76"/>
      <c r="IY66" s="76"/>
      <c r="IZ66" s="76"/>
      <c r="JA66" s="71"/>
      <c r="JB66" s="71"/>
      <c r="JC66" s="72"/>
      <c r="JD66" s="72"/>
      <c r="JE66" s="72"/>
      <c r="JF66" s="72"/>
      <c r="JG66" s="72"/>
      <c r="JH66" s="72"/>
      <c r="JI66" s="71"/>
      <c r="JJ66" s="71"/>
      <c r="JK66" s="72"/>
      <c r="JL66" s="72"/>
      <c r="JM66" s="72"/>
      <c r="JN66" s="72"/>
    </row>
    <row r="67" spans="1:274" ht="13.5" customHeight="1">
      <c r="A67" s="7">
        <v>55</v>
      </c>
      <c r="B67" s="7"/>
      <c r="C67" s="7" t="e">
        <f t="shared" si="25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/>
      <c r="L67" s="7"/>
      <c r="M67" s="7"/>
      <c r="N67" s="7"/>
      <c r="O67" s="7"/>
      <c r="P67" s="7"/>
      <c r="Q67" s="53"/>
      <c r="R67" s="7"/>
      <c r="S67" s="7"/>
      <c r="T67" s="53"/>
      <c r="U67" s="7"/>
      <c r="V67" s="7" t="e">
        <f t="shared" si="4"/>
        <v>#VALUE!</v>
      </c>
      <c r="W67" s="28"/>
      <c r="X67" s="7" t="e">
        <f t="shared" si="4"/>
        <v>#VALUE!</v>
      </c>
      <c r="Y67" s="28"/>
      <c r="Z67" s="7" t="e">
        <f t="shared" si="5"/>
        <v>#VALUE!</v>
      </c>
      <c r="AA67" s="28"/>
      <c r="AB67" s="7"/>
      <c r="AC67" s="7"/>
      <c r="AD67" s="7"/>
      <c r="AE67" s="7"/>
      <c r="AF67" s="7">
        <v>0</v>
      </c>
      <c r="AG67" s="7" t="e">
        <f t="shared" si="6"/>
        <v>#VALUE!</v>
      </c>
      <c r="AH67" s="28"/>
      <c r="AI67" s="7"/>
      <c r="AJ67" s="7" t="e">
        <f t="shared" si="7"/>
        <v>#VALUE!</v>
      </c>
      <c r="AK67" s="28"/>
      <c r="AL67" s="7" t="e">
        <f t="shared" si="8"/>
        <v>#VALUE!</v>
      </c>
      <c r="AM67" s="28"/>
      <c r="AN67" s="7" t="e">
        <f t="shared" si="9"/>
        <v>#VALUE!</v>
      </c>
      <c r="AO67" s="28"/>
      <c r="AP67" s="7">
        <f t="shared" si="10"/>
        <v>2</v>
      </c>
      <c r="AQ67" s="28" t="s">
        <v>2301</v>
      </c>
      <c r="AR67" s="7"/>
      <c r="AS67" s="7"/>
      <c r="AT67" s="7"/>
      <c r="AU67" s="7"/>
      <c r="AV67" s="7">
        <f t="shared" si="11"/>
        <v>4617</v>
      </c>
      <c r="AW67" s="28" t="s">
        <v>2302</v>
      </c>
      <c r="AX67" s="7">
        <v>1</v>
      </c>
      <c r="AY67" s="7" t="e">
        <f t="shared" si="12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3"/>
        <v>#VALUE!</v>
      </c>
      <c r="BG67" s="28"/>
      <c r="BH67" s="7" t="e">
        <f t="shared" si="14"/>
        <v>#VALUE!</v>
      </c>
      <c r="BI67" s="28"/>
      <c r="BJ67" s="7" t="e">
        <f t="shared" si="15"/>
        <v>#VALUE!</v>
      </c>
      <c r="BK67" s="28"/>
      <c r="BL67" s="7"/>
      <c r="BM67" s="7"/>
      <c r="BN67" s="7" t="e">
        <f t="shared" si="16"/>
        <v>#VALUE!</v>
      </c>
      <c r="BO67" s="28"/>
      <c r="BP67" s="7" t="e">
        <f t="shared" si="17"/>
        <v>#VALUE!</v>
      </c>
      <c r="BQ67" s="28"/>
      <c r="BR67" s="7"/>
      <c r="BS67" s="7" t="e">
        <f t="shared" si="18"/>
        <v>#VALUE!</v>
      </c>
      <c r="BT67" s="28"/>
      <c r="BU67" s="7"/>
      <c r="BV67" s="7" t="e">
        <f ca="1">[1]!tメーカー名(BU67)</f>
        <v>#NAME?</v>
      </c>
      <c r="BW67" s="7" t="e">
        <f t="shared" si="19"/>
        <v>#VALUE!</v>
      </c>
      <c r="BX67" s="28"/>
      <c r="BY67" s="7" t="e">
        <f t="shared" si="20"/>
        <v>#VALUE!</v>
      </c>
      <c r="BZ67" s="28"/>
      <c r="CA67" s="54"/>
      <c r="CB67" s="54"/>
      <c r="CC67" s="7" t="e">
        <f t="shared" si="21"/>
        <v>#VALUE!</v>
      </c>
      <c r="CD67" s="28"/>
      <c r="CE67" s="7" t="e">
        <f t="shared" si="22"/>
        <v>#VALUE!</v>
      </c>
      <c r="CF67" s="28"/>
      <c r="CG67" s="7" t="e">
        <f t="shared" si="23"/>
        <v>#VALUE!</v>
      </c>
      <c r="CH67" s="28"/>
      <c r="CI67" s="7" t="e">
        <f t="shared" si="24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6">
        <f t="shared" si="26"/>
        <v>0</v>
      </c>
      <c r="CT67" s="7"/>
      <c r="CU67" s="7"/>
      <c r="CV67" s="97"/>
      <c r="CW67" s="97"/>
      <c r="CX67" s="97"/>
      <c r="CY67" s="98"/>
      <c r="CZ67" s="98"/>
      <c r="DA67" s="97"/>
      <c r="DB67" s="98"/>
      <c r="DC67" s="97"/>
      <c r="DD67" s="97" t="s">
        <v>1726</v>
      </c>
      <c r="DE67" s="97">
        <v>4</v>
      </c>
      <c r="DF67" s="98"/>
      <c r="DG67" s="98"/>
      <c r="DH67" s="98"/>
      <c r="DI67" s="98"/>
      <c r="DJ67" s="98"/>
      <c r="DK67" s="98"/>
      <c r="DL67" s="98"/>
      <c r="DM67" s="97"/>
      <c r="DN67" s="97"/>
      <c r="DO67" s="97"/>
      <c r="DP67" s="97"/>
      <c r="DQ67" s="97"/>
      <c r="DR67" s="97"/>
      <c r="DS67" s="97"/>
      <c r="DT67" s="99"/>
      <c r="DU67" s="98"/>
      <c r="DV67" s="97"/>
      <c r="DW67" s="97"/>
      <c r="DX67" s="97"/>
      <c r="DY67" s="97"/>
      <c r="DZ67" s="97"/>
      <c r="EA67" s="97"/>
      <c r="EB67" s="97"/>
      <c r="EC67" s="97"/>
      <c r="ED67" s="97"/>
      <c r="EE67" s="97"/>
      <c r="EF67" s="97"/>
      <c r="EG67" s="97"/>
      <c r="EH67" s="97"/>
      <c r="EI67" s="97"/>
      <c r="EJ67" s="97"/>
      <c r="EK67" s="97"/>
      <c r="EL67" s="97"/>
      <c r="EM67" s="97"/>
      <c r="EN67" s="97"/>
      <c r="EO67" s="97"/>
      <c r="EP67" s="97"/>
      <c r="EQ67" s="97"/>
      <c r="ER67" s="97"/>
      <c r="ES67" s="97"/>
      <c r="ET67" s="97"/>
      <c r="EU67" s="97"/>
      <c r="EV67" s="97"/>
      <c r="EW67" s="97"/>
      <c r="EX67" s="97"/>
      <c r="EY67" s="97"/>
      <c r="EZ67" s="97"/>
      <c r="FA67" s="97"/>
      <c r="FB67" s="97"/>
      <c r="FC67" s="97"/>
      <c r="FD67" s="97"/>
      <c r="FE67" s="97"/>
      <c r="FF67" s="97"/>
      <c r="FG67" s="97"/>
      <c r="FH67" s="97"/>
      <c r="FI67" s="97"/>
      <c r="FJ67" s="97"/>
      <c r="FK67" s="97"/>
      <c r="FL67" s="97"/>
      <c r="FM67" s="97"/>
      <c r="FN67" s="97"/>
      <c r="FO67" s="97"/>
      <c r="FP67" s="97"/>
      <c r="FQ67" s="97"/>
      <c r="FR67" s="97"/>
      <c r="FS67" s="97"/>
      <c r="FT67" s="97"/>
      <c r="FU67" s="97"/>
      <c r="FV67" s="97"/>
      <c r="FW67" s="97"/>
      <c r="FX67" s="97"/>
      <c r="FY67" s="6"/>
      <c r="FZ67" s="7" t="str">
        <f>IF(FY67="","",VLOOKUP(FY67,MT商品ﾏｽﾀ参照シート!AM:AN,2,0))</f>
        <v/>
      </c>
      <c r="GA67" s="8"/>
      <c r="GB67" s="8"/>
      <c r="GC67" s="8"/>
      <c r="GD67" s="8"/>
      <c r="GE67" s="58"/>
      <c r="GF67" s="7" t="str">
        <f>IF(GE67="","",VLOOKUP(GE67,MT商品ﾏｽﾀ参照シート!AO:AP,2,0))</f>
        <v/>
      </c>
      <c r="GG67" s="7"/>
      <c r="GH67" s="7"/>
      <c r="GI67" s="7"/>
      <c r="GJ67" s="7"/>
      <c r="GK67" s="49"/>
      <c r="GL67" s="6"/>
      <c r="GM67" s="6"/>
      <c r="GN67" s="7"/>
      <c r="GO67" s="7"/>
      <c r="GP67" s="7"/>
      <c r="GQ67" s="7"/>
      <c r="GR67" s="7">
        <v>2805</v>
      </c>
      <c r="GS67" s="7">
        <v>3300</v>
      </c>
      <c r="GT67" s="7">
        <v>3300</v>
      </c>
      <c r="GU67" s="7">
        <v>3300</v>
      </c>
      <c r="GV67" s="7">
        <v>3300</v>
      </c>
      <c r="GW67" s="8"/>
      <c r="GX67" s="8"/>
      <c r="GY67" s="8"/>
      <c r="GZ67" s="8"/>
      <c r="HA67" s="8"/>
      <c r="HB67" s="8"/>
      <c r="HC67" s="8"/>
      <c r="HD67" s="8"/>
      <c r="HE67" s="58"/>
      <c r="HF67" s="58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82"/>
      <c r="HR67" s="82"/>
      <c r="HS67" s="82"/>
      <c r="HT67" s="26"/>
      <c r="HU67" s="23"/>
      <c r="HV67" s="23"/>
      <c r="HW67" s="24"/>
      <c r="HX67" s="24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76"/>
      <c r="IY67" s="76"/>
      <c r="IZ67" s="76"/>
      <c r="JA67" s="71"/>
      <c r="JB67" s="71"/>
      <c r="JC67" s="72"/>
      <c r="JD67" s="72"/>
      <c r="JE67" s="72"/>
      <c r="JF67" s="72"/>
      <c r="JG67" s="72"/>
      <c r="JH67" s="72"/>
      <c r="JI67" s="71"/>
      <c r="JJ67" s="71"/>
      <c r="JK67" s="72"/>
      <c r="JL67" s="72"/>
      <c r="JM67" s="72"/>
      <c r="JN67" s="72"/>
    </row>
    <row r="68" spans="1:274" ht="13.5" customHeight="1">
      <c r="A68" s="7">
        <v>56</v>
      </c>
      <c r="B68" s="7"/>
      <c r="C68" s="7" t="e">
        <f t="shared" si="25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/>
      <c r="L68" s="7"/>
      <c r="M68" s="7"/>
      <c r="N68" s="7"/>
      <c r="O68" s="7"/>
      <c r="P68" s="7"/>
      <c r="Q68" s="53"/>
      <c r="R68" s="7"/>
      <c r="S68" s="7"/>
      <c r="T68" s="53"/>
      <c r="U68" s="7"/>
      <c r="V68" s="7" t="e">
        <f t="shared" si="4"/>
        <v>#VALUE!</v>
      </c>
      <c r="W68" s="28"/>
      <c r="X68" s="7" t="e">
        <f t="shared" si="4"/>
        <v>#VALUE!</v>
      </c>
      <c r="Y68" s="28"/>
      <c r="Z68" s="7" t="e">
        <f t="shared" si="5"/>
        <v>#VALUE!</v>
      </c>
      <c r="AA68" s="28"/>
      <c r="AB68" s="7"/>
      <c r="AC68" s="7"/>
      <c r="AD68" s="7"/>
      <c r="AE68" s="7"/>
      <c r="AF68" s="7">
        <v>0</v>
      </c>
      <c r="AG68" s="7" t="e">
        <f t="shared" si="6"/>
        <v>#VALUE!</v>
      </c>
      <c r="AH68" s="28"/>
      <c r="AI68" s="7"/>
      <c r="AJ68" s="7" t="e">
        <f t="shared" si="7"/>
        <v>#VALUE!</v>
      </c>
      <c r="AK68" s="28"/>
      <c r="AL68" s="7" t="e">
        <f t="shared" si="8"/>
        <v>#VALUE!</v>
      </c>
      <c r="AM68" s="28"/>
      <c r="AN68" s="7" t="e">
        <f t="shared" si="9"/>
        <v>#VALUE!</v>
      </c>
      <c r="AO68" s="28"/>
      <c r="AP68" s="7">
        <f t="shared" si="10"/>
        <v>2</v>
      </c>
      <c r="AQ68" s="28" t="s">
        <v>2301</v>
      </c>
      <c r="AR68" s="7"/>
      <c r="AS68" s="7"/>
      <c r="AT68" s="7"/>
      <c r="AU68" s="7"/>
      <c r="AV68" s="7">
        <f t="shared" si="11"/>
        <v>4617</v>
      </c>
      <c r="AW68" s="28" t="s">
        <v>2302</v>
      </c>
      <c r="AX68" s="7">
        <v>1</v>
      </c>
      <c r="AY68" s="7" t="e">
        <f t="shared" si="12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3"/>
        <v>#VALUE!</v>
      </c>
      <c r="BG68" s="28"/>
      <c r="BH68" s="7" t="e">
        <f t="shared" si="14"/>
        <v>#VALUE!</v>
      </c>
      <c r="BI68" s="28"/>
      <c r="BJ68" s="7" t="e">
        <f t="shared" si="15"/>
        <v>#VALUE!</v>
      </c>
      <c r="BK68" s="28"/>
      <c r="BL68" s="7"/>
      <c r="BM68" s="7"/>
      <c r="BN68" s="7" t="e">
        <f t="shared" si="16"/>
        <v>#VALUE!</v>
      </c>
      <c r="BO68" s="28"/>
      <c r="BP68" s="7" t="e">
        <f t="shared" si="17"/>
        <v>#VALUE!</v>
      </c>
      <c r="BQ68" s="28"/>
      <c r="BR68" s="7"/>
      <c r="BS68" s="7" t="e">
        <f t="shared" si="18"/>
        <v>#VALUE!</v>
      </c>
      <c r="BT68" s="28"/>
      <c r="BU68" s="7"/>
      <c r="BV68" s="7" t="e">
        <f ca="1">[1]!tメーカー名(BU68)</f>
        <v>#NAME?</v>
      </c>
      <c r="BW68" s="7" t="e">
        <f t="shared" si="19"/>
        <v>#VALUE!</v>
      </c>
      <c r="BX68" s="28"/>
      <c r="BY68" s="7" t="e">
        <f t="shared" si="20"/>
        <v>#VALUE!</v>
      </c>
      <c r="BZ68" s="28"/>
      <c r="CA68" s="54"/>
      <c r="CB68" s="54"/>
      <c r="CC68" s="7" t="e">
        <f t="shared" si="21"/>
        <v>#VALUE!</v>
      </c>
      <c r="CD68" s="28"/>
      <c r="CE68" s="7" t="e">
        <f t="shared" si="22"/>
        <v>#VALUE!</v>
      </c>
      <c r="CF68" s="28"/>
      <c r="CG68" s="7" t="e">
        <f t="shared" si="23"/>
        <v>#VALUE!</v>
      </c>
      <c r="CH68" s="28"/>
      <c r="CI68" s="7" t="e">
        <f t="shared" si="24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6">
        <f t="shared" si="26"/>
        <v>0</v>
      </c>
      <c r="CT68" s="7"/>
      <c r="CU68" s="7"/>
      <c r="CV68" s="97"/>
      <c r="CW68" s="97"/>
      <c r="CX68" s="97"/>
      <c r="CY68" s="98"/>
      <c r="CZ68" s="98"/>
      <c r="DA68" s="97"/>
      <c r="DB68" s="98"/>
      <c r="DC68" s="97"/>
      <c r="DD68" s="97" t="s">
        <v>1727</v>
      </c>
      <c r="DE68" s="97">
        <v>6</v>
      </c>
      <c r="DF68" s="98"/>
      <c r="DG68" s="98"/>
      <c r="DH68" s="98"/>
      <c r="DI68" s="98"/>
      <c r="DJ68" s="98"/>
      <c r="DK68" s="98"/>
      <c r="DL68" s="98"/>
      <c r="DM68" s="97"/>
      <c r="DN68" s="97"/>
      <c r="DO68" s="97"/>
      <c r="DP68" s="97"/>
      <c r="DQ68" s="97"/>
      <c r="DR68" s="97"/>
      <c r="DS68" s="97"/>
      <c r="DT68" s="99"/>
      <c r="DU68" s="98"/>
      <c r="DV68" s="97"/>
      <c r="DW68" s="97"/>
      <c r="DX68" s="97"/>
      <c r="DY68" s="97"/>
      <c r="DZ68" s="97"/>
      <c r="EA68" s="97"/>
      <c r="EB68" s="97"/>
      <c r="EC68" s="97"/>
      <c r="ED68" s="97"/>
      <c r="EE68" s="97"/>
      <c r="EF68" s="97"/>
      <c r="EG68" s="97"/>
      <c r="EH68" s="97"/>
      <c r="EI68" s="97"/>
      <c r="EJ68" s="97"/>
      <c r="EK68" s="97"/>
      <c r="EL68" s="97"/>
      <c r="EM68" s="97"/>
      <c r="EN68" s="97"/>
      <c r="EO68" s="97"/>
      <c r="EP68" s="97"/>
      <c r="EQ68" s="97"/>
      <c r="ER68" s="97"/>
      <c r="ES68" s="97"/>
      <c r="ET68" s="97"/>
      <c r="EU68" s="97"/>
      <c r="EV68" s="97"/>
      <c r="EW68" s="97"/>
      <c r="EX68" s="97"/>
      <c r="EY68" s="97"/>
      <c r="EZ68" s="97"/>
      <c r="FA68" s="97"/>
      <c r="FB68" s="97"/>
      <c r="FC68" s="97"/>
      <c r="FD68" s="97"/>
      <c r="FE68" s="97"/>
      <c r="FF68" s="97"/>
      <c r="FG68" s="97"/>
      <c r="FH68" s="97"/>
      <c r="FI68" s="97"/>
      <c r="FJ68" s="97"/>
      <c r="FK68" s="97"/>
      <c r="FL68" s="97"/>
      <c r="FM68" s="97"/>
      <c r="FN68" s="97"/>
      <c r="FO68" s="97"/>
      <c r="FP68" s="97"/>
      <c r="FQ68" s="97"/>
      <c r="FR68" s="97"/>
      <c r="FS68" s="97"/>
      <c r="FT68" s="97"/>
      <c r="FU68" s="97"/>
      <c r="FV68" s="97"/>
      <c r="FW68" s="97"/>
      <c r="FX68" s="97"/>
      <c r="FY68" s="6"/>
      <c r="FZ68" s="7" t="str">
        <f>IF(FY68="","",VLOOKUP(FY68,MT商品ﾏｽﾀ参照シート!AM:AN,2,0))</f>
        <v/>
      </c>
      <c r="GA68" s="8"/>
      <c r="GB68" s="8"/>
      <c r="GC68" s="8"/>
      <c r="GD68" s="8"/>
      <c r="GE68" s="58"/>
      <c r="GF68" s="7" t="str">
        <f>IF(GE68="","",VLOOKUP(GE68,MT商品ﾏｽﾀ参照シート!AO:AP,2,0))</f>
        <v/>
      </c>
      <c r="GG68" s="7"/>
      <c r="GH68" s="7"/>
      <c r="GI68" s="7"/>
      <c r="GJ68" s="7"/>
      <c r="GK68" s="49"/>
      <c r="GL68" s="6"/>
      <c r="GM68" s="6"/>
      <c r="GN68" s="7"/>
      <c r="GO68" s="7"/>
      <c r="GP68" s="7"/>
      <c r="GQ68" s="7"/>
      <c r="GR68" s="7">
        <v>2805</v>
      </c>
      <c r="GS68" s="7">
        <v>3300</v>
      </c>
      <c r="GT68" s="7">
        <v>3300</v>
      </c>
      <c r="GU68" s="7">
        <v>3300</v>
      </c>
      <c r="GV68" s="7">
        <v>3300</v>
      </c>
      <c r="GW68" s="8"/>
      <c r="GX68" s="8"/>
      <c r="GY68" s="8"/>
      <c r="GZ68" s="8"/>
      <c r="HA68" s="8"/>
      <c r="HB68" s="8"/>
      <c r="HC68" s="8"/>
      <c r="HD68" s="8"/>
      <c r="HE68" s="58"/>
      <c r="HF68" s="58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82"/>
      <c r="HR68" s="82"/>
      <c r="HS68" s="82"/>
      <c r="HT68" s="26"/>
      <c r="HU68" s="23"/>
      <c r="HV68" s="23"/>
      <c r="HW68" s="24"/>
      <c r="HX68" s="24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76"/>
      <c r="IY68" s="76"/>
      <c r="IZ68" s="76"/>
      <c r="JA68" s="71"/>
      <c r="JB68" s="71"/>
      <c r="JC68" s="72"/>
      <c r="JD68" s="72"/>
      <c r="JE68" s="72"/>
      <c r="JF68" s="72"/>
      <c r="JG68" s="72"/>
      <c r="JH68" s="72"/>
      <c r="JI68" s="71"/>
      <c r="JJ68" s="71"/>
      <c r="JK68" s="72"/>
      <c r="JL68" s="72"/>
      <c r="JM68" s="72"/>
      <c r="JN68" s="72"/>
    </row>
    <row r="69" spans="1:274" ht="13.5" customHeight="1">
      <c r="A69" s="7">
        <v>57</v>
      </c>
      <c r="B69" s="7"/>
      <c r="C69" s="7" t="e">
        <f t="shared" si="25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/>
      <c r="L69" s="7"/>
      <c r="M69" s="7"/>
      <c r="N69" s="7"/>
      <c r="O69" s="7"/>
      <c r="P69" s="7"/>
      <c r="Q69" s="53"/>
      <c r="R69" s="7"/>
      <c r="S69" s="7"/>
      <c r="T69" s="53"/>
      <c r="U69" s="7"/>
      <c r="V69" s="7" t="e">
        <f t="shared" si="4"/>
        <v>#VALUE!</v>
      </c>
      <c r="W69" s="28"/>
      <c r="X69" s="7" t="e">
        <f t="shared" si="4"/>
        <v>#VALUE!</v>
      </c>
      <c r="Y69" s="28"/>
      <c r="Z69" s="7" t="e">
        <f t="shared" si="5"/>
        <v>#VALUE!</v>
      </c>
      <c r="AA69" s="28"/>
      <c r="AB69" s="7"/>
      <c r="AC69" s="7"/>
      <c r="AD69" s="7"/>
      <c r="AE69" s="7"/>
      <c r="AF69" s="7">
        <v>0</v>
      </c>
      <c r="AG69" s="7" t="e">
        <f t="shared" si="6"/>
        <v>#VALUE!</v>
      </c>
      <c r="AH69" s="28"/>
      <c r="AI69" s="7"/>
      <c r="AJ69" s="7" t="e">
        <f t="shared" si="7"/>
        <v>#VALUE!</v>
      </c>
      <c r="AK69" s="28"/>
      <c r="AL69" s="7" t="e">
        <f t="shared" si="8"/>
        <v>#VALUE!</v>
      </c>
      <c r="AM69" s="28"/>
      <c r="AN69" s="7" t="e">
        <f t="shared" si="9"/>
        <v>#VALUE!</v>
      </c>
      <c r="AO69" s="28"/>
      <c r="AP69" s="7">
        <f t="shared" si="10"/>
        <v>2</v>
      </c>
      <c r="AQ69" s="28" t="s">
        <v>2301</v>
      </c>
      <c r="AR69" s="7"/>
      <c r="AS69" s="7"/>
      <c r="AT69" s="7"/>
      <c r="AU69" s="7"/>
      <c r="AV69" s="7">
        <f t="shared" si="11"/>
        <v>4617</v>
      </c>
      <c r="AW69" s="28" t="s">
        <v>2302</v>
      </c>
      <c r="AX69" s="7">
        <v>1</v>
      </c>
      <c r="AY69" s="7" t="e">
        <f t="shared" si="12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3"/>
        <v>#VALUE!</v>
      </c>
      <c r="BG69" s="28"/>
      <c r="BH69" s="7" t="e">
        <f t="shared" si="14"/>
        <v>#VALUE!</v>
      </c>
      <c r="BI69" s="28"/>
      <c r="BJ69" s="7" t="e">
        <f t="shared" si="15"/>
        <v>#VALUE!</v>
      </c>
      <c r="BK69" s="28"/>
      <c r="BL69" s="7"/>
      <c r="BM69" s="7"/>
      <c r="BN69" s="7" t="e">
        <f t="shared" si="16"/>
        <v>#VALUE!</v>
      </c>
      <c r="BO69" s="28"/>
      <c r="BP69" s="7" t="e">
        <f t="shared" si="17"/>
        <v>#VALUE!</v>
      </c>
      <c r="BQ69" s="28"/>
      <c r="BR69" s="7"/>
      <c r="BS69" s="7" t="e">
        <f t="shared" si="18"/>
        <v>#VALUE!</v>
      </c>
      <c r="BT69" s="28"/>
      <c r="BU69" s="7"/>
      <c r="BV69" s="7" t="e">
        <f ca="1">[1]!tメーカー名(BU69)</f>
        <v>#NAME?</v>
      </c>
      <c r="BW69" s="7" t="e">
        <f t="shared" si="19"/>
        <v>#VALUE!</v>
      </c>
      <c r="BX69" s="28"/>
      <c r="BY69" s="7" t="e">
        <f t="shared" si="20"/>
        <v>#VALUE!</v>
      </c>
      <c r="BZ69" s="28"/>
      <c r="CA69" s="54"/>
      <c r="CB69" s="54"/>
      <c r="CC69" s="7" t="e">
        <f t="shared" si="21"/>
        <v>#VALUE!</v>
      </c>
      <c r="CD69" s="28"/>
      <c r="CE69" s="7" t="e">
        <f t="shared" si="22"/>
        <v>#VALUE!</v>
      </c>
      <c r="CF69" s="28"/>
      <c r="CG69" s="7" t="e">
        <f t="shared" si="23"/>
        <v>#VALUE!</v>
      </c>
      <c r="CH69" s="28"/>
      <c r="CI69" s="7" t="e">
        <f t="shared" si="24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6">
        <f t="shared" si="26"/>
        <v>0</v>
      </c>
      <c r="CT69" s="7"/>
      <c r="CU69" s="7"/>
      <c r="CV69" s="97"/>
      <c r="CW69" s="97"/>
      <c r="CX69" s="97"/>
      <c r="CY69" s="98"/>
      <c r="CZ69" s="98"/>
      <c r="DA69" s="97"/>
      <c r="DB69" s="98"/>
      <c r="DC69" s="97"/>
      <c r="DD69" s="97" t="s">
        <v>1728</v>
      </c>
      <c r="DE69" s="97">
        <v>6</v>
      </c>
      <c r="DF69" s="98"/>
      <c r="DG69" s="98"/>
      <c r="DH69" s="98"/>
      <c r="DI69" s="98"/>
      <c r="DJ69" s="98"/>
      <c r="DK69" s="98"/>
      <c r="DL69" s="98"/>
      <c r="DM69" s="97"/>
      <c r="DN69" s="97"/>
      <c r="DO69" s="97"/>
      <c r="DP69" s="97"/>
      <c r="DQ69" s="97"/>
      <c r="DR69" s="97"/>
      <c r="DS69" s="97"/>
      <c r="DT69" s="99"/>
      <c r="DU69" s="98"/>
      <c r="DV69" s="97"/>
      <c r="DW69" s="97"/>
      <c r="DX69" s="97"/>
      <c r="DY69" s="97"/>
      <c r="DZ69" s="97"/>
      <c r="EA69" s="97"/>
      <c r="EB69" s="97"/>
      <c r="EC69" s="97"/>
      <c r="ED69" s="97"/>
      <c r="EE69" s="97"/>
      <c r="EF69" s="97"/>
      <c r="EG69" s="97"/>
      <c r="EH69" s="97"/>
      <c r="EI69" s="97"/>
      <c r="EJ69" s="97"/>
      <c r="EK69" s="97"/>
      <c r="EL69" s="97"/>
      <c r="EM69" s="97"/>
      <c r="EN69" s="97"/>
      <c r="EO69" s="97"/>
      <c r="EP69" s="97"/>
      <c r="EQ69" s="97"/>
      <c r="ER69" s="97"/>
      <c r="ES69" s="97"/>
      <c r="ET69" s="97"/>
      <c r="EU69" s="97"/>
      <c r="EV69" s="97"/>
      <c r="EW69" s="97"/>
      <c r="EX69" s="97"/>
      <c r="EY69" s="97"/>
      <c r="EZ69" s="97"/>
      <c r="FA69" s="97"/>
      <c r="FB69" s="97"/>
      <c r="FC69" s="97"/>
      <c r="FD69" s="97"/>
      <c r="FE69" s="97"/>
      <c r="FF69" s="97"/>
      <c r="FG69" s="97"/>
      <c r="FH69" s="97"/>
      <c r="FI69" s="97"/>
      <c r="FJ69" s="97"/>
      <c r="FK69" s="97"/>
      <c r="FL69" s="97"/>
      <c r="FM69" s="97"/>
      <c r="FN69" s="97"/>
      <c r="FO69" s="97"/>
      <c r="FP69" s="97"/>
      <c r="FQ69" s="97"/>
      <c r="FR69" s="97"/>
      <c r="FS69" s="97"/>
      <c r="FT69" s="97"/>
      <c r="FU69" s="97"/>
      <c r="FV69" s="97"/>
      <c r="FW69" s="97"/>
      <c r="FX69" s="97"/>
      <c r="FY69" s="6"/>
      <c r="FZ69" s="7" t="str">
        <f>IF(FY69="","",VLOOKUP(FY69,MT商品ﾏｽﾀ参照シート!AM:AN,2,0))</f>
        <v/>
      </c>
      <c r="GA69" s="8"/>
      <c r="GB69" s="8"/>
      <c r="GC69" s="8"/>
      <c r="GD69" s="8"/>
      <c r="GE69" s="58"/>
      <c r="GF69" s="7" t="str">
        <f>IF(GE69="","",VLOOKUP(GE69,MT商品ﾏｽﾀ参照シート!AO:AP,2,0))</f>
        <v/>
      </c>
      <c r="GG69" s="7"/>
      <c r="GH69" s="7"/>
      <c r="GI69" s="7"/>
      <c r="GJ69" s="7"/>
      <c r="GK69" s="49"/>
      <c r="GL69" s="6"/>
      <c r="GM69" s="6"/>
      <c r="GN69" s="7"/>
      <c r="GO69" s="7"/>
      <c r="GP69" s="7"/>
      <c r="GQ69" s="7"/>
      <c r="GR69" s="7">
        <v>2805</v>
      </c>
      <c r="GS69" s="7">
        <v>3300</v>
      </c>
      <c r="GT69" s="7">
        <v>3300</v>
      </c>
      <c r="GU69" s="7">
        <v>3300</v>
      </c>
      <c r="GV69" s="7">
        <v>3300</v>
      </c>
      <c r="GW69" s="8"/>
      <c r="GX69" s="8"/>
      <c r="GY69" s="8"/>
      <c r="GZ69" s="8"/>
      <c r="HA69" s="8"/>
      <c r="HB69" s="8"/>
      <c r="HC69" s="8"/>
      <c r="HD69" s="8"/>
      <c r="HE69" s="58"/>
      <c r="HF69" s="58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82"/>
      <c r="HR69" s="82"/>
      <c r="HS69" s="82"/>
      <c r="HT69" s="26"/>
      <c r="HU69" s="23"/>
      <c r="HV69" s="23"/>
      <c r="HW69" s="24"/>
      <c r="HX69" s="24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76"/>
      <c r="IY69" s="76"/>
      <c r="IZ69" s="76"/>
      <c r="JA69" s="71"/>
      <c r="JB69" s="71"/>
      <c r="JC69" s="72"/>
      <c r="JD69" s="72"/>
      <c r="JE69" s="72"/>
      <c r="JF69" s="72"/>
      <c r="JG69" s="72"/>
      <c r="JH69" s="72"/>
      <c r="JI69" s="71"/>
      <c r="JJ69" s="71"/>
      <c r="JK69" s="72"/>
      <c r="JL69" s="72"/>
      <c r="JM69" s="72"/>
      <c r="JN69" s="72"/>
    </row>
    <row r="70" spans="1:274" ht="13.5" customHeight="1">
      <c r="A70" s="7">
        <v>58</v>
      </c>
      <c r="B70" s="7"/>
      <c r="C70" s="7" t="e">
        <f t="shared" si="25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/>
      <c r="L70" s="7"/>
      <c r="M70" s="7"/>
      <c r="N70" s="7"/>
      <c r="O70" s="7"/>
      <c r="P70" s="7"/>
      <c r="Q70" s="53"/>
      <c r="R70" s="7"/>
      <c r="S70" s="7"/>
      <c r="T70" s="53"/>
      <c r="U70" s="7"/>
      <c r="V70" s="7" t="e">
        <f t="shared" si="4"/>
        <v>#VALUE!</v>
      </c>
      <c r="W70" s="28"/>
      <c r="X70" s="7" t="e">
        <f t="shared" si="4"/>
        <v>#VALUE!</v>
      </c>
      <c r="Y70" s="28"/>
      <c r="Z70" s="7" t="e">
        <f t="shared" si="5"/>
        <v>#VALUE!</v>
      </c>
      <c r="AA70" s="28"/>
      <c r="AB70" s="7"/>
      <c r="AC70" s="7"/>
      <c r="AD70" s="7"/>
      <c r="AE70" s="7"/>
      <c r="AF70" s="7">
        <v>0</v>
      </c>
      <c r="AG70" s="7" t="e">
        <f t="shared" si="6"/>
        <v>#VALUE!</v>
      </c>
      <c r="AH70" s="28"/>
      <c r="AI70" s="7"/>
      <c r="AJ70" s="7" t="e">
        <f t="shared" si="7"/>
        <v>#VALUE!</v>
      </c>
      <c r="AK70" s="28"/>
      <c r="AL70" s="7" t="e">
        <f t="shared" si="8"/>
        <v>#VALUE!</v>
      </c>
      <c r="AM70" s="28"/>
      <c r="AN70" s="7" t="e">
        <f t="shared" si="9"/>
        <v>#VALUE!</v>
      </c>
      <c r="AO70" s="28"/>
      <c r="AP70" s="7">
        <f t="shared" si="10"/>
        <v>2</v>
      </c>
      <c r="AQ70" s="28" t="s">
        <v>2301</v>
      </c>
      <c r="AR70" s="7"/>
      <c r="AS70" s="7"/>
      <c r="AT70" s="7"/>
      <c r="AU70" s="7"/>
      <c r="AV70" s="7">
        <f t="shared" si="11"/>
        <v>4617</v>
      </c>
      <c r="AW70" s="28" t="s">
        <v>2302</v>
      </c>
      <c r="AX70" s="7">
        <v>1</v>
      </c>
      <c r="AY70" s="7" t="e">
        <f t="shared" si="12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3"/>
        <v>#VALUE!</v>
      </c>
      <c r="BG70" s="28"/>
      <c r="BH70" s="7" t="e">
        <f t="shared" si="14"/>
        <v>#VALUE!</v>
      </c>
      <c r="BI70" s="28"/>
      <c r="BJ70" s="7" t="e">
        <f t="shared" si="15"/>
        <v>#VALUE!</v>
      </c>
      <c r="BK70" s="28"/>
      <c r="BL70" s="7"/>
      <c r="BM70" s="7"/>
      <c r="BN70" s="7" t="e">
        <f t="shared" si="16"/>
        <v>#VALUE!</v>
      </c>
      <c r="BO70" s="28"/>
      <c r="BP70" s="7" t="e">
        <f t="shared" si="17"/>
        <v>#VALUE!</v>
      </c>
      <c r="BQ70" s="28"/>
      <c r="BR70" s="7"/>
      <c r="BS70" s="7" t="e">
        <f t="shared" si="18"/>
        <v>#VALUE!</v>
      </c>
      <c r="BT70" s="28"/>
      <c r="BU70" s="7"/>
      <c r="BV70" s="7" t="e">
        <f ca="1">[1]!tメーカー名(BU70)</f>
        <v>#NAME?</v>
      </c>
      <c r="BW70" s="7" t="e">
        <f t="shared" si="19"/>
        <v>#VALUE!</v>
      </c>
      <c r="BX70" s="28"/>
      <c r="BY70" s="7" t="e">
        <f t="shared" si="20"/>
        <v>#VALUE!</v>
      </c>
      <c r="BZ70" s="28"/>
      <c r="CA70" s="54"/>
      <c r="CB70" s="54"/>
      <c r="CC70" s="7" t="e">
        <f t="shared" si="21"/>
        <v>#VALUE!</v>
      </c>
      <c r="CD70" s="28"/>
      <c r="CE70" s="7" t="e">
        <f t="shared" si="22"/>
        <v>#VALUE!</v>
      </c>
      <c r="CF70" s="28"/>
      <c r="CG70" s="7" t="e">
        <f t="shared" si="23"/>
        <v>#VALUE!</v>
      </c>
      <c r="CH70" s="28"/>
      <c r="CI70" s="7" t="e">
        <f t="shared" si="24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6">
        <f t="shared" si="26"/>
        <v>0</v>
      </c>
      <c r="CT70" s="7"/>
      <c r="CU70" s="7"/>
      <c r="CV70" s="97"/>
      <c r="CW70" s="97"/>
      <c r="CX70" s="97"/>
      <c r="CY70" s="98"/>
      <c r="CZ70" s="98"/>
      <c r="DA70" s="97"/>
      <c r="DB70" s="98"/>
      <c r="DC70" s="97"/>
      <c r="DD70" s="97" t="s">
        <v>1729</v>
      </c>
      <c r="DE70" s="97">
        <v>5</v>
      </c>
      <c r="DF70" s="98"/>
      <c r="DG70" s="98"/>
      <c r="DH70" s="98"/>
      <c r="DI70" s="98"/>
      <c r="DJ70" s="98"/>
      <c r="DK70" s="98"/>
      <c r="DL70" s="98"/>
      <c r="DM70" s="97"/>
      <c r="DN70" s="97"/>
      <c r="DO70" s="97"/>
      <c r="DP70" s="97"/>
      <c r="DQ70" s="97"/>
      <c r="DR70" s="97"/>
      <c r="DS70" s="97"/>
      <c r="DT70" s="99"/>
      <c r="DU70" s="98"/>
      <c r="DV70" s="97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6"/>
      <c r="FZ70" s="7" t="str">
        <f>IF(FY70="","",VLOOKUP(FY70,MT商品ﾏｽﾀ参照シート!AM:AN,2,0))</f>
        <v/>
      </c>
      <c r="GA70" s="8"/>
      <c r="GB70" s="8"/>
      <c r="GC70" s="8"/>
      <c r="GD70" s="8"/>
      <c r="GE70" s="58"/>
      <c r="GF70" s="7" t="str">
        <f>IF(GE70="","",VLOOKUP(GE70,MT商品ﾏｽﾀ参照シート!AO:AP,2,0))</f>
        <v/>
      </c>
      <c r="GG70" s="7"/>
      <c r="GH70" s="7"/>
      <c r="GI70" s="7"/>
      <c r="GJ70" s="7"/>
      <c r="GK70" s="49"/>
      <c r="GL70" s="6"/>
      <c r="GM70" s="6"/>
      <c r="GN70" s="7"/>
      <c r="GO70" s="7"/>
      <c r="GP70" s="7"/>
      <c r="GQ70" s="7"/>
      <c r="GR70" s="7">
        <v>3472</v>
      </c>
      <c r="GS70" s="7">
        <v>4085</v>
      </c>
      <c r="GT70" s="7">
        <v>4085</v>
      </c>
      <c r="GU70" s="7">
        <v>4085</v>
      </c>
      <c r="GV70" s="7">
        <v>4085</v>
      </c>
      <c r="GW70" s="8"/>
      <c r="GX70" s="8"/>
      <c r="GY70" s="8"/>
      <c r="GZ70" s="8"/>
      <c r="HA70" s="8"/>
      <c r="HB70" s="8"/>
      <c r="HC70" s="8"/>
      <c r="HD70" s="8"/>
      <c r="HE70" s="58"/>
      <c r="HF70" s="58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82"/>
      <c r="HR70" s="82"/>
      <c r="HS70" s="82"/>
      <c r="HT70" s="26"/>
      <c r="HU70" s="23"/>
      <c r="HV70" s="23"/>
      <c r="HW70" s="24"/>
      <c r="HX70" s="24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76"/>
      <c r="IY70" s="76"/>
      <c r="IZ70" s="76"/>
      <c r="JA70" s="71"/>
      <c r="JB70" s="71"/>
      <c r="JC70" s="72"/>
      <c r="JD70" s="72"/>
      <c r="JE70" s="72"/>
      <c r="JF70" s="72"/>
      <c r="JG70" s="72"/>
      <c r="JH70" s="72"/>
      <c r="JI70" s="71"/>
      <c r="JJ70" s="71"/>
      <c r="JK70" s="72"/>
      <c r="JL70" s="72"/>
      <c r="JM70" s="72"/>
      <c r="JN70" s="72"/>
    </row>
    <row r="71" spans="1:274" ht="13.5" customHeight="1">
      <c r="A71" s="7">
        <v>59</v>
      </c>
      <c r="B71" s="7"/>
      <c r="C71" s="7" t="e">
        <f t="shared" si="25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/>
      <c r="L71" s="7"/>
      <c r="M71" s="7"/>
      <c r="N71" s="7"/>
      <c r="O71" s="7"/>
      <c r="P71" s="7"/>
      <c r="Q71" s="53"/>
      <c r="R71" s="7"/>
      <c r="S71" s="7"/>
      <c r="T71" s="53"/>
      <c r="U71" s="7"/>
      <c r="V71" s="7" t="e">
        <f t="shared" si="4"/>
        <v>#VALUE!</v>
      </c>
      <c r="W71" s="28"/>
      <c r="X71" s="7" t="e">
        <f t="shared" si="4"/>
        <v>#VALUE!</v>
      </c>
      <c r="Y71" s="28"/>
      <c r="Z71" s="7" t="e">
        <f t="shared" si="5"/>
        <v>#VALUE!</v>
      </c>
      <c r="AA71" s="28"/>
      <c r="AB71" s="7"/>
      <c r="AC71" s="7"/>
      <c r="AD71" s="7"/>
      <c r="AE71" s="7"/>
      <c r="AF71" s="7">
        <v>0</v>
      </c>
      <c r="AG71" s="7" t="e">
        <f t="shared" si="6"/>
        <v>#VALUE!</v>
      </c>
      <c r="AH71" s="28"/>
      <c r="AI71" s="7"/>
      <c r="AJ71" s="7" t="e">
        <f t="shared" si="7"/>
        <v>#VALUE!</v>
      </c>
      <c r="AK71" s="28"/>
      <c r="AL71" s="7" t="e">
        <f t="shared" si="8"/>
        <v>#VALUE!</v>
      </c>
      <c r="AM71" s="28"/>
      <c r="AN71" s="7" t="e">
        <f t="shared" si="9"/>
        <v>#VALUE!</v>
      </c>
      <c r="AO71" s="28"/>
      <c r="AP71" s="7">
        <f t="shared" si="10"/>
        <v>2</v>
      </c>
      <c r="AQ71" s="28" t="s">
        <v>2301</v>
      </c>
      <c r="AR71" s="7"/>
      <c r="AS71" s="7"/>
      <c r="AT71" s="7"/>
      <c r="AU71" s="7"/>
      <c r="AV71" s="7">
        <f t="shared" si="11"/>
        <v>4617</v>
      </c>
      <c r="AW71" s="28" t="s">
        <v>2302</v>
      </c>
      <c r="AX71" s="7">
        <v>1</v>
      </c>
      <c r="AY71" s="7" t="e">
        <f t="shared" si="12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3"/>
        <v>#VALUE!</v>
      </c>
      <c r="BG71" s="28"/>
      <c r="BH71" s="7" t="e">
        <f t="shared" si="14"/>
        <v>#VALUE!</v>
      </c>
      <c r="BI71" s="28"/>
      <c r="BJ71" s="7" t="e">
        <f t="shared" si="15"/>
        <v>#VALUE!</v>
      </c>
      <c r="BK71" s="28"/>
      <c r="BL71" s="7"/>
      <c r="BM71" s="7"/>
      <c r="BN71" s="7" t="e">
        <f t="shared" si="16"/>
        <v>#VALUE!</v>
      </c>
      <c r="BO71" s="28"/>
      <c r="BP71" s="7" t="e">
        <f t="shared" si="17"/>
        <v>#VALUE!</v>
      </c>
      <c r="BQ71" s="28"/>
      <c r="BR71" s="7"/>
      <c r="BS71" s="7" t="e">
        <f t="shared" si="18"/>
        <v>#VALUE!</v>
      </c>
      <c r="BT71" s="28"/>
      <c r="BU71" s="7"/>
      <c r="BV71" s="7" t="e">
        <f ca="1">[1]!tメーカー名(BU71)</f>
        <v>#NAME?</v>
      </c>
      <c r="BW71" s="7" t="e">
        <f t="shared" si="19"/>
        <v>#VALUE!</v>
      </c>
      <c r="BX71" s="28"/>
      <c r="BY71" s="7" t="e">
        <f t="shared" si="20"/>
        <v>#VALUE!</v>
      </c>
      <c r="BZ71" s="28"/>
      <c r="CA71" s="54"/>
      <c r="CB71" s="54"/>
      <c r="CC71" s="7" t="e">
        <f t="shared" si="21"/>
        <v>#VALUE!</v>
      </c>
      <c r="CD71" s="28"/>
      <c r="CE71" s="7" t="e">
        <f t="shared" si="22"/>
        <v>#VALUE!</v>
      </c>
      <c r="CF71" s="28"/>
      <c r="CG71" s="7" t="e">
        <f t="shared" si="23"/>
        <v>#VALUE!</v>
      </c>
      <c r="CH71" s="28"/>
      <c r="CI71" s="7" t="e">
        <f t="shared" si="24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6">
        <f t="shared" si="26"/>
        <v>0</v>
      </c>
      <c r="CT71" s="7"/>
      <c r="CU71" s="7"/>
      <c r="CV71" s="97"/>
      <c r="CW71" s="97"/>
      <c r="CX71" s="97"/>
      <c r="CY71" s="98"/>
      <c r="CZ71" s="98"/>
      <c r="DA71" s="97"/>
      <c r="DB71" s="98"/>
      <c r="DC71" s="97"/>
      <c r="DD71" s="97" t="s">
        <v>1730</v>
      </c>
      <c r="DE71" s="97">
        <v>5</v>
      </c>
      <c r="DF71" s="98"/>
      <c r="DG71" s="98"/>
      <c r="DH71" s="98"/>
      <c r="DI71" s="98"/>
      <c r="DJ71" s="98"/>
      <c r="DK71" s="98"/>
      <c r="DL71" s="98"/>
      <c r="DM71" s="97"/>
      <c r="DN71" s="97"/>
      <c r="DO71" s="97"/>
      <c r="DP71" s="97"/>
      <c r="DQ71" s="97"/>
      <c r="DR71" s="97"/>
      <c r="DS71" s="97"/>
      <c r="DT71" s="99"/>
      <c r="DU71" s="98"/>
      <c r="DV71" s="97"/>
      <c r="DW71" s="97"/>
      <c r="DX71" s="97"/>
      <c r="DY71" s="97"/>
      <c r="DZ71" s="97"/>
      <c r="EA71" s="97"/>
      <c r="EB71" s="97"/>
      <c r="EC71" s="97"/>
      <c r="ED71" s="97"/>
      <c r="EE71" s="97"/>
      <c r="EF71" s="97"/>
      <c r="EG71" s="97"/>
      <c r="EH71" s="97"/>
      <c r="EI71" s="97"/>
      <c r="EJ71" s="97"/>
      <c r="EK71" s="97"/>
      <c r="EL71" s="97"/>
      <c r="EM71" s="97"/>
      <c r="EN71" s="97"/>
      <c r="EO71" s="97"/>
      <c r="EP71" s="97"/>
      <c r="EQ71" s="97"/>
      <c r="ER71" s="97"/>
      <c r="ES71" s="97"/>
      <c r="ET71" s="97"/>
      <c r="EU71" s="97"/>
      <c r="EV71" s="97"/>
      <c r="EW71" s="97"/>
      <c r="EX71" s="97"/>
      <c r="EY71" s="97"/>
      <c r="EZ71" s="97"/>
      <c r="FA71" s="97"/>
      <c r="FB71" s="97"/>
      <c r="FC71" s="97"/>
      <c r="FD71" s="97"/>
      <c r="FE71" s="97"/>
      <c r="FF71" s="97"/>
      <c r="FG71" s="97"/>
      <c r="FH71" s="97"/>
      <c r="FI71" s="97"/>
      <c r="FJ71" s="97"/>
      <c r="FK71" s="97"/>
      <c r="FL71" s="97"/>
      <c r="FM71" s="97"/>
      <c r="FN71" s="97"/>
      <c r="FO71" s="97"/>
      <c r="FP71" s="97"/>
      <c r="FQ71" s="97"/>
      <c r="FR71" s="97"/>
      <c r="FS71" s="97"/>
      <c r="FT71" s="97"/>
      <c r="FU71" s="97"/>
      <c r="FV71" s="97"/>
      <c r="FW71" s="97"/>
      <c r="FX71" s="97"/>
      <c r="FY71" s="6"/>
      <c r="FZ71" s="7" t="str">
        <f>IF(FY71="","",VLOOKUP(FY71,MT商品ﾏｽﾀ参照シート!AM:AN,2,0))</f>
        <v/>
      </c>
      <c r="GA71" s="8"/>
      <c r="GB71" s="8"/>
      <c r="GC71" s="8"/>
      <c r="GD71" s="8"/>
      <c r="GE71" s="58"/>
      <c r="GF71" s="7" t="str">
        <f>IF(GE71="","",VLOOKUP(GE71,MT商品ﾏｽﾀ参照シート!AO:AP,2,0))</f>
        <v/>
      </c>
      <c r="GG71" s="7"/>
      <c r="GH71" s="7"/>
      <c r="GI71" s="7"/>
      <c r="GJ71" s="7"/>
      <c r="GK71" s="49"/>
      <c r="GL71" s="6"/>
      <c r="GM71" s="6"/>
      <c r="GN71" s="7"/>
      <c r="GO71" s="7"/>
      <c r="GP71" s="7"/>
      <c r="GQ71" s="7"/>
      <c r="GR71" s="7">
        <v>2805</v>
      </c>
      <c r="GS71" s="7">
        <v>3300</v>
      </c>
      <c r="GT71" s="7">
        <v>3300</v>
      </c>
      <c r="GU71" s="7">
        <v>3300</v>
      </c>
      <c r="GV71" s="7">
        <v>3300</v>
      </c>
      <c r="GW71" s="8"/>
      <c r="GX71" s="8"/>
      <c r="GY71" s="8"/>
      <c r="GZ71" s="8"/>
      <c r="HA71" s="8"/>
      <c r="HB71" s="8"/>
      <c r="HC71" s="8"/>
      <c r="HD71" s="8"/>
      <c r="HE71" s="58"/>
      <c r="HF71" s="58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82"/>
      <c r="HR71" s="82"/>
      <c r="HS71" s="82"/>
      <c r="HT71" s="26"/>
      <c r="HU71" s="23"/>
      <c r="HV71" s="23"/>
      <c r="HW71" s="24"/>
      <c r="HX71" s="24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76"/>
      <c r="IY71" s="76"/>
      <c r="IZ71" s="76"/>
      <c r="JA71" s="71"/>
      <c r="JB71" s="71"/>
      <c r="JC71" s="72"/>
      <c r="JD71" s="72"/>
      <c r="JE71" s="72"/>
      <c r="JF71" s="72"/>
      <c r="JG71" s="72"/>
      <c r="JH71" s="72"/>
      <c r="JI71" s="71"/>
      <c r="JJ71" s="71"/>
      <c r="JK71" s="72"/>
      <c r="JL71" s="72"/>
      <c r="JM71" s="72"/>
      <c r="JN71" s="72"/>
    </row>
    <row r="72" spans="1:274" s="10" customFormat="1" ht="13.5" customHeight="1">
      <c r="A72" s="7">
        <v>60</v>
      </c>
      <c r="B72" s="7"/>
      <c r="C72" s="7" t="e">
        <f t="shared" si="25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9"/>
      <c r="L72" s="7"/>
      <c r="M72" s="9"/>
      <c r="N72" s="7"/>
      <c r="O72" s="7"/>
      <c r="P72" s="7"/>
      <c r="Q72" s="53"/>
      <c r="R72" s="7"/>
      <c r="S72" s="7"/>
      <c r="T72" s="53"/>
      <c r="U72" s="7"/>
      <c r="V72" s="7" t="e">
        <f t="shared" si="4"/>
        <v>#VALUE!</v>
      </c>
      <c r="W72" s="28"/>
      <c r="X72" s="7" t="e">
        <f t="shared" si="4"/>
        <v>#VALUE!</v>
      </c>
      <c r="Y72" s="28"/>
      <c r="Z72" s="7" t="e">
        <f t="shared" si="5"/>
        <v>#VALUE!</v>
      </c>
      <c r="AA72" s="28"/>
      <c r="AB72" s="7"/>
      <c r="AC72" s="7"/>
      <c r="AD72" s="7"/>
      <c r="AE72" s="7"/>
      <c r="AF72" s="7">
        <v>0</v>
      </c>
      <c r="AG72" s="7" t="e">
        <f t="shared" si="6"/>
        <v>#VALUE!</v>
      </c>
      <c r="AH72" s="28"/>
      <c r="AI72" s="7"/>
      <c r="AJ72" s="7" t="e">
        <f t="shared" si="7"/>
        <v>#VALUE!</v>
      </c>
      <c r="AK72" s="28"/>
      <c r="AL72" s="7" t="e">
        <f t="shared" si="8"/>
        <v>#VALUE!</v>
      </c>
      <c r="AM72" s="28"/>
      <c r="AN72" s="7" t="e">
        <f t="shared" si="9"/>
        <v>#VALUE!</v>
      </c>
      <c r="AO72" s="28"/>
      <c r="AP72" s="7">
        <f t="shared" si="10"/>
        <v>2</v>
      </c>
      <c r="AQ72" s="28" t="s">
        <v>2301</v>
      </c>
      <c r="AR72" s="7"/>
      <c r="AS72" s="7"/>
      <c r="AT72" s="7"/>
      <c r="AU72" s="7"/>
      <c r="AV72" s="7">
        <f t="shared" si="11"/>
        <v>4617</v>
      </c>
      <c r="AW72" s="28" t="s">
        <v>2302</v>
      </c>
      <c r="AX72" s="7">
        <v>1</v>
      </c>
      <c r="AY72" s="7" t="e">
        <f t="shared" si="12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3"/>
        <v>#VALUE!</v>
      </c>
      <c r="BG72" s="28"/>
      <c r="BH72" s="7" t="e">
        <f t="shared" si="14"/>
        <v>#VALUE!</v>
      </c>
      <c r="BI72" s="28"/>
      <c r="BJ72" s="7" t="e">
        <f t="shared" si="15"/>
        <v>#VALUE!</v>
      </c>
      <c r="BK72" s="28"/>
      <c r="BL72" s="7"/>
      <c r="BM72" s="7"/>
      <c r="BN72" s="7" t="e">
        <f t="shared" si="16"/>
        <v>#VALUE!</v>
      </c>
      <c r="BO72" s="28"/>
      <c r="BP72" s="7" t="e">
        <f t="shared" si="17"/>
        <v>#VALUE!</v>
      </c>
      <c r="BQ72" s="28"/>
      <c r="BR72" s="7"/>
      <c r="BS72" s="7" t="e">
        <f t="shared" si="18"/>
        <v>#VALUE!</v>
      </c>
      <c r="BT72" s="28"/>
      <c r="BU72" s="7"/>
      <c r="BV72" s="7" t="e">
        <f ca="1">[1]!tメーカー名(BU72)</f>
        <v>#NAME?</v>
      </c>
      <c r="BW72" s="7" t="e">
        <f t="shared" si="19"/>
        <v>#VALUE!</v>
      </c>
      <c r="BX72" s="28"/>
      <c r="BY72" s="7" t="e">
        <f t="shared" si="20"/>
        <v>#VALUE!</v>
      </c>
      <c r="BZ72" s="28"/>
      <c r="CA72" s="54"/>
      <c r="CB72" s="54"/>
      <c r="CC72" s="7" t="e">
        <f t="shared" si="21"/>
        <v>#VALUE!</v>
      </c>
      <c r="CD72" s="28"/>
      <c r="CE72" s="7" t="e">
        <f t="shared" si="22"/>
        <v>#VALUE!</v>
      </c>
      <c r="CF72" s="28"/>
      <c r="CG72" s="7" t="e">
        <f t="shared" si="23"/>
        <v>#VALUE!</v>
      </c>
      <c r="CH72" s="28"/>
      <c r="CI72" s="7" t="e">
        <f t="shared" si="24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6">
        <f t="shared" si="26"/>
        <v>0</v>
      </c>
      <c r="CT72" s="7"/>
      <c r="CU72" s="7"/>
      <c r="CV72" s="97"/>
      <c r="CW72" s="97"/>
      <c r="CX72" s="97"/>
      <c r="CY72" s="98"/>
      <c r="CZ72" s="98"/>
      <c r="DA72" s="97"/>
      <c r="DB72" s="98"/>
      <c r="DC72" s="97"/>
      <c r="DD72" s="97" t="s">
        <v>1731</v>
      </c>
      <c r="DE72" s="97">
        <v>5</v>
      </c>
      <c r="DF72" s="98"/>
      <c r="DG72" s="98"/>
      <c r="DH72" s="98"/>
      <c r="DI72" s="98"/>
      <c r="DJ72" s="98"/>
      <c r="DK72" s="98"/>
      <c r="DL72" s="98"/>
      <c r="DM72" s="97"/>
      <c r="DN72" s="97"/>
      <c r="DO72" s="97"/>
      <c r="DP72" s="97"/>
      <c r="DQ72" s="97"/>
      <c r="DR72" s="97"/>
      <c r="DS72" s="97"/>
      <c r="DT72" s="99"/>
      <c r="DU72" s="98"/>
      <c r="DV72" s="97"/>
      <c r="DW72" s="97"/>
      <c r="DX72" s="97"/>
      <c r="DY72" s="97"/>
      <c r="DZ72" s="97"/>
      <c r="EA72" s="97"/>
      <c r="EB72" s="97"/>
      <c r="EC72" s="97"/>
      <c r="ED72" s="97"/>
      <c r="EE72" s="97"/>
      <c r="EF72" s="97"/>
      <c r="EG72" s="97"/>
      <c r="EH72" s="97"/>
      <c r="EI72" s="97"/>
      <c r="EJ72" s="97"/>
      <c r="EK72" s="97"/>
      <c r="EL72" s="97"/>
      <c r="EM72" s="97"/>
      <c r="EN72" s="97"/>
      <c r="EO72" s="97"/>
      <c r="EP72" s="97"/>
      <c r="EQ72" s="97"/>
      <c r="ER72" s="97"/>
      <c r="ES72" s="97"/>
      <c r="ET72" s="97"/>
      <c r="EU72" s="97"/>
      <c r="EV72" s="97"/>
      <c r="EW72" s="97"/>
      <c r="EX72" s="97"/>
      <c r="EY72" s="97"/>
      <c r="EZ72" s="97"/>
      <c r="FA72" s="97"/>
      <c r="FB72" s="97"/>
      <c r="FC72" s="97"/>
      <c r="FD72" s="97"/>
      <c r="FE72" s="97"/>
      <c r="FF72" s="97"/>
      <c r="FG72" s="97"/>
      <c r="FH72" s="97"/>
      <c r="FI72" s="97"/>
      <c r="FJ72" s="97"/>
      <c r="FK72" s="97"/>
      <c r="FL72" s="97"/>
      <c r="FM72" s="97"/>
      <c r="FN72" s="97"/>
      <c r="FO72" s="97"/>
      <c r="FP72" s="97"/>
      <c r="FQ72" s="97"/>
      <c r="FR72" s="97"/>
      <c r="FS72" s="97"/>
      <c r="FT72" s="97"/>
      <c r="FU72" s="97"/>
      <c r="FV72" s="97"/>
      <c r="FW72" s="97"/>
      <c r="FX72" s="97"/>
      <c r="FY72" s="30"/>
      <c r="FZ72" s="7" t="str">
        <f>IF(FY72="","",VLOOKUP(FY72,MT商品ﾏｽﾀ参照シート!AM:AN,2,0))</f>
        <v/>
      </c>
      <c r="GA72" s="11"/>
      <c r="GB72" s="11"/>
      <c r="GC72" s="11"/>
      <c r="GD72" s="11"/>
      <c r="GE72" s="58"/>
      <c r="GF72" s="7" t="str">
        <f>IF(GE72="","",VLOOKUP(GE72,MT商品ﾏｽﾀ参照シート!AO:AP,2,0))</f>
        <v/>
      </c>
      <c r="GG72" s="7"/>
      <c r="GH72" s="7"/>
      <c r="GI72" s="7"/>
      <c r="GJ72" s="7"/>
      <c r="GK72" s="49"/>
      <c r="GL72" s="30"/>
      <c r="GM72" s="30"/>
      <c r="GN72" s="7"/>
      <c r="GO72" s="7"/>
      <c r="GP72" s="7"/>
      <c r="GQ72" s="7"/>
      <c r="GR72" s="7">
        <v>2907</v>
      </c>
      <c r="GS72" s="7">
        <v>3420</v>
      </c>
      <c r="GT72" s="7">
        <v>3420</v>
      </c>
      <c r="GU72" s="7">
        <v>3420</v>
      </c>
      <c r="GV72" s="7">
        <v>3420</v>
      </c>
      <c r="GW72" s="11"/>
      <c r="GX72" s="11"/>
      <c r="GY72" s="11"/>
      <c r="GZ72" s="11"/>
      <c r="HA72" s="11"/>
      <c r="HB72" s="11"/>
      <c r="HC72" s="11"/>
      <c r="HD72" s="11"/>
      <c r="HE72" s="58"/>
      <c r="HF72" s="58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82"/>
      <c r="HR72" s="82"/>
      <c r="HS72" s="82"/>
      <c r="HT72" s="26"/>
      <c r="HU72" s="23"/>
      <c r="HV72" s="23"/>
      <c r="HW72" s="24"/>
      <c r="HX72" s="24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76"/>
      <c r="IY72" s="76"/>
      <c r="IZ72" s="76"/>
      <c r="JA72" s="71"/>
      <c r="JB72" s="71"/>
      <c r="JC72" s="72"/>
      <c r="JD72" s="72"/>
      <c r="JE72" s="72"/>
      <c r="JF72" s="72"/>
      <c r="JG72" s="72"/>
      <c r="JH72" s="72"/>
      <c r="JI72" s="71"/>
      <c r="JJ72" s="71"/>
      <c r="JK72" s="72"/>
      <c r="JL72" s="72"/>
      <c r="JM72" s="72"/>
      <c r="JN72" s="72"/>
    </row>
    <row r="73" spans="1:274" ht="13.5" customHeight="1">
      <c r="A73" s="7">
        <v>61</v>
      </c>
      <c r="B73" s="7"/>
      <c r="C73" s="7" t="e">
        <f t="shared" si="25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/>
      <c r="L73" s="7"/>
      <c r="M73" s="7"/>
      <c r="N73" s="7"/>
      <c r="O73" s="7"/>
      <c r="P73" s="7"/>
      <c r="Q73" s="53"/>
      <c r="R73" s="7"/>
      <c r="S73" s="7"/>
      <c r="T73" s="53"/>
      <c r="U73" s="7"/>
      <c r="V73" s="7" t="e">
        <f t="shared" si="4"/>
        <v>#VALUE!</v>
      </c>
      <c r="W73" s="28"/>
      <c r="X73" s="7" t="e">
        <f t="shared" si="4"/>
        <v>#VALUE!</v>
      </c>
      <c r="Y73" s="28"/>
      <c r="Z73" s="7" t="e">
        <f t="shared" si="5"/>
        <v>#VALUE!</v>
      </c>
      <c r="AA73" s="28"/>
      <c r="AB73" s="7"/>
      <c r="AC73" s="7"/>
      <c r="AD73" s="7"/>
      <c r="AE73" s="7"/>
      <c r="AF73" s="7">
        <v>0</v>
      </c>
      <c r="AG73" s="7" t="e">
        <f t="shared" si="6"/>
        <v>#VALUE!</v>
      </c>
      <c r="AH73" s="28"/>
      <c r="AI73" s="7"/>
      <c r="AJ73" s="7" t="e">
        <f t="shared" si="7"/>
        <v>#VALUE!</v>
      </c>
      <c r="AK73" s="28"/>
      <c r="AL73" s="7" t="e">
        <f t="shared" si="8"/>
        <v>#VALUE!</v>
      </c>
      <c r="AM73" s="28"/>
      <c r="AN73" s="7" t="e">
        <f t="shared" si="9"/>
        <v>#VALUE!</v>
      </c>
      <c r="AO73" s="28"/>
      <c r="AP73" s="7">
        <f t="shared" si="10"/>
        <v>2</v>
      </c>
      <c r="AQ73" s="28" t="s">
        <v>2301</v>
      </c>
      <c r="AR73" s="7"/>
      <c r="AS73" s="7"/>
      <c r="AT73" s="7"/>
      <c r="AU73" s="7"/>
      <c r="AV73" s="7">
        <f t="shared" si="11"/>
        <v>4617</v>
      </c>
      <c r="AW73" s="28" t="s">
        <v>2302</v>
      </c>
      <c r="AX73" s="7">
        <v>1</v>
      </c>
      <c r="AY73" s="7" t="e">
        <f t="shared" si="12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3"/>
        <v>#VALUE!</v>
      </c>
      <c r="BG73" s="28"/>
      <c r="BH73" s="7" t="e">
        <f t="shared" si="14"/>
        <v>#VALUE!</v>
      </c>
      <c r="BI73" s="28"/>
      <c r="BJ73" s="7" t="e">
        <f t="shared" si="15"/>
        <v>#VALUE!</v>
      </c>
      <c r="BK73" s="28"/>
      <c r="BL73" s="7"/>
      <c r="BM73" s="7"/>
      <c r="BN73" s="7" t="e">
        <f t="shared" si="16"/>
        <v>#VALUE!</v>
      </c>
      <c r="BO73" s="28"/>
      <c r="BP73" s="7" t="e">
        <f t="shared" si="17"/>
        <v>#VALUE!</v>
      </c>
      <c r="BQ73" s="28"/>
      <c r="BR73" s="7"/>
      <c r="BS73" s="7" t="e">
        <f t="shared" si="18"/>
        <v>#VALUE!</v>
      </c>
      <c r="BT73" s="28"/>
      <c r="BU73" s="7"/>
      <c r="BV73" s="7" t="e">
        <f ca="1">[1]!tメーカー名(BU73)</f>
        <v>#NAME?</v>
      </c>
      <c r="BW73" s="7" t="e">
        <f t="shared" si="19"/>
        <v>#VALUE!</v>
      </c>
      <c r="BX73" s="28"/>
      <c r="BY73" s="7" t="e">
        <f t="shared" si="20"/>
        <v>#VALUE!</v>
      </c>
      <c r="BZ73" s="28"/>
      <c r="CA73" s="54"/>
      <c r="CB73" s="54"/>
      <c r="CC73" s="7" t="e">
        <f t="shared" si="21"/>
        <v>#VALUE!</v>
      </c>
      <c r="CD73" s="28"/>
      <c r="CE73" s="7" t="e">
        <f t="shared" si="22"/>
        <v>#VALUE!</v>
      </c>
      <c r="CF73" s="28"/>
      <c r="CG73" s="7" t="e">
        <f t="shared" si="23"/>
        <v>#VALUE!</v>
      </c>
      <c r="CH73" s="28"/>
      <c r="CI73" s="7" t="e">
        <f t="shared" si="24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6">
        <f t="shared" si="26"/>
        <v>0</v>
      </c>
      <c r="CT73" s="7"/>
      <c r="CU73" s="7"/>
      <c r="CV73" s="97"/>
      <c r="CW73" s="97"/>
      <c r="CX73" s="97"/>
      <c r="CY73" s="98"/>
      <c r="CZ73" s="98"/>
      <c r="DA73" s="97"/>
      <c r="DB73" s="98"/>
      <c r="DC73" s="97"/>
      <c r="DD73" s="97" t="s">
        <v>1732</v>
      </c>
      <c r="DE73" s="97">
        <v>6</v>
      </c>
      <c r="DF73" s="98"/>
      <c r="DG73" s="98"/>
      <c r="DH73" s="98"/>
      <c r="DI73" s="98"/>
      <c r="DJ73" s="98"/>
      <c r="DK73" s="98"/>
      <c r="DL73" s="98"/>
      <c r="DM73" s="97"/>
      <c r="DN73" s="97"/>
      <c r="DO73" s="97"/>
      <c r="DP73" s="97"/>
      <c r="DQ73" s="97"/>
      <c r="DR73" s="97"/>
      <c r="DS73" s="97"/>
      <c r="DT73" s="99"/>
      <c r="DU73" s="98"/>
      <c r="DV73" s="97"/>
      <c r="DW73" s="97"/>
      <c r="DX73" s="97"/>
      <c r="DY73" s="97"/>
      <c r="DZ73" s="97"/>
      <c r="EA73" s="97"/>
      <c r="EB73" s="97"/>
      <c r="EC73" s="97"/>
      <c r="ED73" s="97"/>
      <c r="EE73" s="97"/>
      <c r="EF73" s="97"/>
      <c r="EG73" s="97"/>
      <c r="EH73" s="97"/>
      <c r="EI73" s="97"/>
      <c r="EJ73" s="97"/>
      <c r="EK73" s="97"/>
      <c r="EL73" s="97"/>
      <c r="EM73" s="97"/>
      <c r="EN73" s="97"/>
      <c r="EO73" s="97"/>
      <c r="EP73" s="97"/>
      <c r="EQ73" s="97"/>
      <c r="ER73" s="97"/>
      <c r="ES73" s="97"/>
      <c r="ET73" s="97"/>
      <c r="EU73" s="97"/>
      <c r="EV73" s="97"/>
      <c r="EW73" s="97"/>
      <c r="EX73" s="97"/>
      <c r="EY73" s="97"/>
      <c r="EZ73" s="97"/>
      <c r="FA73" s="97"/>
      <c r="FB73" s="97"/>
      <c r="FC73" s="97"/>
      <c r="FD73" s="97"/>
      <c r="FE73" s="97"/>
      <c r="FF73" s="97"/>
      <c r="FG73" s="97"/>
      <c r="FH73" s="97"/>
      <c r="FI73" s="97"/>
      <c r="FJ73" s="97"/>
      <c r="FK73" s="97"/>
      <c r="FL73" s="97"/>
      <c r="FM73" s="97"/>
      <c r="FN73" s="97"/>
      <c r="FO73" s="97"/>
      <c r="FP73" s="97"/>
      <c r="FQ73" s="97"/>
      <c r="FR73" s="97"/>
      <c r="FS73" s="97"/>
      <c r="FT73" s="97"/>
      <c r="FU73" s="97"/>
      <c r="FV73" s="97"/>
      <c r="FW73" s="97"/>
      <c r="FX73" s="97"/>
      <c r="FY73" s="6"/>
      <c r="FZ73" s="7" t="str">
        <f>IF(FY73="","",VLOOKUP(FY73,MT商品ﾏｽﾀ参照シート!AM:AN,2,0))</f>
        <v/>
      </c>
      <c r="GA73" s="8"/>
      <c r="GB73" s="8"/>
      <c r="GC73" s="8"/>
      <c r="GD73" s="8"/>
      <c r="GE73" s="58"/>
      <c r="GF73" s="7" t="str">
        <f>IF(GE73="","",VLOOKUP(GE73,MT商品ﾏｽﾀ参照シート!AO:AP,2,0))</f>
        <v/>
      </c>
      <c r="GG73" s="7"/>
      <c r="GH73" s="7"/>
      <c r="GI73" s="7"/>
      <c r="GJ73" s="7"/>
      <c r="GK73" s="49"/>
      <c r="GL73" s="6"/>
      <c r="GM73" s="6"/>
      <c r="GN73" s="7"/>
      <c r="GO73" s="7"/>
      <c r="GP73" s="7"/>
      <c r="GQ73" s="7"/>
      <c r="GR73" s="7">
        <v>2805</v>
      </c>
      <c r="GS73" s="7">
        <v>3300</v>
      </c>
      <c r="GT73" s="7">
        <v>3300</v>
      </c>
      <c r="GU73" s="7">
        <v>3300</v>
      </c>
      <c r="GV73" s="7">
        <v>3300</v>
      </c>
      <c r="GW73" s="8"/>
      <c r="GX73" s="8"/>
      <c r="GY73" s="8"/>
      <c r="GZ73" s="8"/>
      <c r="HA73" s="8"/>
      <c r="HB73" s="8"/>
      <c r="HC73" s="8"/>
      <c r="HD73" s="8"/>
      <c r="HE73" s="58"/>
      <c r="HF73" s="58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82"/>
      <c r="HR73" s="82"/>
      <c r="HS73" s="82"/>
      <c r="HT73" s="26"/>
      <c r="HU73" s="23"/>
      <c r="HV73" s="23"/>
      <c r="HW73" s="24"/>
      <c r="HX73" s="24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76"/>
      <c r="IY73" s="76"/>
      <c r="IZ73" s="76"/>
      <c r="JA73" s="71"/>
      <c r="JB73" s="71"/>
      <c r="JC73" s="72"/>
      <c r="JD73" s="72"/>
      <c r="JE73" s="72"/>
      <c r="JF73" s="72"/>
      <c r="JG73" s="72"/>
      <c r="JH73" s="72"/>
      <c r="JI73" s="71"/>
      <c r="JJ73" s="71"/>
      <c r="JK73" s="72"/>
      <c r="JL73" s="72"/>
      <c r="JM73" s="72"/>
      <c r="JN73" s="72"/>
    </row>
    <row r="74" spans="1:274" ht="13.5" customHeight="1">
      <c r="A74" s="7">
        <v>62</v>
      </c>
      <c r="B74" s="7"/>
      <c r="C74" s="7" t="e">
        <f t="shared" si="25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/>
      <c r="L74" s="7"/>
      <c r="M74" s="7"/>
      <c r="N74" s="7"/>
      <c r="O74" s="7"/>
      <c r="P74" s="7"/>
      <c r="Q74" s="53"/>
      <c r="R74" s="7"/>
      <c r="S74" s="7"/>
      <c r="T74" s="53"/>
      <c r="U74" s="7"/>
      <c r="V74" s="7" t="e">
        <f t="shared" si="4"/>
        <v>#VALUE!</v>
      </c>
      <c r="W74" s="28"/>
      <c r="X74" s="7" t="e">
        <f t="shared" si="4"/>
        <v>#VALUE!</v>
      </c>
      <c r="Y74" s="28"/>
      <c r="Z74" s="7" t="e">
        <f t="shared" si="5"/>
        <v>#VALUE!</v>
      </c>
      <c r="AA74" s="28"/>
      <c r="AB74" s="7"/>
      <c r="AC74" s="7"/>
      <c r="AD74" s="7"/>
      <c r="AE74" s="7"/>
      <c r="AF74" s="7">
        <v>0</v>
      </c>
      <c r="AG74" s="7" t="e">
        <f t="shared" si="6"/>
        <v>#VALUE!</v>
      </c>
      <c r="AH74" s="28"/>
      <c r="AI74" s="7"/>
      <c r="AJ74" s="7" t="e">
        <f t="shared" si="7"/>
        <v>#VALUE!</v>
      </c>
      <c r="AK74" s="28"/>
      <c r="AL74" s="7" t="e">
        <f t="shared" si="8"/>
        <v>#VALUE!</v>
      </c>
      <c r="AM74" s="28"/>
      <c r="AN74" s="7" t="e">
        <f t="shared" si="9"/>
        <v>#VALUE!</v>
      </c>
      <c r="AO74" s="28"/>
      <c r="AP74" s="7">
        <f t="shared" si="10"/>
        <v>2</v>
      </c>
      <c r="AQ74" s="28" t="s">
        <v>2301</v>
      </c>
      <c r="AR74" s="7"/>
      <c r="AS74" s="7"/>
      <c r="AT74" s="7"/>
      <c r="AU74" s="7"/>
      <c r="AV74" s="7">
        <f t="shared" si="11"/>
        <v>4617</v>
      </c>
      <c r="AW74" s="28" t="s">
        <v>2302</v>
      </c>
      <c r="AX74" s="7">
        <v>1</v>
      </c>
      <c r="AY74" s="7" t="e">
        <f t="shared" si="12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3"/>
        <v>#VALUE!</v>
      </c>
      <c r="BG74" s="28"/>
      <c r="BH74" s="7" t="e">
        <f t="shared" si="14"/>
        <v>#VALUE!</v>
      </c>
      <c r="BI74" s="28"/>
      <c r="BJ74" s="7" t="e">
        <f t="shared" si="15"/>
        <v>#VALUE!</v>
      </c>
      <c r="BK74" s="28"/>
      <c r="BL74" s="7"/>
      <c r="BM74" s="7"/>
      <c r="BN74" s="7" t="e">
        <f t="shared" si="16"/>
        <v>#VALUE!</v>
      </c>
      <c r="BO74" s="28"/>
      <c r="BP74" s="7" t="e">
        <f t="shared" si="17"/>
        <v>#VALUE!</v>
      </c>
      <c r="BQ74" s="28"/>
      <c r="BR74" s="7"/>
      <c r="BS74" s="7" t="e">
        <f t="shared" si="18"/>
        <v>#VALUE!</v>
      </c>
      <c r="BT74" s="28"/>
      <c r="BU74" s="7"/>
      <c r="BV74" s="7" t="e">
        <f ca="1">[1]!tメーカー名(BU74)</f>
        <v>#NAME?</v>
      </c>
      <c r="BW74" s="7" t="e">
        <f t="shared" si="19"/>
        <v>#VALUE!</v>
      </c>
      <c r="BX74" s="28"/>
      <c r="BY74" s="7" t="e">
        <f t="shared" si="20"/>
        <v>#VALUE!</v>
      </c>
      <c r="BZ74" s="28"/>
      <c r="CA74" s="54"/>
      <c r="CB74" s="54"/>
      <c r="CC74" s="7" t="e">
        <f t="shared" si="21"/>
        <v>#VALUE!</v>
      </c>
      <c r="CD74" s="28"/>
      <c r="CE74" s="7" t="e">
        <f t="shared" si="22"/>
        <v>#VALUE!</v>
      </c>
      <c r="CF74" s="28"/>
      <c r="CG74" s="7" t="e">
        <f t="shared" si="23"/>
        <v>#VALUE!</v>
      </c>
      <c r="CH74" s="28"/>
      <c r="CI74" s="7" t="e">
        <f t="shared" si="24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6">
        <f t="shared" si="26"/>
        <v>0</v>
      </c>
      <c r="CT74" s="7"/>
      <c r="CU74" s="7"/>
      <c r="CV74" s="97"/>
      <c r="CW74" s="97"/>
      <c r="CX74" s="97"/>
      <c r="CY74" s="98"/>
      <c r="CZ74" s="98"/>
      <c r="DA74" s="97"/>
      <c r="DB74" s="98"/>
      <c r="DC74" s="97"/>
      <c r="DD74" s="97" t="s">
        <v>1733</v>
      </c>
      <c r="DE74" s="97">
        <v>6</v>
      </c>
      <c r="DF74" s="98"/>
      <c r="DG74" s="98"/>
      <c r="DH74" s="98"/>
      <c r="DI74" s="98"/>
      <c r="DJ74" s="98"/>
      <c r="DK74" s="98"/>
      <c r="DL74" s="98"/>
      <c r="DM74" s="97"/>
      <c r="DN74" s="97"/>
      <c r="DO74" s="97"/>
      <c r="DP74" s="97"/>
      <c r="DQ74" s="97"/>
      <c r="DR74" s="97"/>
      <c r="DS74" s="97"/>
      <c r="DT74" s="99"/>
      <c r="DU74" s="98"/>
      <c r="DV74" s="97"/>
      <c r="DW74" s="97"/>
      <c r="DX74" s="97"/>
      <c r="DY74" s="97"/>
      <c r="DZ74" s="97"/>
      <c r="EA74" s="97"/>
      <c r="EB74" s="97"/>
      <c r="EC74" s="97"/>
      <c r="ED74" s="97"/>
      <c r="EE74" s="97"/>
      <c r="EF74" s="97"/>
      <c r="EG74" s="97"/>
      <c r="EH74" s="97"/>
      <c r="EI74" s="97"/>
      <c r="EJ74" s="97"/>
      <c r="EK74" s="97"/>
      <c r="EL74" s="97"/>
      <c r="EM74" s="97"/>
      <c r="EN74" s="97"/>
      <c r="EO74" s="97"/>
      <c r="EP74" s="97"/>
      <c r="EQ74" s="97"/>
      <c r="ER74" s="97"/>
      <c r="ES74" s="97"/>
      <c r="ET74" s="97"/>
      <c r="EU74" s="97"/>
      <c r="EV74" s="97"/>
      <c r="EW74" s="97"/>
      <c r="EX74" s="97"/>
      <c r="EY74" s="97"/>
      <c r="EZ74" s="97"/>
      <c r="FA74" s="97"/>
      <c r="FB74" s="97"/>
      <c r="FC74" s="97"/>
      <c r="FD74" s="97"/>
      <c r="FE74" s="97"/>
      <c r="FF74" s="97"/>
      <c r="FG74" s="97"/>
      <c r="FH74" s="97"/>
      <c r="FI74" s="97"/>
      <c r="FJ74" s="97"/>
      <c r="FK74" s="97"/>
      <c r="FL74" s="97"/>
      <c r="FM74" s="97"/>
      <c r="FN74" s="97"/>
      <c r="FO74" s="97"/>
      <c r="FP74" s="97"/>
      <c r="FQ74" s="97"/>
      <c r="FR74" s="97"/>
      <c r="FS74" s="97"/>
      <c r="FT74" s="97"/>
      <c r="FU74" s="97"/>
      <c r="FV74" s="97"/>
      <c r="FW74" s="97"/>
      <c r="FX74" s="97"/>
      <c r="FY74" s="6"/>
      <c r="FZ74" s="7" t="str">
        <f>IF(FY74="","",VLOOKUP(FY74,MT商品ﾏｽﾀ参照シート!AM:AN,2,0))</f>
        <v/>
      </c>
      <c r="GA74" s="8"/>
      <c r="GB74" s="8"/>
      <c r="GC74" s="8"/>
      <c r="GD74" s="8"/>
      <c r="GE74" s="58"/>
      <c r="GF74" s="7" t="str">
        <f>IF(GE74="","",VLOOKUP(GE74,MT商品ﾏｽﾀ参照シート!AO:AP,2,0))</f>
        <v/>
      </c>
      <c r="GG74" s="7"/>
      <c r="GH74" s="7"/>
      <c r="GI74" s="7"/>
      <c r="GJ74" s="7"/>
      <c r="GK74" s="49"/>
      <c r="GL74" s="6"/>
      <c r="GM74" s="6"/>
      <c r="GN74" s="7"/>
      <c r="GO74" s="7"/>
      <c r="GP74" s="7"/>
      <c r="GQ74" s="7"/>
      <c r="GR74" s="7">
        <v>2805</v>
      </c>
      <c r="GS74" s="7">
        <v>3300</v>
      </c>
      <c r="GT74" s="7">
        <v>3300</v>
      </c>
      <c r="GU74" s="7">
        <v>3300</v>
      </c>
      <c r="GV74" s="7">
        <v>3300</v>
      </c>
      <c r="GW74" s="8"/>
      <c r="GX74" s="8"/>
      <c r="GY74" s="8"/>
      <c r="GZ74" s="8"/>
      <c r="HA74" s="8"/>
      <c r="HB74" s="8"/>
      <c r="HC74" s="8"/>
      <c r="HD74" s="8"/>
      <c r="HE74" s="58"/>
      <c r="HF74" s="58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82"/>
      <c r="HR74" s="82"/>
      <c r="HS74" s="82"/>
      <c r="HT74" s="26"/>
      <c r="HU74" s="23"/>
      <c r="HV74" s="23"/>
      <c r="HW74" s="24"/>
      <c r="HX74" s="24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76"/>
      <c r="IY74" s="76"/>
      <c r="IZ74" s="76"/>
      <c r="JA74" s="71"/>
      <c r="JB74" s="71"/>
      <c r="JC74" s="72"/>
      <c r="JD74" s="72"/>
      <c r="JE74" s="72"/>
      <c r="JF74" s="72"/>
      <c r="JG74" s="72"/>
      <c r="JH74" s="72"/>
      <c r="JI74" s="71"/>
      <c r="JJ74" s="71"/>
      <c r="JK74" s="72"/>
      <c r="JL74" s="72"/>
      <c r="JM74" s="72"/>
      <c r="JN74" s="72"/>
    </row>
    <row r="75" spans="1:274" ht="13.5" customHeight="1">
      <c r="A75" s="7">
        <v>63</v>
      </c>
      <c r="B75" s="7"/>
      <c r="C75" s="7" t="e">
        <f t="shared" si="25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/>
      <c r="L75" s="7"/>
      <c r="M75" s="7"/>
      <c r="N75" s="7"/>
      <c r="O75" s="7"/>
      <c r="P75" s="7"/>
      <c r="Q75" s="53"/>
      <c r="R75" s="7"/>
      <c r="S75" s="7"/>
      <c r="T75" s="53"/>
      <c r="U75" s="7"/>
      <c r="V75" s="7" t="e">
        <f t="shared" si="4"/>
        <v>#VALUE!</v>
      </c>
      <c r="W75" s="28"/>
      <c r="X75" s="7" t="e">
        <f t="shared" si="4"/>
        <v>#VALUE!</v>
      </c>
      <c r="Y75" s="28"/>
      <c r="Z75" s="7" t="e">
        <f t="shared" si="5"/>
        <v>#VALUE!</v>
      </c>
      <c r="AA75" s="28"/>
      <c r="AB75" s="7"/>
      <c r="AC75" s="7"/>
      <c r="AD75" s="7"/>
      <c r="AE75" s="7"/>
      <c r="AF75" s="7">
        <v>0</v>
      </c>
      <c r="AG75" s="7" t="e">
        <f t="shared" si="6"/>
        <v>#VALUE!</v>
      </c>
      <c r="AH75" s="28"/>
      <c r="AI75" s="7"/>
      <c r="AJ75" s="7" t="e">
        <f t="shared" si="7"/>
        <v>#VALUE!</v>
      </c>
      <c r="AK75" s="28"/>
      <c r="AL75" s="7" t="e">
        <f t="shared" si="8"/>
        <v>#VALUE!</v>
      </c>
      <c r="AM75" s="28"/>
      <c r="AN75" s="7" t="e">
        <f t="shared" si="9"/>
        <v>#VALUE!</v>
      </c>
      <c r="AO75" s="28"/>
      <c r="AP75" s="7">
        <f t="shared" si="10"/>
        <v>2</v>
      </c>
      <c r="AQ75" s="28" t="s">
        <v>2301</v>
      </c>
      <c r="AR75" s="7"/>
      <c r="AS75" s="7"/>
      <c r="AT75" s="7"/>
      <c r="AU75" s="7"/>
      <c r="AV75" s="7">
        <f t="shared" si="11"/>
        <v>4617</v>
      </c>
      <c r="AW75" s="28" t="s">
        <v>2302</v>
      </c>
      <c r="AX75" s="7">
        <v>1</v>
      </c>
      <c r="AY75" s="7" t="e">
        <f t="shared" si="12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3"/>
        <v>#VALUE!</v>
      </c>
      <c r="BG75" s="28"/>
      <c r="BH75" s="7" t="e">
        <f t="shared" si="14"/>
        <v>#VALUE!</v>
      </c>
      <c r="BI75" s="28"/>
      <c r="BJ75" s="7" t="e">
        <f t="shared" si="15"/>
        <v>#VALUE!</v>
      </c>
      <c r="BK75" s="28"/>
      <c r="BL75" s="7"/>
      <c r="BM75" s="7"/>
      <c r="BN75" s="7" t="e">
        <f t="shared" si="16"/>
        <v>#VALUE!</v>
      </c>
      <c r="BO75" s="28"/>
      <c r="BP75" s="7" t="e">
        <f t="shared" si="17"/>
        <v>#VALUE!</v>
      </c>
      <c r="BQ75" s="28"/>
      <c r="BR75" s="7"/>
      <c r="BS75" s="7" t="e">
        <f t="shared" si="18"/>
        <v>#VALUE!</v>
      </c>
      <c r="BT75" s="28"/>
      <c r="BU75" s="7"/>
      <c r="BV75" s="7" t="e">
        <f ca="1">[1]!tメーカー名(BU75)</f>
        <v>#NAME?</v>
      </c>
      <c r="BW75" s="7" t="e">
        <f t="shared" si="19"/>
        <v>#VALUE!</v>
      </c>
      <c r="BX75" s="28"/>
      <c r="BY75" s="7" t="e">
        <f t="shared" si="20"/>
        <v>#VALUE!</v>
      </c>
      <c r="BZ75" s="28"/>
      <c r="CA75" s="54"/>
      <c r="CB75" s="54"/>
      <c r="CC75" s="7" t="e">
        <f t="shared" si="21"/>
        <v>#VALUE!</v>
      </c>
      <c r="CD75" s="28"/>
      <c r="CE75" s="7" t="e">
        <f t="shared" si="22"/>
        <v>#VALUE!</v>
      </c>
      <c r="CF75" s="28"/>
      <c r="CG75" s="7" t="e">
        <f t="shared" si="23"/>
        <v>#VALUE!</v>
      </c>
      <c r="CH75" s="28"/>
      <c r="CI75" s="7" t="e">
        <f t="shared" si="24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6">
        <f t="shared" si="26"/>
        <v>0</v>
      </c>
      <c r="CT75" s="7"/>
      <c r="CU75" s="7"/>
      <c r="CV75" s="97"/>
      <c r="CW75" s="97"/>
      <c r="CX75" s="97"/>
      <c r="CY75" s="98"/>
      <c r="CZ75" s="98"/>
      <c r="DA75" s="97"/>
      <c r="DB75" s="98"/>
      <c r="DC75" s="97"/>
      <c r="DD75" s="97" t="s">
        <v>1734</v>
      </c>
      <c r="DE75" s="97">
        <v>5</v>
      </c>
      <c r="DF75" s="98"/>
      <c r="DG75" s="98"/>
      <c r="DH75" s="98"/>
      <c r="DI75" s="98"/>
      <c r="DJ75" s="98"/>
      <c r="DK75" s="98"/>
      <c r="DL75" s="98"/>
      <c r="DM75" s="97"/>
      <c r="DN75" s="97"/>
      <c r="DO75" s="97"/>
      <c r="DP75" s="97"/>
      <c r="DQ75" s="97"/>
      <c r="DR75" s="97"/>
      <c r="DS75" s="97"/>
      <c r="DT75" s="99"/>
      <c r="DU75" s="98"/>
      <c r="DV75" s="97"/>
      <c r="DW75" s="97"/>
      <c r="DX75" s="97"/>
      <c r="DY75" s="97"/>
      <c r="DZ75" s="97"/>
      <c r="EA75" s="97"/>
      <c r="EB75" s="97"/>
      <c r="EC75" s="97"/>
      <c r="ED75" s="97"/>
      <c r="EE75" s="97"/>
      <c r="EF75" s="97"/>
      <c r="EG75" s="97"/>
      <c r="EH75" s="97"/>
      <c r="EI75" s="97"/>
      <c r="EJ75" s="97"/>
      <c r="EK75" s="97"/>
      <c r="EL75" s="97"/>
      <c r="EM75" s="97"/>
      <c r="EN75" s="97"/>
      <c r="EO75" s="97"/>
      <c r="EP75" s="97"/>
      <c r="EQ75" s="97"/>
      <c r="ER75" s="97"/>
      <c r="ES75" s="97"/>
      <c r="ET75" s="97"/>
      <c r="EU75" s="97"/>
      <c r="EV75" s="97"/>
      <c r="EW75" s="97"/>
      <c r="EX75" s="97"/>
      <c r="EY75" s="97"/>
      <c r="EZ75" s="97"/>
      <c r="FA75" s="97"/>
      <c r="FB75" s="97"/>
      <c r="FC75" s="97"/>
      <c r="FD75" s="97"/>
      <c r="FE75" s="97"/>
      <c r="FF75" s="97"/>
      <c r="FG75" s="97"/>
      <c r="FH75" s="97"/>
      <c r="FI75" s="97"/>
      <c r="FJ75" s="97"/>
      <c r="FK75" s="97"/>
      <c r="FL75" s="97"/>
      <c r="FM75" s="97"/>
      <c r="FN75" s="97"/>
      <c r="FO75" s="97"/>
      <c r="FP75" s="97"/>
      <c r="FQ75" s="97"/>
      <c r="FR75" s="97"/>
      <c r="FS75" s="97"/>
      <c r="FT75" s="97"/>
      <c r="FU75" s="97"/>
      <c r="FV75" s="97"/>
      <c r="FW75" s="97"/>
      <c r="FX75" s="97"/>
      <c r="FY75" s="6"/>
      <c r="FZ75" s="7" t="str">
        <f>IF(FY75="","",VLOOKUP(FY75,MT商品ﾏｽﾀ参照シート!AM:AN,2,0))</f>
        <v/>
      </c>
      <c r="GA75" s="8"/>
      <c r="GB75" s="8"/>
      <c r="GC75" s="8"/>
      <c r="GD75" s="8"/>
      <c r="GE75" s="58"/>
      <c r="GF75" s="7" t="str">
        <f>IF(GE75="","",VLOOKUP(GE75,MT商品ﾏｽﾀ参照シート!AO:AP,2,0))</f>
        <v/>
      </c>
      <c r="GG75" s="7"/>
      <c r="GH75" s="7"/>
      <c r="GI75" s="7"/>
      <c r="GJ75" s="7"/>
      <c r="GK75" s="49"/>
      <c r="GL75" s="6"/>
      <c r="GM75" s="6"/>
      <c r="GN75" s="7"/>
      <c r="GO75" s="7"/>
      <c r="GP75" s="7"/>
      <c r="GQ75" s="7"/>
      <c r="GR75" s="7">
        <v>2805</v>
      </c>
      <c r="GS75" s="7">
        <v>3300</v>
      </c>
      <c r="GT75" s="7">
        <v>3300</v>
      </c>
      <c r="GU75" s="7">
        <v>3300</v>
      </c>
      <c r="GV75" s="7">
        <v>3300</v>
      </c>
      <c r="GW75" s="8"/>
      <c r="GX75" s="8"/>
      <c r="GY75" s="8"/>
      <c r="GZ75" s="8"/>
      <c r="HA75" s="8"/>
      <c r="HB75" s="8"/>
      <c r="HC75" s="8"/>
      <c r="HD75" s="8"/>
      <c r="HE75" s="58"/>
      <c r="HF75" s="58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82"/>
      <c r="HR75" s="82"/>
      <c r="HS75" s="82"/>
      <c r="HT75" s="26"/>
      <c r="HU75" s="23"/>
      <c r="HV75" s="23"/>
      <c r="HW75" s="24"/>
      <c r="HX75" s="24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76"/>
      <c r="IY75" s="76"/>
      <c r="IZ75" s="76"/>
      <c r="JA75" s="71"/>
      <c r="JB75" s="71"/>
      <c r="JC75" s="72"/>
      <c r="JD75" s="72"/>
      <c r="JE75" s="72"/>
      <c r="JF75" s="72"/>
      <c r="JG75" s="72"/>
      <c r="JH75" s="72"/>
      <c r="JI75" s="71"/>
      <c r="JJ75" s="71"/>
      <c r="JK75" s="72"/>
      <c r="JL75" s="72"/>
      <c r="JM75" s="72"/>
      <c r="JN75" s="72"/>
    </row>
    <row r="76" spans="1:274" ht="13.5" customHeight="1">
      <c r="A76" s="7">
        <v>64</v>
      </c>
      <c r="B76" s="7"/>
      <c r="C76" s="7" t="e">
        <f t="shared" si="25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/>
      <c r="L76" s="7"/>
      <c r="M76" s="7"/>
      <c r="N76" s="7"/>
      <c r="O76" s="7"/>
      <c r="P76" s="7"/>
      <c r="Q76" s="53"/>
      <c r="R76" s="7"/>
      <c r="S76" s="7"/>
      <c r="T76" s="53"/>
      <c r="U76" s="7"/>
      <c r="V76" s="7" t="e">
        <f t="shared" si="4"/>
        <v>#VALUE!</v>
      </c>
      <c r="W76" s="28"/>
      <c r="X76" s="7" t="e">
        <f t="shared" si="4"/>
        <v>#VALUE!</v>
      </c>
      <c r="Y76" s="28"/>
      <c r="Z76" s="7" t="e">
        <f t="shared" si="5"/>
        <v>#VALUE!</v>
      </c>
      <c r="AA76" s="28"/>
      <c r="AB76" s="7"/>
      <c r="AC76" s="7"/>
      <c r="AD76" s="7"/>
      <c r="AE76" s="7"/>
      <c r="AF76" s="7">
        <v>0</v>
      </c>
      <c r="AG76" s="7" t="e">
        <f t="shared" si="6"/>
        <v>#VALUE!</v>
      </c>
      <c r="AH76" s="28"/>
      <c r="AI76" s="7"/>
      <c r="AJ76" s="7" t="e">
        <f t="shared" si="7"/>
        <v>#VALUE!</v>
      </c>
      <c r="AK76" s="28"/>
      <c r="AL76" s="7" t="e">
        <f t="shared" si="8"/>
        <v>#VALUE!</v>
      </c>
      <c r="AM76" s="28"/>
      <c r="AN76" s="7" t="e">
        <f t="shared" si="9"/>
        <v>#VALUE!</v>
      </c>
      <c r="AO76" s="28"/>
      <c r="AP76" s="7">
        <f t="shared" si="10"/>
        <v>2</v>
      </c>
      <c r="AQ76" s="28" t="s">
        <v>2301</v>
      </c>
      <c r="AR76" s="7"/>
      <c r="AS76" s="7"/>
      <c r="AT76" s="7"/>
      <c r="AU76" s="7"/>
      <c r="AV76" s="7">
        <f t="shared" si="11"/>
        <v>4617</v>
      </c>
      <c r="AW76" s="28" t="s">
        <v>2302</v>
      </c>
      <c r="AX76" s="7">
        <v>1</v>
      </c>
      <c r="AY76" s="7" t="e">
        <f t="shared" si="12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3"/>
        <v>#VALUE!</v>
      </c>
      <c r="BG76" s="28"/>
      <c r="BH76" s="7" t="e">
        <f t="shared" si="14"/>
        <v>#VALUE!</v>
      </c>
      <c r="BI76" s="28"/>
      <c r="BJ76" s="7" t="e">
        <f t="shared" si="15"/>
        <v>#VALUE!</v>
      </c>
      <c r="BK76" s="28"/>
      <c r="BL76" s="7"/>
      <c r="BM76" s="7"/>
      <c r="BN76" s="7" t="e">
        <f t="shared" si="16"/>
        <v>#VALUE!</v>
      </c>
      <c r="BO76" s="28"/>
      <c r="BP76" s="7" t="e">
        <f t="shared" si="17"/>
        <v>#VALUE!</v>
      </c>
      <c r="BQ76" s="28"/>
      <c r="BR76" s="7"/>
      <c r="BS76" s="7" t="e">
        <f t="shared" si="18"/>
        <v>#VALUE!</v>
      </c>
      <c r="BT76" s="28"/>
      <c r="BU76" s="7"/>
      <c r="BV76" s="7" t="e">
        <f ca="1">[1]!tメーカー名(BU76)</f>
        <v>#NAME?</v>
      </c>
      <c r="BW76" s="7" t="e">
        <f t="shared" si="19"/>
        <v>#VALUE!</v>
      </c>
      <c r="BX76" s="28"/>
      <c r="BY76" s="7" t="e">
        <f t="shared" si="20"/>
        <v>#VALUE!</v>
      </c>
      <c r="BZ76" s="28"/>
      <c r="CA76" s="54"/>
      <c r="CB76" s="54"/>
      <c r="CC76" s="7" t="e">
        <f t="shared" si="21"/>
        <v>#VALUE!</v>
      </c>
      <c r="CD76" s="28"/>
      <c r="CE76" s="7" t="e">
        <f t="shared" si="22"/>
        <v>#VALUE!</v>
      </c>
      <c r="CF76" s="28"/>
      <c r="CG76" s="7" t="e">
        <f t="shared" si="23"/>
        <v>#VALUE!</v>
      </c>
      <c r="CH76" s="28"/>
      <c r="CI76" s="7" t="e">
        <f t="shared" si="24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6">
        <f t="shared" si="26"/>
        <v>0</v>
      </c>
      <c r="CT76" s="7"/>
      <c r="CU76" s="7"/>
      <c r="CV76" s="97"/>
      <c r="CW76" s="97"/>
      <c r="CX76" s="97"/>
      <c r="CY76" s="98"/>
      <c r="CZ76" s="98"/>
      <c r="DA76" s="97"/>
      <c r="DB76" s="98"/>
      <c r="DC76" s="97"/>
      <c r="DD76" s="97" t="s">
        <v>1735</v>
      </c>
      <c r="DE76" s="97">
        <v>4</v>
      </c>
      <c r="DF76" s="98"/>
      <c r="DG76" s="98"/>
      <c r="DH76" s="98"/>
      <c r="DI76" s="98"/>
      <c r="DJ76" s="98"/>
      <c r="DK76" s="98"/>
      <c r="DL76" s="98"/>
      <c r="DM76" s="97"/>
      <c r="DN76" s="97"/>
      <c r="DO76" s="97"/>
      <c r="DP76" s="97"/>
      <c r="DQ76" s="97"/>
      <c r="DR76" s="97"/>
      <c r="DS76" s="97"/>
      <c r="DT76" s="99"/>
      <c r="DU76" s="98"/>
      <c r="DV76" s="97"/>
      <c r="DW76" s="97"/>
      <c r="DX76" s="97"/>
      <c r="DY76" s="97"/>
      <c r="DZ76" s="97"/>
      <c r="EA76" s="97"/>
      <c r="EB76" s="97"/>
      <c r="EC76" s="97"/>
      <c r="ED76" s="97"/>
      <c r="EE76" s="97"/>
      <c r="EF76" s="97"/>
      <c r="EG76" s="97"/>
      <c r="EH76" s="97"/>
      <c r="EI76" s="97"/>
      <c r="EJ76" s="97"/>
      <c r="EK76" s="97"/>
      <c r="EL76" s="97"/>
      <c r="EM76" s="97"/>
      <c r="EN76" s="97"/>
      <c r="EO76" s="97"/>
      <c r="EP76" s="97"/>
      <c r="EQ76" s="97"/>
      <c r="ER76" s="97"/>
      <c r="ES76" s="97"/>
      <c r="ET76" s="97"/>
      <c r="EU76" s="97"/>
      <c r="EV76" s="97"/>
      <c r="EW76" s="97"/>
      <c r="EX76" s="97"/>
      <c r="EY76" s="97"/>
      <c r="EZ76" s="97"/>
      <c r="FA76" s="97"/>
      <c r="FB76" s="97"/>
      <c r="FC76" s="97"/>
      <c r="FD76" s="97"/>
      <c r="FE76" s="97"/>
      <c r="FF76" s="97"/>
      <c r="FG76" s="97"/>
      <c r="FH76" s="97"/>
      <c r="FI76" s="97"/>
      <c r="FJ76" s="97"/>
      <c r="FK76" s="97"/>
      <c r="FL76" s="97"/>
      <c r="FM76" s="97"/>
      <c r="FN76" s="97"/>
      <c r="FO76" s="97"/>
      <c r="FP76" s="97"/>
      <c r="FQ76" s="97"/>
      <c r="FR76" s="97"/>
      <c r="FS76" s="97"/>
      <c r="FT76" s="97"/>
      <c r="FU76" s="97"/>
      <c r="FV76" s="97"/>
      <c r="FW76" s="97"/>
      <c r="FX76" s="97"/>
      <c r="FY76" s="6"/>
      <c r="FZ76" s="7" t="str">
        <f>IF(FY76="","",VLOOKUP(FY76,MT商品ﾏｽﾀ参照シート!AM:AN,2,0))</f>
        <v/>
      </c>
      <c r="GA76" s="8"/>
      <c r="GB76" s="8"/>
      <c r="GC76" s="8"/>
      <c r="GD76" s="8"/>
      <c r="GE76" s="58"/>
      <c r="GF76" s="7" t="str">
        <f>IF(GE76="","",VLOOKUP(GE76,MT商品ﾏｽﾀ参照シート!AO:AP,2,0))</f>
        <v/>
      </c>
      <c r="GG76" s="7"/>
      <c r="GH76" s="7"/>
      <c r="GI76" s="7"/>
      <c r="GJ76" s="7"/>
      <c r="GK76" s="49"/>
      <c r="GL76" s="6"/>
      <c r="GM76" s="6"/>
      <c r="GN76" s="7"/>
      <c r="GO76" s="7"/>
      <c r="GP76" s="7"/>
      <c r="GQ76" s="7"/>
      <c r="GR76" s="7">
        <v>3655</v>
      </c>
      <c r="GS76" s="7">
        <v>4300</v>
      </c>
      <c r="GT76" s="7">
        <v>4300</v>
      </c>
      <c r="GU76" s="7">
        <v>4300</v>
      </c>
      <c r="GV76" s="7">
        <v>4300</v>
      </c>
      <c r="GW76" s="8"/>
      <c r="GX76" s="8"/>
      <c r="GY76" s="8"/>
      <c r="GZ76" s="8"/>
      <c r="HA76" s="8"/>
      <c r="HB76" s="8"/>
      <c r="HC76" s="8"/>
      <c r="HD76" s="8"/>
      <c r="HE76" s="58"/>
      <c r="HF76" s="58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82"/>
      <c r="HR76" s="82"/>
      <c r="HS76" s="82"/>
      <c r="HT76" s="26"/>
      <c r="HU76" s="23"/>
      <c r="HV76" s="23"/>
      <c r="HW76" s="24"/>
      <c r="HX76" s="24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76"/>
      <c r="IY76" s="76"/>
      <c r="IZ76" s="76"/>
      <c r="JA76" s="71"/>
      <c r="JB76" s="71"/>
      <c r="JC76" s="72"/>
      <c r="JD76" s="72"/>
      <c r="JE76" s="72"/>
      <c r="JF76" s="72"/>
      <c r="JG76" s="72"/>
      <c r="JH76" s="72"/>
      <c r="JI76" s="71"/>
      <c r="JJ76" s="71"/>
      <c r="JK76" s="72"/>
      <c r="JL76" s="72"/>
      <c r="JM76" s="72"/>
      <c r="JN76" s="72"/>
    </row>
    <row r="77" spans="1:274" ht="13.5" customHeight="1">
      <c r="A77" s="7">
        <v>65</v>
      </c>
      <c r="B77" s="7"/>
      <c r="C77" s="7" t="e">
        <f t="shared" si="25"/>
        <v>#VALUE!</v>
      </c>
      <c r="D77" s="28"/>
      <c r="E77" s="7">
        <f t="shared" ref="E77:E112" si="27">LENB(F77)</f>
        <v>0</v>
      </c>
      <c r="F77" s="7"/>
      <c r="G77" s="7">
        <f t="shared" ref="G77:G112" si="28">LENB(H77)</f>
        <v>0</v>
      </c>
      <c r="H77" s="7"/>
      <c r="I77" s="7">
        <f t="shared" ref="I77:I112" si="29">LENB(J77)</f>
        <v>0</v>
      </c>
      <c r="J77" s="7"/>
      <c r="K77" s="7"/>
      <c r="L77" s="7"/>
      <c r="M77" s="7"/>
      <c r="N77" s="7"/>
      <c r="O77" s="7"/>
      <c r="P77" s="7"/>
      <c r="Q77" s="53"/>
      <c r="R77" s="7"/>
      <c r="S77" s="7"/>
      <c r="T77" s="53"/>
      <c r="U77" s="7"/>
      <c r="V77" s="7" t="e">
        <f t="shared" si="4"/>
        <v>#VALUE!</v>
      </c>
      <c r="W77" s="28"/>
      <c r="X77" s="7" t="e">
        <f t="shared" si="4"/>
        <v>#VALUE!</v>
      </c>
      <c r="Y77" s="28"/>
      <c r="Z77" s="7" t="e">
        <f t="shared" si="5"/>
        <v>#VALUE!</v>
      </c>
      <c r="AA77" s="28"/>
      <c r="AB77" s="7"/>
      <c r="AC77" s="7"/>
      <c r="AD77" s="7"/>
      <c r="AE77" s="7"/>
      <c r="AF77" s="7">
        <v>0</v>
      </c>
      <c r="AG77" s="7" t="e">
        <f t="shared" si="6"/>
        <v>#VALUE!</v>
      </c>
      <c r="AH77" s="28"/>
      <c r="AI77" s="7"/>
      <c r="AJ77" s="7" t="e">
        <f t="shared" si="7"/>
        <v>#VALUE!</v>
      </c>
      <c r="AK77" s="28"/>
      <c r="AL77" s="7" t="e">
        <f t="shared" si="8"/>
        <v>#VALUE!</v>
      </c>
      <c r="AM77" s="28"/>
      <c r="AN77" s="7" t="e">
        <f t="shared" si="9"/>
        <v>#VALUE!</v>
      </c>
      <c r="AO77" s="28"/>
      <c r="AP77" s="7">
        <f t="shared" si="10"/>
        <v>2</v>
      </c>
      <c r="AQ77" s="28" t="s">
        <v>2301</v>
      </c>
      <c r="AR77" s="7"/>
      <c r="AS77" s="7"/>
      <c r="AT77" s="7"/>
      <c r="AU77" s="7"/>
      <c r="AV77" s="7">
        <f t="shared" si="11"/>
        <v>4617</v>
      </c>
      <c r="AW77" s="28" t="s">
        <v>2302</v>
      </c>
      <c r="AX77" s="7">
        <v>1</v>
      </c>
      <c r="AY77" s="7" t="e">
        <f t="shared" si="12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3"/>
        <v>#VALUE!</v>
      </c>
      <c r="BG77" s="28"/>
      <c r="BH77" s="7" t="e">
        <f t="shared" si="14"/>
        <v>#VALUE!</v>
      </c>
      <c r="BI77" s="28"/>
      <c r="BJ77" s="7" t="e">
        <f t="shared" si="15"/>
        <v>#VALUE!</v>
      </c>
      <c r="BK77" s="28"/>
      <c r="BL77" s="7"/>
      <c r="BM77" s="7"/>
      <c r="BN77" s="7" t="e">
        <f t="shared" si="16"/>
        <v>#VALUE!</v>
      </c>
      <c r="BO77" s="28"/>
      <c r="BP77" s="7" t="e">
        <f t="shared" si="17"/>
        <v>#VALUE!</v>
      </c>
      <c r="BQ77" s="28"/>
      <c r="BR77" s="7"/>
      <c r="BS77" s="7" t="e">
        <f t="shared" si="18"/>
        <v>#VALUE!</v>
      </c>
      <c r="BT77" s="28"/>
      <c r="BU77" s="7"/>
      <c r="BV77" s="7" t="e">
        <f ca="1">[1]!tメーカー名(BU77)</f>
        <v>#NAME?</v>
      </c>
      <c r="BW77" s="7" t="e">
        <f t="shared" si="19"/>
        <v>#VALUE!</v>
      </c>
      <c r="BX77" s="28"/>
      <c r="BY77" s="7" t="e">
        <f t="shared" si="20"/>
        <v>#VALUE!</v>
      </c>
      <c r="BZ77" s="28"/>
      <c r="CA77" s="54"/>
      <c r="CB77" s="54"/>
      <c r="CC77" s="7" t="e">
        <f t="shared" si="21"/>
        <v>#VALUE!</v>
      </c>
      <c r="CD77" s="28"/>
      <c r="CE77" s="7" t="e">
        <f t="shared" si="22"/>
        <v>#VALUE!</v>
      </c>
      <c r="CF77" s="28"/>
      <c r="CG77" s="7" t="e">
        <f t="shared" si="23"/>
        <v>#VALUE!</v>
      </c>
      <c r="CH77" s="28"/>
      <c r="CI77" s="7" t="e">
        <f t="shared" si="24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6">
        <f t="shared" ref="CS77:CS112" si="30">O77*(BM77/100)*0.8</f>
        <v>0</v>
      </c>
      <c r="CT77" s="7"/>
      <c r="CU77" s="7"/>
      <c r="CV77" s="97"/>
      <c r="CW77" s="97"/>
      <c r="CX77" s="97"/>
      <c r="CY77" s="98"/>
      <c r="CZ77" s="98"/>
      <c r="DA77" s="97"/>
      <c r="DB77" s="98"/>
      <c r="DC77" s="97"/>
      <c r="DD77" s="97" t="s">
        <v>1736</v>
      </c>
      <c r="DE77" s="97">
        <v>5</v>
      </c>
      <c r="DF77" s="98"/>
      <c r="DG77" s="98"/>
      <c r="DH77" s="98"/>
      <c r="DI77" s="98"/>
      <c r="DJ77" s="98"/>
      <c r="DK77" s="98"/>
      <c r="DL77" s="98"/>
      <c r="DM77" s="97"/>
      <c r="DN77" s="97"/>
      <c r="DO77" s="97"/>
      <c r="DP77" s="97"/>
      <c r="DQ77" s="97"/>
      <c r="DR77" s="97"/>
      <c r="DS77" s="97"/>
      <c r="DT77" s="99"/>
      <c r="DU77" s="98"/>
      <c r="DV77" s="97"/>
      <c r="DW77" s="97"/>
      <c r="DX77" s="97"/>
      <c r="DY77" s="97"/>
      <c r="DZ77" s="97"/>
      <c r="EA77" s="97"/>
      <c r="EB77" s="97"/>
      <c r="EC77" s="97"/>
      <c r="ED77" s="97"/>
      <c r="EE77" s="97"/>
      <c r="EF77" s="97"/>
      <c r="EG77" s="97"/>
      <c r="EH77" s="97"/>
      <c r="EI77" s="97"/>
      <c r="EJ77" s="97"/>
      <c r="EK77" s="97"/>
      <c r="EL77" s="97"/>
      <c r="EM77" s="97"/>
      <c r="EN77" s="97"/>
      <c r="EO77" s="97"/>
      <c r="EP77" s="97"/>
      <c r="EQ77" s="97"/>
      <c r="ER77" s="97"/>
      <c r="ES77" s="97"/>
      <c r="ET77" s="97"/>
      <c r="EU77" s="97"/>
      <c r="EV77" s="97"/>
      <c r="EW77" s="97"/>
      <c r="EX77" s="97"/>
      <c r="EY77" s="97"/>
      <c r="EZ77" s="97"/>
      <c r="FA77" s="97"/>
      <c r="FB77" s="97"/>
      <c r="FC77" s="97"/>
      <c r="FD77" s="97"/>
      <c r="FE77" s="97"/>
      <c r="FF77" s="97"/>
      <c r="FG77" s="97"/>
      <c r="FH77" s="97"/>
      <c r="FI77" s="97"/>
      <c r="FJ77" s="97"/>
      <c r="FK77" s="97"/>
      <c r="FL77" s="97"/>
      <c r="FM77" s="97"/>
      <c r="FN77" s="97"/>
      <c r="FO77" s="97"/>
      <c r="FP77" s="97"/>
      <c r="FQ77" s="97"/>
      <c r="FR77" s="97"/>
      <c r="FS77" s="97"/>
      <c r="FT77" s="97"/>
      <c r="FU77" s="97"/>
      <c r="FV77" s="97"/>
      <c r="FW77" s="97"/>
      <c r="FX77" s="97"/>
      <c r="FY77" s="6"/>
      <c r="FZ77" s="7" t="str">
        <f>IF(FY77="","",VLOOKUP(FY77,MT商品ﾏｽﾀ参照シート!AM:AN,2,0))</f>
        <v/>
      </c>
      <c r="GA77" s="8"/>
      <c r="GB77" s="8"/>
      <c r="GC77" s="8"/>
      <c r="GD77" s="8"/>
      <c r="GE77" s="58"/>
      <c r="GF77" s="7" t="str">
        <f>IF(GE77="","",VLOOKUP(GE77,MT商品ﾏｽﾀ参照シート!AO:AP,2,0))</f>
        <v/>
      </c>
      <c r="GG77" s="7"/>
      <c r="GH77" s="7"/>
      <c r="GI77" s="7"/>
      <c r="GJ77" s="7"/>
      <c r="GK77" s="49"/>
      <c r="GL77" s="6"/>
      <c r="GM77" s="6"/>
      <c r="GN77" s="7"/>
      <c r="GO77" s="7"/>
      <c r="GP77" s="7"/>
      <c r="GQ77" s="7"/>
      <c r="GR77" s="7">
        <v>1955</v>
      </c>
      <c r="GS77" s="7">
        <v>2300</v>
      </c>
      <c r="GT77" s="7">
        <v>2300</v>
      </c>
      <c r="GU77" s="7">
        <v>2300</v>
      </c>
      <c r="GV77" s="7">
        <v>2300</v>
      </c>
      <c r="GW77" s="8"/>
      <c r="GX77" s="8"/>
      <c r="GY77" s="8"/>
      <c r="GZ77" s="8"/>
      <c r="HA77" s="8"/>
      <c r="HB77" s="8"/>
      <c r="HC77" s="8"/>
      <c r="HD77" s="8"/>
      <c r="HE77" s="58"/>
      <c r="HF77" s="58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82"/>
      <c r="HR77" s="82"/>
      <c r="HS77" s="82"/>
      <c r="HT77" s="26"/>
      <c r="HU77" s="23"/>
      <c r="HV77" s="23"/>
      <c r="HW77" s="24"/>
      <c r="HX77" s="24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76"/>
      <c r="IY77" s="76"/>
      <c r="IZ77" s="76"/>
      <c r="JA77" s="71"/>
      <c r="JB77" s="71"/>
      <c r="JC77" s="72"/>
      <c r="JD77" s="72"/>
      <c r="JE77" s="72"/>
      <c r="JF77" s="72"/>
      <c r="JG77" s="72"/>
      <c r="JH77" s="72"/>
      <c r="JI77" s="71"/>
      <c r="JJ77" s="71"/>
      <c r="JK77" s="72"/>
      <c r="JL77" s="72"/>
      <c r="JM77" s="72"/>
      <c r="JN77" s="72"/>
    </row>
    <row r="78" spans="1:274" ht="13.5" customHeight="1">
      <c r="A78" s="7">
        <v>66</v>
      </c>
      <c r="B78" s="7"/>
      <c r="C78" s="7" t="e">
        <f t="shared" si="25"/>
        <v>#VALUE!</v>
      </c>
      <c r="D78" s="28"/>
      <c r="E78" s="7">
        <f t="shared" si="27"/>
        <v>0</v>
      </c>
      <c r="F78" s="7"/>
      <c r="G78" s="7">
        <f t="shared" si="28"/>
        <v>0</v>
      </c>
      <c r="H78" s="7"/>
      <c r="I78" s="7">
        <f t="shared" si="29"/>
        <v>0</v>
      </c>
      <c r="J78" s="7"/>
      <c r="K78" s="7"/>
      <c r="L78" s="7"/>
      <c r="M78" s="7"/>
      <c r="N78" s="7"/>
      <c r="O78" s="7"/>
      <c r="P78" s="7"/>
      <c r="Q78" s="53"/>
      <c r="R78" s="7"/>
      <c r="S78" s="7"/>
      <c r="T78" s="53"/>
      <c r="U78" s="7"/>
      <c r="V78" s="7" t="e">
        <f t="shared" ref="V78:X112" si="31">ABS(LEFT(W78,2))</f>
        <v>#VALUE!</v>
      </c>
      <c r="W78" s="28"/>
      <c r="X78" s="7" t="e">
        <f t="shared" si="31"/>
        <v>#VALUE!</v>
      </c>
      <c r="Y78" s="28"/>
      <c r="Z78" s="7" t="e">
        <f t="shared" ref="Z78:Z112" si="32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33">ABS(LEFT(AH78,1))</f>
        <v>#VALUE!</v>
      </c>
      <c r="AH78" s="28"/>
      <c r="AI78" s="7"/>
      <c r="AJ78" s="7" t="e">
        <f t="shared" ref="AJ78:AJ112" si="34">ABS(LEFT(AK78,2))</f>
        <v>#VALUE!</v>
      </c>
      <c r="AK78" s="28"/>
      <c r="AL78" s="7" t="e">
        <f t="shared" ref="AL78:AL112" si="35">ABS(LEFT(AM78,1))</f>
        <v>#VALUE!</v>
      </c>
      <c r="AM78" s="28"/>
      <c r="AN78" s="7" t="e">
        <f t="shared" ref="AN78:AN112" si="36">ABS(LEFT(AO78,1))</f>
        <v>#VALUE!</v>
      </c>
      <c r="AO78" s="28"/>
      <c r="AP78" s="7">
        <f t="shared" ref="AP78:AP112" si="37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38">ABS(LEFT(AW78,10))</f>
        <v>4617</v>
      </c>
      <c r="AW78" s="28" t="s">
        <v>2302</v>
      </c>
      <c r="AX78" s="7">
        <v>1</v>
      </c>
      <c r="AY78" s="7" t="e">
        <f t="shared" ref="AY78:AY112" si="39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0">ABS(LEFT(BG78,3))</f>
        <v>#VALUE!</v>
      </c>
      <c r="BG78" s="28"/>
      <c r="BH78" s="7" t="e">
        <f t="shared" ref="BH78:BH112" si="41">ABS(LEFT(BI78,4))</f>
        <v>#VALUE!</v>
      </c>
      <c r="BI78" s="28"/>
      <c r="BJ78" s="7" t="e">
        <f t="shared" ref="BJ78:BJ112" si="42">ABS(LEFT(BK78,1))</f>
        <v>#VALUE!</v>
      </c>
      <c r="BK78" s="28"/>
      <c r="BL78" s="7"/>
      <c r="BM78" s="7"/>
      <c r="BN78" s="7" t="e">
        <f t="shared" ref="BN78:BN112" si="43">ABS(LEFT(BO78,5))</f>
        <v>#VALUE!</v>
      </c>
      <c r="BO78" s="28"/>
      <c r="BP78" s="7" t="e">
        <f t="shared" ref="BP78:BP112" si="44">ABS(LEFT(BQ78,5))</f>
        <v>#VALUE!</v>
      </c>
      <c r="BQ78" s="28"/>
      <c r="BR78" s="7"/>
      <c r="BS78" s="7" t="e">
        <f t="shared" ref="BS78:BS112" si="45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46">ABS(LEFT(BX78,1))</f>
        <v>#VALUE!</v>
      </c>
      <c r="BX78" s="28"/>
      <c r="BY78" s="7" t="e">
        <f t="shared" ref="BY78:BY112" si="47">ABS(LEFT(BZ78,1))</f>
        <v>#VALUE!</v>
      </c>
      <c r="BZ78" s="28"/>
      <c r="CA78" s="54"/>
      <c r="CB78" s="54"/>
      <c r="CC78" s="7" t="e">
        <f t="shared" ref="CC78:CC112" si="48">ABS(LEFT(CD78,1))</f>
        <v>#VALUE!</v>
      </c>
      <c r="CD78" s="28"/>
      <c r="CE78" s="7" t="e">
        <f t="shared" ref="CE78:CE112" si="49">ABS(LEFT(CF78,1))</f>
        <v>#VALUE!</v>
      </c>
      <c r="CF78" s="28"/>
      <c r="CG78" s="7" t="e">
        <f t="shared" ref="CG78:CG112" si="50">ABS(LEFT(CH78,1))</f>
        <v>#VALUE!</v>
      </c>
      <c r="CH78" s="28"/>
      <c r="CI78" s="7" t="e">
        <f t="shared" ref="CI78:CI112" si="51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6">
        <f t="shared" si="30"/>
        <v>0</v>
      </c>
      <c r="CT78" s="7"/>
      <c r="CU78" s="7"/>
      <c r="CV78" s="97"/>
      <c r="CW78" s="97"/>
      <c r="CX78" s="97"/>
      <c r="CY78" s="98"/>
      <c r="CZ78" s="98"/>
      <c r="DA78" s="97"/>
      <c r="DB78" s="98"/>
      <c r="DC78" s="97"/>
      <c r="DD78" s="97" t="s">
        <v>1732</v>
      </c>
      <c r="DE78" s="97">
        <v>4</v>
      </c>
      <c r="DF78" s="98"/>
      <c r="DG78" s="98"/>
      <c r="DH78" s="98"/>
      <c r="DI78" s="98"/>
      <c r="DJ78" s="98"/>
      <c r="DK78" s="98"/>
      <c r="DL78" s="98"/>
      <c r="DM78" s="97"/>
      <c r="DN78" s="97"/>
      <c r="DO78" s="97"/>
      <c r="DP78" s="97"/>
      <c r="DQ78" s="97"/>
      <c r="DR78" s="97"/>
      <c r="DS78" s="97"/>
      <c r="DT78" s="99"/>
      <c r="DU78" s="98"/>
      <c r="DV78" s="97"/>
      <c r="DW78" s="97"/>
      <c r="DX78" s="97"/>
      <c r="DY78" s="97"/>
      <c r="DZ78" s="97"/>
      <c r="EA78" s="97"/>
      <c r="EB78" s="97"/>
      <c r="EC78" s="97"/>
      <c r="ED78" s="97"/>
      <c r="EE78" s="97"/>
      <c r="EF78" s="97"/>
      <c r="EG78" s="97"/>
      <c r="EH78" s="97"/>
      <c r="EI78" s="97"/>
      <c r="EJ78" s="97"/>
      <c r="EK78" s="97"/>
      <c r="EL78" s="97"/>
      <c r="EM78" s="97"/>
      <c r="EN78" s="97"/>
      <c r="EO78" s="97"/>
      <c r="EP78" s="97"/>
      <c r="EQ78" s="97"/>
      <c r="ER78" s="97"/>
      <c r="ES78" s="97"/>
      <c r="ET78" s="97"/>
      <c r="EU78" s="97"/>
      <c r="EV78" s="97"/>
      <c r="EW78" s="97"/>
      <c r="EX78" s="97"/>
      <c r="EY78" s="97"/>
      <c r="EZ78" s="97"/>
      <c r="FA78" s="97"/>
      <c r="FB78" s="97"/>
      <c r="FC78" s="97"/>
      <c r="FD78" s="97"/>
      <c r="FE78" s="97"/>
      <c r="FF78" s="97"/>
      <c r="FG78" s="97"/>
      <c r="FH78" s="97"/>
      <c r="FI78" s="97"/>
      <c r="FJ78" s="97"/>
      <c r="FK78" s="97"/>
      <c r="FL78" s="97"/>
      <c r="FM78" s="97"/>
      <c r="FN78" s="97"/>
      <c r="FO78" s="97"/>
      <c r="FP78" s="97"/>
      <c r="FQ78" s="97"/>
      <c r="FR78" s="97"/>
      <c r="FS78" s="97"/>
      <c r="FT78" s="97"/>
      <c r="FU78" s="97"/>
      <c r="FV78" s="97"/>
      <c r="FW78" s="97"/>
      <c r="FX78" s="97"/>
      <c r="FY78" s="6"/>
      <c r="FZ78" s="7" t="str">
        <f>IF(FY78="","",VLOOKUP(FY78,MT商品ﾏｽﾀ参照シート!AM:AN,2,0))</f>
        <v/>
      </c>
      <c r="GA78" s="8"/>
      <c r="GB78" s="8"/>
      <c r="GC78" s="8"/>
      <c r="GD78" s="8"/>
      <c r="GE78" s="58"/>
      <c r="GF78" s="7" t="str">
        <f>IF(GE78="","",VLOOKUP(GE78,MT商品ﾏｽﾀ参照シート!AO:AP,2,0))</f>
        <v/>
      </c>
      <c r="GG78" s="7"/>
      <c r="GH78" s="7"/>
      <c r="GI78" s="7"/>
      <c r="GJ78" s="7"/>
      <c r="GK78" s="49"/>
      <c r="GL78" s="6"/>
      <c r="GM78" s="6"/>
      <c r="GN78" s="7"/>
      <c r="GO78" s="7"/>
      <c r="GP78" s="7"/>
      <c r="GQ78" s="7"/>
      <c r="GR78" s="7">
        <v>2805</v>
      </c>
      <c r="GS78" s="7">
        <v>3300</v>
      </c>
      <c r="GT78" s="7">
        <v>3300</v>
      </c>
      <c r="GU78" s="7">
        <v>3300</v>
      </c>
      <c r="GV78" s="7">
        <v>3300</v>
      </c>
      <c r="GW78" s="8"/>
      <c r="GX78" s="8"/>
      <c r="GY78" s="8"/>
      <c r="GZ78" s="8"/>
      <c r="HA78" s="8"/>
      <c r="HB78" s="8"/>
      <c r="HC78" s="8"/>
      <c r="HD78" s="8"/>
      <c r="HE78" s="58"/>
      <c r="HF78" s="58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82"/>
      <c r="HR78" s="82"/>
      <c r="HS78" s="82"/>
      <c r="HT78" s="26"/>
      <c r="HU78" s="23"/>
      <c r="HV78" s="23"/>
      <c r="HW78" s="24"/>
      <c r="HX78" s="24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76"/>
      <c r="IY78" s="76"/>
      <c r="IZ78" s="76"/>
      <c r="JA78" s="71"/>
      <c r="JB78" s="71"/>
      <c r="JC78" s="72"/>
      <c r="JD78" s="72"/>
      <c r="JE78" s="72"/>
      <c r="JF78" s="72"/>
      <c r="JG78" s="72"/>
      <c r="JH78" s="72"/>
      <c r="JI78" s="71"/>
      <c r="JJ78" s="71"/>
      <c r="JK78" s="72"/>
      <c r="JL78" s="72"/>
      <c r="JM78" s="72"/>
      <c r="JN78" s="72"/>
    </row>
    <row r="79" spans="1:274" ht="13.5" customHeight="1">
      <c r="A79" s="7">
        <v>67</v>
      </c>
      <c r="B79" s="7"/>
      <c r="C79" s="7" t="e">
        <f t="shared" ref="C79:C112" si="52">ABS(LEFT(D79,1))</f>
        <v>#VALUE!</v>
      </c>
      <c r="D79" s="28"/>
      <c r="E79" s="7">
        <f t="shared" si="27"/>
        <v>0</v>
      </c>
      <c r="F79" s="7"/>
      <c r="G79" s="7">
        <f t="shared" si="28"/>
        <v>0</v>
      </c>
      <c r="H79" s="7"/>
      <c r="I79" s="7">
        <f t="shared" si="29"/>
        <v>0</v>
      </c>
      <c r="J79" s="7"/>
      <c r="K79" s="7"/>
      <c r="L79" s="7"/>
      <c r="M79" s="7"/>
      <c r="N79" s="7"/>
      <c r="O79" s="7"/>
      <c r="P79" s="7"/>
      <c r="Q79" s="53"/>
      <c r="R79" s="7"/>
      <c r="S79" s="7"/>
      <c r="T79" s="53"/>
      <c r="U79" s="7"/>
      <c r="V79" s="7" t="e">
        <f t="shared" si="31"/>
        <v>#VALUE!</v>
      </c>
      <c r="W79" s="28"/>
      <c r="X79" s="7" t="e">
        <f t="shared" si="31"/>
        <v>#VALUE!</v>
      </c>
      <c r="Y79" s="28"/>
      <c r="Z79" s="7" t="e">
        <f t="shared" si="32"/>
        <v>#VALUE!</v>
      </c>
      <c r="AA79" s="28"/>
      <c r="AB79" s="7"/>
      <c r="AC79" s="7"/>
      <c r="AD79" s="7"/>
      <c r="AE79" s="7"/>
      <c r="AF79" s="7">
        <v>0</v>
      </c>
      <c r="AG79" s="7" t="e">
        <f t="shared" si="33"/>
        <v>#VALUE!</v>
      </c>
      <c r="AH79" s="28"/>
      <c r="AI79" s="7"/>
      <c r="AJ79" s="7" t="e">
        <f t="shared" si="34"/>
        <v>#VALUE!</v>
      </c>
      <c r="AK79" s="28"/>
      <c r="AL79" s="7" t="e">
        <f t="shared" si="35"/>
        <v>#VALUE!</v>
      </c>
      <c r="AM79" s="28"/>
      <c r="AN79" s="7" t="e">
        <f t="shared" si="36"/>
        <v>#VALUE!</v>
      </c>
      <c r="AO79" s="28"/>
      <c r="AP79" s="7">
        <f t="shared" si="37"/>
        <v>2</v>
      </c>
      <c r="AQ79" s="28" t="s">
        <v>2301</v>
      </c>
      <c r="AR79" s="7"/>
      <c r="AS79" s="7"/>
      <c r="AT79" s="7"/>
      <c r="AU79" s="7"/>
      <c r="AV79" s="7">
        <f t="shared" si="38"/>
        <v>4617</v>
      </c>
      <c r="AW79" s="28" t="s">
        <v>2302</v>
      </c>
      <c r="AX79" s="7">
        <v>1</v>
      </c>
      <c r="AY79" s="7" t="e">
        <f t="shared" si="39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0"/>
        <v>#VALUE!</v>
      </c>
      <c r="BG79" s="28"/>
      <c r="BH79" s="7" t="e">
        <f t="shared" si="41"/>
        <v>#VALUE!</v>
      </c>
      <c r="BI79" s="28"/>
      <c r="BJ79" s="7" t="e">
        <f t="shared" si="42"/>
        <v>#VALUE!</v>
      </c>
      <c r="BK79" s="28"/>
      <c r="BL79" s="7"/>
      <c r="BM79" s="7"/>
      <c r="BN79" s="7" t="e">
        <f t="shared" si="43"/>
        <v>#VALUE!</v>
      </c>
      <c r="BO79" s="28"/>
      <c r="BP79" s="7" t="e">
        <f t="shared" si="44"/>
        <v>#VALUE!</v>
      </c>
      <c r="BQ79" s="28"/>
      <c r="BR79" s="7"/>
      <c r="BS79" s="7" t="e">
        <f t="shared" si="45"/>
        <v>#VALUE!</v>
      </c>
      <c r="BT79" s="28"/>
      <c r="BU79" s="7"/>
      <c r="BV79" s="7" t="e">
        <f ca="1">[1]!tメーカー名(BU79)</f>
        <v>#NAME?</v>
      </c>
      <c r="BW79" s="7" t="e">
        <f t="shared" si="46"/>
        <v>#VALUE!</v>
      </c>
      <c r="BX79" s="28"/>
      <c r="BY79" s="7" t="e">
        <f t="shared" si="47"/>
        <v>#VALUE!</v>
      </c>
      <c r="BZ79" s="28"/>
      <c r="CA79" s="54"/>
      <c r="CB79" s="54"/>
      <c r="CC79" s="7" t="e">
        <f t="shared" si="48"/>
        <v>#VALUE!</v>
      </c>
      <c r="CD79" s="28"/>
      <c r="CE79" s="7" t="e">
        <f t="shared" si="49"/>
        <v>#VALUE!</v>
      </c>
      <c r="CF79" s="28"/>
      <c r="CG79" s="7" t="e">
        <f t="shared" si="50"/>
        <v>#VALUE!</v>
      </c>
      <c r="CH79" s="28"/>
      <c r="CI79" s="7" t="e">
        <f t="shared" si="51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6">
        <f t="shared" si="30"/>
        <v>0</v>
      </c>
      <c r="CT79" s="7"/>
      <c r="CU79" s="7"/>
      <c r="CV79" s="97"/>
      <c r="CW79" s="97"/>
      <c r="CX79" s="97"/>
      <c r="CY79" s="98"/>
      <c r="CZ79" s="98"/>
      <c r="DA79" s="97"/>
      <c r="DB79" s="98"/>
      <c r="DC79" s="97"/>
      <c r="DD79" s="97" t="s">
        <v>1737</v>
      </c>
      <c r="DE79" s="97">
        <v>4</v>
      </c>
      <c r="DF79" s="98"/>
      <c r="DG79" s="98"/>
      <c r="DH79" s="98"/>
      <c r="DI79" s="98"/>
      <c r="DJ79" s="98"/>
      <c r="DK79" s="98"/>
      <c r="DL79" s="98"/>
      <c r="DM79" s="97"/>
      <c r="DN79" s="97"/>
      <c r="DO79" s="97"/>
      <c r="DP79" s="97"/>
      <c r="DQ79" s="97"/>
      <c r="DR79" s="97"/>
      <c r="DS79" s="97"/>
      <c r="DT79" s="99"/>
      <c r="DU79" s="98"/>
      <c r="DV79" s="97"/>
      <c r="DW79" s="97"/>
      <c r="DX79" s="97"/>
      <c r="DY79" s="97"/>
      <c r="DZ79" s="97"/>
      <c r="EA79" s="97"/>
      <c r="EB79" s="97"/>
      <c r="EC79" s="97"/>
      <c r="ED79" s="97"/>
      <c r="EE79" s="97"/>
      <c r="EF79" s="97"/>
      <c r="EG79" s="97"/>
      <c r="EH79" s="97"/>
      <c r="EI79" s="97"/>
      <c r="EJ79" s="97"/>
      <c r="EK79" s="97"/>
      <c r="EL79" s="97"/>
      <c r="EM79" s="97"/>
      <c r="EN79" s="97"/>
      <c r="EO79" s="97"/>
      <c r="EP79" s="97"/>
      <c r="EQ79" s="97"/>
      <c r="ER79" s="97"/>
      <c r="ES79" s="97"/>
      <c r="ET79" s="97"/>
      <c r="EU79" s="97"/>
      <c r="EV79" s="97"/>
      <c r="EW79" s="97"/>
      <c r="EX79" s="97"/>
      <c r="EY79" s="97"/>
      <c r="EZ79" s="97"/>
      <c r="FA79" s="97"/>
      <c r="FB79" s="97"/>
      <c r="FC79" s="97"/>
      <c r="FD79" s="97"/>
      <c r="FE79" s="97"/>
      <c r="FF79" s="97"/>
      <c r="FG79" s="97"/>
      <c r="FH79" s="97"/>
      <c r="FI79" s="97"/>
      <c r="FJ79" s="97"/>
      <c r="FK79" s="97"/>
      <c r="FL79" s="97"/>
      <c r="FM79" s="97"/>
      <c r="FN79" s="97"/>
      <c r="FO79" s="97"/>
      <c r="FP79" s="97"/>
      <c r="FQ79" s="97"/>
      <c r="FR79" s="97"/>
      <c r="FS79" s="97"/>
      <c r="FT79" s="97"/>
      <c r="FU79" s="97"/>
      <c r="FV79" s="97"/>
      <c r="FW79" s="97"/>
      <c r="FX79" s="97"/>
      <c r="FY79" s="6"/>
      <c r="FZ79" s="7" t="str">
        <f>IF(FY79="","",VLOOKUP(FY79,MT商品ﾏｽﾀ参照シート!AM:AN,2,0))</f>
        <v/>
      </c>
      <c r="GA79" s="8"/>
      <c r="GB79" s="8"/>
      <c r="GC79" s="8"/>
      <c r="GD79" s="8"/>
      <c r="GE79" s="58"/>
      <c r="GF79" s="7" t="str">
        <f>IF(GE79="","",VLOOKUP(GE79,MT商品ﾏｽﾀ参照シート!AO:AP,2,0))</f>
        <v/>
      </c>
      <c r="GG79" s="7"/>
      <c r="GH79" s="7"/>
      <c r="GI79" s="7"/>
      <c r="GJ79" s="7"/>
      <c r="GK79" s="49"/>
      <c r="GL79" s="6"/>
      <c r="GM79" s="6"/>
      <c r="GN79" s="7"/>
      <c r="GO79" s="7"/>
      <c r="GP79" s="7"/>
      <c r="GQ79" s="7"/>
      <c r="GR79" s="7">
        <v>2805</v>
      </c>
      <c r="GS79" s="7">
        <v>3300</v>
      </c>
      <c r="GT79" s="7">
        <v>3300</v>
      </c>
      <c r="GU79" s="7">
        <v>3300</v>
      </c>
      <c r="GV79" s="7">
        <v>3300</v>
      </c>
      <c r="GW79" s="8"/>
      <c r="GX79" s="8"/>
      <c r="GY79" s="8"/>
      <c r="GZ79" s="8"/>
      <c r="HA79" s="8"/>
      <c r="HB79" s="8"/>
      <c r="HC79" s="8"/>
      <c r="HD79" s="8"/>
      <c r="HE79" s="58"/>
      <c r="HF79" s="58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82"/>
      <c r="HR79" s="82"/>
      <c r="HS79" s="82"/>
      <c r="HT79" s="26"/>
      <c r="HU79" s="23"/>
      <c r="HV79" s="23"/>
      <c r="HW79" s="24"/>
      <c r="HX79" s="24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76"/>
      <c r="IY79" s="76"/>
      <c r="IZ79" s="76"/>
      <c r="JA79" s="71"/>
      <c r="JB79" s="71"/>
      <c r="JC79" s="72"/>
      <c r="JD79" s="72"/>
      <c r="JE79" s="72"/>
      <c r="JF79" s="72"/>
      <c r="JG79" s="72"/>
      <c r="JH79" s="72"/>
      <c r="JI79" s="71"/>
      <c r="JJ79" s="71"/>
      <c r="JK79" s="72"/>
      <c r="JL79" s="72"/>
      <c r="JM79" s="72"/>
      <c r="JN79" s="72"/>
    </row>
    <row r="80" spans="1:274" ht="13.5" customHeight="1">
      <c r="A80" s="7">
        <v>68</v>
      </c>
      <c r="B80" s="7"/>
      <c r="C80" s="7" t="e">
        <f t="shared" si="52"/>
        <v>#VALUE!</v>
      </c>
      <c r="D80" s="28"/>
      <c r="E80" s="7">
        <f t="shared" si="27"/>
        <v>0</v>
      </c>
      <c r="F80" s="7"/>
      <c r="G80" s="7">
        <f t="shared" si="28"/>
        <v>0</v>
      </c>
      <c r="H80" s="7"/>
      <c r="I80" s="7">
        <f t="shared" si="29"/>
        <v>0</v>
      </c>
      <c r="J80" s="7"/>
      <c r="K80" s="7"/>
      <c r="L80" s="7"/>
      <c r="M80" s="7"/>
      <c r="N80" s="7"/>
      <c r="O80" s="7"/>
      <c r="P80" s="7"/>
      <c r="Q80" s="53"/>
      <c r="R80" s="7"/>
      <c r="S80" s="7"/>
      <c r="T80" s="53"/>
      <c r="U80" s="7"/>
      <c r="V80" s="7" t="e">
        <f t="shared" si="31"/>
        <v>#VALUE!</v>
      </c>
      <c r="W80" s="28"/>
      <c r="X80" s="7" t="e">
        <f t="shared" si="31"/>
        <v>#VALUE!</v>
      </c>
      <c r="Y80" s="28"/>
      <c r="Z80" s="7" t="e">
        <f t="shared" si="32"/>
        <v>#VALUE!</v>
      </c>
      <c r="AA80" s="28"/>
      <c r="AB80" s="7"/>
      <c r="AC80" s="7"/>
      <c r="AD80" s="7"/>
      <c r="AE80" s="7"/>
      <c r="AF80" s="7">
        <v>0</v>
      </c>
      <c r="AG80" s="7" t="e">
        <f t="shared" si="33"/>
        <v>#VALUE!</v>
      </c>
      <c r="AH80" s="28"/>
      <c r="AI80" s="7"/>
      <c r="AJ80" s="7" t="e">
        <f t="shared" si="34"/>
        <v>#VALUE!</v>
      </c>
      <c r="AK80" s="28"/>
      <c r="AL80" s="7" t="e">
        <f t="shared" si="35"/>
        <v>#VALUE!</v>
      </c>
      <c r="AM80" s="28"/>
      <c r="AN80" s="7" t="e">
        <f t="shared" si="36"/>
        <v>#VALUE!</v>
      </c>
      <c r="AO80" s="28"/>
      <c r="AP80" s="7">
        <f t="shared" si="37"/>
        <v>2</v>
      </c>
      <c r="AQ80" s="28" t="s">
        <v>2301</v>
      </c>
      <c r="AR80" s="7"/>
      <c r="AS80" s="7"/>
      <c r="AT80" s="7"/>
      <c r="AU80" s="7"/>
      <c r="AV80" s="7">
        <f t="shared" si="38"/>
        <v>4617</v>
      </c>
      <c r="AW80" s="28" t="s">
        <v>2302</v>
      </c>
      <c r="AX80" s="7">
        <v>1</v>
      </c>
      <c r="AY80" s="7" t="e">
        <f t="shared" si="39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0"/>
        <v>#VALUE!</v>
      </c>
      <c r="BG80" s="28"/>
      <c r="BH80" s="7" t="e">
        <f t="shared" si="41"/>
        <v>#VALUE!</v>
      </c>
      <c r="BI80" s="28"/>
      <c r="BJ80" s="7" t="e">
        <f t="shared" si="42"/>
        <v>#VALUE!</v>
      </c>
      <c r="BK80" s="28"/>
      <c r="BL80" s="7"/>
      <c r="BM80" s="7"/>
      <c r="BN80" s="7" t="e">
        <f t="shared" si="43"/>
        <v>#VALUE!</v>
      </c>
      <c r="BO80" s="28"/>
      <c r="BP80" s="7" t="e">
        <f t="shared" si="44"/>
        <v>#VALUE!</v>
      </c>
      <c r="BQ80" s="28"/>
      <c r="BR80" s="7"/>
      <c r="BS80" s="7" t="e">
        <f t="shared" si="45"/>
        <v>#VALUE!</v>
      </c>
      <c r="BT80" s="28"/>
      <c r="BU80" s="7"/>
      <c r="BV80" s="7" t="e">
        <f ca="1">[1]!tメーカー名(BU80)</f>
        <v>#NAME?</v>
      </c>
      <c r="BW80" s="7" t="e">
        <f t="shared" si="46"/>
        <v>#VALUE!</v>
      </c>
      <c r="BX80" s="28"/>
      <c r="BY80" s="7" t="e">
        <f t="shared" si="47"/>
        <v>#VALUE!</v>
      </c>
      <c r="BZ80" s="28"/>
      <c r="CA80" s="54"/>
      <c r="CB80" s="54"/>
      <c r="CC80" s="7" t="e">
        <f t="shared" si="48"/>
        <v>#VALUE!</v>
      </c>
      <c r="CD80" s="28"/>
      <c r="CE80" s="7" t="e">
        <f t="shared" si="49"/>
        <v>#VALUE!</v>
      </c>
      <c r="CF80" s="28"/>
      <c r="CG80" s="7" t="e">
        <f t="shared" si="50"/>
        <v>#VALUE!</v>
      </c>
      <c r="CH80" s="28"/>
      <c r="CI80" s="7" t="e">
        <f t="shared" si="51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6">
        <f t="shared" si="30"/>
        <v>0</v>
      </c>
      <c r="CT80" s="7"/>
      <c r="CU80" s="7"/>
      <c r="CV80" s="97"/>
      <c r="CW80" s="97"/>
      <c r="CX80" s="97"/>
      <c r="CY80" s="98"/>
      <c r="CZ80" s="98"/>
      <c r="DA80" s="97"/>
      <c r="DB80" s="98"/>
      <c r="DC80" s="97"/>
      <c r="DD80" s="97" t="s">
        <v>1738</v>
      </c>
      <c r="DE80" s="97">
        <v>4</v>
      </c>
      <c r="DF80" s="98"/>
      <c r="DG80" s="98"/>
      <c r="DH80" s="98"/>
      <c r="DI80" s="98"/>
      <c r="DJ80" s="98"/>
      <c r="DK80" s="98"/>
      <c r="DL80" s="98"/>
      <c r="DM80" s="97"/>
      <c r="DN80" s="97"/>
      <c r="DO80" s="97"/>
      <c r="DP80" s="97"/>
      <c r="DQ80" s="97"/>
      <c r="DR80" s="97"/>
      <c r="DS80" s="97"/>
      <c r="DT80" s="99"/>
      <c r="DU80" s="98"/>
      <c r="DV80" s="97"/>
      <c r="DW80" s="97"/>
      <c r="DX80" s="97"/>
      <c r="DY80" s="97"/>
      <c r="DZ80" s="97"/>
      <c r="EA80" s="97"/>
      <c r="EB80" s="97"/>
      <c r="EC80" s="97"/>
      <c r="ED80" s="97"/>
      <c r="EE80" s="97"/>
      <c r="EF80" s="97"/>
      <c r="EG80" s="97"/>
      <c r="EH80" s="97"/>
      <c r="EI80" s="97"/>
      <c r="EJ80" s="97"/>
      <c r="EK80" s="97"/>
      <c r="EL80" s="97"/>
      <c r="EM80" s="97"/>
      <c r="EN80" s="97"/>
      <c r="EO80" s="97"/>
      <c r="EP80" s="97"/>
      <c r="EQ80" s="97"/>
      <c r="ER80" s="97"/>
      <c r="ES80" s="97"/>
      <c r="ET80" s="97"/>
      <c r="EU80" s="97"/>
      <c r="EV80" s="97"/>
      <c r="EW80" s="97"/>
      <c r="EX80" s="97"/>
      <c r="EY80" s="97"/>
      <c r="EZ80" s="97"/>
      <c r="FA80" s="97"/>
      <c r="FB80" s="97"/>
      <c r="FC80" s="97"/>
      <c r="FD80" s="97"/>
      <c r="FE80" s="97"/>
      <c r="FF80" s="97"/>
      <c r="FG80" s="97"/>
      <c r="FH80" s="97"/>
      <c r="FI80" s="97"/>
      <c r="FJ80" s="97"/>
      <c r="FK80" s="97"/>
      <c r="FL80" s="97"/>
      <c r="FM80" s="97"/>
      <c r="FN80" s="97"/>
      <c r="FO80" s="97"/>
      <c r="FP80" s="97"/>
      <c r="FQ80" s="97"/>
      <c r="FR80" s="97"/>
      <c r="FS80" s="97"/>
      <c r="FT80" s="97"/>
      <c r="FU80" s="97"/>
      <c r="FV80" s="97"/>
      <c r="FW80" s="97"/>
      <c r="FX80" s="97"/>
      <c r="FY80" s="6"/>
      <c r="FZ80" s="7" t="str">
        <f>IF(FY80="","",VLOOKUP(FY80,MT商品ﾏｽﾀ参照シート!AM:AN,2,0))</f>
        <v/>
      </c>
      <c r="GA80" s="8"/>
      <c r="GB80" s="8"/>
      <c r="GC80" s="8"/>
      <c r="GD80" s="8"/>
      <c r="GE80" s="58"/>
      <c r="GF80" s="7" t="str">
        <f>IF(GE80="","",VLOOKUP(GE80,MT商品ﾏｽﾀ参照シート!AO:AP,2,0))</f>
        <v/>
      </c>
      <c r="GG80" s="7"/>
      <c r="GH80" s="7"/>
      <c r="GI80" s="7"/>
      <c r="GJ80" s="7"/>
      <c r="GK80" s="49"/>
      <c r="GL80" s="6"/>
      <c r="GM80" s="6"/>
      <c r="GN80" s="7"/>
      <c r="GO80" s="7"/>
      <c r="GP80" s="7"/>
      <c r="GQ80" s="7"/>
      <c r="GR80" s="7">
        <v>3472</v>
      </c>
      <c r="GS80" s="7">
        <v>4085</v>
      </c>
      <c r="GT80" s="7">
        <v>4085</v>
      </c>
      <c r="GU80" s="7">
        <v>4085</v>
      </c>
      <c r="GV80" s="7">
        <v>4085</v>
      </c>
      <c r="GW80" s="8"/>
      <c r="GX80" s="8"/>
      <c r="GY80" s="8"/>
      <c r="GZ80" s="8"/>
      <c r="HA80" s="8"/>
      <c r="HB80" s="8"/>
      <c r="HC80" s="8"/>
      <c r="HD80" s="8"/>
      <c r="HE80" s="58"/>
      <c r="HF80" s="58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82"/>
      <c r="HR80" s="82"/>
      <c r="HS80" s="82"/>
      <c r="HT80" s="26"/>
      <c r="HU80" s="23"/>
      <c r="HV80" s="23"/>
      <c r="HW80" s="24"/>
      <c r="HX80" s="24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76"/>
      <c r="IY80" s="76"/>
      <c r="IZ80" s="76"/>
      <c r="JA80" s="71"/>
      <c r="JB80" s="71"/>
      <c r="JC80" s="72"/>
      <c r="JD80" s="72"/>
      <c r="JE80" s="72"/>
      <c r="JF80" s="72"/>
      <c r="JG80" s="72"/>
      <c r="JH80" s="72"/>
      <c r="JI80" s="71"/>
      <c r="JJ80" s="71"/>
      <c r="JK80" s="72"/>
      <c r="JL80" s="72"/>
      <c r="JM80" s="72"/>
      <c r="JN80" s="72"/>
    </row>
    <row r="81" spans="1:274" ht="13.5" customHeight="1">
      <c r="A81" s="7">
        <v>69</v>
      </c>
      <c r="B81" s="7"/>
      <c r="C81" s="7" t="e">
        <f t="shared" si="52"/>
        <v>#VALUE!</v>
      </c>
      <c r="D81" s="28"/>
      <c r="E81" s="7">
        <f t="shared" si="27"/>
        <v>0</v>
      </c>
      <c r="F81" s="7"/>
      <c r="G81" s="7">
        <f t="shared" si="28"/>
        <v>0</v>
      </c>
      <c r="H81" s="7"/>
      <c r="I81" s="7">
        <f t="shared" si="29"/>
        <v>0</v>
      </c>
      <c r="J81" s="7"/>
      <c r="K81" s="7"/>
      <c r="L81" s="7"/>
      <c r="M81" s="7"/>
      <c r="N81" s="7"/>
      <c r="O81" s="7"/>
      <c r="P81" s="7"/>
      <c r="Q81" s="53"/>
      <c r="R81" s="7"/>
      <c r="S81" s="7"/>
      <c r="T81" s="53"/>
      <c r="U81" s="7"/>
      <c r="V81" s="7" t="e">
        <f t="shared" si="31"/>
        <v>#VALUE!</v>
      </c>
      <c r="W81" s="28"/>
      <c r="X81" s="7" t="e">
        <f t="shared" si="31"/>
        <v>#VALUE!</v>
      </c>
      <c r="Y81" s="28"/>
      <c r="Z81" s="7" t="e">
        <f t="shared" si="32"/>
        <v>#VALUE!</v>
      </c>
      <c r="AA81" s="28"/>
      <c r="AB81" s="7"/>
      <c r="AC81" s="7"/>
      <c r="AD81" s="7"/>
      <c r="AE81" s="7"/>
      <c r="AF81" s="7">
        <v>0</v>
      </c>
      <c r="AG81" s="7" t="e">
        <f t="shared" si="33"/>
        <v>#VALUE!</v>
      </c>
      <c r="AH81" s="28"/>
      <c r="AI81" s="7"/>
      <c r="AJ81" s="7" t="e">
        <f t="shared" si="34"/>
        <v>#VALUE!</v>
      </c>
      <c r="AK81" s="28"/>
      <c r="AL81" s="7" t="e">
        <f t="shared" si="35"/>
        <v>#VALUE!</v>
      </c>
      <c r="AM81" s="28"/>
      <c r="AN81" s="7" t="e">
        <f t="shared" si="36"/>
        <v>#VALUE!</v>
      </c>
      <c r="AO81" s="28"/>
      <c r="AP81" s="7">
        <f t="shared" si="37"/>
        <v>2</v>
      </c>
      <c r="AQ81" s="28" t="s">
        <v>2301</v>
      </c>
      <c r="AR81" s="7"/>
      <c r="AS81" s="7"/>
      <c r="AT81" s="7"/>
      <c r="AU81" s="7"/>
      <c r="AV81" s="7">
        <f t="shared" si="38"/>
        <v>4617</v>
      </c>
      <c r="AW81" s="28" t="s">
        <v>2302</v>
      </c>
      <c r="AX81" s="7">
        <v>1</v>
      </c>
      <c r="AY81" s="7" t="e">
        <f t="shared" si="39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0"/>
        <v>#VALUE!</v>
      </c>
      <c r="BG81" s="28"/>
      <c r="BH81" s="7" t="e">
        <f t="shared" si="41"/>
        <v>#VALUE!</v>
      </c>
      <c r="BI81" s="28"/>
      <c r="BJ81" s="7" t="e">
        <f t="shared" si="42"/>
        <v>#VALUE!</v>
      </c>
      <c r="BK81" s="28"/>
      <c r="BL81" s="7"/>
      <c r="BM81" s="7"/>
      <c r="BN81" s="7" t="e">
        <f t="shared" si="43"/>
        <v>#VALUE!</v>
      </c>
      <c r="BO81" s="28"/>
      <c r="BP81" s="7" t="e">
        <f t="shared" si="44"/>
        <v>#VALUE!</v>
      </c>
      <c r="BQ81" s="28"/>
      <c r="BR81" s="7"/>
      <c r="BS81" s="7" t="e">
        <f t="shared" si="45"/>
        <v>#VALUE!</v>
      </c>
      <c r="BT81" s="28"/>
      <c r="BU81" s="7"/>
      <c r="BV81" s="7" t="e">
        <f ca="1">[1]!tメーカー名(BU81)</f>
        <v>#NAME?</v>
      </c>
      <c r="BW81" s="7" t="e">
        <f t="shared" si="46"/>
        <v>#VALUE!</v>
      </c>
      <c r="BX81" s="28"/>
      <c r="BY81" s="7" t="e">
        <f t="shared" si="47"/>
        <v>#VALUE!</v>
      </c>
      <c r="BZ81" s="28"/>
      <c r="CA81" s="54"/>
      <c r="CB81" s="54"/>
      <c r="CC81" s="7" t="e">
        <f t="shared" si="48"/>
        <v>#VALUE!</v>
      </c>
      <c r="CD81" s="28"/>
      <c r="CE81" s="7" t="e">
        <f t="shared" si="49"/>
        <v>#VALUE!</v>
      </c>
      <c r="CF81" s="28"/>
      <c r="CG81" s="7" t="e">
        <f t="shared" si="50"/>
        <v>#VALUE!</v>
      </c>
      <c r="CH81" s="28"/>
      <c r="CI81" s="7" t="e">
        <f t="shared" si="51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6">
        <f t="shared" si="30"/>
        <v>0</v>
      </c>
      <c r="CT81" s="7"/>
      <c r="CU81" s="7"/>
      <c r="CV81" s="97"/>
      <c r="CW81" s="97"/>
      <c r="CX81" s="97"/>
      <c r="CY81" s="98"/>
      <c r="CZ81" s="98"/>
      <c r="DA81" s="97"/>
      <c r="DB81" s="98"/>
      <c r="DC81" s="97"/>
      <c r="DD81" s="97" t="s">
        <v>1739</v>
      </c>
      <c r="DE81" s="97">
        <v>4</v>
      </c>
      <c r="DF81" s="98"/>
      <c r="DG81" s="98"/>
      <c r="DH81" s="98"/>
      <c r="DI81" s="98"/>
      <c r="DJ81" s="98"/>
      <c r="DK81" s="98"/>
      <c r="DL81" s="98"/>
      <c r="DM81" s="97"/>
      <c r="DN81" s="97"/>
      <c r="DO81" s="97"/>
      <c r="DP81" s="97"/>
      <c r="DQ81" s="97"/>
      <c r="DR81" s="97"/>
      <c r="DS81" s="97"/>
      <c r="DT81" s="99"/>
      <c r="DU81" s="98"/>
      <c r="DV81" s="97"/>
      <c r="DW81" s="97"/>
      <c r="DX81" s="97"/>
      <c r="DY81" s="97"/>
      <c r="DZ81" s="97"/>
      <c r="EA81" s="97"/>
      <c r="EB81" s="97"/>
      <c r="EC81" s="97"/>
      <c r="ED81" s="97"/>
      <c r="EE81" s="97"/>
      <c r="EF81" s="97"/>
      <c r="EG81" s="97"/>
      <c r="EH81" s="97"/>
      <c r="EI81" s="97"/>
      <c r="EJ81" s="97"/>
      <c r="EK81" s="97"/>
      <c r="EL81" s="97"/>
      <c r="EM81" s="97"/>
      <c r="EN81" s="97"/>
      <c r="EO81" s="97"/>
      <c r="EP81" s="97"/>
      <c r="EQ81" s="97"/>
      <c r="ER81" s="97"/>
      <c r="ES81" s="97"/>
      <c r="ET81" s="97"/>
      <c r="EU81" s="97"/>
      <c r="EV81" s="97"/>
      <c r="EW81" s="97"/>
      <c r="EX81" s="97"/>
      <c r="EY81" s="97"/>
      <c r="EZ81" s="97"/>
      <c r="FA81" s="97"/>
      <c r="FB81" s="97"/>
      <c r="FC81" s="97"/>
      <c r="FD81" s="97"/>
      <c r="FE81" s="97"/>
      <c r="FF81" s="97"/>
      <c r="FG81" s="97"/>
      <c r="FH81" s="97"/>
      <c r="FI81" s="97"/>
      <c r="FJ81" s="97"/>
      <c r="FK81" s="97"/>
      <c r="FL81" s="97"/>
      <c r="FM81" s="97"/>
      <c r="FN81" s="97"/>
      <c r="FO81" s="97"/>
      <c r="FP81" s="97"/>
      <c r="FQ81" s="97"/>
      <c r="FR81" s="97"/>
      <c r="FS81" s="97"/>
      <c r="FT81" s="97"/>
      <c r="FU81" s="97"/>
      <c r="FV81" s="97"/>
      <c r="FW81" s="97"/>
      <c r="FX81" s="97"/>
      <c r="FY81" s="6"/>
      <c r="FZ81" s="7" t="str">
        <f>IF(FY81="","",VLOOKUP(FY81,MT商品ﾏｽﾀ参照シート!AM:AN,2,0))</f>
        <v/>
      </c>
      <c r="GA81" s="8"/>
      <c r="GB81" s="8"/>
      <c r="GC81" s="8"/>
      <c r="GD81" s="8"/>
      <c r="GE81" s="58"/>
      <c r="GF81" s="7" t="str">
        <f>IF(GE81="","",VLOOKUP(GE81,MT商品ﾏｽﾀ参照シート!AO:AP,2,0))</f>
        <v/>
      </c>
      <c r="GG81" s="7"/>
      <c r="GH81" s="7"/>
      <c r="GI81" s="7"/>
      <c r="GJ81" s="7"/>
      <c r="GK81" s="49"/>
      <c r="GL81" s="6"/>
      <c r="GM81" s="6"/>
      <c r="GN81" s="7"/>
      <c r="GO81" s="7"/>
      <c r="GP81" s="7"/>
      <c r="GQ81" s="7"/>
      <c r="GR81" s="7">
        <v>2805</v>
      </c>
      <c r="GS81" s="7">
        <v>3300</v>
      </c>
      <c r="GT81" s="7">
        <v>3300</v>
      </c>
      <c r="GU81" s="7">
        <v>3300</v>
      </c>
      <c r="GV81" s="7">
        <v>3300</v>
      </c>
      <c r="GW81" s="8"/>
      <c r="GX81" s="8"/>
      <c r="GY81" s="8"/>
      <c r="GZ81" s="8"/>
      <c r="HA81" s="8"/>
      <c r="HB81" s="8"/>
      <c r="HC81" s="8"/>
      <c r="HD81" s="8"/>
      <c r="HE81" s="58"/>
      <c r="HF81" s="58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82"/>
      <c r="HR81" s="82"/>
      <c r="HS81" s="82"/>
      <c r="HT81" s="26"/>
      <c r="HU81" s="23"/>
      <c r="HV81" s="23"/>
      <c r="HW81" s="24"/>
      <c r="HX81" s="24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76"/>
      <c r="IY81" s="76"/>
      <c r="IZ81" s="76"/>
      <c r="JA81" s="71"/>
      <c r="JB81" s="71"/>
      <c r="JC81" s="72"/>
      <c r="JD81" s="72"/>
      <c r="JE81" s="72"/>
      <c r="JF81" s="72"/>
      <c r="JG81" s="72"/>
      <c r="JH81" s="72"/>
      <c r="JI81" s="71"/>
      <c r="JJ81" s="71"/>
      <c r="JK81" s="72"/>
      <c r="JL81" s="72"/>
      <c r="JM81" s="72"/>
      <c r="JN81" s="72"/>
    </row>
    <row r="82" spans="1:274" ht="13.5" customHeight="1">
      <c r="A82" s="7">
        <v>70</v>
      </c>
      <c r="B82" s="7"/>
      <c r="C82" s="7" t="e">
        <f t="shared" si="52"/>
        <v>#VALUE!</v>
      </c>
      <c r="D82" s="28"/>
      <c r="E82" s="7">
        <f t="shared" si="27"/>
        <v>0</v>
      </c>
      <c r="F82" s="7"/>
      <c r="G82" s="7">
        <f t="shared" si="28"/>
        <v>0</v>
      </c>
      <c r="H82" s="7"/>
      <c r="I82" s="7">
        <f t="shared" si="29"/>
        <v>0</v>
      </c>
      <c r="J82" s="7"/>
      <c r="K82" s="7"/>
      <c r="L82" s="7"/>
      <c r="M82" s="7"/>
      <c r="N82" s="7"/>
      <c r="O82" s="7"/>
      <c r="P82" s="7"/>
      <c r="Q82" s="53"/>
      <c r="R82" s="7"/>
      <c r="S82" s="7"/>
      <c r="T82" s="53"/>
      <c r="U82" s="7"/>
      <c r="V82" s="7" t="e">
        <f t="shared" si="31"/>
        <v>#VALUE!</v>
      </c>
      <c r="W82" s="28"/>
      <c r="X82" s="7" t="e">
        <f t="shared" si="31"/>
        <v>#VALUE!</v>
      </c>
      <c r="Y82" s="28"/>
      <c r="Z82" s="7" t="e">
        <f t="shared" si="32"/>
        <v>#VALUE!</v>
      </c>
      <c r="AA82" s="28"/>
      <c r="AB82" s="7"/>
      <c r="AC82" s="7"/>
      <c r="AD82" s="7"/>
      <c r="AE82" s="7"/>
      <c r="AF82" s="7">
        <v>0</v>
      </c>
      <c r="AG82" s="7" t="e">
        <f t="shared" si="33"/>
        <v>#VALUE!</v>
      </c>
      <c r="AH82" s="28"/>
      <c r="AI82" s="7"/>
      <c r="AJ82" s="7" t="e">
        <f t="shared" si="34"/>
        <v>#VALUE!</v>
      </c>
      <c r="AK82" s="28"/>
      <c r="AL82" s="7" t="e">
        <f t="shared" si="35"/>
        <v>#VALUE!</v>
      </c>
      <c r="AM82" s="28"/>
      <c r="AN82" s="7" t="e">
        <f t="shared" si="36"/>
        <v>#VALUE!</v>
      </c>
      <c r="AO82" s="28"/>
      <c r="AP82" s="7">
        <f t="shared" si="37"/>
        <v>2</v>
      </c>
      <c r="AQ82" s="28" t="s">
        <v>2301</v>
      </c>
      <c r="AR82" s="7"/>
      <c r="AS82" s="7"/>
      <c r="AT82" s="7"/>
      <c r="AU82" s="7"/>
      <c r="AV82" s="7">
        <f t="shared" si="38"/>
        <v>4617</v>
      </c>
      <c r="AW82" s="28" t="s">
        <v>2302</v>
      </c>
      <c r="AX82" s="7">
        <v>1</v>
      </c>
      <c r="AY82" s="7" t="e">
        <f t="shared" si="39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0"/>
        <v>#VALUE!</v>
      </c>
      <c r="BG82" s="28"/>
      <c r="BH82" s="7" t="e">
        <f t="shared" si="41"/>
        <v>#VALUE!</v>
      </c>
      <c r="BI82" s="28"/>
      <c r="BJ82" s="7" t="e">
        <f t="shared" si="42"/>
        <v>#VALUE!</v>
      </c>
      <c r="BK82" s="28"/>
      <c r="BL82" s="7"/>
      <c r="BM82" s="7"/>
      <c r="BN82" s="7" t="e">
        <f t="shared" si="43"/>
        <v>#VALUE!</v>
      </c>
      <c r="BO82" s="28"/>
      <c r="BP82" s="7" t="e">
        <f t="shared" si="44"/>
        <v>#VALUE!</v>
      </c>
      <c r="BQ82" s="28"/>
      <c r="BR82" s="7"/>
      <c r="BS82" s="7" t="e">
        <f t="shared" si="45"/>
        <v>#VALUE!</v>
      </c>
      <c r="BT82" s="28"/>
      <c r="BU82" s="7"/>
      <c r="BV82" s="7" t="e">
        <f ca="1">[1]!tメーカー名(BU82)</f>
        <v>#NAME?</v>
      </c>
      <c r="BW82" s="7" t="e">
        <f t="shared" si="46"/>
        <v>#VALUE!</v>
      </c>
      <c r="BX82" s="28"/>
      <c r="BY82" s="7" t="e">
        <f t="shared" si="47"/>
        <v>#VALUE!</v>
      </c>
      <c r="BZ82" s="28"/>
      <c r="CA82" s="54"/>
      <c r="CB82" s="54"/>
      <c r="CC82" s="7" t="e">
        <f t="shared" si="48"/>
        <v>#VALUE!</v>
      </c>
      <c r="CD82" s="28"/>
      <c r="CE82" s="7" t="e">
        <f t="shared" si="49"/>
        <v>#VALUE!</v>
      </c>
      <c r="CF82" s="28"/>
      <c r="CG82" s="7" t="e">
        <f t="shared" si="50"/>
        <v>#VALUE!</v>
      </c>
      <c r="CH82" s="28"/>
      <c r="CI82" s="7" t="e">
        <f t="shared" si="51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6">
        <f t="shared" si="30"/>
        <v>0</v>
      </c>
      <c r="CT82" s="7"/>
      <c r="CU82" s="7"/>
      <c r="CV82" s="97"/>
      <c r="CW82" s="97"/>
      <c r="CX82" s="97"/>
      <c r="CY82" s="98"/>
      <c r="CZ82" s="98"/>
      <c r="DA82" s="97"/>
      <c r="DB82" s="98"/>
      <c r="DC82" s="97"/>
      <c r="DD82" s="97" t="s">
        <v>1740</v>
      </c>
      <c r="DE82" s="97">
        <v>6</v>
      </c>
      <c r="DF82" s="98"/>
      <c r="DG82" s="98"/>
      <c r="DH82" s="98"/>
      <c r="DI82" s="98"/>
      <c r="DJ82" s="98"/>
      <c r="DK82" s="98"/>
      <c r="DL82" s="98"/>
      <c r="DM82" s="97"/>
      <c r="DN82" s="97"/>
      <c r="DO82" s="97"/>
      <c r="DP82" s="97"/>
      <c r="DQ82" s="97"/>
      <c r="DR82" s="97"/>
      <c r="DS82" s="97"/>
      <c r="DT82" s="99"/>
      <c r="DU82" s="98"/>
      <c r="DV82" s="97"/>
      <c r="DW82" s="97"/>
      <c r="DX82" s="97"/>
      <c r="DY82" s="97"/>
      <c r="DZ82" s="97"/>
      <c r="EA82" s="97"/>
      <c r="EB82" s="97"/>
      <c r="EC82" s="97"/>
      <c r="ED82" s="97"/>
      <c r="EE82" s="97"/>
      <c r="EF82" s="97"/>
      <c r="EG82" s="97"/>
      <c r="EH82" s="97"/>
      <c r="EI82" s="97"/>
      <c r="EJ82" s="97"/>
      <c r="EK82" s="97"/>
      <c r="EL82" s="97"/>
      <c r="EM82" s="97"/>
      <c r="EN82" s="97"/>
      <c r="EO82" s="97"/>
      <c r="EP82" s="97"/>
      <c r="EQ82" s="97"/>
      <c r="ER82" s="97"/>
      <c r="ES82" s="97"/>
      <c r="ET82" s="97"/>
      <c r="EU82" s="97"/>
      <c r="EV82" s="97"/>
      <c r="EW82" s="97"/>
      <c r="EX82" s="97"/>
      <c r="EY82" s="97"/>
      <c r="EZ82" s="97"/>
      <c r="FA82" s="97"/>
      <c r="FB82" s="97"/>
      <c r="FC82" s="97"/>
      <c r="FD82" s="97"/>
      <c r="FE82" s="97"/>
      <c r="FF82" s="97"/>
      <c r="FG82" s="97"/>
      <c r="FH82" s="97"/>
      <c r="FI82" s="97"/>
      <c r="FJ82" s="97"/>
      <c r="FK82" s="97"/>
      <c r="FL82" s="97"/>
      <c r="FM82" s="97"/>
      <c r="FN82" s="97"/>
      <c r="FO82" s="97"/>
      <c r="FP82" s="97"/>
      <c r="FQ82" s="97"/>
      <c r="FR82" s="97"/>
      <c r="FS82" s="97"/>
      <c r="FT82" s="97"/>
      <c r="FU82" s="97"/>
      <c r="FV82" s="97"/>
      <c r="FW82" s="97"/>
      <c r="FX82" s="97"/>
      <c r="FY82" s="6"/>
      <c r="FZ82" s="7" t="str">
        <f>IF(FY82="","",VLOOKUP(FY82,MT商品ﾏｽﾀ参照シート!AM:AN,2,0))</f>
        <v/>
      </c>
      <c r="GA82" s="8"/>
      <c r="GB82" s="8"/>
      <c r="GC82" s="8"/>
      <c r="GD82" s="8"/>
      <c r="GE82" s="58"/>
      <c r="GF82" s="7" t="str">
        <f>IF(GE82="","",VLOOKUP(GE82,MT商品ﾏｽﾀ参照シート!AO:AP,2,0))</f>
        <v/>
      </c>
      <c r="GG82" s="7"/>
      <c r="GH82" s="7"/>
      <c r="GI82" s="7"/>
      <c r="GJ82" s="7"/>
      <c r="GK82" s="49"/>
      <c r="GL82" s="6"/>
      <c r="GM82" s="6"/>
      <c r="GN82" s="7"/>
      <c r="GO82" s="7"/>
      <c r="GP82" s="7"/>
      <c r="GQ82" s="7"/>
      <c r="GR82" s="7">
        <v>2665</v>
      </c>
      <c r="GS82" s="7">
        <v>3135</v>
      </c>
      <c r="GT82" s="7">
        <v>3135</v>
      </c>
      <c r="GU82" s="7">
        <v>3135</v>
      </c>
      <c r="GV82" s="7">
        <v>3135</v>
      </c>
      <c r="GW82" s="8"/>
      <c r="GX82" s="8"/>
      <c r="GY82" s="8"/>
      <c r="GZ82" s="8"/>
      <c r="HA82" s="8"/>
      <c r="HB82" s="8"/>
      <c r="HC82" s="8"/>
      <c r="HD82" s="8"/>
      <c r="HE82" s="58"/>
      <c r="HF82" s="58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82"/>
      <c r="HR82" s="82"/>
      <c r="HS82" s="82"/>
      <c r="HT82" s="26"/>
      <c r="HU82" s="23"/>
      <c r="HV82" s="23"/>
      <c r="HW82" s="24"/>
      <c r="HX82" s="24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76"/>
      <c r="IY82" s="76"/>
      <c r="IZ82" s="76"/>
      <c r="JA82" s="71"/>
      <c r="JB82" s="71"/>
      <c r="JC82" s="72"/>
      <c r="JD82" s="72"/>
      <c r="JE82" s="72"/>
      <c r="JF82" s="72"/>
      <c r="JG82" s="72"/>
      <c r="JH82" s="72"/>
      <c r="JI82" s="71"/>
      <c r="JJ82" s="71"/>
      <c r="JK82" s="72"/>
      <c r="JL82" s="72"/>
      <c r="JM82" s="72"/>
      <c r="JN82" s="72"/>
    </row>
    <row r="83" spans="1:274" ht="13.5" customHeight="1">
      <c r="A83" s="7">
        <v>71</v>
      </c>
      <c r="B83" s="7"/>
      <c r="C83" s="7" t="e">
        <f t="shared" si="52"/>
        <v>#VALUE!</v>
      </c>
      <c r="D83" s="28"/>
      <c r="E83" s="7">
        <f t="shared" si="27"/>
        <v>0</v>
      </c>
      <c r="F83" s="7"/>
      <c r="G83" s="7">
        <f t="shared" si="28"/>
        <v>0</v>
      </c>
      <c r="H83" s="7"/>
      <c r="I83" s="7">
        <f t="shared" si="29"/>
        <v>0</v>
      </c>
      <c r="J83" s="7"/>
      <c r="K83" s="7"/>
      <c r="L83" s="7"/>
      <c r="M83" s="7"/>
      <c r="N83" s="7"/>
      <c r="O83" s="7"/>
      <c r="P83" s="7"/>
      <c r="Q83" s="53"/>
      <c r="R83" s="7"/>
      <c r="S83" s="7"/>
      <c r="T83" s="53"/>
      <c r="U83" s="7"/>
      <c r="V83" s="7" t="e">
        <f t="shared" si="31"/>
        <v>#VALUE!</v>
      </c>
      <c r="W83" s="28"/>
      <c r="X83" s="7" t="e">
        <f t="shared" si="31"/>
        <v>#VALUE!</v>
      </c>
      <c r="Y83" s="28"/>
      <c r="Z83" s="7" t="e">
        <f t="shared" si="32"/>
        <v>#VALUE!</v>
      </c>
      <c r="AA83" s="28"/>
      <c r="AB83" s="7"/>
      <c r="AC83" s="7"/>
      <c r="AD83" s="7"/>
      <c r="AE83" s="7"/>
      <c r="AF83" s="7">
        <v>0</v>
      </c>
      <c r="AG83" s="7" t="e">
        <f t="shared" si="33"/>
        <v>#VALUE!</v>
      </c>
      <c r="AH83" s="28"/>
      <c r="AI83" s="7"/>
      <c r="AJ83" s="7" t="e">
        <f t="shared" si="34"/>
        <v>#VALUE!</v>
      </c>
      <c r="AK83" s="28"/>
      <c r="AL83" s="7" t="e">
        <f t="shared" si="35"/>
        <v>#VALUE!</v>
      </c>
      <c r="AM83" s="28"/>
      <c r="AN83" s="7" t="e">
        <f t="shared" si="36"/>
        <v>#VALUE!</v>
      </c>
      <c r="AO83" s="28"/>
      <c r="AP83" s="7">
        <f t="shared" si="37"/>
        <v>2</v>
      </c>
      <c r="AQ83" s="28" t="s">
        <v>2301</v>
      </c>
      <c r="AR83" s="7"/>
      <c r="AS83" s="7"/>
      <c r="AT83" s="7"/>
      <c r="AU83" s="7"/>
      <c r="AV83" s="7">
        <f t="shared" si="38"/>
        <v>4617</v>
      </c>
      <c r="AW83" s="28" t="s">
        <v>2302</v>
      </c>
      <c r="AX83" s="7">
        <v>1</v>
      </c>
      <c r="AY83" s="7" t="e">
        <f t="shared" si="39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0"/>
        <v>#VALUE!</v>
      </c>
      <c r="BG83" s="28"/>
      <c r="BH83" s="7" t="e">
        <f t="shared" si="41"/>
        <v>#VALUE!</v>
      </c>
      <c r="BI83" s="28"/>
      <c r="BJ83" s="7" t="e">
        <f t="shared" si="42"/>
        <v>#VALUE!</v>
      </c>
      <c r="BK83" s="28"/>
      <c r="BL83" s="7"/>
      <c r="BM83" s="7"/>
      <c r="BN83" s="7" t="e">
        <f t="shared" si="43"/>
        <v>#VALUE!</v>
      </c>
      <c r="BO83" s="28"/>
      <c r="BP83" s="7" t="e">
        <f t="shared" si="44"/>
        <v>#VALUE!</v>
      </c>
      <c r="BQ83" s="28"/>
      <c r="BR83" s="7"/>
      <c r="BS83" s="7" t="e">
        <f t="shared" si="45"/>
        <v>#VALUE!</v>
      </c>
      <c r="BT83" s="28"/>
      <c r="BU83" s="7"/>
      <c r="BV83" s="7" t="e">
        <f ca="1">[1]!tメーカー名(BU83)</f>
        <v>#NAME?</v>
      </c>
      <c r="BW83" s="7" t="e">
        <f t="shared" si="46"/>
        <v>#VALUE!</v>
      </c>
      <c r="BX83" s="28"/>
      <c r="BY83" s="7" t="e">
        <f t="shared" si="47"/>
        <v>#VALUE!</v>
      </c>
      <c r="BZ83" s="28"/>
      <c r="CA83" s="54"/>
      <c r="CB83" s="54"/>
      <c r="CC83" s="7" t="e">
        <f t="shared" si="48"/>
        <v>#VALUE!</v>
      </c>
      <c r="CD83" s="28"/>
      <c r="CE83" s="7" t="e">
        <f t="shared" si="49"/>
        <v>#VALUE!</v>
      </c>
      <c r="CF83" s="28"/>
      <c r="CG83" s="7" t="e">
        <f t="shared" si="50"/>
        <v>#VALUE!</v>
      </c>
      <c r="CH83" s="28"/>
      <c r="CI83" s="7" t="e">
        <f t="shared" si="51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6">
        <f t="shared" si="30"/>
        <v>0</v>
      </c>
      <c r="CT83" s="7"/>
      <c r="CU83" s="7"/>
      <c r="CV83" s="97"/>
      <c r="CW83" s="97"/>
      <c r="CX83" s="97"/>
      <c r="CY83" s="98"/>
      <c r="CZ83" s="98"/>
      <c r="DA83" s="97"/>
      <c r="DB83" s="98"/>
      <c r="DC83" s="97"/>
      <c r="DD83" s="97" t="s">
        <v>1741</v>
      </c>
      <c r="DE83" s="97">
        <v>4</v>
      </c>
      <c r="DF83" s="98"/>
      <c r="DG83" s="98"/>
      <c r="DH83" s="98"/>
      <c r="DI83" s="98"/>
      <c r="DJ83" s="98"/>
      <c r="DK83" s="98"/>
      <c r="DL83" s="98"/>
      <c r="DM83" s="97"/>
      <c r="DN83" s="97"/>
      <c r="DO83" s="97"/>
      <c r="DP83" s="97"/>
      <c r="DQ83" s="97"/>
      <c r="DR83" s="97"/>
      <c r="DS83" s="97"/>
      <c r="DT83" s="99"/>
      <c r="DU83" s="98"/>
      <c r="DV83" s="97"/>
      <c r="DW83" s="97"/>
      <c r="DX83" s="97"/>
      <c r="DY83" s="97"/>
      <c r="DZ83" s="97"/>
      <c r="EA83" s="97"/>
      <c r="EB83" s="97"/>
      <c r="EC83" s="97"/>
      <c r="ED83" s="97"/>
      <c r="EE83" s="97"/>
      <c r="EF83" s="97"/>
      <c r="EG83" s="97"/>
      <c r="EH83" s="97"/>
      <c r="EI83" s="97"/>
      <c r="EJ83" s="97"/>
      <c r="EK83" s="97"/>
      <c r="EL83" s="97"/>
      <c r="EM83" s="97"/>
      <c r="EN83" s="97"/>
      <c r="EO83" s="97"/>
      <c r="EP83" s="97"/>
      <c r="EQ83" s="97"/>
      <c r="ER83" s="97"/>
      <c r="ES83" s="97"/>
      <c r="ET83" s="97"/>
      <c r="EU83" s="97"/>
      <c r="EV83" s="97"/>
      <c r="EW83" s="97"/>
      <c r="EX83" s="97"/>
      <c r="EY83" s="97"/>
      <c r="EZ83" s="97"/>
      <c r="FA83" s="97"/>
      <c r="FB83" s="97"/>
      <c r="FC83" s="97"/>
      <c r="FD83" s="97"/>
      <c r="FE83" s="97"/>
      <c r="FF83" s="97"/>
      <c r="FG83" s="97"/>
      <c r="FH83" s="97"/>
      <c r="FI83" s="97"/>
      <c r="FJ83" s="97"/>
      <c r="FK83" s="97"/>
      <c r="FL83" s="97"/>
      <c r="FM83" s="97"/>
      <c r="FN83" s="97"/>
      <c r="FO83" s="97"/>
      <c r="FP83" s="97"/>
      <c r="FQ83" s="97"/>
      <c r="FR83" s="97"/>
      <c r="FS83" s="97"/>
      <c r="FT83" s="97"/>
      <c r="FU83" s="97"/>
      <c r="FV83" s="97"/>
      <c r="FW83" s="97"/>
      <c r="FX83" s="97"/>
      <c r="FY83" s="6"/>
      <c r="FZ83" s="7" t="str">
        <f>IF(FY83="","",VLOOKUP(FY83,MT商品ﾏｽﾀ参照シート!AM:AN,2,0))</f>
        <v/>
      </c>
      <c r="GA83" s="8"/>
      <c r="GB83" s="8"/>
      <c r="GC83" s="8"/>
      <c r="GD83" s="8"/>
      <c r="GE83" s="58"/>
      <c r="GF83" s="7" t="str">
        <f>IF(GE83="","",VLOOKUP(GE83,MT商品ﾏｽﾀ参照シート!AO:AP,2,0))</f>
        <v/>
      </c>
      <c r="GG83" s="7"/>
      <c r="GH83" s="7"/>
      <c r="GI83" s="7"/>
      <c r="GJ83" s="7"/>
      <c r="GK83" s="49"/>
      <c r="GL83" s="6"/>
      <c r="GM83" s="6"/>
      <c r="GN83" s="7"/>
      <c r="GO83" s="7"/>
      <c r="GP83" s="7"/>
      <c r="GQ83" s="7"/>
      <c r="GR83" s="7">
        <v>2805</v>
      </c>
      <c r="GS83" s="7">
        <v>3300</v>
      </c>
      <c r="GT83" s="7">
        <v>3300</v>
      </c>
      <c r="GU83" s="7">
        <v>3300</v>
      </c>
      <c r="GV83" s="7">
        <v>3300</v>
      </c>
      <c r="GW83" s="8"/>
      <c r="GX83" s="8"/>
      <c r="GY83" s="8"/>
      <c r="GZ83" s="8"/>
      <c r="HA83" s="8"/>
      <c r="HB83" s="8"/>
      <c r="HC83" s="8"/>
      <c r="HD83" s="8"/>
      <c r="HE83" s="58"/>
      <c r="HF83" s="58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82"/>
      <c r="HR83" s="82"/>
      <c r="HS83" s="82"/>
      <c r="HT83" s="26"/>
      <c r="HU83" s="23"/>
      <c r="HV83" s="23"/>
      <c r="HW83" s="24"/>
      <c r="HX83" s="24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76"/>
      <c r="IY83" s="76"/>
      <c r="IZ83" s="76"/>
      <c r="JA83" s="71"/>
      <c r="JB83" s="71"/>
      <c r="JC83" s="72"/>
      <c r="JD83" s="72"/>
      <c r="JE83" s="72"/>
      <c r="JF83" s="72"/>
      <c r="JG83" s="72"/>
      <c r="JH83" s="72"/>
      <c r="JI83" s="71"/>
      <c r="JJ83" s="71"/>
      <c r="JK83" s="72"/>
      <c r="JL83" s="72"/>
      <c r="JM83" s="72"/>
      <c r="JN83" s="72"/>
    </row>
    <row r="84" spans="1:274" ht="13.5" customHeight="1">
      <c r="A84" s="7">
        <v>72</v>
      </c>
      <c r="B84" s="7"/>
      <c r="C84" s="7" t="e">
        <f t="shared" si="52"/>
        <v>#VALUE!</v>
      </c>
      <c r="D84" s="28"/>
      <c r="E84" s="7">
        <f t="shared" si="27"/>
        <v>0</v>
      </c>
      <c r="F84" s="7"/>
      <c r="G84" s="7">
        <f t="shared" si="28"/>
        <v>0</v>
      </c>
      <c r="H84" s="7"/>
      <c r="I84" s="7">
        <f t="shared" si="29"/>
        <v>0</v>
      </c>
      <c r="J84" s="7"/>
      <c r="K84" s="7"/>
      <c r="L84" s="7"/>
      <c r="M84" s="7"/>
      <c r="N84" s="7"/>
      <c r="O84" s="7"/>
      <c r="P84" s="7"/>
      <c r="Q84" s="53"/>
      <c r="R84" s="7"/>
      <c r="S84" s="7"/>
      <c r="T84" s="53"/>
      <c r="U84" s="7"/>
      <c r="V84" s="7" t="e">
        <f t="shared" si="31"/>
        <v>#VALUE!</v>
      </c>
      <c r="W84" s="28"/>
      <c r="X84" s="7" t="e">
        <f t="shared" si="31"/>
        <v>#VALUE!</v>
      </c>
      <c r="Y84" s="28"/>
      <c r="Z84" s="7" t="e">
        <f t="shared" si="32"/>
        <v>#VALUE!</v>
      </c>
      <c r="AA84" s="28"/>
      <c r="AB84" s="7"/>
      <c r="AC84" s="7"/>
      <c r="AD84" s="7"/>
      <c r="AE84" s="7"/>
      <c r="AF84" s="7">
        <v>0</v>
      </c>
      <c r="AG84" s="7" t="e">
        <f t="shared" si="33"/>
        <v>#VALUE!</v>
      </c>
      <c r="AH84" s="28"/>
      <c r="AI84" s="7"/>
      <c r="AJ84" s="7" t="e">
        <f t="shared" si="34"/>
        <v>#VALUE!</v>
      </c>
      <c r="AK84" s="28"/>
      <c r="AL84" s="7" t="e">
        <f t="shared" si="35"/>
        <v>#VALUE!</v>
      </c>
      <c r="AM84" s="28"/>
      <c r="AN84" s="7" t="e">
        <f t="shared" si="36"/>
        <v>#VALUE!</v>
      </c>
      <c r="AO84" s="28"/>
      <c r="AP84" s="7">
        <f t="shared" si="37"/>
        <v>2</v>
      </c>
      <c r="AQ84" s="28" t="s">
        <v>2301</v>
      </c>
      <c r="AR84" s="7"/>
      <c r="AS84" s="7"/>
      <c r="AT84" s="7"/>
      <c r="AU84" s="7"/>
      <c r="AV84" s="7">
        <f t="shared" si="38"/>
        <v>4617</v>
      </c>
      <c r="AW84" s="28" t="s">
        <v>2302</v>
      </c>
      <c r="AX84" s="7">
        <v>1</v>
      </c>
      <c r="AY84" s="7" t="e">
        <f t="shared" si="39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0"/>
        <v>#VALUE!</v>
      </c>
      <c r="BG84" s="28"/>
      <c r="BH84" s="7" t="e">
        <f t="shared" si="41"/>
        <v>#VALUE!</v>
      </c>
      <c r="BI84" s="28"/>
      <c r="BJ84" s="7" t="e">
        <f t="shared" si="42"/>
        <v>#VALUE!</v>
      </c>
      <c r="BK84" s="28"/>
      <c r="BL84" s="7"/>
      <c r="BM84" s="7"/>
      <c r="BN84" s="7" t="e">
        <f t="shared" si="43"/>
        <v>#VALUE!</v>
      </c>
      <c r="BO84" s="28"/>
      <c r="BP84" s="7" t="e">
        <f t="shared" si="44"/>
        <v>#VALUE!</v>
      </c>
      <c r="BQ84" s="28"/>
      <c r="BR84" s="7"/>
      <c r="BS84" s="7" t="e">
        <f t="shared" si="45"/>
        <v>#VALUE!</v>
      </c>
      <c r="BT84" s="28"/>
      <c r="BU84" s="7"/>
      <c r="BV84" s="7" t="e">
        <f ca="1">[1]!tメーカー名(BU84)</f>
        <v>#NAME?</v>
      </c>
      <c r="BW84" s="7" t="e">
        <f t="shared" si="46"/>
        <v>#VALUE!</v>
      </c>
      <c r="BX84" s="28"/>
      <c r="BY84" s="7" t="e">
        <f t="shared" si="47"/>
        <v>#VALUE!</v>
      </c>
      <c r="BZ84" s="28"/>
      <c r="CA84" s="54"/>
      <c r="CB84" s="54"/>
      <c r="CC84" s="7" t="e">
        <f t="shared" si="48"/>
        <v>#VALUE!</v>
      </c>
      <c r="CD84" s="28"/>
      <c r="CE84" s="7" t="e">
        <f t="shared" si="49"/>
        <v>#VALUE!</v>
      </c>
      <c r="CF84" s="28"/>
      <c r="CG84" s="7" t="e">
        <f t="shared" si="50"/>
        <v>#VALUE!</v>
      </c>
      <c r="CH84" s="28"/>
      <c r="CI84" s="7" t="e">
        <f t="shared" si="51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6">
        <f t="shared" si="30"/>
        <v>0</v>
      </c>
      <c r="CT84" s="7"/>
      <c r="CU84" s="7"/>
      <c r="CV84" s="97"/>
      <c r="CW84" s="97"/>
      <c r="CX84" s="97"/>
      <c r="CY84" s="98"/>
      <c r="CZ84" s="98"/>
      <c r="DA84" s="97"/>
      <c r="DB84" s="98"/>
      <c r="DC84" s="97"/>
      <c r="DD84" s="97" t="s">
        <v>1742</v>
      </c>
      <c r="DE84" s="97">
        <v>6</v>
      </c>
      <c r="DF84" s="98"/>
      <c r="DG84" s="98"/>
      <c r="DH84" s="98"/>
      <c r="DI84" s="98"/>
      <c r="DJ84" s="98"/>
      <c r="DK84" s="98"/>
      <c r="DL84" s="98"/>
      <c r="DM84" s="97"/>
      <c r="DN84" s="97"/>
      <c r="DO84" s="97"/>
      <c r="DP84" s="97"/>
      <c r="DQ84" s="97"/>
      <c r="DR84" s="97"/>
      <c r="DS84" s="97"/>
      <c r="DT84" s="99"/>
      <c r="DU84" s="98"/>
      <c r="DV84" s="97"/>
      <c r="DW84" s="97"/>
      <c r="DX84" s="97"/>
      <c r="DY84" s="97"/>
      <c r="DZ84" s="97"/>
      <c r="EA84" s="97"/>
      <c r="EB84" s="97"/>
      <c r="EC84" s="97"/>
      <c r="ED84" s="97"/>
      <c r="EE84" s="97"/>
      <c r="EF84" s="97"/>
      <c r="EG84" s="97"/>
      <c r="EH84" s="97"/>
      <c r="EI84" s="97"/>
      <c r="EJ84" s="97"/>
      <c r="EK84" s="97"/>
      <c r="EL84" s="97"/>
      <c r="EM84" s="97"/>
      <c r="EN84" s="97"/>
      <c r="EO84" s="97"/>
      <c r="EP84" s="97"/>
      <c r="EQ84" s="97"/>
      <c r="ER84" s="97"/>
      <c r="ES84" s="97"/>
      <c r="ET84" s="97"/>
      <c r="EU84" s="97"/>
      <c r="EV84" s="97"/>
      <c r="EW84" s="97"/>
      <c r="EX84" s="97"/>
      <c r="EY84" s="97"/>
      <c r="EZ84" s="97"/>
      <c r="FA84" s="97"/>
      <c r="FB84" s="97"/>
      <c r="FC84" s="97"/>
      <c r="FD84" s="97"/>
      <c r="FE84" s="97"/>
      <c r="FF84" s="97"/>
      <c r="FG84" s="97"/>
      <c r="FH84" s="97"/>
      <c r="FI84" s="97"/>
      <c r="FJ84" s="97"/>
      <c r="FK84" s="97"/>
      <c r="FL84" s="97"/>
      <c r="FM84" s="97"/>
      <c r="FN84" s="97"/>
      <c r="FO84" s="97"/>
      <c r="FP84" s="97"/>
      <c r="FQ84" s="97"/>
      <c r="FR84" s="97"/>
      <c r="FS84" s="97"/>
      <c r="FT84" s="97"/>
      <c r="FU84" s="97"/>
      <c r="FV84" s="97"/>
      <c r="FW84" s="97"/>
      <c r="FX84" s="97"/>
      <c r="FY84" s="6"/>
      <c r="FZ84" s="7" t="str">
        <f>IF(FY84="","",VLOOKUP(FY84,MT商品ﾏｽﾀ参照シート!AM:AN,2,0))</f>
        <v/>
      </c>
      <c r="GA84" s="8"/>
      <c r="GB84" s="8"/>
      <c r="GC84" s="8"/>
      <c r="GD84" s="8"/>
      <c r="GE84" s="58"/>
      <c r="GF84" s="7" t="str">
        <f>IF(GE84="","",VLOOKUP(GE84,MT商品ﾏｽﾀ参照シート!AO:AP,2,0))</f>
        <v/>
      </c>
      <c r="GG84" s="7"/>
      <c r="GH84" s="7"/>
      <c r="GI84" s="7"/>
      <c r="GJ84" s="7"/>
      <c r="GK84" s="49"/>
      <c r="GL84" s="6"/>
      <c r="GM84" s="6"/>
      <c r="GN84" s="7"/>
      <c r="GO84" s="7"/>
      <c r="GP84" s="7"/>
      <c r="GQ84" s="7"/>
      <c r="GR84" s="7">
        <v>2805</v>
      </c>
      <c r="GS84" s="7">
        <v>3300</v>
      </c>
      <c r="GT84" s="7">
        <v>3300</v>
      </c>
      <c r="GU84" s="7">
        <v>3300</v>
      </c>
      <c r="GV84" s="7">
        <v>3300</v>
      </c>
      <c r="GW84" s="8"/>
      <c r="GX84" s="8"/>
      <c r="GY84" s="8"/>
      <c r="GZ84" s="8"/>
      <c r="HA84" s="8"/>
      <c r="HB84" s="8"/>
      <c r="HC84" s="8"/>
      <c r="HD84" s="8"/>
      <c r="HE84" s="58"/>
      <c r="HF84" s="58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82"/>
      <c r="HR84" s="82"/>
      <c r="HS84" s="82"/>
      <c r="HT84" s="26"/>
      <c r="HU84" s="23"/>
      <c r="HV84" s="23"/>
      <c r="HW84" s="24"/>
      <c r="HX84" s="24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76"/>
      <c r="IY84" s="76"/>
      <c r="IZ84" s="76"/>
      <c r="JA84" s="71"/>
      <c r="JB84" s="71"/>
      <c r="JC84" s="72"/>
      <c r="JD84" s="72"/>
      <c r="JE84" s="72"/>
      <c r="JF84" s="72"/>
      <c r="JG84" s="72"/>
      <c r="JH84" s="72"/>
      <c r="JI84" s="71"/>
      <c r="JJ84" s="71"/>
      <c r="JK84" s="72"/>
      <c r="JL84" s="72"/>
      <c r="JM84" s="72"/>
      <c r="JN84" s="72"/>
    </row>
    <row r="85" spans="1:274" ht="13.5" customHeight="1">
      <c r="A85" s="7">
        <v>73</v>
      </c>
      <c r="B85" s="7"/>
      <c r="C85" s="7" t="e">
        <f t="shared" si="52"/>
        <v>#VALUE!</v>
      </c>
      <c r="D85" s="28"/>
      <c r="E85" s="7">
        <f t="shared" si="27"/>
        <v>0</v>
      </c>
      <c r="F85" s="7"/>
      <c r="G85" s="7">
        <f t="shared" si="28"/>
        <v>0</v>
      </c>
      <c r="H85" s="7"/>
      <c r="I85" s="7">
        <f t="shared" si="29"/>
        <v>0</v>
      </c>
      <c r="J85" s="7"/>
      <c r="K85" s="7"/>
      <c r="L85" s="7"/>
      <c r="M85" s="7"/>
      <c r="N85" s="7"/>
      <c r="O85" s="7"/>
      <c r="P85" s="7"/>
      <c r="Q85" s="53"/>
      <c r="R85" s="7"/>
      <c r="S85" s="7"/>
      <c r="T85" s="53"/>
      <c r="U85" s="7"/>
      <c r="V85" s="7" t="e">
        <f t="shared" si="31"/>
        <v>#VALUE!</v>
      </c>
      <c r="W85" s="28"/>
      <c r="X85" s="7" t="e">
        <f t="shared" si="31"/>
        <v>#VALUE!</v>
      </c>
      <c r="Y85" s="28"/>
      <c r="Z85" s="7" t="e">
        <f t="shared" si="32"/>
        <v>#VALUE!</v>
      </c>
      <c r="AA85" s="28"/>
      <c r="AB85" s="7"/>
      <c r="AC85" s="7"/>
      <c r="AD85" s="7"/>
      <c r="AE85" s="7"/>
      <c r="AF85" s="7">
        <v>0</v>
      </c>
      <c r="AG85" s="7" t="e">
        <f t="shared" si="33"/>
        <v>#VALUE!</v>
      </c>
      <c r="AH85" s="28"/>
      <c r="AI85" s="7"/>
      <c r="AJ85" s="7" t="e">
        <f t="shared" si="34"/>
        <v>#VALUE!</v>
      </c>
      <c r="AK85" s="28"/>
      <c r="AL85" s="7" t="e">
        <f t="shared" si="35"/>
        <v>#VALUE!</v>
      </c>
      <c r="AM85" s="28"/>
      <c r="AN85" s="7" t="e">
        <f t="shared" si="36"/>
        <v>#VALUE!</v>
      </c>
      <c r="AO85" s="28"/>
      <c r="AP85" s="7">
        <f t="shared" si="37"/>
        <v>2</v>
      </c>
      <c r="AQ85" s="28" t="s">
        <v>2301</v>
      </c>
      <c r="AR85" s="7"/>
      <c r="AS85" s="7"/>
      <c r="AT85" s="7"/>
      <c r="AU85" s="7"/>
      <c r="AV85" s="7">
        <f t="shared" si="38"/>
        <v>4617</v>
      </c>
      <c r="AW85" s="28" t="s">
        <v>2302</v>
      </c>
      <c r="AX85" s="7">
        <v>1</v>
      </c>
      <c r="AY85" s="7" t="e">
        <f t="shared" si="39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0"/>
        <v>#VALUE!</v>
      </c>
      <c r="BG85" s="28"/>
      <c r="BH85" s="7" t="e">
        <f t="shared" si="41"/>
        <v>#VALUE!</v>
      </c>
      <c r="BI85" s="28"/>
      <c r="BJ85" s="7" t="e">
        <f t="shared" si="42"/>
        <v>#VALUE!</v>
      </c>
      <c r="BK85" s="28"/>
      <c r="BL85" s="7"/>
      <c r="BM85" s="7"/>
      <c r="BN85" s="7" t="e">
        <f t="shared" si="43"/>
        <v>#VALUE!</v>
      </c>
      <c r="BO85" s="28"/>
      <c r="BP85" s="7" t="e">
        <f t="shared" si="44"/>
        <v>#VALUE!</v>
      </c>
      <c r="BQ85" s="28"/>
      <c r="BR85" s="7"/>
      <c r="BS85" s="7" t="e">
        <f t="shared" si="45"/>
        <v>#VALUE!</v>
      </c>
      <c r="BT85" s="28"/>
      <c r="BU85" s="7"/>
      <c r="BV85" s="7" t="e">
        <f ca="1">[1]!tメーカー名(BU85)</f>
        <v>#NAME?</v>
      </c>
      <c r="BW85" s="7" t="e">
        <f t="shared" si="46"/>
        <v>#VALUE!</v>
      </c>
      <c r="BX85" s="28"/>
      <c r="BY85" s="7" t="e">
        <f t="shared" si="47"/>
        <v>#VALUE!</v>
      </c>
      <c r="BZ85" s="28"/>
      <c r="CA85" s="54"/>
      <c r="CB85" s="54"/>
      <c r="CC85" s="7" t="e">
        <f t="shared" si="48"/>
        <v>#VALUE!</v>
      </c>
      <c r="CD85" s="28"/>
      <c r="CE85" s="7" t="e">
        <f t="shared" si="49"/>
        <v>#VALUE!</v>
      </c>
      <c r="CF85" s="28"/>
      <c r="CG85" s="7" t="e">
        <f t="shared" si="50"/>
        <v>#VALUE!</v>
      </c>
      <c r="CH85" s="28"/>
      <c r="CI85" s="7" t="e">
        <f t="shared" si="51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6">
        <f t="shared" si="30"/>
        <v>0</v>
      </c>
      <c r="CT85" s="7"/>
      <c r="CU85" s="7"/>
      <c r="CV85" s="97"/>
      <c r="CW85" s="97"/>
      <c r="CX85" s="97"/>
      <c r="CY85" s="98"/>
      <c r="CZ85" s="98"/>
      <c r="DA85" s="97"/>
      <c r="DB85" s="98"/>
      <c r="DC85" s="97"/>
      <c r="DD85" s="97" t="s">
        <v>1743</v>
      </c>
      <c r="DE85" s="97">
        <v>4</v>
      </c>
      <c r="DF85" s="98"/>
      <c r="DG85" s="98"/>
      <c r="DH85" s="98"/>
      <c r="DI85" s="98"/>
      <c r="DJ85" s="98"/>
      <c r="DK85" s="98"/>
      <c r="DL85" s="98"/>
      <c r="DM85" s="97"/>
      <c r="DN85" s="97"/>
      <c r="DO85" s="97"/>
      <c r="DP85" s="97"/>
      <c r="DQ85" s="97"/>
      <c r="DR85" s="97"/>
      <c r="DS85" s="97"/>
      <c r="DT85" s="99"/>
      <c r="DU85" s="98"/>
      <c r="DV85" s="97"/>
      <c r="DW85" s="97"/>
      <c r="DX85" s="97"/>
      <c r="DY85" s="97"/>
      <c r="DZ85" s="97"/>
      <c r="EA85" s="97"/>
      <c r="EB85" s="97"/>
      <c r="EC85" s="97"/>
      <c r="ED85" s="97"/>
      <c r="EE85" s="97"/>
      <c r="EF85" s="97"/>
      <c r="EG85" s="97"/>
      <c r="EH85" s="97"/>
      <c r="EI85" s="97"/>
      <c r="EJ85" s="97"/>
      <c r="EK85" s="97"/>
      <c r="EL85" s="97"/>
      <c r="EM85" s="97"/>
      <c r="EN85" s="97"/>
      <c r="EO85" s="97"/>
      <c r="EP85" s="97"/>
      <c r="EQ85" s="97"/>
      <c r="ER85" s="97"/>
      <c r="ES85" s="97"/>
      <c r="ET85" s="97"/>
      <c r="EU85" s="97"/>
      <c r="EV85" s="97"/>
      <c r="EW85" s="97"/>
      <c r="EX85" s="97"/>
      <c r="EY85" s="97"/>
      <c r="EZ85" s="97"/>
      <c r="FA85" s="97"/>
      <c r="FB85" s="97"/>
      <c r="FC85" s="97"/>
      <c r="FD85" s="97"/>
      <c r="FE85" s="97"/>
      <c r="FF85" s="97"/>
      <c r="FG85" s="97"/>
      <c r="FH85" s="97"/>
      <c r="FI85" s="97"/>
      <c r="FJ85" s="97"/>
      <c r="FK85" s="97"/>
      <c r="FL85" s="97"/>
      <c r="FM85" s="97"/>
      <c r="FN85" s="97"/>
      <c r="FO85" s="97"/>
      <c r="FP85" s="97"/>
      <c r="FQ85" s="97"/>
      <c r="FR85" s="97"/>
      <c r="FS85" s="97"/>
      <c r="FT85" s="97"/>
      <c r="FU85" s="97"/>
      <c r="FV85" s="97"/>
      <c r="FW85" s="97"/>
      <c r="FX85" s="97"/>
      <c r="FY85" s="6"/>
      <c r="FZ85" s="7" t="str">
        <f>IF(FY85="","",VLOOKUP(FY85,MT商品ﾏｽﾀ参照シート!AM:AN,2,0))</f>
        <v/>
      </c>
      <c r="GA85" s="8"/>
      <c r="GB85" s="8"/>
      <c r="GC85" s="8"/>
      <c r="GD85" s="8"/>
      <c r="GE85" s="58"/>
      <c r="GF85" s="7" t="str">
        <f>IF(GE85="","",VLOOKUP(GE85,MT商品ﾏｽﾀ参照シート!AO:AP,2,0))</f>
        <v/>
      </c>
      <c r="GG85" s="7"/>
      <c r="GH85" s="7"/>
      <c r="GI85" s="7"/>
      <c r="GJ85" s="7"/>
      <c r="GK85" s="49"/>
      <c r="GL85" s="6"/>
      <c r="GM85" s="6"/>
      <c r="GN85" s="7"/>
      <c r="GO85" s="7"/>
      <c r="GP85" s="7"/>
      <c r="GQ85" s="7"/>
      <c r="GR85" s="7">
        <v>2384</v>
      </c>
      <c r="GS85" s="7">
        <v>2805</v>
      </c>
      <c r="GT85" s="7">
        <v>2805</v>
      </c>
      <c r="GU85" s="7">
        <v>2805</v>
      </c>
      <c r="GV85" s="7">
        <v>2805</v>
      </c>
      <c r="GW85" s="8"/>
      <c r="GX85" s="8"/>
      <c r="GY85" s="8"/>
      <c r="GZ85" s="8"/>
      <c r="HA85" s="8"/>
      <c r="HB85" s="8"/>
      <c r="HC85" s="8"/>
      <c r="HD85" s="8"/>
      <c r="HE85" s="58"/>
      <c r="HF85" s="58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82"/>
      <c r="HR85" s="82"/>
      <c r="HS85" s="82"/>
      <c r="HT85" s="26"/>
      <c r="HU85" s="23"/>
      <c r="HV85" s="23"/>
      <c r="HW85" s="24"/>
      <c r="HX85" s="24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76"/>
      <c r="IY85" s="76"/>
      <c r="IZ85" s="76"/>
      <c r="JA85" s="71"/>
      <c r="JB85" s="71"/>
      <c r="JC85" s="72"/>
      <c r="JD85" s="72"/>
      <c r="JE85" s="72"/>
      <c r="JF85" s="72"/>
      <c r="JG85" s="72"/>
      <c r="JH85" s="72"/>
      <c r="JI85" s="71"/>
      <c r="JJ85" s="71"/>
      <c r="JK85" s="72"/>
      <c r="JL85" s="72"/>
      <c r="JM85" s="72"/>
      <c r="JN85" s="72"/>
    </row>
    <row r="86" spans="1:274" ht="13.5" customHeight="1">
      <c r="A86" s="7">
        <v>74</v>
      </c>
      <c r="B86" s="7"/>
      <c r="C86" s="7" t="e">
        <f t="shared" si="52"/>
        <v>#VALUE!</v>
      </c>
      <c r="D86" s="28"/>
      <c r="E86" s="7">
        <f t="shared" si="27"/>
        <v>0</v>
      </c>
      <c r="F86" s="7"/>
      <c r="G86" s="7">
        <f t="shared" si="28"/>
        <v>0</v>
      </c>
      <c r="H86" s="7"/>
      <c r="I86" s="7">
        <f t="shared" si="29"/>
        <v>0</v>
      </c>
      <c r="J86" s="7"/>
      <c r="K86" s="7"/>
      <c r="L86" s="7"/>
      <c r="M86" s="7"/>
      <c r="N86" s="7"/>
      <c r="O86" s="7"/>
      <c r="P86" s="7"/>
      <c r="Q86" s="53"/>
      <c r="R86" s="7"/>
      <c r="S86" s="7"/>
      <c r="T86" s="53"/>
      <c r="U86" s="7"/>
      <c r="V86" s="7" t="e">
        <f t="shared" si="31"/>
        <v>#VALUE!</v>
      </c>
      <c r="W86" s="28"/>
      <c r="X86" s="7" t="e">
        <f t="shared" si="31"/>
        <v>#VALUE!</v>
      </c>
      <c r="Y86" s="28"/>
      <c r="Z86" s="7" t="e">
        <f t="shared" si="32"/>
        <v>#VALUE!</v>
      </c>
      <c r="AA86" s="28"/>
      <c r="AB86" s="7"/>
      <c r="AC86" s="7"/>
      <c r="AD86" s="7"/>
      <c r="AE86" s="7"/>
      <c r="AF86" s="7">
        <v>0</v>
      </c>
      <c r="AG86" s="7" t="e">
        <f t="shared" si="33"/>
        <v>#VALUE!</v>
      </c>
      <c r="AH86" s="28"/>
      <c r="AI86" s="7"/>
      <c r="AJ86" s="7" t="e">
        <f t="shared" si="34"/>
        <v>#VALUE!</v>
      </c>
      <c r="AK86" s="28"/>
      <c r="AL86" s="7" t="e">
        <f t="shared" si="35"/>
        <v>#VALUE!</v>
      </c>
      <c r="AM86" s="28"/>
      <c r="AN86" s="7" t="e">
        <f t="shared" si="36"/>
        <v>#VALUE!</v>
      </c>
      <c r="AO86" s="28"/>
      <c r="AP86" s="7">
        <f t="shared" si="37"/>
        <v>2</v>
      </c>
      <c r="AQ86" s="28" t="s">
        <v>2301</v>
      </c>
      <c r="AR86" s="7"/>
      <c r="AS86" s="7"/>
      <c r="AT86" s="7"/>
      <c r="AU86" s="7"/>
      <c r="AV86" s="7">
        <f t="shared" si="38"/>
        <v>4617</v>
      </c>
      <c r="AW86" s="28" t="s">
        <v>2302</v>
      </c>
      <c r="AX86" s="7">
        <v>1</v>
      </c>
      <c r="AY86" s="7" t="e">
        <f t="shared" si="39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0"/>
        <v>#VALUE!</v>
      </c>
      <c r="BG86" s="28"/>
      <c r="BH86" s="7" t="e">
        <f t="shared" si="41"/>
        <v>#VALUE!</v>
      </c>
      <c r="BI86" s="28"/>
      <c r="BJ86" s="7" t="e">
        <f t="shared" si="42"/>
        <v>#VALUE!</v>
      </c>
      <c r="BK86" s="28"/>
      <c r="BL86" s="7"/>
      <c r="BM86" s="7"/>
      <c r="BN86" s="7" t="e">
        <f t="shared" si="43"/>
        <v>#VALUE!</v>
      </c>
      <c r="BO86" s="28"/>
      <c r="BP86" s="7" t="e">
        <f t="shared" si="44"/>
        <v>#VALUE!</v>
      </c>
      <c r="BQ86" s="28"/>
      <c r="BR86" s="7"/>
      <c r="BS86" s="7" t="e">
        <f t="shared" si="45"/>
        <v>#VALUE!</v>
      </c>
      <c r="BT86" s="28"/>
      <c r="BU86" s="7"/>
      <c r="BV86" s="7" t="e">
        <f ca="1">[1]!tメーカー名(BU86)</f>
        <v>#NAME?</v>
      </c>
      <c r="BW86" s="7" t="e">
        <f t="shared" si="46"/>
        <v>#VALUE!</v>
      </c>
      <c r="BX86" s="28"/>
      <c r="BY86" s="7" t="e">
        <f t="shared" si="47"/>
        <v>#VALUE!</v>
      </c>
      <c r="BZ86" s="28"/>
      <c r="CA86" s="54"/>
      <c r="CB86" s="54"/>
      <c r="CC86" s="7" t="e">
        <f t="shared" si="48"/>
        <v>#VALUE!</v>
      </c>
      <c r="CD86" s="28"/>
      <c r="CE86" s="7" t="e">
        <f t="shared" si="49"/>
        <v>#VALUE!</v>
      </c>
      <c r="CF86" s="28"/>
      <c r="CG86" s="7" t="e">
        <f t="shared" si="50"/>
        <v>#VALUE!</v>
      </c>
      <c r="CH86" s="28"/>
      <c r="CI86" s="7" t="e">
        <f t="shared" si="51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6">
        <f t="shared" si="30"/>
        <v>0</v>
      </c>
      <c r="CT86" s="7"/>
      <c r="CU86" s="7"/>
      <c r="CV86" s="97"/>
      <c r="CW86" s="97"/>
      <c r="CX86" s="97"/>
      <c r="CY86" s="98"/>
      <c r="CZ86" s="98"/>
      <c r="DA86" s="97"/>
      <c r="DB86" s="98"/>
      <c r="DC86" s="97"/>
      <c r="DD86" s="97" t="s">
        <v>1744</v>
      </c>
      <c r="DE86" s="97">
        <v>12</v>
      </c>
      <c r="DF86" s="98"/>
      <c r="DG86" s="98"/>
      <c r="DH86" s="98"/>
      <c r="DI86" s="98"/>
      <c r="DJ86" s="98"/>
      <c r="DK86" s="98"/>
      <c r="DL86" s="98"/>
      <c r="DM86" s="97"/>
      <c r="DN86" s="97"/>
      <c r="DO86" s="97"/>
      <c r="DP86" s="97"/>
      <c r="DQ86" s="97"/>
      <c r="DR86" s="97"/>
      <c r="DS86" s="97"/>
      <c r="DT86" s="99"/>
      <c r="DU86" s="98"/>
      <c r="DV86" s="97"/>
      <c r="DW86" s="97"/>
      <c r="DX86" s="97"/>
      <c r="DY86" s="97"/>
      <c r="DZ86" s="97"/>
      <c r="EA86" s="97"/>
      <c r="EB86" s="97"/>
      <c r="EC86" s="97"/>
      <c r="ED86" s="97"/>
      <c r="EE86" s="97"/>
      <c r="EF86" s="97"/>
      <c r="EG86" s="97"/>
      <c r="EH86" s="97"/>
      <c r="EI86" s="97"/>
      <c r="EJ86" s="97"/>
      <c r="EK86" s="97"/>
      <c r="EL86" s="97"/>
      <c r="EM86" s="97"/>
      <c r="EN86" s="97"/>
      <c r="EO86" s="97"/>
      <c r="EP86" s="97"/>
      <c r="EQ86" s="97"/>
      <c r="ER86" s="97"/>
      <c r="ES86" s="97"/>
      <c r="ET86" s="97"/>
      <c r="EU86" s="97"/>
      <c r="EV86" s="97"/>
      <c r="EW86" s="97"/>
      <c r="EX86" s="97"/>
      <c r="EY86" s="97"/>
      <c r="EZ86" s="97"/>
      <c r="FA86" s="97"/>
      <c r="FB86" s="97"/>
      <c r="FC86" s="97"/>
      <c r="FD86" s="97"/>
      <c r="FE86" s="97"/>
      <c r="FF86" s="97"/>
      <c r="FG86" s="97"/>
      <c r="FH86" s="97"/>
      <c r="FI86" s="97"/>
      <c r="FJ86" s="97"/>
      <c r="FK86" s="97"/>
      <c r="FL86" s="97"/>
      <c r="FM86" s="97"/>
      <c r="FN86" s="97"/>
      <c r="FO86" s="97"/>
      <c r="FP86" s="97"/>
      <c r="FQ86" s="97"/>
      <c r="FR86" s="97"/>
      <c r="FS86" s="97"/>
      <c r="FT86" s="97"/>
      <c r="FU86" s="97"/>
      <c r="FV86" s="97"/>
      <c r="FW86" s="97"/>
      <c r="FX86" s="97"/>
      <c r="FY86" s="6"/>
      <c r="FZ86" s="7" t="str">
        <f>IF(FY86="","",VLOOKUP(FY86,MT商品ﾏｽﾀ参照シート!AM:AN,2,0))</f>
        <v/>
      </c>
      <c r="GA86" s="8"/>
      <c r="GB86" s="8"/>
      <c r="GC86" s="8"/>
      <c r="GD86" s="8"/>
      <c r="GE86" s="58"/>
      <c r="GF86" s="7" t="str">
        <f>IF(GE86="","",VLOOKUP(GE86,MT商品ﾏｽﾀ参照シート!AO:AP,2,0))</f>
        <v/>
      </c>
      <c r="GG86" s="7"/>
      <c r="GH86" s="7"/>
      <c r="GI86" s="7"/>
      <c r="GJ86" s="7"/>
      <c r="GK86" s="49"/>
      <c r="GL86" s="6"/>
      <c r="GM86" s="6"/>
      <c r="GN86" s="7"/>
      <c r="GO86" s="7"/>
      <c r="GP86" s="7"/>
      <c r="GQ86" s="7"/>
      <c r="GR86" s="7">
        <v>1955</v>
      </c>
      <c r="GS86" s="7">
        <v>2300</v>
      </c>
      <c r="GT86" s="7">
        <v>2300</v>
      </c>
      <c r="GU86" s="7">
        <v>2300</v>
      </c>
      <c r="GV86" s="7">
        <v>2300</v>
      </c>
      <c r="GW86" s="8"/>
      <c r="GX86" s="8"/>
      <c r="GY86" s="8"/>
      <c r="GZ86" s="8"/>
      <c r="HA86" s="8"/>
      <c r="HB86" s="8"/>
      <c r="HC86" s="8"/>
      <c r="HD86" s="8"/>
      <c r="HE86" s="58"/>
      <c r="HF86" s="58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82"/>
      <c r="HR86" s="82"/>
      <c r="HS86" s="82"/>
      <c r="HT86" s="26"/>
      <c r="HU86" s="23"/>
      <c r="HV86" s="23"/>
      <c r="HW86" s="24"/>
      <c r="HX86" s="24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76"/>
      <c r="IY86" s="76"/>
      <c r="IZ86" s="76"/>
      <c r="JA86" s="71"/>
      <c r="JB86" s="71"/>
      <c r="JC86" s="72"/>
      <c r="JD86" s="72"/>
      <c r="JE86" s="72"/>
      <c r="JF86" s="72"/>
      <c r="JG86" s="72"/>
      <c r="JH86" s="72"/>
      <c r="JI86" s="71"/>
      <c r="JJ86" s="71"/>
      <c r="JK86" s="72"/>
      <c r="JL86" s="72"/>
      <c r="JM86" s="72"/>
      <c r="JN86" s="72"/>
    </row>
    <row r="87" spans="1:274" ht="13.5" customHeight="1">
      <c r="A87" s="7">
        <v>75</v>
      </c>
      <c r="B87" s="7"/>
      <c r="C87" s="7" t="e">
        <f t="shared" si="52"/>
        <v>#VALUE!</v>
      </c>
      <c r="D87" s="28"/>
      <c r="E87" s="7">
        <f t="shared" si="27"/>
        <v>0</v>
      </c>
      <c r="F87" s="7"/>
      <c r="G87" s="7">
        <f t="shared" si="28"/>
        <v>0</v>
      </c>
      <c r="H87" s="7"/>
      <c r="I87" s="7">
        <f t="shared" si="29"/>
        <v>0</v>
      </c>
      <c r="J87" s="7"/>
      <c r="K87" s="7"/>
      <c r="L87" s="7"/>
      <c r="M87" s="7"/>
      <c r="N87" s="7"/>
      <c r="O87" s="7"/>
      <c r="P87" s="7"/>
      <c r="Q87" s="53"/>
      <c r="R87" s="7"/>
      <c r="S87" s="7"/>
      <c r="T87" s="53"/>
      <c r="U87" s="7"/>
      <c r="V87" s="7" t="e">
        <f t="shared" si="31"/>
        <v>#VALUE!</v>
      </c>
      <c r="W87" s="28"/>
      <c r="X87" s="7" t="e">
        <f t="shared" si="31"/>
        <v>#VALUE!</v>
      </c>
      <c r="Y87" s="28"/>
      <c r="Z87" s="7" t="e">
        <f t="shared" si="32"/>
        <v>#VALUE!</v>
      </c>
      <c r="AA87" s="28"/>
      <c r="AB87" s="7"/>
      <c r="AC87" s="7"/>
      <c r="AD87" s="7"/>
      <c r="AE87" s="7"/>
      <c r="AF87" s="7">
        <v>0</v>
      </c>
      <c r="AG87" s="7" t="e">
        <f t="shared" si="33"/>
        <v>#VALUE!</v>
      </c>
      <c r="AH87" s="28"/>
      <c r="AI87" s="7"/>
      <c r="AJ87" s="7" t="e">
        <f t="shared" si="34"/>
        <v>#VALUE!</v>
      </c>
      <c r="AK87" s="28"/>
      <c r="AL87" s="7" t="e">
        <f t="shared" si="35"/>
        <v>#VALUE!</v>
      </c>
      <c r="AM87" s="28"/>
      <c r="AN87" s="7" t="e">
        <f t="shared" si="36"/>
        <v>#VALUE!</v>
      </c>
      <c r="AO87" s="28"/>
      <c r="AP87" s="7">
        <f t="shared" si="37"/>
        <v>2</v>
      </c>
      <c r="AQ87" s="28" t="s">
        <v>2301</v>
      </c>
      <c r="AR87" s="7"/>
      <c r="AS87" s="7"/>
      <c r="AT87" s="7"/>
      <c r="AU87" s="7"/>
      <c r="AV87" s="7">
        <f t="shared" si="38"/>
        <v>4617</v>
      </c>
      <c r="AW87" s="28" t="s">
        <v>2302</v>
      </c>
      <c r="AX87" s="7">
        <v>1</v>
      </c>
      <c r="AY87" s="7" t="e">
        <f t="shared" si="39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0"/>
        <v>#VALUE!</v>
      </c>
      <c r="BG87" s="28"/>
      <c r="BH87" s="7" t="e">
        <f t="shared" si="41"/>
        <v>#VALUE!</v>
      </c>
      <c r="BI87" s="28"/>
      <c r="BJ87" s="7" t="e">
        <f t="shared" si="42"/>
        <v>#VALUE!</v>
      </c>
      <c r="BK87" s="28"/>
      <c r="BL87" s="7"/>
      <c r="BM87" s="7"/>
      <c r="BN87" s="7" t="e">
        <f t="shared" si="43"/>
        <v>#VALUE!</v>
      </c>
      <c r="BO87" s="28"/>
      <c r="BP87" s="7" t="e">
        <f t="shared" si="44"/>
        <v>#VALUE!</v>
      </c>
      <c r="BQ87" s="28"/>
      <c r="BR87" s="7"/>
      <c r="BS87" s="7" t="e">
        <f t="shared" si="45"/>
        <v>#VALUE!</v>
      </c>
      <c r="BT87" s="28"/>
      <c r="BU87" s="7"/>
      <c r="BV87" s="7" t="e">
        <f ca="1">[1]!tメーカー名(BU87)</f>
        <v>#NAME?</v>
      </c>
      <c r="BW87" s="7" t="e">
        <f t="shared" si="46"/>
        <v>#VALUE!</v>
      </c>
      <c r="BX87" s="28"/>
      <c r="BY87" s="7" t="e">
        <f t="shared" si="47"/>
        <v>#VALUE!</v>
      </c>
      <c r="BZ87" s="28"/>
      <c r="CA87" s="54"/>
      <c r="CB87" s="54"/>
      <c r="CC87" s="7" t="e">
        <f t="shared" si="48"/>
        <v>#VALUE!</v>
      </c>
      <c r="CD87" s="28"/>
      <c r="CE87" s="7" t="e">
        <f t="shared" si="49"/>
        <v>#VALUE!</v>
      </c>
      <c r="CF87" s="28"/>
      <c r="CG87" s="7" t="e">
        <f t="shared" si="50"/>
        <v>#VALUE!</v>
      </c>
      <c r="CH87" s="28"/>
      <c r="CI87" s="7" t="e">
        <f t="shared" si="51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6">
        <f t="shared" si="30"/>
        <v>0</v>
      </c>
      <c r="CT87" s="7"/>
      <c r="CU87" s="7"/>
      <c r="CV87" s="97"/>
      <c r="CW87" s="97"/>
      <c r="CX87" s="97"/>
      <c r="CY87" s="98"/>
      <c r="CZ87" s="98"/>
      <c r="DA87" s="97"/>
      <c r="DB87" s="98"/>
      <c r="DC87" s="97"/>
      <c r="DD87" s="97" t="s">
        <v>1745</v>
      </c>
      <c r="DE87" s="97">
        <v>8</v>
      </c>
      <c r="DF87" s="98"/>
      <c r="DG87" s="98"/>
      <c r="DH87" s="98"/>
      <c r="DI87" s="98"/>
      <c r="DJ87" s="98"/>
      <c r="DK87" s="98"/>
      <c r="DL87" s="98"/>
      <c r="DM87" s="97"/>
      <c r="DN87" s="97"/>
      <c r="DO87" s="97"/>
      <c r="DP87" s="97"/>
      <c r="DQ87" s="97"/>
      <c r="DR87" s="97"/>
      <c r="DS87" s="97"/>
      <c r="DT87" s="99"/>
      <c r="DU87" s="98"/>
      <c r="DV87" s="97"/>
      <c r="DW87" s="97"/>
      <c r="DX87" s="97"/>
      <c r="DY87" s="97"/>
      <c r="DZ87" s="97"/>
      <c r="EA87" s="97"/>
      <c r="EB87" s="97"/>
      <c r="EC87" s="97"/>
      <c r="ED87" s="97"/>
      <c r="EE87" s="97"/>
      <c r="EF87" s="97"/>
      <c r="EG87" s="97"/>
      <c r="EH87" s="97"/>
      <c r="EI87" s="97"/>
      <c r="EJ87" s="97"/>
      <c r="EK87" s="97"/>
      <c r="EL87" s="97"/>
      <c r="EM87" s="97"/>
      <c r="EN87" s="97"/>
      <c r="EO87" s="97"/>
      <c r="EP87" s="97"/>
      <c r="EQ87" s="97"/>
      <c r="ER87" s="97"/>
      <c r="ES87" s="97"/>
      <c r="ET87" s="97"/>
      <c r="EU87" s="97"/>
      <c r="EV87" s="97"/>
      <c r="EW87" s="97"/>
      <c r="EX87" s="97"/>
      <c r="EY87" s="97"/>
      <c r="EZ87" s="97"/>
      <c r="FA87" s="97"/>
      <c r="FB87" s="97"/>
      <c r="FC87" s="97"/>
      <c r="FD87" s="97"/>
      <c r="FE87" s="97"/>
      <c r="FF87" s="97"/>
      <c r="FG87" s="97"/>
      <c r="FH87" s="97"/>
      <c r="FI87" s="97"/>
      <c r="FJ87" s="97"/>
      <c r="FK87" s="97"/>
      <c r="FL87" s="97"/>
      <c r="FM87" s="97"/>
      <c r="FN87" s="97"/>
      <c r="FO87" s="97"/>
      <c r="FP87" s="97"/>
      <c r="FQ87" s="97"/>
      <c r="FR87" s="97"/>
      <c r="FS87" s="97"/>
      <c r="FT87" s="97"/>
      <c r="FU87" s="97"/>
      <c r="FV87" s="97"/>
      <c r="FW87" s="97"/>
      <c r="FX87" s="97"/>
      <c r="FY87" s="6"/>
      <c r="FZ87" s="7" t="str">
        <f>IF(FY87="","",VLOOKUP(FY87,MT商品ﾏｽﾀ参照シート!AM:AN,2,0))</f>
        <v/>
      </c>
      <c r="GA87" s="8"/>
      <c r="GB87" s="8"/>
      <c r="GC87" s="8"/>
      <c r="GD87" s="8"/>
      <c r="GE87" s="58"/>
      <c r="GF87" s="7" t="str">
        <f>IF(GE87="","",VLOOKUP(GE87,MT商品ﾏｽﾀ参照シート!AO:AP,2,0))</f>
        <v/>
      </c>
      <c r="GG87" s="7"/>
      <c r="GH87" s="7"/>
      <c r="GI87" s="7"/>
      <c r="GJ87" s="7"/>
      <c r="GK87" s="49"/>
      <c r="GL87" s="6"/>
      <c r="GM87" s="6"/>
      <c r="GN87" s="7"/>
      <c r="GO87" s="7"/>
      <c r="GP87" s="7"/>
      <c r="GQ87" s="7"/>
      <c r="GR87" s="7">
        <v>2665</v>
      </c>
      <c r="GS87" s="7">
        <v>3135</v>
      </c>
      <c r="GT87" s="7">
        <v>3135</v>
      </c>
      <c r="GU87" s="7">
        <v>3135</v>
      </c>
      <c r="GV87" s="7">
        <v>3135</v>
      </c>
      <c r="GW87" s="8"/>
      <c r="GX87" s="8"/>
      <c r="GY87" s="8"/>
      <c r="GZ87" s="8"/>
      <c r="HA87" s="8"/>
      <c r="HB87" s="8"/>
      <c r="HC87" s="8"/>
      <c r="HD87" s="8"/>
      <c r="HE87" s="58"/>
      <c r="HF87" s="58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82"/>
      <c r="HR87" s="82"/>
      <c r="HS87" s="82"/>
      <c r="HT87" s="26"/>
      <c r="HU87" s="23"/>
      <c r="HV87" s="23"/>
      <c r="HW87" s="24"/>
      <c r="HX87" s="24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76"/>
      <c r="IY87" s="76"/>
      <c r="IZ87" s="76"/>
      <c r="JA87" s="71"/>
      <c r="JB87" s="71"/>
      <c r="JC87" s="72"/>
      <c r="JD87" s="72"/>
      <c r="JE87" s="72"/>
      <c r="JF87" s="72"/>
      <c r="JG87" s="72"/>
      <c r="JH87" s="72"/>
      <c r="JI87" s="71"/>
      <c r="JJ87" s="71"/>
      <c r="JK87" s="72"/>
      <c r="JL87" s="72"/>
      <c r="JM87" s="72"/>
      <c r="JN87" s="72"/>
    </row>
    <row r="88" spans="1:274" ht="13.5" customHeight="1">
      <c r="A88" s="7">
        <v>76</v>
      </c>
      <c r="B88" s="7"/>
      <c r="C88" s="7" t="e">
        <f t="shared" si="52"/>
        <v>#VALUE!</v>
      </c>
      <c r="D88" s="28"/>
      <c r="E88" s="7">
        <f t="shared" si="27"/>
        <v>0</v>
      </c>
      <c r="F88" s="7"/>
      <c r="G88" s="7">
        <f t="shared" si="28"/>
        <v>0</v>
      </c>
      <c r="H88" s="7"/>
      <c r="I88" s="7">
        <f t="shared" si="29"/>
        <v>0</v>
      </c>
      <c r="J88" s="7"/>
      <c r="K88" s="7"/>
      <c r="L88" s="7"/>
      <c r="M88" s="7"/>
      <c r="N88" s="7"/>
      <c r="O88" s="7"/>
      <c r="P88" s="7"/>
      <c r="Q88" s="53"/>
      <c r="R88" s="7"/>
      <c r="S88" s="7"/>
      <c r="T88" s="53"/>
      <c r="U88" s="7"/>
      <c r="V88" s="7" t="e">
        <f t="shared" si="31"/>
        <v>#VALUE!</v>
      </c>
      <c r="W88" s="28"/>
      <c r="X88" s="7" t="e">
        <f t="shared" si="31"/>
        <v>#VALUE!</v>
      </c>
      <c r="Y88" s="28"/>
      <c r="Z88" s="7" t="e">
        <f t="shared" si="32"/>
        <v>#VALUE!</v>
      </c>
      <c r="AA88" s="28"/>
      <c r="AB88" s="7"/>
      <c r="AC88" s="7"/>
      <c r="AD88" s="7"/>
      <c r="AE88" s="7"/>
      <c r="AF88" s="7">
        <v>0</v>
      </c>
      <c r="AG88" s="7" t="e">
        <f t="shared" si="33"/>
        <v>#VALUE!</v>
      </c>
      <c r="AH88" s="28"/>
      <c r="AI88" s="7"/>
      <c r="AJ88" s="7" t="e">
        <f t="shared" si="34"/>
        <v>#VALUE!</v>
      </c>
      <c r="AK88" s="28"/>
      <c r="AL88" s="7" t="e">
        <f t="shared" si="35"/>
        <v>#VALUE!</v>
      </c>
      <c r="AM88" s="28"/>
      <c r="AN88" s="7" t="e">
        <f t="shared" si="36"/>
        <v>#VALUE!</v>
      </c>
      <c r="AO88" s="28"/>
      <c r="AP88" s="7">
        <f t="shared" si="37"/>
        <v>2</v>
      </c>
      <c r="AQ88" s="28" t="s">
        <v>2301</v>
      </c>
      <c r="AR88" s="7"/>
      <c r="AS88" s="7"/>
      <c r="AT88" s="7"/>
      <c r="AU88" s="7"/>
      <c r="AV88" s="7">
        <f t="shared" si="38"/>
        <v>4617</v>
      </c>
      <c r="AW88" s="28" t="s">
        <v>2302</v>
      </c>
      <c r="AX88" s="7">
        <v>1</v>
      </c>
      <c r="AY88" s="7" t="e">
        <f t="shared" si="39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0"/>
        <v>#VALUE!</v>
      </c>
      <c r="BG88" s="28"/>
      <c r="BH88" s="7" t="e">
        <f t="shared" si="41"/>
        <v>#VALUE!</v>
      </c>
      <c r="BI88" s="28"/>
      <c r="BJ88" s="7" t="e">
        <f t="shared" si="42"/>
        <v>#VALUE!</v>
      </c>
      <c r="BK88" s="28"/>
      <c r="BL88" s="7"/>
      <c r="BM88" s="7"/>
      <c r="BN88" s="7" t="e">
        <f t="shared" si="43"/>
        <v>#VALUE!</v>
      </c>
      <c r="BO88" s="28"/>
      <c r="BP88" s="7" t="e">
        <f t="shared" si="44"/>
        <v>#VALUE!</v>
      </c>
      <c r="BQ88" s="28"/>
      <c r="BR88" s="7"/>
      <c r="BS88" s="7" t="e">
        <f t="shared" si="45"/>
        <v>#VALUE!</v>
      </c>
      <c r="BT88" s="28"/>
      <c r="BU88" s="7"/>
      <c r="BV88" s="7" t="e">
        <f ca="1">[1]!tメーカー名(BU88)</f>
        <v>#NAME?</v>
      </c>
      <c r="BW88" s="7" t="e">
        <f t="shared" si="46"/>
        <v>#VALUE!</v>
      </c>
      <c r="BX88" s="28"/>
      <c r="BY88" s="7" t="e">
        <f t="shared" si="47"/>
        <v>#VALUE!</v>
      </c>
      <c r="BZ88" s="28"/>
      <c r="CA88" s="54"/>
      <c r="CB88" s="54"/>
      <c r="CC88" s="7" t="e">
        <f t="shared" si="48"/>
        <v>#VALUE!</v>
      </c>
      <c r="CD88" s="28"/>
      <c r="CE88" s="7" t="e">
        <f t="shared" si="49"/>
        <v>#VALUE!</v>
      </c>
      <c r="CF88" s="28"/>
      <c r="CG88" s="7" t="e">
        <f t="shared" si="50"/>
        <v>#VALUE!</v>
      </c>
      <c r="CH88" s="28"/>
      <c r="CI88" s="7" t="e">
        <f t="shared" si="51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6">
        <f t="shared" si="30"/>
        <v>0</v>
      </c>
      <c r="CT88" s="7"/>
      <c r="CU88" s="7"/>
      <c r="CV88" s="97"/>
      <c r="CW88" s="97"/>
      <c r="CX88" s="97"/>
      <c r="CY88" s="98"/>
      <c r="CZ88" s="98"/>
      <c r="DA88" s="97"/>
      <c r="DB88" s="98"/>
      <c r="DC88" s="97"/>
      <c r="DD88" s="97" t="s">
        <v>1746</v>
      </c>
      <c r="DE88" s="97">
        <v>3</v>
      </c>
      <c r="DF88" s="98"/>
      <c r="DG88" s="98"/>
      <c r="DH88" s="98"/>
      <c r="DI88" s="98"/>
      <c r="DJ88" s="98"/>
      <c r="DK88" s="98"/>
      <c r="DL88" s="98"/>
      <c r="DM88" s="97"/>
      <c r="DN88" s="97"/>
      <c r="DO88" s="97"/>
      <c r="DP88" s="97"/>
      <c r="DQ88" s="97"/>
      <c r="DR88" s="97"/>
      <c r="DS88" s="97"/>
      <c r="DT88" s="99"/>
      <c r="DU88" s="98"/>
      <c r="DV88" s="97"/>
      <c r="DW88" s="97"/>
      <c r="DX88" s="97"/>
      <c r="DY88" s="97"/>
      <c r="DZ88" s="97"/>
      <c r="EA88" s="97"/>
      <c r="EB88" s="97"/>
      <c r="EC88" s="97"/>
      <c r="ED88" s="97"/>
      <c r="EE88" s="97"/>
      <c r="EF88" s="97"/>
      <c r="EG88" s="97"/>
      <c r="EH88" s="97"/>
      <c r="EI88" s="97"/>
      <c r="EJ88" s="97"/>
      <c r="EK88" s="97"/>
      <c r="EL88" s="97"/>
      <c r="EM88" s="97"/>
      <c r="EN88" s="97"/>
      <c r="EO88" s="97"/>
      <c r="EP88" s="97"/>
      <c r="EQ88" s="97"/>
      <c r="ER88" s="97"/>
      <c r="ES88" s="97"/>
      <c r="ET88" s="97"/>
      <c r="EU88" s="97"/>
      <c r="EV88" s="97"/>
      <c r="EW88" s="97"/>
      <c r="EX88" s="97"/>
      <c r="EY88" s="97"/>
      <c r="EZ88" s="97"/>
      <c r="FA88" s="97"/>
      <c r="FB88" s="97"/>
      <c r="FC88" s="97"/>
      <c r="FD88" s="97"/>
      <c r="FE88" s="97"/>
      <c r="FF88" s="97"/>
      <c r="FG88" s="97"/>
      <c r="FH88" s="97"/>
      <c r="FI88" s="97"/>
      <c r="FJ88" s="97"/>
      <c r="FK88" s="97"/>
      <c r="FL88" s="97"/>
      <c r="FM88" s="97"/>
      <c r="FN88" s="97"/>
      <c r="FO88" s="97"/>
      <c r="FP88" s="97"/>
      <c r="FQ88" s="97"/>
      <c r="FR88" s="97"/>
      <c r="FS88" s="97"/>
      <c r="FT88" s="97"/>
      <c r="FU88" s="97"/>
      <c r="FV88" s="97"/>
      <c r="FW88" s="97"/>
      <c r="FX88" s="97"/>
      <c r="FY88" s="6"/>
      <c r="FZ88" s="7" t="str">
        <f>IF(FY88="","",VLOOKUP(FY88,MT商品ﾏｽﾀ参照シート!AM:AN,2,0))</f>
        <v/>
      </c>
      <c r="GA88" s="8"/>
      <c r="GB88" s="8"/>
      <c r="GC88" s="8"/>
      <c r="GD88" s="8"/>
      <c r="GE88" s="58"/>
      <c r="GF88" s="7" t="str">
        <f>IF(GE88="","",VLOOKUP(GE88,MT商品ﾏｽﾀ参照シート!AO:AP,2,0))</f>
        <v/>
      </c>
      <c r="GG88" s="7"/>
      <c r="GH88" s="7"/>
      <c r="GI88" s="7"/>
      <c r="GJ88" s="7"/>
      <c r="GK88" s="49"/>
      <c r="GL88" s="6"/>
      <c r="GM88" s="6"/>
      <c r="GN88" s="7"/>
      <c r="GO88" s="7"/>
      <c r="GP88" s="7"/>
      <c r="GQ88" s="7"/>
      <c r="GR88" s="7">
        <v>2805</v>
      </c>
      <c r="GS88" s="7">
        <v>3300</v>
      </c>
      <c r="GT88" s="7">
        <v>3300</v>
      </c>
      <c r="GU88" s="7">
        <v>3300</v>
      </c>
      <c r="GV88" s="7">
        <v>3300</v>
      </c>
      <c r="GW88" s="8"/>
      <c r="GX88" s="8"/>
      <c r="GY88" s="8"/>
      <c r="GZ88" s="8"/>
      <c r="HA88" s="8"/>
      <c r="HB88" s="8"/>
      <c r="HC88" s="8"/>
      <c r="HD88" s="8"/>
      <c r="HE88" s="58"/>
      <c r="HF88" s="58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82"/>
      <c r="HR88" s="82"/>
      <c r="HS88" s="82"/>
      <c r="HT88" s="26"/>
      <c r="HU88" s="23"/>
      <c r="HV88" s="23"/>
      <c r="HW88" s="24"/>
      <c r="HX88" s="24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76"/>
      <c r="IY88" s="76"/>
      <c r="IZ88" s="76"/>
      <c r="JA88" s="71"/>
      <c r="JB88" s="71"/>
      <c r="JC88" s="72"/>
      <c r="JD88" s="72"/>
      <c r="JE88" s="72"/>
      <c r="JF88" s="72"/>
      <c r="JG88" s="72"/>
      <c r="JH88" s="72"/>
      <c r="JI88" s="71"/>
      <c r="JJ88" s="71"/>
      <c r="JK88" s="72"/>
      <c r="JL88" s="72"/>
      <c r="JM88" s="72"/>
      <c r="JN88" s="72"/>
    </row>
    <row r="89" spans="1:274" ht="13.5" customHeight="1">
      <c r="A89" s="7">
        <v>77</v>
      </c>
      <c r="B89" s="7"/>
      <c r="C89" s="7" t="e">
        <f t="shared" si="52"/>
        <v>#VALUE!</v>
      </c>
      <c r="D89" s="28"/>
      <c r="E89" s="7">
        <f t="shared" si="27"/>
        <v>0</v>
      </c>
      <c r="F89" s="6"/>
      <c r="G89" s="7">
        <f t="shared" si="28"/>
        <v>0</v>
      </c>
      <c r="H89" s="7"/>
      <c r="I89" s="7">
        <f t="shared" si="29"/>
        <v>0</v>
      </c>
      <c r="J89" s="7"/>
      <c r="K89" s="7"/>
      <c r="L89" s="7"/>
      <c r="M89" s="7"/>
      <c r="N89" s="7"/>
      <c r="O89" s="7"/>
      <c r="P89" s="7"/>
      <c r="Q89" s="53"/>
      <c r="R89" s="7"/>
      <c r="S89" s="7"/>
      <c r="T89" s="53"/>
      <c r="U89" s="7"/>
      <c r="V89" s="7" t="e">
        <f t="shared" si="31"/>
        <v>#VALUE!</v>
      </c>
      <c r="W89" s="28"/>
      <c r="X89" s="7" t="e">
        <f t="shared" si="31"/>
        <v>#VALUE!</v>
      </c>
      <c r="Y89" s="28"/>
      <c r="Z89" s="7" t="e">
        <f t="shared" si="32"/>
        <v>#VALUE!</v>
      </c>
      <c r="AA89" s="28"/>
      <c r="AB89" s="7"/>
      <c r="AC89" s="7"/>
      <c r="AD89" s="7"/>
      <c r="AE89" s="7"/>
      <c r="AF89" s="7">
        <v>0</v>
      </c>
      <c r="AG89" s="7" t="e">
        <f t="shared" si="33"/>
        <v>#VALUE!</v>
      </c>
      <c r="AH89" s="28"/>
      <c r="AI89" s="7"/>
      <c r="AJ89" s="7" t="e">
        <f t="shared" si="34"/>
        <v>#VALUE!</v>
      </c>
      <c r="AK89" s="28"/>
      <c r="AL89" s="7" t="e">
        <f t="shared" si="35"/>
        <v>#VALUE!</v>
      </c>
      <c r="AM89" s="28"/>
      <c r="AN89" s="7" t="e">
        <f t="shared" si="36"/>
        <v>#VALUE!</v>
      </c>
      <c r="AO89" s="28"/>
      <c r="AP89" s="7">
        <f t="shared" si="37"/>
        <v>2</v>
      </c>
      <c r="AQ89" s="28" t="s">
        <v>2301</v>
      </c>
      <c r="AR89" s="7"/>
      <c r="AS89" s="7"/>
      <c r="AT89" s="7"/>
      <c r="AU89" s="7"/>
      <c r="AV89" s="7">
        <f t="shared" si="38"/>
        <v>4617</v>
      </c>
      <c r="AW89" s="28" t="s">
        <v>2302</v>
      </c>
      <c r="AX89" s="7">
        <v>1</v>
      </c>
      <c r="AY89" s="7" t="e">
        <f t="shared" si="39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0"/>
        <v>#VALUE!</v>
      </c>
      <c r="BG89" s="28"/>
      <c r="BH89" s="7" t="e">
        <f t="shared" si="41"/>
        <v>#VALUE!</v>
      </c>
      <c r="BI89" s="28"/>
      <c r="BJ89" s="7" t="e">
        <f t="shared" si="42"/>
        <v>#VALUE!</v>
      </c>
      <c r="BK89" s="28"/>
      <c r="BL89" s="7"/>
      <c r="BM89" s="7"/>
      <c r="BN89" s="7" t="e">
        <f t="shared" si="43"/>
        <v>#VALUE!</v>
      </c>
      <c r="BO89" s="28"/>
      <c r="BP89" s="7" t="e">
        <f t="shared" si="44"/>
        <v>#VALUE!</v>
      </c>
      <c r="BQ89" s="28"/>
      <c r="BR89" s="7"/>
      <c r="BS89" s="7" t="e">
        <f t="shared" si="45"/>
        <v>#VALUE!</v>
      </c>
      <c r="BT89" s="28"/>
      <c r="BU89" s="7"/>
      <c r="BV89" s="7" t="e">
        <f ca="1">[1]!tメーカー名(BU89)</f>
        <v>#NAME?</v>
      </c>
      <c r="BW89" s="7" t="e">
        <f t="shared" si="46"/>
        <v>#VALUE!</v>
      </c>
      <c r="BX89" s="28"/>
      <c r="BY89" s="7" t="e">
        <f t="shared" si="47"/>
        <v>#VALUE!</v>
      </c>
      <c r="BZ89" s="28"/>
      <c r="CA89" s="54"/>
      <c r="CB89" s="54"/>
      <c r="CC89" s="7" t="e">
        <f t="shared" si="48"/>
        <v>#VALUE!</v>
      </c>
      <c r="CD89" s="28"/>
      <c r="CE89" s="7" t="e">
        <f t="shared" si="49"/>
        <v>#VALUE!</v>
      </c>
      <c r="CF89" s="28"/>
      <c r="CG89" s="7" t="e">
        <f t="shared" si="50"/>
        <v>#VALUE!</v>
      </c>
      <c r="CH89" s="28"/>
      <c r="CI89" s="7" t="e">
        <f t="shared" si="51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6">
        <f t="shared" si="30"/>
        <v>0</v>
      </c>
      <c r="CT89" s="7"/>
      <c r="CU89" s="7"/>
      <c r="CV89" s="97"/>
      <c r="CW89" s="97"/>
      <c r="CX89" s="97"/>
      <c r="CY89" s="98"/>
      <c r="CZ89" s="98"/>
      <c r="DA89" s="97"/>
      <c r="DB89" s="98"/>
      <c r="DC89" s="97"/>
      <c r="DD89" s="97" t="s">
        <v>1747</v>
      </c>
      <c r="DE89" s="97">
        <v>2</v>
      </c>
      <c r="DF89" s="98"/>
      <c r="DG89" s="98"/>
      <c r="DH89" s="98"/>
      <c r="DI89" s="98"/>
      <c r="DJ89" s="98"/>
      <c r="DK89" s="98"/>
      <c r="DL89" s="98"/>
      <c r="DM89" s="97"/>
      <c r="DN89" s="97"/>
      <c r="DO89" s="97"/>
      <c r="DP89" s="97"/>
      <c r="DQ89" s="97"/>
      <c r="DR89" s="97"/>
      <c r="DS89" s="97"/>
      <c r="DT89" s="99"/>
      <c r="DU89" s="98"/>
      <c r="DV89" s="97"/>
      <c r="DW89" s="97"/>
      <c r="DX89" s="97"/>
      <c r="DY89" s="97"/>
      <c r="DZ89" s="97"/>
      <c r="EA89" s="97"/>
      <c r="EB89" s="97"/>
      <c r="EC89" s="97"/>
      <c r="ED89" s="97"/>
      <c r="EE89" s="97"/>
      <c r="EF89" s="97"/>
      <c r="EG89" s="97"/>
      <c r="EH89" s="97"/>
      <c r="EI89" s="97"/>
      <c r="EJ89" s="97"/>
      <c r="EK89" s="97"/>
      <c r="EL89" s="97"/>
      <c r="EM89" s="97"/>
      <c r="EN89" s="97"/>
      <c r="EO89" s="97"/>
      <c r="EP89" s="97"/>
      <c r="EQ89" s="97"/>
      <c r="ER89" s="97"/>
      <c r="ES89" s="97"/>
      <c r="ET89" s="97"/>
      <c r="EU89" s="97"/>
      <c r="EV89" s="97"/>
      <c r="EW89" s="97"/>
      <c r="EX89" s="97"/>
      <c r="EY89" s="97"/>
      <c r="EZ89" s="97"/>
      <c r="FA89" s="97"/>
      <c r="FB89" s="97"/>
      <c r="FC89" s="97"/>
      <c r="FD89" s="97"/>
      <c r="FE89" s="97"/>
      <c r="FF89" s="97"/>
      <c r="FG89" s="97"/>
      <c r="FH89" s="97"/>
      <c r="FI89" s="97"/>
      <c r="FJ89" s="97"/>
      <c r="FK89" s="97"/>
      <c r="FL89" s="97"/>
      <c r="FM89" s="97"/>
      <c r="FN89" s="97"/>
      <c r="FO89" s="97"/>
      <c r="FP89" s="97"/>
      <c r="FQ89" s="97"/>
      <c r="FR89" s="97"/>
      <c r="FS89" s="97"/>
      <c r="FT89" s="97"/>
      <c r="FU89" s="97"/>
      <c r="FV89" s="97"/>
      <c r="FW89" s="97"/>
      <c r="FX89" s="97"/>
      <c r="FY89" s="6"/>
      <c r="FZ89" s="7" t="str">
        <f>IF(FY89="","",VLOOKUP(FY89,MT商品ﾏｽﾀ参照シート!AM:AN,2,0))</f>
        <v/>
      </c>
      <c r="GA89" s="8"/>
      <c r="GB89" s="8"/>
      <c r="GC89" s="8"/>
      <c r="GD89" s="8"/>
      <c r="GE89" s="58"/>
      <c r="GF89" s="7" t="str">
        <f>IF(GE89="","",VLOOKUP(GE89,MT商品ﾏｽﾀ参照シート!AO:AP,2,0))</f>
        <v/>
      </c>
      <c r="GG89" s="7"/>
      <c r="GH89" s="7"/>
      <c r="GI89" s="7"/>
      <c r="GJ89" s="7"/>
      <c r="GK89" s="49"/>
      <c r="GL89" s="6"/>
      <c r="GM89" s="6"/>
      <c r="GN89" s="7"/>
      <c r="GO89" s="7"/>
      <c r="GP89" s="7"/>
      <c r="GQ89" s="7"/>
      <c r="GR89" s="7">
        <v>4280</v>
      </c>
      <c r="GS89" s="7">
        <v>5035</v>
      </c>
      <c r="GT89" s="7">
        <v>5035</v>
      </c>
      <c r="GU89" s="7">
        <v>5035</v>
      </c>
      <c r="GV89" s="7">
        <v>5035</v>
      </c>
      <c r="GW89" s="8"/>
      <c r="GX89" s="8"/>
      <c r="GY89" s="8"/>
      <c r="GZ89" s="8"/>
      <c r="HA89" s="8"/>
      <c r="HB89" s="8"/>
      <c r="HC89" s="8"/>
      <c r="HD89" s="8"/>
      <c r="HE89" s="58"/>
      <c r="HF89" s="58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82"/>
      <c r="HR89" s="82"/>
      <c r="HS89" s="82"/>
      <c r="HT89" s="26"/>
      <c r="HU89" s="23"/>
      <c r="HV89" s="23"/>
      <c r="HW89" s="24"/>
      <c r="HX89" s="24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76"/>
      <c r="IY89" s="76"/>
      <c r="IZ89" s="76"/>
      <c r="JA89" s="71"/>
      <c r="JB89" s="71"/>
      <c r="JC89" s="72"/>
      <c r="JD89" s="72"/>
      <c r="JE89" s="72"/>
      <c r="JF89" s="72"/>
      <c r="JG89" s="72"/>
      <c r="JH89" s="72"/>
      <c r="JI89" s="71"/>
      <c r="JJ89" s="71"/>
      <c r="JK89" s="72"/>
      <c r="JL89" s="72"/>
      <c r="JM89" s="72"/>
      <c r="JN89" s="72"/>
    </row>
    <row r="90" spans="1:274" ht="13.5" customHeight="1">
      <c r="A90" s="7">
        <v>78</v>
      </c>
      <c r="B90" s="7"/>
      <c r="C90" s="7" t="e">
        <f t="shared" si="52"/>
        <v>#VALUE!</v>
      </c>
      <c r="D90" s="28"/>
      <c r="E90" s="7">
        <f t="shared" si="27"/>
        <v>0</v>
      </c>
      <c r="F90" s="6"/>
      <c r="G90" s="7">
        <f t="shared" si="28"/>
        <v>0</v>
      </c>
      <c r="H90" s="7"/>
      <c r="I90" s="7">
        <f t="shared" si="29"/>
        <v>0</v>
      </c>
      <c r="J90" s="7"/>
      <c r="K90" s="7"/>
      <c r="L90" s="7"/>
      <c r="M90" s="7"/>
      <c r="N90" s="7"/>
      <c r="O90" s="7"/>
      <c r="P90" s="7"/>
      <c r="Q90" s="53"/>
      <c r="R90" s="7"/>
      <c r="S90" s="7"/>
      <c r="T90" s="53"/>
      <c r="U90" s="7"/>
      <c r="V90" s="7" t="e">
        <f t="shared" si="31"/>
        <v>#VALUE!</v>
      </c>
      <c r="W90" s="28"/>
      <c r="X90" s="7" t="e">
        <f t="shared" si="31"/>
        <v>#VALUE!</v>
      </c>
      <c r="Y90" s="28"/>
      <c r="Z90" s="7" t="e">
        <f t="shared" si="32"/>
        <v>#VALUE!</v>
      </c>
      <c r="AA90" s="28"/>
      <c r="AB90" s="7"/>
      <c r="AC90" s="7"/>
      <c r="AD90" s="7"/>
      <c r="AE90" s="7"/>
      <c r="AF90" s="7">
        <v>0</v>
      </c>
      <c r="AG90" s="7" t="e">
        <f t="shared" si="33"/>
        <v>#VALUE!</v>
      </c>
      <c r="AH90" s="28"/>
      <c r="AI90" s="7"/>
      <c r="AJ90" s="7" t="e">
        <f t="shared" si="34"/>
        <v>#VALUE!</v>
      </c>
      <c r="AK90" s="28"/>
      <c r="AL90" s="7" t="e">
        <f t="shared" si="35"/>
        <v>#VALUE!</v>
      </c>
      <c r="AM90" s="28"/>
      <c r="AN90" s="7" t="e">
        <f t="shared" si="36"/>
        <v>#VALUE!</v>
      </c>
      <c r="AO90" s="28"/>
      <c r="AP90" s="7">
        <f t="shared" si="37"/>
        <v>2</v>
      </c>
      <c r="AQ90" s="28" t="s">
        <v>2301</v>
      </c>
      <c r="AR90" s="7"/>
      <c r="AS90" s="7"/>
      <c r="AT90" s="7"/>
      <c r="AU90" s="7"/>
      <c r="AV90" s="7">
        <f t="shared" si="38"/>
        <v>4617</v>
      </c>
      <c r="AW90" s="28" t="s">
        <v>2302</v>
      </c>
      <c r="AX90" s="7">
        <v>1</v>
      </c>
      <c r="AY90" s="7" t="e">
        <f t="shared" si="39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0"/>
        <v>#VALUE!</v>
      </c>
      <c r="BG90" s="28"/>
      <c r="BH90" s="7" t="e">
        <f t="shared" si="41"/>
        <v>#VALUE!</v>
      </c>
      <c r="BI90" s="28"/>
      <c r="BJ90" s="7" t="e">
        <f t="shared" si="42"/>
        <v>#VALUE!</v>
      </c>
      <c r="BK90" s="28"/>
      <c r="BL90" s="7"/>
      <c r="BM90" s="7"/>
      <c r="BN90" s="7" t="e">
        <f t="shared" si="43"/>
        <v>#VALUE!</v>
      </c>
      <c r="BO90" s="28"/>
      <c r="BP90" s="7" t="e">
        <f t="shared" si="44"/>
        <v>#VALUE!</v>
      </c>
      <c r="BQ90" s="28"/>
      <c r="BR90" s="7"/>
      <c r="BS90" s="7" t="e">
        <f t="shared" si="45"/>
        <v>#VALUE!</v>
      </c>
      <c r="BT90" s="28"/>
      <c r="BU90" s="7"/>
      <c r="BV90" s="7" t="e">
        <f ca="1">[1]!tメーカー名(BU90)</f>
        <v>#NAME?</v>
      </c>
      <c r="BW90" s="7" t="e">
        <f t="shared" si="46"/>
        <v>#VALUE!</v>
      </c>
      <c r="BX90" s="28"/>
      <c r="BY90" s="7" t="e">
        <f t="shared" si="47"/>
        <v>#VALUE!</v>
      </c>
      <c r="BZ90" s="28"/>
      <c r="CA90" s="54"/>
      <c r="CB90" s="54"/>
      <c r="CC90" s="7" t="e">
        <f t="shared" si="48"/>
        <v>#VALUE!</v>
      </c>
      <c r="CD90" s="28"/>
      <c r="CE90" s="7" t="e">
        <f t="shared" si="49"/>
        <v>#VALUE!</v>
      </c>
      <c r="CF90" s="28"/>
      <c r="CG90" s="7" t="e">
        <f t="shared" si="50"/>
        <v>#VALUE!</v>
      </c>
      <c r="CH90" s="28"/>
      <c r="CI90" s="7" t="e">
        <f t="shared" si="51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6">
        <f t="shared" si="30"/>
        <v>0</v>
      </c>
      <c r="CT90" s="7"/>
      <c r="CU90" s="7"/>
      <c r="CV90" s="97"/>
      <c r="CW90" s="97"/>
      <c r="CX90" s="97"/>
      <c r="CY90" s="98"/>
      <c r="CZ90" s="98"/>
      <c r="DA90" s="97"/>
      <c r="DB90" s="98"/>
      <c r="DC90" s="97"/>
      <c r="DD90" s="97" t="s">
        <v>1748</v>
      </c>
      <c r="DE90" s="97">
        <v>3</v>
      </c>
      <c r="DF90" s="98"/>
      <c r="DG90" s="98"/>
      <c r="DH90" s="98"/>
      <c r="DI90" s="98"/>
      <c r="DJ90" s="98"/>
      <c r="DK90" s="98"/>
      <c r="DL90" s="98"/>
      <c r="DM90" s="97"/>
      <c r="DN90" s="97"/>
      <c r="DO90" s="97"/>
      <c r="DP90" s="97"/>
      <c r="DQ90" s="97"/>
      <c r="DR90" s="97"/>
      <c r="DS90" s="97"/>
      <c r="DT90" s="99"/>
      <c r="DU90" s="98"/>
      <c r="DV90" s="97"/>
      <c r="DW90" s="97"/>
      <c r="DX90" s="97"/>
      <c r="DY90" s="97"/>
      <c r="DZ90" s="97"/>
      <c r="EA90" s="97"/>
      <c r="EB90" s="97"/>
      <c r="EC90" s="97"/>
      <c r="ED90" s="97"/>
      <c r="EE90" s="97"/>
      <c r="EF90" s="97"/>
      <c r="EG90" s="97"/>
      <c r="EH90" s="97"/>
      <c r="EI90" s="97"/>
      <c r="EJ90" s="97"/>
      <c r="EK90" s="97"/>
      <c r="EL90" s="97"/>
      <c r="EM90" s="97"/>
      <c r="EN90" s="97"/>
      <c r="EO90" s="97"/>
      <c r="EP90" s="97"/>
      <c r="EQ90" s="97"/>
      <c r="ER90" s="97"/>
      <c r="ES90" s="97"/>
      <c r="ET90" s="97"/>
      <c r="EU90" s="97"/>
      <c r="EV90" s="97"/>
      <c r="EW90" s="97"/>
      <c r="EX90" s="97"/>
      <c r="EY90" s="97"/>
      <c r="EZ90" s="97"/>
      <c r="FA90" s="97"/>
      <c r="FB90" s="97"/>
      <c r="FC90" s="97"/>
      <c r="FD90" s="97"/>
      <c r="FE90" s="97"/>
      <c r="FF90" s="97"/>
      <c r="FG90" s="97"/>
      <c r="FH90" s="97"/>
      <c r="FI90" s="97"/>
      <c r="FJ90" s="97"/>
      <c r="FK90" s="97"/>
      <c r="FL90" s="97"/>
      <c r="FM90" s="97"/>
      <c r="FN90" s="97"/>
      <c r="FO90" s="97"/>
      <c r="FP90" s="97"/>
      <c r="FQ90" s="97"/>
      <c r="FR90" s="97"/>
      <c r="FS90" s="97"/>
      <c r="FT90" s="97"/>
      <c r="FU90" s="97"/>
      <c r="FV90" s="97"/>
      <c r="FW90" s="97"/>
      <c r="FX90" s="97"/>
      <c r="FY90" s="6"/>
      <c r="FZ90" s="7" t="str">
        <f>IF(FY90="","",VLOOKUP(FY90,MT商品ﾏｽﾀ参照シート!AM:AN,2,0))</f>
        <v/>
      </c>
      <c r="GA90" s="8"/>
      <c r="GB90" s="8"/>
      <c r="GC90" s="8"/>
      <c r="GD90" s="8"/>
      <c r="GE90" s="58"/>
      <c r="GF90" s="7" t="str">
        <f>IF(GE90="","",VLOOKUP(GE90,MT商品ﾏｽﾀ参照シート!AO:AP,2,0))</f>
        <v/>
      </c>
      <c r="GG90" s="7"/>
      <c r="GH90" s="7"/>
      <c r="GI90" s="7"/>
      <c r="GJ90" s="7"/>
      <c r="GK90" s="49"/>
      <c r="GL90" s="6"/>
      <c r="GM90" s="6"/>
      <c r="GN90" s="7"/>
      <c r="GO90" s="7"/>
      <c r="GP90" s="7"/>
      <c r="GQ90" s="7"/>
      <c r="GR90" s="7">
        <v>2805</v>
      </c>
      <c r="GS90" s="7">
        <v>3300</v>
      </c>
      <c r="GT90" s="7">
        <v>3300</v>
      </c>
      <c r="GU90" s="7">
        <v>3300</v>
      </c>
      <c r="GV90" s="7">
        <v>3300</v>
      </c>
      <c r="GW90" s="8"/>
      <c r="GX90" s="8"/>
      <c r="GY90" s="8"/>
      <c r="GZ90" s="8"/>
      <c r="HA90" s="8"/>
      <c r="HB90" s="8"/>
      <c r="HC90" s="8"/>
      <c r="HD90" s="8"/>
      <c r="HE90" s="58"/>
      <c r="HF90" s="58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82"/>
      <c r="HR90" s="82"/>
      <c r="HS90" s="82"/>
      <c r="HT90" s="26"/>
      <c r="HU90" s="23"/>
      <c r="HV90" s="23"/>
      <c r="HW90" s="24"/>
      <c r="HX90" s="24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76"/>
      <c r="IY90" s="76"/>
      <c r="IZ90" s="76"/>
      <c r="JA90" s="71"/>
      <c r="JB90" s="71"/>
      <c r="JC90" s="72"/>
      <c r="JD90" s="72"/>
      <c r="JE90" s="72"/>
      <c r="JF90" s="72"/>
      <c r="JG90" s="72"/>
      <c r="JH90" s="72"/>
      <c r="JI90" s="71"/>
      <c r="JJ90" s="71"/>
      <c r="JK90" s="72"/>
      <c r="JL90" s="72"/>
      <c r="JM90" s="72"/>
      <c r="JN90" s="72"/>
    </row>
    <row r="91" spans="1:274" ht="13.5" customHeight="1">
      <c r="A91" s="7">
        <v>79</v>
      </c>
      <c r="B91" s="7"/>
      <c r="C91" s="7" t="e">
        <f t="shared" si="52"/>
        <v>#VALUE!</v>
      </c>
      <c r="D91" s="28"/>
      <c r="E91" s="7">
        <f t="shared" si="27"/>
        <v>0</v>
      </c>
      <c r="F91" s="6"/>
      <c r="G91" s="7">
        <f t="shared" si="28"/>
        <v>0</v>
      </c>
      <c r="H91" s="7"/>
      <c r="I91" s="7">
        <f t="shared" si="29"/>
        <v>0</v>
      </c>
      <c r="J91" s="7"/>
      <c r="K91" s="7"/>
      <c r="L91" s="7"/>
      <c r="M91" s="7"/>
      <c r="N91" s="7"/>
      <c r="O91" s="7"/>
      <c r="P91" s="7"/>
      <c r="Q91" s="53"/>
      <c r="R91" s="7"/>
      <c r="S91" s="7"/>
      <c r="T91" s="53"/>
      <c r="U91" s="7"/>
      <c r="V91" s="7" t="e">
        <f t="shared" si="31"/>
        <v>#VALUE!</v>
      </c>
      <c r="W91" s="28"/>
      <c r="X91" s="7" t="e">
        <f t="shared" si="31"/>
        <v>#VALUE!</v>
      </c>
      <c r="Y91" s="28"/>
      <c r="Z91" s="7" t="e">
        <f t="shared" si="32"/>
        <v>#VALUE!</v>
      </c>
      <c r="AA91" s="28"/>
      <c r="AB91" s="7"/>
      <c r="AC91" s="7"/>
      <c r="AD91" s="7"/>
      <c r="AE91" s="7"/>
      <c r="AF91" s="7">
        <v>0</v>
      </c>
      <c r="AG91" s="7" t="e">
        <f t="shared" si="33"/>
        <v>#VALUE!</v>
      </c>
      <c r="AH91" s="28"/>
      <c r="AI91" s="7"/>
      <c r="AJ91" s="7" t="e">
        <f t="shared" si="34"/>
        <v>#VALUE!</v>
      </c>
      <c r="AK91" s="28"/>
      <c r="AL91" s="7" t="e">
        <f t="shared" si="35"/>
        <v>#VALUE!</v>
      </c>
      <c r="AM91" s="28"/>
      <c r="AN91" s="7" t="e">
        <f t="shared" si="36"/>
        <v>#VALUE!</v>
      </c>
      <c r="AO91" s="28"/>
      <c r="AP91" s="7">
        <f t="shared" si="37"/>
        <v>2</v>
      </c>
      <c r="AQ91" s="28" t="s">
        <v>2301</v>
      </c>
      <c r="AR91" s="7"/>
      <c r="AS91" s="7"/>
      <c r="AT91" s="7"/>
      <c r="AU91" s="7"/>
      <c r="AV91" s="7">
        <f t="shared" si="38"/>
        <v>4617</v>
      </c>
      <c r="AW91" s="28" t="s">
        <v>2302</v>
      </c>
      <c r="AX91" s="7">
        <v>1</v>
      </c>
      <c r="AY91" s="7" t="e">
        <f t="shared" si="39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0"/>
        <v>#VALUE!</v>
      </c>
      <c r="BG91" s="28"/>
      <c r="BH91" s="7" t="e">
        <f t="shared" si="41"/>
        <v>#VALUE!</v>
      </c>
      <c r="BI91" s="28"/>
      <c r="BJ91" s="7" t="e">
        <f t="shared" si="42"/>
        <v>#VALUE!</v>
      </c>
      <c r="BK91" s="28"/>
      <c r="BL91" s="7"/>
      <c r="BM91" s="7"/>
      <c r="BN91" s="7" t="e">
        <f t="shared" si="43"/>
        <v>#VALUE!</v>
      </c>
      <c r="BO91" s="28"/>
      <c r="BP91" s="7" t="e">
        <f t="shared" si="44"/>
        <v>#VALUE!</v>
      </c>
      <c r="BQ91" s="28"/>
      <c r="BR91" s="7"/>
      <c r="BS91" s="7" t="e">
        <f t="shared" si="45"/>
        <v>#VALUE!</v>
      </c>
      <c r="BT91" s="28"/>
      <c r="BU91" s="7"/>
      <c r="BV91" s="7" t="e">
        <f ca="1">[1]!tメーカー名(BU91)</f>
        <v>#NAME?</v>
      </c>
      <c r="BW91" s="7" t="e">
        <f t="shared" si="46"/>
        <v>#VALUE!</v>
      </c>
      <c r="BX91" s="28"/>
      <c r="BY91" s="7" t="e">
        <f t="shared" si="47"/>
        <v>#VALUE!</v>
      </c>
      <c r="BZ91" s="28"/>
      <c r="CA91" s="54"/>
      <c r="CB91" s="54"/>
      <c r="CC91" s="7" t="e">
        <f t="shared" si="48"/>
        <v>#VALUE!</v>
      </c>
      <c r="CD91" s="28"/>
      <c r="CE91" s="7" t="e">
        <f t="shared" si="49"/>
        <v>#VALUE!</v>
      </c>
      <c r="CF91" s="28"/>
      <c r="CG91" s="7" t="e">
        <f t="shared" si="50"/>
        <v>#VALUE!</v>
      </c>
      <c r="CH91" s="28"/>
      <c r="CI91" s="7" t="e">
        <f t="shared" si="51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6">
        <f t="shared" si="30"/>
        <v>0</v>
      </c>
      <c r="CT91" s="7"/>
      <c r="CU91" s="7"/>
      <c r="CV91" s="97"/>
      <c r="CW91" s="97"/>
      <c r="CX91" s="97"/>
      <c r="CY91" s="98"/>
      <c r="CZ91" s="98"/>
      <c r="DA91" s="97"/>
      <c r="DB91" s="98"/>
      <c r="DC91" s="97"/>
      <c r="DD91" s="97" t="s">
        <v>1749</v>
      </c>
      <c r="DE91" s="97">
        <v>3</v>
      </c>
      <c r="DF91" s="98"/>
      <c r="DG91" s="98"/>
      <c r="DH91" s="98"/>
      <c r="DI91" s="98"/>
      <c r="DJ91" s="98"/>
      <c r="DK91" s="98"/>
      <c r="DL91" s="98"/>
      <c r="DM91" s="97"/>
      <c r="DN91" s="97"/>
      <c r="DO91" s="97"/>
      <c r="DP91" s="97"/>
      <c r="DQ91" s="97"/>
      <c r="DR91" s="97"/>
      <c r="DS91" s="97"/>
      <c r="DT91" s="99"/>
      <c r="DU91" s="98"/>
      <c r="DV91" s="97"/>
      <c r="DW91" s="97"/>
      <c r="DX91" s="97"/>
      <c r="DY91" s="97"/>
      <c r="DZ91" s="97"/>
      <c r="EA91" s="97"/>
      <c r="EB91" s="97"/>
      <c r="EC91" s="97"/>
      <c r="ED91" s="97"/>
      <c r="EE91" s="97"/>
      <c r="EF91" s="97"/>
      <c r="EG91" s="97"/>
      <c r="EH91" s="97"/>
      <c r="EI91" s="97"/>
      <c r="EJ91" s="97"/>
      <c r="EK91" s="97"/>
      <c r="EL91" s="97"/>
      <c r="EM91" s="97"/>
      <c r="EN91" s="97"/>
      <c r="EO91" s="97"/>
      <c r="EP91" s="97"/>
      <c r="EQ91" s="97"/>
      <c r="ER91" s="97"/>
      <c r="ES91" s="97"/>
      <c r="ET91" s="97"/>
      <c r="EU91" s="97"/>
      <c r="EV91" s="97"/>
      <c r="EW91" s="97"/>
      <c r="EX91" s="97"/>
      <c r="EY91" s="97"/>
      <c r="EZ91" s="97"/>
      <c r="FA91" s="97"/>
      <c r="FB91" s="97"/>
      <c r="FC91" s="97"/>
      <c r="FD91" s="97"/>
      <c r="FE91" s="97"/>
      <c r="FF91" s="97"/>
      <c r="FG91" s="97"/>
      <c r="FH91" s="97"/>
      <c r="FI91" s="97"/>
      <c r="FJ91" s="97"/>
      <c r="FK91" s="97"/>
      <c r="FL91" s="97"/>
      <c r="FM91" s="97"/>
      <c r="FN91" s="97"/>
      <c r="FO91" s="97"/>
      <c r="FP91" s="97"/>
      <c r="FQ91" s="97"/>
      <c r="FR91" s="97"/>
      <c r="FS91" s="97"/>
      <c r="FT91" s="97"/>
      <c r="FU91" s="97"/>
      <c r="FV91" s="97"/>
      <c r="FW91" s="97"/>
      <c r="FX91" s="97"/>
      <c r="FY91" s="6"/>
      <c r="FZ91" s="7" t="str">
        <f>IF(FY91="","",VLOOKUP(FY91,MT商品ﾏｽﾀ参照シート!AM:AN,2,0))</f>
        <v/>
      </c>
      <c r="GA91" s="8"/>
      <c r="GB91" s="8"/>
      <c r="GC91" s="8"/>
      <c r="GD91" s="8"/>
      <c r="GE91" s="58"/>
      <c r="GF91" s="7" t="str">
        <f>IF(GE91="","",VLOOKUP(GE91,MT商品ﾏｽﾀ参照シート!AO:AP,2,0))</f>
        <v/>
      </c>
      <c r="GG91" s="7"/>
      <c r="GH91" s="7"/>
      <c r="GI91" s="7"/>
      <c r="GJ91" s="7"/>
      <c r="GK91" s="49"/>
      <c r="GL91" s="6"/>
      <c r="GM91" s="6"/>
      <c r="GN91" s="7"/>
      <c r="GO91" s="7"/>
      <c r="GP91" s="7"/>
      <c r="GQ91" s="7"/>
      <c r="GR91" s="7">
        <v>2805</v>
      </c>
      <c r="GS91" s="7">
        <v>3300</v>
      </c>
      <c r="GT91" s="7">
        <v>3300</v>
      </c>
      <c r="GU91" s="7">
        <v>3300</v>
      </c>
      <c r="GV91" s="7">
        <v>3300</v>
      </c>
      <c r="GW91" s="8"/>
      <c r="GX91" s="8"/>
      <c r="GY91" s="8"/>
      <c r="GZ91" s="8"/>
      <c r="HA91" s="8"/>
      <c r="HB91" s="8"/>
      <c r="HC91" s="8"/>
      <c r="HD91" s="8"/>
      <c r="HE91" s="58"/>
      <c r="HF91" s="58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82"/>
      <c r="HR91" s="82"/>
      <c r="HS91" s="82"/>
      <c r="HT91" s="26"/>
      <c r="HU91" s="23"/>
      <c r="HV91" s="23"/>
      <c r="HW91" s="24"/>
      <c r="HX91" s="24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76"/>
      <c r="IY91" s="76"/>
      <c r="IZ91" s="76"/>
      <c r="JA91" s="71"/>
      <c r="JB91" s="71"/>
      <c r="JC91" s="72"/>
      <c r="JD91" s="72"/>
      <c r="JE91" s="72"/>
      <c r="JF91" s="72"/>
      <c r="JG91" s="72"/>
      <c r="JH91" s="72"/>
      <c r="JI91" s="71"/>
      <c r="JJ91" s="71"/>
      <c r="JK91" s="72"/>
      <c r="JL91" s="72"/>
      <c r="JM91" s="72"/>
      <c r="JN91" s="72"/>
    </row>
    <row r="92" spans="1:274" ht="13.5" customHeight="1">
      <c r="A92" s="7">
        <v>80</v>
      </c>
      <c r="B92" s="7"/>
      <c r="C92" s="7" t="e">
        <f t="shared" si="52"/>
        <v>#VALUE!</v>
      </c>
      <c r="D92" s="28"/>
      <c r="E92" s="7">
        <f t="shared" si="27"/>
        <v>0</v>
      </c>
      <c r="F92" s="6"/>
      <c r="G92" s="7">
        <f t="shared" si="28"/>
        <v>0</v>
      </c>
      <c r="H92" s="7"/>
      <c r="I92" s="7">
        <f t="shared" si="29"/>
        <v>0</v>
      </c>
      <c r="J92" s="7"/>
      <c r="K92" s="7"/>
      <c r="L92" s="7"/>
      <c r="M92" s="7"/>
      <c r="N92" s="7"/>
      <c r="O92" s="7"/>
      <c r="P92" s="7"/>
      <c r="Q92" s="53"/>
      <c r="R92" s="7"/>
      <c r="S92" s="7"/>
      <c r="T92" s="53"/>
      <c r="U92" s="7"/>
      <c r="V92" s="7" t="e">
        <f t="shared" si="31"/>
        <v>#VALUE!</v>
      </c>
      <c r="W92" s="28"/>
      <c r="X92" s="7" t="e">
        <f t="shared" si="31"/>
        <v>#VALUE!</v>
      </c>
      <c r="Y92" s="28"/>
      <c r="Z92" s="7" t="e">
        <f t="shared" si="32"/>
        <v>#VALUE!</v>
      </c>
      <c r="AA92" s="28"/>
      <c r="AB92" s="7"/>
      <c r="AC92" s="7"/>
      <c r="AD92" s="7"/>
      <c r="AE92" s="7"/>
      <c r="AF92" s="7">
        <v>0</v>
      </c>
      <c r="AG92" s="7" t="e">
        <f t="shared" si="33"/>
        <v>#VALUE!</v>
      </c>
      <c r="AH92" s="28"/>
      <c r="AI92" s="7"/>
      <c r="AJ92" s="7" t="e">
        <f t="shared" si="34"/>
        <v>#VALUE!</v>
      </c>
      <c r="AK92" s="28"/>
      <c r="AL92" s="7" t="e">
        <f t="shared" si="35"/>
        <v>#VALUE!</v>
      </c>
      <c r="AM92" s="28"/>
      <c r="AN92" s="7" t="e">
        <f t="shared" si="36"/>
        <v>#VALUE!</v>
      </c>
      <c r="AO92" s="28"/>
      <c r="AP92" s="7">
        <f t="shared" si="37"/>
        <v>2</v>
      </c>
      <c r="AQ92" s="28" t="s">
        <v>2301</v>
      </c>
      <c r="AR92" s="7"/>
      <c r="AS92" s="7"/>
      <c r="AT92" s="7"/>
      <c r="AU92" s="7"/>
      <c r="AV92" s="7">
        <f t="shared" si="38"/>
        <v>4617</v>
      </c>
      <c r="AW92" s="28" t="s">
        <v>2302</v>
      </c>
      <c r="AX92" s="7">
        <v>1</v>
      </c>
      <c r="AY92" s="7" t="e">
        <f t="shared" si="39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0"/>
        <v>#VALUE!</v>
      </c>
      <c r="BG92" s="28"/>
      <c r="BH92" s="7" t="e">
        <f t="shared" si="41"/>
        <v>#VALUE!</v>
      </c>
      <c r="BI92" s="28"/>
      <c r="BJ92" s="7" t="e">
        <f t="shared" si="42"/>
        <v>#VALUE!</v>
      </c>
      <c r="BK92" s="28"/>
      <c r="BL92" s="7"/>
      <c r="BM92" s="7"/>
      <c r="BN92" s="7" t="e">
        <f t="shared" si="43"/>
        <v>#VALUE!</v>
      </c>
      <c r="BO92" s="28"/>
      <c r="BP92" s="7" t="e">
        <f t="shared" si="44"/>
        <v>#VALUE!</v>
      </c>
      <c r="BQ92" s="28"/>
      <c r="BR92" s="7"/>
      <c r="BS92" s="7" t="e">
        <f t="shared" si="45"/>
        <v>#VALUE!</v>
      </c>
      <c r="BT92" s="28"/>
      <c r="BU92" s="7"/>
      <c r="BV92" s="7" t="e">
        <f ca="1">[1]!tメーカー名(BU92)</f>
        <v>#NAME?</v>
      </c>
      <c r="BW92" s="7" t="e">
        <f t="shared" si="46"/>
        <v>#VALUE!</v>
      </c>
      <c r="BX92" s="28"/>
      <c r="BY92" s="7" t="e">
        <f t="shared" si="47"/>
        <v>#VALUE!</v>
      </c>
      <c r="BZ92" s="28"/>
      <c r="CA92" s="54"/>
      <c r="CB92" s="54"/>
      <c r="CC92" s="7" t="e">
        <f t="shared" si="48"/>
        <v>#VALUE!</v>
      </c>
      <c r="CD92" s="28"/>
      <c r="CE92" s="7" t="e">
        <f t="shared" si="49"/>
        <v>#VALUE!</v>
      </c>
      <c r="CF92" s="28"/>
      <c r="CG92" s="7" t="e">
        <f t="shared" si="50"/>
        <v>#VALUE!</v>
      </c>
      <c r="CH92" s="28"/>
      <c r="CI92" s="7" t="e">
        <f t="shared" si="51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6">
        <f t="shared" si="30"/>
        <v>0</v>
      </c>
      <c r="CT92" s="7"/>
      <c r="CU92" s="7"/>
      <c r="CV92" s="97"/>
      <c r="CW92" s="97"/>
      <c r="CX92" s="97"/>
      <c r="CY92" s="98"/>
      <c r="CZ92" s="98"/>
      <c r="DA92" s="97"/>
      <c r="DB92" s="98"/>
      <c r="DC92" s="97"/>
      <c r="DD92" s="97" t="s">
        <v>1750</v>
      </c>
      <c r="DE92" s="97">
        <v>3</v>
      </c>
      <c r="DF92" s="98"/>
      <c r="DG92" s="98"/>
      <c r="DH92" s="98"/>
      <c r="DI92" s="98"/>
      <c r="DJ92" s="98"/>
      <c r="DK92" s="98"/>
      <c r="DL92" s="98"/>
      <c r="DM92" s="97"/>
      <c r="DN92" s="97"/>
      <c r="DO92" s="97"/>
      <c r="DP92" s="97"/>
      <c r="DQ92" s="97"/>
      <c r="DR92" s="97"/>
      <c r="DS92" s="97"/>
      <c r="DT92" s="99"/>
      <c r="DU92" s="98"/>
      <c r="DV92" s="97"/>
      <c r="DW92" s="97"/>
      <c r="DX92" s="97"/>
      <c r="DY92" s="97"/>
      <c r="DZ92" s="97"/>
      <c r="EA92" s="97"/>
      <c r="EB92" s="97"/>
      <c r="EC92" s="97"/>
      <c r="ED92" s="97"/>
      <c r="EE92" s="97"/>
      <c r="EF92" s="97"/>
      <c r="EG92" s="97"/>
      <c r="EH92" s="97"/>
      <c r="EI92" s="97"/>
      <c r="EJ92" s="97"/>
      <c r="EK92" s="97"/>
      <c r="EL92" s="97"/>
      <c r="EM92" s="97"/>
      <c r="EN92" s="97"/>
      <c r="EO92" s="97"/>
      <c r="EP92" s="97"/>
      <c r="EQ92" s="97"/>
      <c r="ER92" s="97"/>
      <c r="ES92" s="97"/>
      <c r="ET92" s="97"/>
      <c r="EU92" s="97"/>
      <c r="EV92" s="97"/>
      <c r="EW92" s="97"/>
      <c r="EX92" s="97"/>
      <c r="EY92" s="97"/>
      <c r="EZ92" s="97"/>
      <c r="FA92" s="97"/>
      <c r="FB92" s="97"/>
      <c r="FC92" s="97"/>
      <c r="FD92" s="97"/>
      <c r="FE92" s="97"/>
      <c r="FF92" s="97"/>
      <c r="FG92" s="97"/>
      <c r="FH92" s="97"/>
      <c r="FI92" s="97"/>
      <c r="FJ92" s="97"/>
      <c r="FK92" s="97"/>
      <c r="FL92" s="97"/>
      <c r="FM92" s="97"/>
      <c r="FN92" s="97"/>
      <c r="FO92" s="97"/>
      <c r="FP92" s="97"/>
      <c r="FQ92" s="97"/>
      <c r="FR92" s="97"/>
      <c r="FS92" s="97"/>
      <c r="FT92" s="97"/>
      <c r="FU92" s="97"/>
      <c r="FV92" s="97"/>
      <c r="FW92" s="97"/>
      <c r="FX92" s="97"/>
      <c r="FY92" s="6"/>
      <c r="FZ92" s="7" t="str">
        <f>IF(FY92="","",VLOOKUP(FY92,MT商品ﾏｽﾀ参照シート!AM:AN,2,0))</f>
        <v/>
      </c>
      <c r="GA92" s="8"/>
      <c r="GB92" s="8"/>
      <c r="GC92" s="8"/>
      <c r="GD92" s="8"/>
      <c r="GE92" s="58"/>
      <c r="GF92" s="7" t="str">
        <f>IF(GE92="","",VLOOKUP(GE92,MT商品ﾏｽﾀ参照シート!AO:AP,2,0))</f>
        <v/>
      </c>
      <c r="GG92" s="7"/>
      <c r="GH92" s="7"/>
      <c r="GI92" s="7"/>
      <c r="GJ92" s="7"/>
      <c r="GK92" s="49"/>
      <c r="GL92" s="6"/>
      <c r="GM92" s="6"/>
      <c r="GN92" s="7"/>
      <c r="GO92" s="7"/>
      <c r="GP92" s="7"/>
      <c r="GQ92" s="7"/>
      <c r="GR92" s="7">
        <v>2805</v>
      </c>
      <c r="GS92" s="7">
        <v>3300</v>
      </c>
      <c r="GT92" s="7">
        <v>3300</v>
      </c>
      <c r="GU92" s="7">
        <v>3300</v>
      </c>
      <c r="GV92" s="7">
        <v>3300</v>
      </c>
      <c r="GW92" s="8"/>
      <c r="GX92" s="8"/>
      <c r="GY92" s="8"/>
      <c r="GZ92" s="8"/>
      <c r="HA92" s="8"/>
      <c r="HB92" s="8"/>
      <c r="HC92" s="8"/>
      <c r="HD92" s="8"/>
      <c r="HE92" s="58"/>
      <c r="HF92" s="58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82"/>
      <c r="HR92" s="82"/>
      <c r="HS92" s="82"/>
      <c r="HT92" s="26"/>
      <c r="HU92" s="23"/>
      <c r="HV92" s="23"/>
      <c r="HW92" s="24"/>
      <c r="HX92" s="24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76"/>
      <c r="IY92" s="76"/>
      <c r="IZ92" s="76"/>
      <c r="JA92" s="71"/>
      <c r="JB92" s="71"/>
      <c r="JC92" s="72"/>
      <c r="JD92" s="72"/>
      <c r="JE92" s="72"/>
      <c r="JF92" s="72"/>
      <c r="JG92" s="72"/>
      <c r="JH92" s="72"/>
      <c r="JI92" s="71"/>
      <c r="JJ92" s="71"/>
      <c r="JK92" s="72"/>
      <c r="JL92" s="72"/>
      <c r="JM92" s="72"/>
      <c r="JN92" s="72"/>
    </row>
    <row r="93" spans="1:274" ht="13.5" customHeight="1">
      <c r="A93" s="7">
        <v>81</v>
      </c>
      <c r="B93" s="7"/>
      <c r="C93" s="7" t="e">
        <f t="shared" si="52"/>
        <v>#VALUE!</v>
      </c>
      <c r="D93" s="28"/>
      <c r="E93" s="7">
        <f t="shared" si="27"/>
        <v>0</v>
      </c>
      <c r="F93" s="6"/>
      <c r="G93" s="7">
        <f t="shared" si="28"/>
        <v>0</v>
      </c>
      <c r="H93" s="7"/>
      <c r="I93" s="7">
        <f t="shared" si="29"/>
        <v>0</v>
      </c>
      <c r="J93" s="7"/>
      <c r="K93" s="7"/>
      <c r="L93" s="7"/>
      <c r="M93" s="7"/>
      <c r="N93" s="7"/>
      <c r="O93" s="7"/>
      <c r="P93" s="7"/>
      <c r="Q93" s="53"/>
      <c r="R93" s="7"/>
      <c r="S93" s="7"/>
      <c r="T93" s="53"/>
      <c r="U93" s="7"/>
      <c r="V93" s="7" t="e">
        <f t="shared" si="31"/>
        <v>#VALUE!</v>
      </c>
      <c r="W93" s="28"/>
      <c r="X93" s="7" t="e">
        <f t="shared" si="31"/>
        <v>#VALUE!</v>
      </c>
      <c r="Y93" s="28"/>
      <c r="Z93" s="7" t="e">
        <f t="shared" si="32"/>
        <v>#VALUE!</v>
      </c>
      <c r="AA93" s="28"/>
      <c r="AB93" s="7"/>
      <c r="AC93" s="7"/>
      <c r="AD93" s="7"/>
      <c r="AE93" s="7"/>
      <c r="AF93" s="7">
        <v>0</v>
      </c>
      <c r="AG93" s="7" t="e">
        <f t="shared" si="33"/>
        <v>#VALUE!</v>
      </c>
      <c r="AH93" s="28"/>
      <c r="AI93" s="7"/>
      <c r="AJ93" s="7" t="e">
        <f t="shared" si="34"/>
        <v>#VALUE!</v>
      </c>
      <c r="AK93" s="28"/>
      <c r="AL93" s="7" t="e">
        <f t="shared" si="35"/>
        <v>#VALUE!</v>
      </c>
      <c r="AM93" s="28"/>
      <c r="AN93" s="7" t="e">
        <f t="shared" si="36"/>
        <v>#VALUE!</v>
      </c>
      <c r="AO93" s="28"/>
      <c r="AP93" s="7">
        <f t="shared" si="37"/>
        <v>2</v>
      </c>
      <c r="AQ93" s="28" t="s">
        <v>2301</v>
      </c>
      <c r="AR93" s="7"/>
      <c r="AS93" s="7"/>
      <c r="AT93" s="7"/>
      <c r="AU93" s="7"/>
      <c r="AV93" s="7">
        <f t="shared" si="38"/>
        <v>4617</v>
      </c>
      <c r="AW93" s="28" t="s">
        <v>2302</v>
      </c>
      <c r="AX93" s="7">
        <v>1</v>
      </c>
      <c r="AY93" s="7" t="e">
        <f t="shared" si="39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0"/>
        <v>#VALUE!</v>
      </c>
      <c r="BG93" s="28"/>
      <c r="BH93" s="7" t="e">
        <f t="shared" si="41"/>
        <v>#VALUE!</v>
      </c>
      <c r="BI93" s="28"/>
      <c r="BJ93" s="7" t="e">
        <f t="shared" si="42"/>
        <v>#VALUE!</v>
      </c>
      <c r="BK93" s="28"/>
      <c r="BL93" s="7"/>
      <c r="BM93" s="7"/>
      <c r="BN93" s="7" t="e">
        <f t="shared" si="43"/>
        <v>#VALUE!</v>
      </c>
      <c r="BO93" s="28"/>
      <c r="BP93" s="7" t="e">
        <f t="shared" si="44"/>
        <v>#VALUE!</v>
      </c>
      <c r="BQ93" s="28"/>
      <c r="BR93" s="7"/>
      <c r="BS93" s="7" t="e">
        <f t="shared" si="45"/>
        <v>#VALUE!</v>
      </c>
      <c r="BT93" s="28"/>
      <c r="BU93" s="7"/>
      <c r="BV93" s="7" t="e">
        <f ca="1">[1]!tメーカー名(BU93)</f>
        <v>#NAME?</v>
      </c>
      <c r="BW93" s="7" t="e">
        <f t="shared" si="46"/>
        <v>#VALUE!</v>
      </c>
      <c r="BX93" s="28"/>
      <c r="BY93" s="7" t="e">
        <f t="shared" si="47"/>
        <v>#VALUE!</v>
      </c>
      <c r="BZ93" s="28"/>
      <c r="CA93" s="54"/>
      <c r="CB93" s="54"/>
      <c r="CC93" s="7" t="e">
        <f t="shared" si="48"/>
        <v>#VALUE!</v>
      </c>
      <c r="CD93" s="28"/>
      <c r="CE93" s="7" t="e">
        <f t="shared" si="49"/>
        <v>#VALUE!</v>
      </c>
      <c r="CF93" s="28"/>
      <c r="CG93" s="7" t="e">
        <f t="shared" si="50"/>
        <v>#VALUE!</v>
      </c>
      <c r="CH93" s="28"/>
      <c r="CI93" s="7" t="e">
        <f t="shared" si="51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6">
        <f t="shared" si="30"/>
        <v>0</v>
      </c>
      <c r="CT93" s="7"/>
      <c r="CU93" s="7"/>
      <c r="CV93" s="97"/>
      <c r="CW93" s="97"/>
      <c r="CX93" s="97"/>
      <c r="CY93" s="98"/>
      <c r="CZ93" s="98"/>
      <c r="DA93" s="97"/>
      <c r="DB93" s="98"/>
      <c r="DC93" s="97"/>
      <c r="DD93" s="97" t="s">
        <v>1751</v>
      </c>
      <c r="DE93" s="97">
        <v>3</v>
      </c>
      <c r="DF93" s="98"/>
      <c r="DG93" s="98"/>
      <c r="DH93" s="98"/>
      <c r="DI93" s="98"/>
      <c r="DJ93" s="98"/>
      <c r="DK93" s="98"/>
      <c r="DL93" s="98"/>
      <c r="DM93" s="97"/>
      <c r="DN93" s="97"/>
      <c r="DO93" s="97"/>
      <c r="DP93" s="97"/>
      <c r="DQ93" s="97"/>
      <c r="DR93" s="97"/>
      <c r="DS93" s="97"/>
      <c r="DT93" s="99"/>
      <c r="DU93" s="98"/>
      <c r="DV93" s="97"/>
      <c r="DW93" s="97"/>
      <c r="DX93" s="97"/>
      <c r="DY93" s="97"/>
      <c r="DZ93" s="97"/>
      <c r="EA93" s="97"/>
      <c r="EB93" s="97"/>
      <c r="EC93" s="97"/>
      <c r="ED93" s="97"/>
      <c r="EE93" s="97"/>
      <c r="EF93" s="97"/>
      <c r="EG93" s="97"/>
      <c r="EH93" s="97"/>
      <c r="EI93" s="97"/>
      <c r="EJ93" s="97"/>
      <c r="EK93" s="97"/>
      <c r="EL93" s="97"/>
      <c r="EM93" s="97"/>
      <c r="EN93" s="97"/>
      <c r="EO93" s="97"/>
      <c r="EP93" s="97"/>
      <c r="EQ93" s="97"/>
      <c r="ER93" s="97"/>
      <c r="ES93" s="97"/>
      <c r="ET93" s="97"/>
      <c r="EU93" s="97"/>
      <c r="EV93" s="97"/>
      <c r="EW93" s="97"/>
      <c r="EX93" s="97"/>
      <c r="EY93" s="97"/>
      <c r="EZ93" s="97"/>
      <c r="FA93" s="97"/>
      <c r="FB93" s="97"/>
      <c r="FC93" s="97"/>
      <c r="FD93" s="97"/>
      <c r="FE93" s="97"/>
      <c r="FF93" s="97"/>
      <c r="FG93" s="97"/>
      <c r="FH93" s="97"/>
      <c r="FI93" s="97"/>
      <c r="FJ93" s="97"/>
      <c r="FK93" s="97"/>
      <c r="FL93" s="97"/>
      <c r="FM93" s="97"/>
      <c r="FN93" s="97"/>
      <c r="FO93" s="97"/>
      <c r="FP93" s="97"/>
      <c r="FQ93" s="97"/>
      <c r="FR93" s="97"/>
      <c r="FS93" s="97"/>
      <c r="FT93" s="97"/>
      <c r="FU93" s="97"/>
      <c r="FV93" s="97"/>
      <c r="FW93" s="97"/>
      <c r="FX93" s="97"/>
      <c r="FY93" s="6"/>
      <c r="FZ93" s="7" t="str">
        <f>IF(FY93="","",VLOOKUP(FY93,MT商品ﾏｽﾀ参照シート!AM:AN,2,0))</f>
        <v/>
      </c>
      <c r="GA93" s="8"/>
      <c r="GB93" s="8"/>
      <c r="GC93" s="8"/>
      <c r="GD93" s="8"/>
      <c r="GE93" s="58"/>
      <c r="GF93" s="7" t="str">
        <f>IF(GE93="","",VLOOKUP(GE93,MT商品ﾏｽﾀ参照シート!AO:AP,2,0))</f>
        <v/>
      </c>
      <c r="GG93" s="7"/>
      <c r="GH93" s="7"/>
      <c r="GI93" s="7"/>
      <c r="GJ93" s="7"/>
      <c r="GK93" s="49"/>
      <c r="GL93" s="6"/>
      <c r="GM93" s="6"/>
      <c r="GN93" s="7"/>
      <c r="GO93" s="7"/>
      <c r="GP93" s="7"/>
      <c r="GQ93" s="7"/>
      <c r="GR93" s="7">
        <v>2805</v>
      </c>
      <c r="GS93" s="7">
        <v>3300</v>
      </c>
      <c r="GT93" s="7">
        <v>3300</v>
      </c>
      <c r="GU93" s="7">
        <v>3300</v>
      </c>
      <c r="GV93" s="7">
        <v>3300</v>
      </c>
      <c r="GW93" s="8"/>
      <c r="GX93" s="8"/>
      <c r="GY93" s="8"/>
      <c r="GZ93" s="8"/>
      <c r="HA93" s="8"/>
      <c r="HB93" s="8"/>
      <c r="HC93" s="8"/>
      <c r="HD93" s="8"/>
      <c r="HE93" s="58"/>
      <c r="HF93" s="58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82"/>
      <c r="HR93" s="82"/>
      <c r="HS93" s="82"/>
      <c r="HT93" s="26"/>
      <c r="HU93" s="23"/>
      <c r="HV93" s="23"/>
      <c r="HW93" s="24"/>
      <c r="HX93" s="24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76"/>
      <c r="IY93" s="76"/>
      <c r="IZ93" s="76"/>
      <c r="JA93" s="71"/>
      <c r="JB93" s="71"/>
      <c r="JC93" s="72"/>
      <c r="JD93" s="72"/>
      <c r="JE93" s="72"/>
      <c r="JF93" s="72"/>
      <c r="JG93" s="72"/>
      <c r="JH93" s="72"/>
      <c r="JI93" s="71"/>
      <c r="JJ93" s="71"/>
      <c r="JK93" s="72"/>
      <c r="JL93" s="72"/>
      <c r="JM93" s="72"/>
      <c r="JN93" s="72"/>
    </row>
    <row r="94" spans="1:274" ht="13.5" customHeight="1">
      <c r="A94" s="7">
        <v>82</v>
      </c>
      <c r="B94" s="7"/>
      <c r="C94" s="7" t="e">
        <f t="shared" si="52"/>
        <v>#VALUE!</v>
      </c>
      <c r="D94" s="28"/>
      <c r="E94" s="7">
        <f t="shared" si="27"/>
        <v>0</v>
      </c>
      <c r="F94" s="7"/>
      <c r="G94" s="7">
        <f t="shared" si="28"/>
        <v>0</v>
      </c>
      <c r="H94" s="7"/>
      <c r="I94" s="7">
        <f t="shared" si="29"/>
        <v>0</v>
      </c>
      <c r="J94" s="7"/>
      <c r="K94" s="7"/>
      <c r="L94" s="7"/>
      <c r="M94" s="7"/>
      <c r="N94" s="7"/>
      <c r="O94" s="7"/>
      <c r="P94" s="7"/>
      <c r="Q94" s="53"/>
      <c r="R94" s="7"/>
      <c r="S94" s="7"/>
      <c r="T94" s="53"/>
      <c r="U94" s="7"/>
      <c r="V94" s="7" t="e">
        <f t="shared" si="31"/>
        <v>#VALUE!</v>
      </c>
      <c r="W94" s="28"/>
      <c r="X94" s="7" t="e">
        <f t="shared" si="31"/>
        <v>#VALUE!</v>
      </c>
      <c r="Y94" s="28"/>
      <c r="Z94" s="7" t="e">
        <f t="shared" si="32"/>
        <v>#VALUE!</v>
      </c>
      <c r="AA94" s="28"/>
      <c r="AB94" s="7"/>
      <c r="AC94" s="7"/>
      <c r="AD94" s="7"/>
      <c r="AE94" s="7"/>
      <c r="AF94" s="7">
        <v>0</v>
      </c>
      <c r="AG94" s="7" t="e">
        <f t="shared" si="33"/>
        <v>#VALUE!</v>
      </c>
      <c r="AH94" s="28"/>
      <c r="AI94" s="7"/>
      <c r="AJ94" s="7" t="e">
        <f t="shared" si="34"/>
        <v>#VALUE!</v>
      </c>
      <c r="AK94" s="28"/>
      <c r="AL94" s="7" t="e">
        <f t="shared" si="35"/>
        <v>#VALUE!</v>
      </c>
      <c r="AM94" s="28"/>
      <c r="AN94" s="7" t="e">
        <f t="shared" si="36"/>
        <v>#VALUE!</v>
      </c>
      <c r="AO94" s="28"/>
      <c r="AP94" s="7">
        <f t="shared" si="37"/>
        <v>2</v>
      </c>
      <c r="AQ94" s="28" t="s">
        <v>2301</v>
      </c>
      <c r="AR94" s="7"/>
      <c r="AS94" s="7"/>
      <c r="AT94" s="7"/>
      <c r="AU94" s="7"/>
      <c r="AV94" s="7">
        <f t="shared" si="38"/>
        <v>4617</v>
      </c>
      <c r="AW94" s="28" t="s">
        <v>2302</v>
      </c>
      <c r="AX94" s="7">
        <v>1</v>
      </c>
      <c r="AY94" s="7" t="e">
        <f t="shared" si="39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0"/>
        <v>#VALUE!</v>
      </c>
      <c r="BG94" s="28"/>
      <c r="BH94" s="7" t="e">
        <f t="shared" si="41"/>
        <v>#VALUE!</v>
      </c>
      <c r="BI94" s="28"/>
      <c r="BJ94" s="7" t="e">
        <f t="shared" si="42"/>
        <v>#VALUE!</v>
      </c>
      <c r="BK94" s="28"/>
      <c r="BL94" s="7"/>
      <c r="BM94" s="7"/>
      <c r="BN94" s="7" t="e">
        <f t="shared" si="43"/>
        <v>#VALUE!</v>
      </c>
      <c r="BO94" s="28"/>
      <c r="BP94" s="7" t="e">
        <f t="shared" si="44"/>
        <v>#VALUE!</v>
      </c>
      <c r="BQ94" s="28"/>
      <c r="BR94" s="7"/>
      <c r="BS94" s="7" t="e">
        <f t="shared" si="45"/>
        <v>#VALUE!</v>
      </c>
      <c r="BT94" s="28"/>
      <c r="BU94" s="7"/>
      <c r="BV94" s="7" t="e">
        <f ca="1">[1]!tメーカー名(BU94)</f>
        <v>#NAME?</v>
      </c>
      <c r="BW94" s="7" t="e">
        <f t="shared" si="46"/>
        <v>#VALUE!</v>
      </c>
      <c r="BX94" s="28"/>
      <c r="BY94" s="7" t="e">
        <f t="shared" si="47"/>
        <v>#VALUE!</v>
      </c>
      <c r="BZ94" s="28"/>
      <c r="CA94" s="54"/>
      <c r="CB94" s="54"/>
      <c r="CC94" s="7" t="e">
        <f t="shared" si="48"/>
        <v>#VALUE!</v>
      </c>
      <c r="CD94" s="28"/>
      <c r="CE94" s="7" t="e">
        <f t="shared" si="49"/>
        <v>#VALUE!</v>
      </c>
      <c r="CF94" s="28"/>
      <c r="CG94" s="7" t="e">
        <f t="shared" si="50"/>
        <v>#VALUE!</v>
      </c>
      <c r="CH94" s="28"/>
      <c r="CI94" s="7" t="e">
        <f t="shared" si="51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6">
        <f t="shared" si="30"/>
        <v>0</v>
      </c>
      <c r="CT94" s="7"/>
      <c r="CU94" s="7"/>
      <c r="CV94" s="97"/>
      <c r="CW94" s="97"/>
      <c r="CX94" s="97"/>
      <c r="CY94" s="98"/>
      <c r="CZ94" s="98"/>
      <c r="DA94" s="97"/>
      <c r="DB94" s="98"/>
      <c r="DC94" s="97"/>
      <c r="DD94" s="97" t="s">
        <v>1752</v>
      </c>
      <c r="DE94" s="97">
        <v>3</v>
      </c>
      <c r="DF94" s="98"/>
      <c r="DG94" s="98"/>
      <c r="DH94" s="98"/>
      <c r="DI94" s="98"/>
      <c r="DJ94" s="98"/>
      <c r="DK94" s="98"/>
      <c r="DL94" s="98"/>
      <c r="DM94" s="97"/>
      <c r="DN94" s="97"/>
      <c r="DO94" s="97"/>
      <c r="DP94" s="97"/>
      <c r="DQ94" s="97"/>
      <c r="DR94" s="97"/>
      <c r="DS94" s="97"/>
      <c r="DT94" s="99"/>
      <c r="DU94" s="98"/>
      <c r="DV94" s="97"/>
      <c r="DW94" s="97"/>
      <c r="DX94" s="97"/>
      <c r="DY94" s="97"/>
      <c r="DZ94" s="97"/>
      <c r="EA94" s="97"/>
      <c r="EB94" s="97"/>
      <c r="EC94" s="97"/>
      <c r="ED94" s="97"/>
      <c r="EE94" s="97"/>
      <c r="EF94" s="97"/>
      <c r="EG94" s="97"/>
      <c r="EH94" s="97"/>
      <c r="EI94" s="97"/>
      <c r="EJ94" s="97"/>
      <c r="EK94" s="97"/>
      <c r="EL94" s="97"/>
      <c r="EM94" s="97"/>
      <c r="EN94" s="97"/>
      <c r="EO94" s="97"/>
      <c r="EP94" s="97"/>
      <c r="EQ94" s="97"/>
      <c r="ER94" s="97"/>
      <c r="ES94" s="97"/>
      <c r="ET94" s="97"/>
      <c r="EU94" s="97"/>
      <c r="EV94" s="97"/>
      <c r="EW94" s="97"/>
      <c r="EX94" s="97"/>
      <c r="EY94" s="97"/>
      <c r="EZ94" s="97"/>
      <c r="FA94" s="97"/>
      <c r="FB94" s="97"/>
      <c r="FC94" s="97"/>
      <c r="FD94" s="97"/>
      <c r="FE94" s="97"/>
      <c r="FF94" s="97"/>
      <c r="FG94" s="97"/>
      <c r="FH94" s="97"/>
      <c r="FI94" s="97"/>
      <c r="FJ94" s="97"/>
      <c r="FK94" s="97"/>
      <c r="FL94" s="97"/>
      <c r="FM94" s="97"/>
      <c r="FN94" s="97"/>
      <c r="FO94" s="97"/>
      <c r="FP94" s="97"/>
      <c r="FQ94" s="97"/>
      <c r="FR94" s="97"/>
      <c r="FS94" s="97"/>
      <c r="FT94" s="97"/>
      <c r="FU94" s="97"/>
      <c r="FV94" s="97"/>
      <c r="FW94" s="97"/>
      <c r="FX94" s="97"/>
      <c r="FY94" s="6"/>
      <c r="FZ94" s="7" t="str">
        <f>IF(FY94="","",VLOOKUP(FY94,MT商品ﾏｽﾀ参照シート!AM:AN,2,0))</f>
        <v/>
      </c>
      <c r="GA94" s="8"/>
      <c r="GB94" s="8"/>
      <c r="GC94" s="8"/>
      <c r="GD94" s="8"/>
      <c r="GE94" s="58"/>
      <c r="GF94" s="7" t="str">
        <f>IF(GE94="","",VLOOKUP(GE94,MT商品ﾏｽﾀ参照シート!AO:AP,2,0))</f>
        <v/>
      </c>
      <c r="GG94" s="7"/>
      <c r="GH94" s="7"/>
      <c r="GI94" s="7"/>
      <c r="GJ94" s="7"/>
      <c r="GK94" s="49"/>
      <c r="GL94" s="6"/>
      <c r="GM94" s="6"/>
      <c r="GN94" s="7"/>
      <c r="GO94" s="7"/>
      <c r="GP94" s="7"/>
      <c r="GQ94" s="7"/>
      <c r="GR94" s="7">
        <v>2805</v>
      </c>
      <c r="GS94" s="7">
        <v>3300</v>
      </c>
      <c r="GT94" s="7">
        <v>3300</v>
      </c>
      <c r="GU94" s="7">
        <v>3300</v>
      </c>
      <c r="GV94" s="7">
        <v>3300</v>
      </c>
      <c r="GW94" s="8"/>
      <c r="GX94" s="8"/>
      <c r="GY94" s="8"/>
      <c r="GZ94" s="8"/>
      <c r="HA94" s="8"/>
      <c r="HB94" s="8"/>
      <c r="HC94" s="8"/>
      <c r="HD94" s="8"/>
      <c r="HE94" s="58"/>
      <c r="HF94" s="58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82"/>
      <c r="HR94" s="82"/>
      <c r="HS94" s="82"/>
      <c r="HT94" s="26"/>
      <c r="HU94" s="23"/>
      <c r="HV94" s="23"/>
      <c r="HW94" s="24"/>
      <c r="HX94" s="24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76"/>
      <c r="IY94" s="76"/>
      <c r="IZ94" s="76"/>
      <c r="JA94" s="71"/>
      <c r="JB94" s="71"/>
      <c r="JC94" s="72"/>
      <c r="JD94" s="72"/>
      <c r="JE94" s="72"/>
      <c r="JF94" s="72"/>
      <c r="JG94" s="72"/>
      <c r="JH94" s="72"/>
      <c r="JI94" s="71"/>
      <c r="JJ94" s="71"/>
      <c r="JK94" s="72"/>
      <c r="JL94" s="72"/>
      <c r="JM94" s="72"/>
      <c r="JN94" s="72"/>
    </row>
    <row r="95" spans="1:274" ht="13.5" customHeight="1">
      <c r="A95" s="7">
        <v>83</v>
      </c>
      <c r="B95" s="7"/>
      <c r="C95" s="7" t="e">
        <f t="shared" si="52"/>
        <v>#VALUE!</v>
      </c>
      <c r="D95" s="28"/>
      <c r="E95" s="7">
        <f t="shared" si="27"/>
        <v>0</v>
      </c>
      <c r="F95" s="7"/>
      <c r="G95" s="7">
        <f t="shared" si="28"/>
        <v>0</v>
      </c>
      <c r="H95" s="7"/>
      <c r="I95" s="7">
        <f t="shared" si="29"/>
        <v>0</v>
      </c>
      <c r="J95" s="7"/>
      <c r="K95" s="7"/>
      <c r="L95" s="7"/>
      <c r="M95" s="7"/>
      <c r="N95" s="7"/>
      <c r="O95" s="7"/>
      <c r="P95" s="7"/>
      <c r="Q95" s="53"/>
      <c r="R95" s="7"/>
      <c r="S95" s="7"/>
      <c r="T95" s="53"/>
      <c r="U95" s="7"/>
      <c r="V95" s="7" t="e">
        <f t="shared" si="31"/>
        <v>#VALUE!</v>
      </c>
      <c r="W95" s="28"/>
      <c r="X95" s="7" t="e">
        <f t="shared" si="31"/>
        <v>#VALUE!</v>
      </c>
      <c r="Y95" s="28"/>
      <c r="Z95" s="7" t="e">
        <f t="shared" si="32"/>
        <v>#VALUE!</v>
      </c>
      <c r="AA95" s="28"/>
      <c r="AB95" s="7"/>
      <c r="AC95" s="7"/>
      <c r="AD95" s="7"/>
      <c r="AE95" s="7"/>
      <c r="AF95" s="7">
        <v>0</v>
      </c>
      <c r="AG95" s="7" t="e">
        <f t="shared" si="33"/>
        <v>#VALUE!</v>
      </c>
      <c r="AH95" s="28"/>
      <c r="AI95" s="7"/>
      <c r="AJ95" s="7" t="e">
        <f t="shared" si="34"/>
        <v>#VALUE!</v>
      </c>
      <c r="AK95" s="28"/>
      <c r="AL95" s="7" t="e">
        <f t="shared" si="35"/>
        <v>#VALUE!</v>
      </c>
      <c r="AM95" s="28"/>
      <c r="AN95" s="7" t="e">
        <f t="shared" si="36"/>
        <v>#VALUE!</v>
      </c>
      <c r="AO95" s="28"/>
      <c r="AP95" s="7">
        <f t="shared" si="37"/>
        <v>2</v>
      </c>
      <c r="AQ95" s="28" t="s">
        <v>2301</v>
      </c>
      <c r="AR95" s="7"/>
      <c r="AS95" s="7"/>
      <c r="AT95" s="7"/>
      <c r="AU95" s="7"/>
      <c r="AV95" s="7">
        <f t="shared" si="38"/>
        <v>4617</v>
      </c>
      <c r="AW95" s="28" t="s">
        <v>2302</v>
      </c>
      <c r="AX95" s="7">
        <v>1</v>
      </c>
      <c r="AY95" s="7" t="e">
        <f t="shared" si="39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0"/>
        <v>#VALUE!</v>
      </c>
      <c r="BG95" s="28"/>
      <c r="BH95" s="7" t="e">
        <f t="shared" si="41"/>
        <v>#VALUE!</v>
      </c>
      <c r="BI95" s="28"/>
      <c r="BJ95" s="7" t="e">
        <f t="shared" si="42"/>
        <v>#VALUE!</v>
      </c>
      <c r="BK95" s="28"/>
      <c r="BL95" s="7"/>
      <c r="BM95" s="7"/>
      <c r="BN95" s="7" t="e">
        <f t="shared" si="43"/>
        <v>#VALUE!</v>
      </c>
      <c r="BO95" s="28"/>
      <c r="BP95" s="7" t="e">
        <f t="shared" si="44"/>
        <v>#VALUE!</v>
      </c>
      <c r="BQ95" s="28"/>
      <c r="BR95" s="7"/>
      <c r="BS95" s="7" t="e">
        <f t="shared" si="45"/>
        <v>#VALUE!</v>
      </c>
      <c r="BT95" s="28"/>
      <c r="BU95" s="7"/>
      <c r="BV95" s="7" t="e">
        <f ca="1">[1]!tメーカー名(BU95)</f>
        <v>#NAME?</v>
      </c>
      <c r="BW95" s="7" t="e">
        <f t="shared" si="46"/>
        <v>#VALUE!</v>
      </c>
      <c r="BX95" s="28"/>
      <c r="BY95" s="7" t="e">
        <f t="shared" si="47"/>
        <v>#VALUE!</v>
      </c>
      <c r="BZ95" s="28"/>
      <c r="CA95" s="54"/>
      <c r="CB95" s="54"/>
      <c r="CC95" s="7" t="e">
        <f t="shared" si="48"/>
        <v>#VALUE!</v>
      </c>
      <c r="CD95" s="28"/>
      <c r="CE95" s="7" t="e">
        <f t="shared" si="49"/>
        <v>#VALUE!</v>
      </c>
      <c r="CF95" s="28"/>
      <c r="CG95" s="7" t="e">
        <f t="shared" si="50"/>
        <v>#VALUE!</v>
      </c>
      <c r="CH95" s="28"/>
      <c r="CI95" s="7" t="e">
        <f t="shared" si="51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6">
        <f t="shared" si="30"/>
        <v>0</v>
      </c>
      <c r="CT95" s="7"/>
      <c r="CU95" s="7"/>
      <c r="CV95" s="97"/>
      <c r="CW95" s="97"/>
      <c r="CX95" s="97"/>
      <c r="CY95" s="98"/>
      <c r="CZ95" s="98"/>
      <c r="DA95" s="97"/>
      <c r="DB95" s="98"/>
      <c r="DC95" s="97"/>
      <c r="DD95" s="97" t="s">
        <v>1753</v>
      </c>
      <c r="DE95" s="97">
        <v>6</v>
      </c>
      <c r="DF95" s="98"/>
      <c r="DG95" s="98"/>
      <c r="DH95" s="98"/>
      <c r="DI95" s="98"/>
      <c r="DJ95" s="98"/>
      <c r="DK95" s="98"/>
      <c r="DL95" s="98"/>
      <c r="DM95" s="97"/>
      <c r="DN95" s="97"/>
      <c r="DO95" s="97"/>
      <c r="DP95" s="97"/>
      <c r="DQ95" s="97"/>
      <c r="DR95" s="97"/>
      <c r="DS95" s="97"/>
      <c r="DT95" s="99"/>
      <c r="DU95" s="98"/>
      <c r="DV95" s="97"/>
      <c r="DW95" s="97"/>
      <c r="DX95" s="97"/>
      <c r="DY95" s="97"/>
      <c r="DZ95" s="97"/>
      <c r="EA95" s="97"/>
      <c r="EB95" s="97"/>
      <c r="EC95" s="97"/>
      <c r="ED95" s="97"/>
      <c r="EE95" s="97"/>
      <c r="EF95" s="97"/>
      <c r="EG95" s="97"/>
      <c r="EH95" s="97"/>
      <c r="EI95" s="97"/>
      <c r="EJ95" s="97"/>
      <c r="EK95" s="97"/>
      <c r="EL95" s="97"/>
      <c r="EM95" s="97"/>
      <c r="EN95" s="97"/>
      <c r="EO95" s="97"/>
      <c r="EP95" s="97"/>
      <c r="EQ95" s="97"/>
      <c r="ER95" s="97"/>
      <c r="ES95" s="97"/>
      <c r="ET95" s="97"/>
      <c r="EU95" s="97"/>
      <c r="EV95" s="97"/>
      <c r="EW95" s="97"/>
      <c r="EX95" s="97"/>
      <c r="EY95" s="97"/>
      <c r="EZ95" s="97"/>
      <c r="FA95" s="97"/>
      <c r="FB95" s="97"/>
      <c r="FC95" s="97"/>
      <c r="FD95" s="97"/>
      <c r="FE95" s="97"/>
      <c r="FF95" s="97"/>
      <c r="FG95" s="97"/>
      <c r="FH95" s="97"/>
      <c r="FI95" s="97"/>
      <c r="FJ95" s="97"/>
      <c r="FK95" s="97"/>
      <c r="FL95" s="97"/>
      <c r="FM95" s="97"/>
      <c r="FN95" s="97"/>
      <c r="FO95" s="97"/>
      <c r="FP95" s="97"/>
      <c r="FQ95" s="97"/>
      <c r="FR95" s="97"/>
      <c r="FS95" s="97"/>
      <c r="FT95" s="97"/>
      <c r="FU95" s="97"/>
      <c r="FV95" s="97"/>
      <c r="FW95" s="97"/>
      <c r="FX95" s="97"/>
      <c r="FY95" s="6"/>
      <c r="FZ95" s="7" t="str">
        <f>IF(FY95="","",VLOOKUP(FY95,MT商品ﾏｽﾀ参照シート!AM:AN,2,0))</f>
        <v/>
      </c>
      <c r="GA95" s="8"/>
      <c r="GB95" s="8"/>
      <c r="GC95" s="8"/>
      <c r="GD95" s="8"/>
      <c r="GE95" s="58"/>
      <c r="GF95" s="7" t="str">
        <f>IF(GE95="","",VLOOKUP(GE95,MT商品ﾏｽﾀ参照シート!AO:AP,2,0))</f>
        <v/>
      </c>
      <c r="GG95" s="7"/>
      <c r="GH95" s="7"/>
      <c r="GI95" s="7"/>
      <c r="GJ95" s="7"/>
      <c r="GK95" s="49"/>
      <c r="GL95" s="6"/>
      <c r="GM95" s="6"/>
      <c r="GN95" s="7"/>
      <c r="GO95" s="7"/>
      <c r="GP95" s="7"/>
      <c r="GQ95" s="7"/>
      <c r="GR95" s="7">
        <v>2805</v>
      </c>
      <c r="GS95" s="7">
        <v>3300</v>
      </c>
      <c r="GT95" s="7">
        <v>3300</v>
      </c>
      <c r="GU95" s="7">
        <v>3300</v>
      </c>
      <c r="GV95" s="7">
        <v>3300</v>
      </c>
      <c r="GW95" s="8"/>
      <c r="GX95" s="8"/>
      <c r="GY95" s="8"/>
      <c r="GZ95" s="8"/>
      <c r="HA95" s="8"/>
      <c r="HB95" s="8"/>
      <c r="HC95" s="8"/>
      <c r="HD95" s="8"/>
      <c r="HE95" s="58"/>
      <c r="HF95" s="58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82"/>
      <c r="HR95" s="82"/>
      <c r="HS95" s="82"/>
      <c r="HT95" s="26"/>
      <c r="HU95" s="23"/>
      <c r="HV95" s="23"/>
      <c r="HW95" s="24"/>
      <c r="HX95" s="24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76"/>
      <c r="IY95" s="76"/>
      <c r="IZ95" s="76"/>
      <c r="JA95" s="71"/>
      <c r="JB95" s="71"/>
      <c r="JC95" s="72"/>
      <c r="JD95" s="72"/>
      <c r="JE95" s="72"/>
      <c r="JF95" s="72"/>
      <c r="JG95" s="72"/>
      <c r="JH95" s="72"/>
      <c r="JI95" s="71"/>
      <c r="JJ95" s="71"/>
      <c r="JK95" s="72"/>
      <c r="JL95" s="72"/>
      <c r="JM95" s="72"/>
      <c r="JN95" s="72"/>
    </row>
    <row r="96" spans="1:274" ht="13.5" customHeight="1">
      <c r="A96" s="7">
        <v>84</v>
      </c>
      <c r="B96" s="7"/>
      <c r="C96" s="7" t="e">
        <f t="shared" si="52"/>
        <v>#VALUE!</v>
      </c>
      <c r="D96" s="28"/>
      <c r="E96" s="7">
        <f t="shared" si="27"/>
        <v>0</v>
      </c>
      <c r="F96" s="7"/>
      <c r="G96" s="7">
        <f t="shared" si="28"/>
        <v>0</v>
      </c>
      <c r="H96" s="7"/>
      <c r="I96" s="7">
        <f t="shared" si="29"/>
        <v>0</v>
      </c>
      <c r="J96" s="7"/>
      <c r="K96" s="7"/>
      <c r="L96" s="7"/>
      <c r="M96" s="7"/>
      <c r="N96" s="7"/>
      <c r="O96" s="7"/>
      <c r="P96" s="7"/>
      <c r="Q96" s="53"/>
      <c r="R96" s="7"/>
      <c r="S96" s="7"/>
      <c r="T96" s="53"/>
      <c r="U96" s="7"/>
      <c r="V96" s="7" t="e">
        <f t="shared" si="31"/>
        <v>#VALUE!</v>
      </c>
      <c r="W96" s="28"/>
      <c r="X96" s="7" t="e">
        <f t="shared" si="31"/>
        <v>#VALUE!</v>
      </c>
      <c r="Y96" s="28"/>
      <c r="Z96" s="7" t="e">
        <f t="shared" si="32"/>
        <v>#VALUE!</v>
      </c>
      <c r="AA96" s="28"/>
      <c r="AB96" s="7"/>
      <c r="AC96" s="7"/>
      <c r="AD96" s="7"/>
      <c r="AE96" s="7"/>
      <c r="AF96" s="7">
        <v>0</v>
      </c>
      <c r="AG96" s="7" t="e">
        <f t="shared" si="33"/>
        <v>#VALUE!</v>
      </c>
      <c r="AH96" s="28"/>
      <c r="AI96" s="7"/>
      <c r="AJ96" s="7" t="e">
        <f t="shared" si="34"/>
        <v>#VALUE!</v>
      </c>
      <c r="AK96" s="28"/>
      <c r="AL96" s="7" t="e">
        <f t="shared" si="35"/>
        <v>#VALUE!</v>
      </c>
      <c r="AM96" s="28"/>
      <c r="AN96" s="7" t="e">
        <f t="shared" si="36"/>
        <v>#VALUE!</v>
      </c>
      <c r="AO96" s="28"/>
      <c r="AP96" s="7">
        <f t="shared" si="37"/>
        <v>2</v>
      </c>
      <c r="AQ96" s="28" t="s">
        <v>2301</v>
      </c>
      <c r="AR96" s="7"/>
      <c r="AS96" s="7"/>
      <c r="AT96" s="7"/>
      <c r="AU96" s="7"/>
      <c r="AV96" s="7">
        <f t="shared" si="38"/>
        <v>4617</v>
      </c>
      <c r="AW96" s="28" t="s">
        <v>2302</v>
      </c>
      <c r="AX96" s="7">
        <v>1</v>
      </c>
      <c r="AY96" s="7" t="e">
        <f t="shared" si="39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0"/>
        <v>#VALUE!</v>
      </c>
      <c r="BG96" s="28"/>
      <c r="BH96" s="7" t="e">
        <f t="shared" si="41"/>
        <v>#VALUE!</v>
      </c>
      <c r="BI96" s="28"/>
      <c r="BJ96" s="7" t="e">
        <f t="shared" si="42"/>
        <v>#VALUE!</v>
      </c>
      <c r="BK96" s="28"/>
      <c r="BL96" s="7"/>
      <c r="BM96" s="7"/>
      <c r="BN96" s="7" t="e">
        <f t="shared" si="43"/>
        <v>#VALUE!</v>
      </c>
      <c r="BO96" s="28"/>
      <c r="BP96" s="7" t="e">
        <f t="shared" si="44"/>
        <v>#VALUE!</v>
      </c>
      <c r="BQ96" s="28"/>
      <c r="BR96" s="7"/>
      <c r="BS96" s="7" t="e">
        <f t="shared" si="45"/>
        <v>#VALUE!</v>
      </c>
      <c r="BT96" s="28"/>
      <c r="BU96" s="7"/>
      <c r="BV96" s="7" t="e">
        <f ca="1">[1]!tメーカー名(BU96)</f>
        <v>#NAME?</v>
      </c>
      <c r="BW96" s="7" t="e">
        <f t="shared" si="46"/>
        <v>#VALUE!</v>
      </c>
      <c r="BX96" s="28"/>
      <c r="BY96" s="7" t="e">
        <f t="shared" si="47"/>
        <v>#VALUE!</v>
      </c>
      <c r="BZ96" s="28"/>
      <c r="CA96" s="54"/>
      <c r="CB96" s="54"/>
      <c r="CC96" s="7" t="e">
        <f t="shared" si="48"/>
        <v>#VALUE!</v>
      </c>
      <c r="CD96" s="28"/>
      <c r="CE96" s="7" t="e">
        <f t="shared" si="49"/>
        <v>#VALUE!</v>
      </c>
      <c r="CF96" s="28"/>
      <c r="CG96" s="7" t="e">
        <f t="shared" si="50"/>
        <v>#VALUE!</v>
      </c>
      <c r="CH96" s="28"/>
      <c r="CI96" s="7" t="e">
        <f t="shared" si="51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6">
        <f t="shared" si="30"/>
        <v>0</v>
      </c>
      <c r="CT96" s="7"/>
      <c r="CU96" s="7"/>
      <c r="CV96" s="97"/>
      <c r="CW96" s="97"/>
      <c r="CX96" s="97"/>
      <c r="CY96" s="98"/>
      <c r="CZ96" s="98"/>
      <c r="DA96" s="97"/>
      <c r="DB96" s="98"/>
      <c r="DC96" s="97"/>
      <c r="DD96" s="97" t="s">
        <v>1754</v>
      </c>
      <c r="DE96" s="97">
        <v>4</v>
      </c>
      <c r="DF96" s="98"/>
      <c r="DG96" s="98"/>
      <c r="DH96" s="98"/>
      <c r="DI96" s="98"/>
      <c r="DJ96" s="98"/>
      <c r="DK96" s="98"/>
      <c r="DL96" s="98"/>
      <c r="DM96" s="97"/>
      <c r="DN96" s="97"/>
      <c r="DO96" s="97"/>
      <c r="DP96" s="97"/>
      <c r="DQ96" s="97"/>
      <c r="DR96" s="97"/>
      <c r="DS96" s="97"/>
      <c r="DT96" s="99"/>
      <c r="DU96" s="98"/>
      <c r="DV96" s="97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6"/>
      <c r="FZ96" s="7" t="str">
        <f>IF(FY96="","",VLOOKUP(FY96,MT商品ﾏｽﾀ参照シート!AM:AN,2,0))</f>
        <v/>
      </c>
      <c r="GA96" s="8"/>
      <c r="GB96" s="8"/>
      <c r="GC96" s="8"/>
      <c r="GD96" s="8"/>
      <c r="GE96" s="58"/>
      <c r="GF96" s="7" t="str">
        <f>IF(GE96="","",VLOOKUP(GE96,MT商品ﾏｽﾀ参照シート!AO:AP,2,0))</f>
        <v/>
      </c>
      <c r="GG96" s="7"/>
      <c r="GH96" s="7"/>
      <c r="GI96" s="7"/>
      <c r="GJ96" s="7"/>
      <c r="GK96" s="49"/>
      <c r="GL96" s="6"/>
      <c r="GM96" s="6"/>
      <c r="GN96" s="7"/>
      <c r="GO96" s="7"/>
      <c r="GP96" s="7"/>
      <c r="GQ96" s="7"/>
      <c r="GR96" s="7">
        <v>4055</v>
      </c>
      <c r="GS96" s="7">
        <v>4770</v>
      </c>
      <c r="GT96" s="7">
        <v>4770</v>
      </c>
      <c r="GU96" s="7">
        <v>4770</v>
      </c>
      <c r="GV96" s="7">
        <v>4770</v>
      </c>
      <c r="GW96" s="8"/>
      <c r="GX96" s="8"/>
      <c r="GY96" s="8"/>
      <c r="GZ96" s="8"/>
      <c r="HA96" s="8"/>
      <c r="HB96" s="8"/>
      <c r="HC96" s="8"/>
      <c r="HD96" s="8"/>
      <c r="HE96" s="58"/>
      <c r="HF96" s="58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82"/>
      <c r="HR96" s="82"/>
      <c r="HS96" s="82"/>
      <c r="HT96" s="26"/>
      <c r="HU96" s="23"/>
      <c r="HV96" s="23"/>
      <c r="HW96" s="24"/>
      <c r="HX96" s="24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76"/>
      <c r="IY96" s="76"/>
      <c r="IZ96" s="76"/>
      <c r="JA96" s="71"/>
      <c r="JB96" s="71"/>
      <c r="JC96" s="72"/>
      <c r="JD96" s="72"/>
      <c r="JE96" s="72"/>
      <c r="JF96" s="72"/>
      <c r="JG96" s="72"/>
      <c r="JH96" s="72"/>
      <c r="JI96" s="71"/>
      <c r="JJ96" s="71"/>
      <c r="JK96" s="72"/>
      <c r="JL96" s="72"/>
      <c r="JM96" s="72"/>
      <c r="JN96" s="72"/>
    </row>
    <row r="97" spans="1:274" ht="13.5" customHeight="1">
      <c r="A97" s="7">
        <v>85</v>
      </c>
      <c r="B97" s="7"/>
      <c r="C97" s="7" t="e">
        <f t="shared" si="52"/>
        <v>#VALUE!</v>
      </c>
      <c r="D97" s="28"/>
      <c r="E97" s="7">
        <f t="shared" si="27"/>
        <v>0</v>
      </c>
      <c r="F97" s="7"/>
      <c r="G97" s="7">
        <f t="shared" si="28"/>
        <v>0</v>
      </c>
      <c r="H97" s="7"/>
      <c r="I97" s="7">
        <f t="shared" si="29"/>
        <v>0</v>
      </c>
      <c r="J97" s="7"/>
      <c r="K97" s="7"/>
      <c r="L97" s="7"/>
      <c r="M97" s="7"/>
      <c r="N97" s="7"/>
      <c r="O97" s="7"/>
      <c r="P97" s="7"/>
      <c r="Q97" s="53"/>
      <c r="R97" s="7"/>
      <c r="S97" s="7"/>
      <c r="T97" s="53"/>
      <c r="U97" s="7"/>
      <c r="V97" s="7" t="e">
        <f t="shared" si="31"/>
        <v>#VALUE!</v>
      </c>
      <c r="W97" s="28"/>
      <c r="X97" s="7" t="e">
        <f t="shared" si="31"/>
        <v>#VALUE!</v>
      </c>
      <c r="Y97" s="28"/>
      <c r="Z97" s="7" t="e">
        <f t="shared" si="32"/>
        <v>#VALUE!</v>
      </c>
      <c r="AA97" s="28"/>
      <c r="AB97" s="7"/>
      <c r="AC97" s="7"/>
      <c r="AD97" s="7"/>
      <c r="AE97" s="7"/>
      <c r="AF97" s="7">
        <v>0</v>
      </c>
      <c r="AG97" s="7" t="e">
        <f t="shared" si="33"/>
        <v>#VALUE!</v>
      </c>
      <c r="AH97" s="28"/>
      <c r="AI97" s="7"/>
      <c r="AJ97" s="7" t="e">
        <f t="shared" si="34"/>
        <v>#VALUE!</v>
      </c>
      <c r="AK97" s="28"/>
      <c r="AL97" s="7" t="e">
        <f t="shared" si="35"/>
        <v>#VALUE!</v>
      </c>
      <c r="AM97" s="28"/>
      <c r="AN97" s="7" t="e">
        <f t="shared" si="36"/>
        <v>#VALUE!</v>
      </c>
      <c r="AO97" s="28"/>
      <c r="AP97" s="7">
        <f t="shared" si="37"/>
        <v>2</v>
      </c>
      <c r="AQ97" s="28" t="s">
        <v>2301</v>
      </c>
      <c r="AR97" s="7"/>
      <c r="AS97" s="7"/>
      <c r="AT97" s="7"/>
      <c r="AU97" s="7"/>
      <c r="AV97" s="7">
        <f t="shared" si="38"/>
        <v>4617</v>
      </c>
      <c r="AW97" s="28" t="s">
        <v>2302</v>
      </c>
      <c r="AX97" s="7">
        <v>1</v>
      </c>
      <c r="AY97" s="7" t="e">
        <f t="shared" si="39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0"/>
        <v>#VALUE!</v>
      </c>
      <c r="BG97" s="28"/>
      <c r="BH97" s="7" t="e">
        <f t="shared" si="41"/>
        <v>#VALUE!</v>
      </c>
      <c r="BI97" s="28"/>
      <c r="BJ97" s="7" t="e">
        <f t="shared" si="42"/>
        <v>#VALUE!</v>
      </c>
      <c r="BK97" s="28"/>
      <c r="BL97" s="7"/>
      <c r="BM97" s="7"/>
      <c r="BN97" s="7" t="e">
        <f t="shared" si="43"/>
        <v>#VALUE!</v>
      </c>
      <c r="BO97" s="28"/>
      <c r="BP97" s="7" t="e">
        <f t="shared" si="44"/>
        <v>#VALUE!</v>
      </c>
      <c r="BQ97" s="28"/>
      <c r="BR97" s="7"/>
      <c r="BS97" s="7" t="e">
        <f t="shared" si="45"/>
        <v>#VALUE!</v>
      </c>
      <c r="BT97" s="28"/>
      <c r="BU97" s="7"/>
      <c r="BV97" s="7" t="e">
        <f ca="1">[1]!tメーカー名(BU97)</f>
        <v>#NAME?</v>
      </c>
      <c r="BW97" s="7" t="e">
        <f t="shared" si="46"/>
        <v>#VALUE!</v>
      </c>
      <c r="BX97" s="28"/>
      <c r="BY97" s="7" t="e">
        <f t="shared" si="47"/>
        <v>#VALUE!</v>
      </c>
      <c r="BZ97" s="28"/>
      <c r="CA97" s="54"/>
      <c r="CB97" s="54"/>
      <c r="CC97" s="7" t="e">
        <f t="shared" si="48"/>
        <v>#VALUE!</v>
      </c>
      <c r="CD97" s="28"/>
      <c r="CE97" s="7" t="e">
        <f t="shared" si="49"/>
        <v>#VALUE!</v>
      </c>
      <c r="CF97" s="28"/>
      <c r="CG97" s="7" t="e">
        <f t="shared" si="50"/>
        <v>#VALUE!</v>
      </c>
      <c r="CH97" s="28"/>
      <c r="CI97" s="7" t="e">
        <f t="shared" si="51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6">
        <f t="shared" si="30"/>
        <v>0</v>
      </c>
      <c r="CT97" s="7"/>
      <c r="CU97" s="7"/>
      <c r="CV97" s="97"/>
      <c r="CW97" s="97"/>
      <c r="CX97" s="97"/>
      <c r="CY97" s="98"/>
      <c r="CZ97" s="98"/>
      <c r="DA97" s="97"/>
      <c r="DB97" s="98"/>
      <c r="DC97" s="97"/>
      <c r="DD97" s="97" t="s">
        <v>1755</v>
      </c>
      <c r="DE97" s="97">
        <v>6</v>
      </c>
      <c r="DF97" s="98"/>
      <c r="DG97" s="98"/>
      <c r="DH97" s="98"/>
      <c r="DI97" s="98"/>
      <c r="DJ97" s="98"/>
      <c r="DK97" s="98"/>
      <c r="DL97" s="98"/>
      <c r="DM97" s="97"/>
      <c r="DN97" s="97"/>
      <c r="DO97" s="97"/>
      <c r="DP97" s="97"/>
      <c r="DQ97" s="97"/>
      <c r="DR97" s="97"/>
      <c r="DS97" s="97"/>
      <c r="DT97" s="99"/>
      <c r="DU97" s="98"/>
      <c r="DV97" s="97"/>
      <c r="DW97" s="97"/>
      <c r="DX97" s="97"/>
      <c r="DY97" s="97"/>
      <c r="DZ97" s="97"/>
      <c r="EA97" s="97"/>
      <c r="EB97" s="97"/>
      <c r="EC97" s="97"/>
      <c r="ED97" s="97"/>
      <c r="EE97" s="97"/>
      <c r="EF97" s="97"/>
      <c r="EG97" s="97"/>
      <c r="EH97" s="97"/>
      <c r="EI97" s="97"/>
      <c r="EJ97" s="97"/>
      <c r="EK97" s="97"/>
      <c r="EL97" s="97"/>
      <c r="EM97" s="97"/>
      <c r="EN97" s="97"/>
      <c r="EO97" s="97"/>
      <c r="EP97" s="97"/>
      <c r="EQ97" s="97"/>
      <c r="ER97" s="97"/>
      <c r="ES97" s="97"/>
      <c r="ET97" s="97"/>
      <c r="EU97" s="97"/>
      <c r="EV97" s="97"/>
      <c r="EW97" s="97"/>
      <c r="EX97" s="97"/>
      <c r="EY97" s="97"/>
      <c r="EZ97" s="97"/>
      <c r="FA97" s="97"/>
      <c r="FB97" s="97"/>
      <c r="FC97" s="97"/>
      <c r="FD97" s="97"/>
      <c r="FE97" s="97"/>
      <c r="FF97" s="97"/>
      <c r="FG97" s="97"/>
      <c r="FH97" s="97"/>
      <c r="FI97" s="97"/>
      <c r="FJ97" s="97"/>
      <c r="FK97" s="97"/>
      <c r="FL97" s="97"/>
      <c r="FM97" s="97"/>
      <c r="FN97" s="97"/>
      <c r="FO97" s="97"/>
      <c r="FP97" s="97"/>
      <c r="FQ97" s="97"/>
      <c r="FR97" s="97"/>
      <c r="FS97" s="97"/>
      <c r="FT97" s="97"/>
      <c r="FU97" s="97"/>
      <c r="FV97" s="97"/>
      <c r="FW97" s="97"/>
      <c r="FX97" s="97"/>
      <c r="FY97" s="6"/>
      <c r="FZ97" s="7" t="str">
        <f>IF(FY97="","",VLOOKUP(FY97,MT商品ﾏｽﾀ参照シート!AM:AN,2,0))</f>
        <v/>
      </c>
      <c r="GA97" s="8"/>
      <c r="GB97" s="8"/>
      <c r="GC97" s="8"/>
      <c r="GD97" s="8"/>
      <c r="GE97" s="58"/>
      <c r="GF97" s="7" t="str">
        <f>IF(GE97="","",VLOOKUP(GE97,MT商品ﾏｽﾀ参照シート!AO:AP,2,0))</f>
        <v/>
      </c>
      <c r="GG97" s="7"/>
      <c r="GH97" s="7"/>
      <c r="GI97" s="7"/>
      <c r="GJ97" s="7"/>
      <c r="GK97" s="49"/>
      <c r="GL97" s="6"/>
      <c r="GM97" s="6"/>
      <c r="GN97" s="7"/>
      <c r="GO97" s="7"/>
      <c r="GP97" s="7"/>
      <c r="GQ97" s="7"/>
      <c r="GR97" s="7">
        <v>2805</v>
      </c>
      <c r="GS97" s="7">
        <v>3300</v>
      </c>
      <c r="GT97" s="7">
        <v>3300</v>
      </c>
      <c r="GU97" s="7">
        <v>3300</v>
      </c>
      <c r="GV97" s="7">
        <v>3300</v>
      </c>
      <c r="GW97" s="8"/>
      <c r="GX97" s="8"/>
      <c r="GY97" s="8"/>
      <c r="GZ97" s="8"/>
      <c r="HA97" s="8"/>
      <c r="HB97" s="8"/>
      <c r="HC97" s="8"/>
      <c r="HD97" s="8"/>
      <c r="HE97" s="58"/>
      <c r="HF97" s="58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82"/>
      <c r="HR97" s="82"/>
      <c r="HS97" s="82"/>
      <c r="HT97" s="26"/>
      <c r="HU97" s="23"/>
      <c r="HV97" s="23"/>
      <c r="HW97" s="24"/>
      <c r="HX97" s="24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76"/>
      <c r="IY97" s="76"/>
      <c r="IZ97" s="76"/>
      <c r="JA97" s="71"/>
      <c r="JB97" s="71"/>
      <c r="JC97" s="72"/>
      <c r="JD97" s="72"/>
      <c r="JE97" s="72"/>
      <c r="JF97" s="72"/>
      <c r="JG97" s="72"/>
      <c r="JH97" s="72"/>
      <c r="JI97" s="71"/>
      <c r="JJ97" s="71"/>
      <c r="JK97" s="72"/>
      <c r="JL97" s="72"/>
      <c r="JM97" s="72"/>
      <c r="JN97" s="72"/>
    </row>
    <row r="98" spans="1:274" ht="13.5" customHeight="1">
      <c r="A98" s="7">
        <v>86</v>
      </c>
      <c r="B98" s="7"/>
      <c r="C98" s="7" t="e">
        <f t="shared" si="52"/>
        <v>#VALUE!</v>
      </c>
      <c r="D98" s="28"/>
      <c r="E98" s="7">
        <f t="shared" si="27"/>
        <v>0</v>
      </c>
      <c r="F98" s="7"/>
      <c r="G98" s="7">
        <f t="shared" si="28"/>
        <v>0</v>
      </c>
      <c r="H98" s="7"/>
      <c r="I98" s="7">
        <f t="shared" si="29"/>
        <v>0</v>
      </c>
      <c r="J98" s="7"/>
      <c r="K98" s="7"/>
      <c r="L98" s="7"/>
      <c r="M98" s="7"/>
      <c r="N98" s="7"/>
      <c r="O98" s="7"/>
      <c r="P98" s="7"/>
      <c r="Q98" s="53"/>
      <c r="R98" s="7"/>
      <c r="S98" s="7"/>
      <c r="T98" s="53"/>
      <c r="U98" s="7"/>
      <c r="V98" s="7" t="e">
        <f t="shared" si="31"/>
        <v>#VALUE!</v>
      </c>
      <c r="W98" s="28"/>
      <c r="X98" s="7" t="e">
        <f t="shared" si="31"/>
        <v>#VALUE!</v>
      </c>
      <c r="Y98" s="28"/>
      <c r="Z98" s="7" t="e">
        <f t="shared" si="32"/>
        <v>#VALUE!</v>
      </c>
      <c r="AA98" s="28"/>
      <c r="AB98" s="7"/>
      <c r="AC98" s="7"/>
      <c r="AD98" s="7"/>
      <c r="AE98" s="7"/>
      <c r="AF98" s="7">
        <v>0</v>
      </c>
      <c r="AG98" s="7" t="e">
        <f t="shared" si="33"/>
        <v>#VALUE!</v>
      </c>
      <c r="AH98" s="28"/>
      <c r="AI98" s="7"/>
      <c r="AJ98" s="7" t="e">
        <f t="shared" si="34"/>
        <v>#VALUE!</v>
      </c>
      <c r="AK98" s="28"/>
      <c r="AL98" s="7" t="e">
        <f t="shared" si="35"/>
        <v>#VALUE!</v>
      </c>
      <c r="AM98" s="28"/>
      <c r="AN98" s="7" t="e">
        <f t="shared" si="36"/>
        <v>#VALUE!</v>
      </c>
      <c r="AO98" s="28"/>
      <c r="AP98" s="7">
        <f t="shared" si="37"/>
        <v>2</v>
      </c>
      <c r="AQ98" s="28" t="s">
        <v>2301</v>
      </c>
      <c r="AR98" s="7"/>
      <c r="AS98" s="7"/>
      <c r="AT98" s="7"/>
      <c r="AU98" s="7"/>
      <c r="AV98" s="7">
        <f t="shared" si="38"/>
        <v>4617</v>
      </c>
      <c r="AW98" s="28" t="s">
        <v>2302</v>
      </c>
      <c r="AX98" s="7">
        <v>1</v>
      </c>
      <c r="AY98" s="7" t="e">
        <f t="shared" si="39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0"/>
        <v>#VALUE!</v>
      </c>
      <c r="BG98" s="28"/>
      <c r="BH98" s="7" t="e">
        <f t="shared" si="41"/>
        <v>#VALUE!</v>
      </c>
      <c r="BI98" s="28"/>
      <c r="BJ98" s="7" t="e">
        <f t="shared" si="42"/>
        <v>#VALUE!</v>
      </c>
      <c r="BK98" s="28"/>
      <c r="BL98" s="7"/>
      <c r="BM98" s="7"/>
      <c r="BN98" s="7" t="e">
        <f t="shared" si="43"/>
        <v>#VALUE!</v>
      </c>
      <c r="BO98" s="28"/>
      <c r="BP98" s="7" t="e">
        <f t="shared" si="44"/>
        <v>#VALUE!</v>
      </c>
      <c r="BQ98" s="28"/>
      <c r="BR98" s="7"/>
      <c r="BS98" s="7" t="e">
        <f t="shared" si="45"/>
        <v>#VALUE!</v>
      </c>
      <c r="BT98" s="28"/>
      <c r="BU98" s="7"/>
      <c r="BV98" s="7" t="e">
        <f ca="1">[1]!tメーカー名(BU98)</f>
        <v>#NAME?</v>
      </c>
      <c r="BW98" s="7" t="e">
        <f t="shared" si="46"/>
        <v>#VALUE!</v>
      </c>
      <c r="BX98" s="28"/>
      <c r="BY98" s="7" t="e">
        <f t="shared" si="47"/>
        <v>#VALUE!</v>
      </c>
      <c r="BZ98" s="28"/>
      <c r="CA98" s="54"/>
      <c r="CB98" s="54"/>
      <c r="CC98" s="7" t="e">
        <f t="shared" si="48"/>
        <v>#VALUE!</v>
      </c>
      <c r="CD98" s="28"/>
      <c r="CE98" s="7" t="e">
        <f t="shared" si="49"/>
        <v>#VALUE!</v>
      </c>
      <c r="CF98" s="28"/>
      <c r="CG98" s="7" t="e">
        <f t="shared" si="50"/>
        <v>#VALUE!</v>
      </c>
      <c r="CH98" s="28"/>
      <c r="CI98" s="7" t="e">
        <f t="shared" si="51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6">
        <f t="shared" si="30"/>
        <v>0</v>
      </c>
      <c r="CT98" s="7"/>
      <c r="CU98" s="7"/>
      <c r="CV98" s="97"/>
      <c r="CW98" s="97"/>
      <c r="CX98" s="97"/>
      <c r="CY98" s="98"/>
      <c r="CZ98" s="98"/>
      <c r="DA98" s="97"/>
      <c r="DB98" s="98"/>
      <c r="DC98" s="97"/>
      <c r="DD98" s="97" t="s">
        <v>1756</v>
      </c>
      <c r="DE98" s="97" t="s">
        <v>1682</v>
      </c>
      <c r="DF98" s="98"/>
      <c r="DG98" s="98"/>
      <c r="DH98" s="98"/>
      <c r="DI98" s="98"/>
      <c r="DJ98" s="98"/>
      <c r="DK98" s="98"/>
      <c r="DL98" s="98"/>
      <c r="DM98" s="97"/>
      <c r="DN98" s="97"/>
      <c r="DO98" s="97"/>
      <c r="DP98" s="97"/>
      <c r="DQ98" s="97"/>
      <c r="DR98" s="97"/>
      <c r="DS98" s="97"/>
      <c r="DT98" s="99"/>
      <c r="DU98" s="98"/>
      <c r="DV98" s="97"/>
      <c r="DW98" s="97"/>
      <c r="DX98" s="97"/>
      <c r="DY98" s="97"/>
      <c r="DZ98" s="97"/>
      <c r="EA98" s="97"/>
      <c r="EB98" s="97"/>
      <c r="EC98" s="97"/>
      <c r="ED98" s="97"/>
      <c r="EE98" s="97"/>
      <c r="EF98" s="97"/>
      <c r="EG98" s="97"/>
      <c r="EH98" s="97"/>
      <c r="EI98" s="97"/>
      <c r="EJ98" s="97"/>
      <c r="EK98" s="97"/>
      <c r="EL98" s="97"/>
      <c r="EM98" s="97"/>
      <c r="EN98" s="97"/>
      <c r="EO98" s="97"/>
      <c r="EP98" s="97"/>
      <c r="EQ98" s="97"/>
      <c r="ER98" s="97"/>
      <c r="ES98" s="97"/>
      <c r="ET98" s="97"/>
      <c r="EU98" s="97"/>
      <c r="EV98" s="97"/>
      <c r="EW98" s="97"/>
      <c r="EX98" s="97"/>
      <c r="EY98" s="97"/>
      <c r="EZ98" s="97"/>
      <c r="FA98" s="97"/>
      <c r="FB98" s="97"/>
      <c r="FC98" s="97"/>
      <c r="FD98" s="97"/>
      <c r="FE98" s="97"/>
      <c r="FF98" s="97"/>
      <c r="FG98" s="97"/>
      <c r="FH98" s="97"/>
      <c r="FI98" s="97"/>
      <c r="FJ98" s="97"/>
      <c r="FK98" s="97"/>
      <c r="FL98" s="97"/>
      <c r="FM98" s="97"/>
      <c r="FN98" s="97"/>
      <c r="FO98" s="97"/>
      <c r="FP98" s="97"/>
      <c r="FQ98" s="97"/>
      <c r="FR98" s="97"/>
      <c r="FS98" s="97"/>
      <c r="FT98" s="97"/>
      <c r="FU98" s="97"/>
      <c r="FV98" s="97"/>
      <c r="FW98" s="97"/>
      <c r="FX98" s="97"/>
      <c r="FY98" s="6"/>
      <c r="FZ98" s="7" t="str">
        <f>IF(FY98="","",VLOOKUP(FY98,MT商品ﾏｽﾀ参照シート!AM:AN,2,0))</f>
        <v/>
      </c>
      <c r="GA98" s="8"/>
      <c r="GB98" s="8"/>
      <c r="GC98" s="8"/>
      <c r="GD98" s="8"/>
      <c r="GE98" s="58"/>
      <c r="GF98" s="7" t="str">
        <f>IF(GE98="","",VLOOKUP(GE98,MT商品ﾏｽﾀ参照シート!AO:AP,2,0))</f>
        <v/>
      </c>
      <c r="GG98" s="7"/>
      <c r="GH98" s="7"/>
      <c r="GI98" s="7"/>
      <c r="GJ98" s="7"/>
      <c r="GK98" s="49"/>
      <c r="GL98" s="6"/>
      <c r="GM98" s="6"/>
      <c r="GN98" s="7"/>
      <c r="GO98" s="7"/>
      <c r="GP98" s="7"/>
      <c r="GQ98" s="7"/>
      <c r="GR98" s="7">
        <v>4675</v>
      </c>
      <c r="GS98" s="7">
        <v>5500</v>
      </c>
      <c r="GT98" s="7">
        <v>5500</v>
      </c>
      <c r="GU98" s="7">
        <v>5500</v>
      </c>
      <c r="GV98" s="7">
        <v>5500</v>
      </c>
      <c r="GW98" s="8"/>
      <c r="GX98" s="8"/>
      <c r="GY98" s="8"/>
      <c r="GZ98" s="8"/>
      <c r="HA98" s="8"/>
      <c r="HB98" s="8"/>
      <c r="HC98" s="8"/>
      <c r="HD98" s="8"/>
      <c r="HE98" s="58"/>
      <c r="HF98" s="58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82"/>
      <c r="HR98" s="82"/>
      <c r="HS98" s="82"/>
      <c r="HT98" s="26"/>
      <c r="HU98" s="23"/>
      <c r="HV98" s="23"/>
      <c r="HW98" s="24"/>
      <c r="HX98" s="24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76"/>
      <c r="IY98" s="76"/>
      <c r="IZ98" s="76"/>
      <c r="JA98" s="71"/>
      <c r="JB98" s="71"/>
      <c r="JC98" s="72"/>
      <c r="JD98" s="72"/>
      <c r="JE98" s="72"/>
      <c r="JF98" s="72"/>
      <c r="JG98" s="72"/>
      <c r="JH98" s="72"/>
      <c r="JI98" s="71"/>
      <c r="JJ98" s="71"/>
      <c r="JK98" s="72"/>
      <c r="JL98" s="72"/>
      <c r="JM98" s="72"/>
      <c r="JN98" s="72"/>
    </row>
    <row r="99" spans="1:274" ht="13.5" customHeight="1">
      <c r="A99" s="7">
        <v>87</v>
      </c>
      <c r="B99" s="7"/>
      <c r="C99" s="7" t="e">
        <f t="shared" si="52"/>
        <v>#VALUE!</v>
      </c>
      <c r="D99" s="28"/>
      <c r="E99" s="7">
        <f t="shared" si="27"/>
        <v>0</v>
      </c>
      <c r="F99" s="7"/>
      <c r="G99" s="7">
        <f t="shared" si="28"/>
        <v>0</v>
      </c>
      <c r="H99" s="7"/>
      <c r="I99" s="7">
        <f t="shared" si="29"/>
        <v>0</v>
      </c>
      <c r="J99" s="7"/>
      <c r="K99" s="7"/>
      <c r="L99" s="7"/>
      <c r="M99" s="7"/>
      <c r="N99" s="7"/>
      <c r="O99" s="7"/>
      <c r="P99" s="7"/>
      <c r="Q99" s="53"/>
      <c r="R99" s="7"/>
      <c r="S99" s="7"/>
      <c r="T99" s="53"/>
      <c r="U99" s="7"/>
      <c r="V99" s="7" t="e">
        <f t="shared" si="31"/>
        <v>#VALUE!</v>
      </c>
      <c r="W99" s="28"/>
      <c r="X99" s="7" t="e">
        <f t="shared" si="31"/>
        <v>#VALUE!</v>
      </c>
      <c r="Y99" s="28"/>
      <c r="Z99" s="7" t="e">
        <f t="shared" si="32"/>
        <v>#VALUE!</v>
      </c>
      <c r="AA99" s="28"/>
      <c r="AB99" s="7"/>
      <c r="AC99" s="7"/>
      <c r="AD99" s="7"/>
      <c r="AE99" s="7"/>
      <c r="AF99" s="7">
        <v>0</v>
      </c>
      <c r="AG99" s="7" t="e">
        <f t="shared" si="33"/>
        <v>#VALUE!</v>
      </c>
      <c r="AH99" s="28"/>
      <c r="AI99" s="7"/>
      <c r="AJ99" s="7" t="e">
        <f t="shared" si="34"/>
        <v>#VALUE!</v>
      </c>
      <c r="AK99" s="28"/>
      <c r="AL99" s="7" t="e">
        <f t="shared" si="35"/>
        <v>#VALUE!</v>
      </c>
      <c r="AM99" s="28"/>
      <c r="AN99" s="7" t="e">
        <f t="shared" si="36"/>
        <v>#VALUE!</v>
      </c>
      <c r="AO99" s="28"/>
      <c r="AP99" s="7">
        <f t="shared" si="37"/>
        <v>2</v>
      </c>
      <c r="AQ99" s="28" t="s">
        <v>2301</v>
      </c>
      <c r="AR99" s="7"/>
      <c r="AS99" s="7"/>
      <c r="AT99" s="7"/>
      <c r="AU99" s="7"/>
      <c r="AV99" s="7">
        <f t="shared" si="38"/>
        <v>4617</v>
      </c>
      <c r="AW99" s="28" t="s">
        <v>2302</v>
      </c>
      <c r="AX99" s="7">
        <v>1</v>
      </c>
      <c r="AY99" s="7" t="e">
        <f t="shared" si="39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0"/>
        <v>#VALUE!</v>
      </c>
      <c r="BG99" s="28"/>
      <c r="BH99" s="7" t="e">
        <f t="shared" si="41"/>
        <v>#VALUE!</v>
      </c>
      <c r="BI99" s="28"/>
      <c r="BJ99" s="7" t="e">
        <f t="shared" si="42"/>
        <v>#VALUE!</v>
      </c>
      <c r="BK99" s="28"/>
      <c r="BL99" s="7"/>
      <c r="BM99" s="7"/>
      <c r="BN99" s="7" t="e">
        <f t="shared" si="43"/>
        <v>#VALUE!</v>
      </c>
      <c r="BO99" s="28"/>
      <c r="BP99" s="7" t="e">
        <f t="shared" si="44"/>
        <v>#VALUE!</v>
      </c>
      <c r="BQ99" s="28"/>
      <c r="BR99" s="7"/>
      <c r="BS99" s="7" t="e">
        <f t="shared" si="45"/>
        <v>#VALUE!</v>
      </c>
      <c r="BT99" s="28"/>
      <c r="BU99" s="7"/>
      <c r="BV99" s="7" t="e">
        <f ca="1">[1]!tメーカー名(BU99)</f>
        <v>#NAME?</v>
      </c>
      <c r="BW99" s="7" t="e">
        <f t="shared" si="46"/>
        <v>#VALUE!</v>
      </c>
      <c r="BX99" s="28"/>
      <c r="BY99" s="7" t="e">
        <f t="shared" si="47"/>
        <v>#VALUE!</v>
      </c>
      <c r="BZ99" s="28"/>
      <c r="CA99" s="54"/>
      <c r="CB99" s="54"/>
      <c r="CC99" s="7" t="e">
        <f t="shared" si="48"/>
        <v>#VALUE!</v>
      </c>
      <c r="CD99" s="28"/>
      <c r="CE99" s="7" t="e">
        <f t="shared" si="49"/>
        <v>#VALUE!</v>
      </c>
      <c r="CF99" s="28"/>
      <c r="CG99" s="7" t="e">
        <f t="shared" si="50"/>
        <v>#VALUE!</v>
      </c>
      <c r="CH99" s="28"/>
      <c r="CI99" s="7" t="e">
        <f t="shared" si="51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6">
        <f t="shared" si="30"/>
        <v>0</v>
      </c>
      <c r="CT99" s="7"/>
      <c r="CU99" s="7"/>
      <c r="CV99" s="97"/>
      <c r="CW99" s="97"/>
      <c r="CX99" s="97"/>
      <c r="CY99" s="98"/>
      <c r="CZ99" s="98"/>
      <c r="DA99" s="97"/>
      <c r="DB99" s="98"/>
      <c r="DC99" s="97"/>
      <c r="DD99" s="97" t="s">
        <v>1757</v>
      </c>
      <c r="DE99" s="97" t="s">
        <v>1682</v>
      </c>
      <c r="DF99" s="98"/>
      <c r="DG99" s="98"/>
      <c r="DH99" s="98"/>
      <c r="DI99" s="98"/>
      <c r="DJ99" s="98"/>
      <c r="DK99" s="98"/>
      <c r="DL99" s="98"/>
      <c r="DM99" s="97"/>
      <c r="DN99" s="97"/>
      <c r="DO99" s="97"/>
      <c r="DP99" s="97"/>
      <c r="DQ99" s="97"/>
      <c r="DR99" s="97"/>
      <c r="DS99" s="97"/>
      <c r="DT99" s="99"/>
      <c r="DU99" s="98"/>
      <c r="DV99" s="97"/>
      <c r="DW99" s="97"/>
      <c r="DX99" s="97"/>
      <c r="DY99" s="97"/>
      <c r="DZ99" s="97"/>
      <c r="EA99" s="97"/>
      <c r="EB99" s="97"/>
      <c r="EC99" s="97"/>
      <c r="ED99" s="97"/>
      <c r="EE99" s="97"/>
      <c r="EF99" s="97"/>
      <c r="EG99" s="97"/>
      <c r="EH99" s="97"/>
      <c r="EI99" s="97"/>
      <c r="EJ99" s="97"/>
      <c r="EK99" s="97"/>
      <c r="EL99" s="97"/>
      <c r="EM99" s="97"/>
      <c r="EN99" s="97"/>
      <c r="EO99" s="97"/>
      <c r="EP99" s="97"/>
      <c r="EQ99" s="97"/>
      <c r="ER99" s="97"/>
      <c r="ES99" s="97"/>
      <c r="ET99" s="97"/>
      <c r="EU99" s="97"/>
      <c r="EV99" s="97"/>
      <c r="EW99" s="97"/>
      <c r="EX99" s="97"/>
      <c r="EY99" s="97"/>
      <c r="EZ99" s="97"/>
      <c r="FA99" s="97"/>
      <c r="FB99" s="97"/>
      <c r="FC99" s="97"/>
      <c r="FD99" s="97"/>
      <c r="FE99" s="97"/>
      <c r="FF99" s="97"/>
      <c r="FG99" s="97"/>
      <c r="FH99" s="97"/>
      <c r="FI99" s="97"/>
      <c r="FJ99" s="97"/>
      <c r="FK99" s="97"/>
      <c r="FL99" s="97"/>
      <c r="FM99" s="97"/>
      <c r="FN99" s="97"/>
      <c r="FO99" s="97"/>
      <c r="FP99" s="97"/>
      <c r="FQ99" s="97"/>
      <c r="FR99" s="97"/>
      <c r="FS99" s="97"/>
      <c r="FT99" s="97"/>
      <c r="FU99" s="97"/>
      <c r="FV99" s="97"/>
      <c r="FW99" s="97"/>
      <c r="FX99" s="97"/>
      <c r="FY99" s="6"/>
      <c r="FZ99" s="7" t="str">
        <f>IF(FY99="","",VLOOKUP(FY99,MT商品ﾏｽﾀ参照シート!AM:AN,2,0))</f>
        <v/>
      </c>
      <c r="GA99" s="8"/>
      <c r="GB99" s="8"/>
      <c r="GC99" s="8"/>
      <c r="GD99" s="8"/>
      <c r="GE99" s="58"/>
      <c r="GF99" s="7" t="str">
        <f>IF(GE99="","",VLOOKUP(GE99,MT商品ﾏｽﾀ参照シート!AO:AP,2,0))</f>
        <v/>
      </c>
      <c r="GG99" s="7"/>
      <c r="GH99" s="7"/>
      <c r="GI99" s="7"/>
      <c r="GJ99" s="7"/>
      <c r="GK99" s="49"/>
      <c r="GL99" s="6"/>
      <c r="GM99" s="6"/>
      <c r="GN99" s="7"/>
      <c r="GO99" s="7"/>
      <c r="GP99" s="7"/>
      <c r="GQ99" s="7"/>
      <c r="GR99" s="7">
        <v>8500</v>
      </c>
      <c r="GS99" s="7">
        <v>10000</v>
      </c>
      <c r="GT99" s="7">
        <v>10000</v>
      </c>
      <c r="GU99" s="7">
        <v>10000</v>
      </c>
      <c r="GV99" s="7">
        <v>10000</v>
      </c>
      <c r="GW99" s="8"/>
      <c r="GX99" s="8"/>
      <c r="GY99" s="8"/>
      <c r="GZ99" s="8"/>
      <c r="HA99" s="8"/>
      <c r="HB99" s="8"/>
      <c r="HC99" s="8"/>
      <c r="HD99" s="8"/>
      <c r="HE99" s="58"/>
      <c r="HF99" s="58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82"/>
      <c r="HR99" s="82"/>
      <c r="HS99" s="82"/>
      <c r="HT99" s="26"/>
      <c r="HU99" s="23"/>
      <c r="HV99" s="23"/>
      <c r="HW99" s="24"/>
      <c r="HX99" s="24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76"/>
      <c r="IY99" s="76"/>
      <c r="IZ99" s="76"/>
      <c r="JA99" s="71"/>
      <c r="JB99" s="71"/>
      <c r="JC99" s="72"/>
      <c r="JD99" s="72"/>
      <c r="JE99" s="72"/>
      <c r="JF99" s="72"/>
      <c r="JG99" s="72"/>
      <c r="JH99" s="72"/>
      <c r="JI99" s="71"/>
      <c r="JJ99" s="71"/>
      <c r="JK99" s="72"/>
      <c r="JL99" s="72"/>
      <c r="JM99" s="72"/>
      <c r="JN99" s="72"/>
    </row>
    <row r="100" spans="1:274" ht="13.5" customHeight="1">
      <c r="A100" s="7">
        <v>88</v>
      </c>
      <c r="B100" s="7"/>
      <c r="C100" s="7" t="e">
        <f t="shared" si="52"/>
        <v>#VALUE!</v>
      </c>
      <c r="D100" s="28"/>
      <c r="E100" s="7">
        <f t="shared" si="27"/>
        <v>0</v>
      </c>
      <c r="F100" s="7"/>
      <c r="G100" s="7">
        <f t="shared" si="28"/>
        <v>0</v>
      </c>
      <c r="H100" s="7"/>
      <c r="I100" s="7">
        <f t="shared" si="29"/>
        <v>0</v>
      </c>
      <c r="J100" s="7"/>
      <c r="K100" s="7"/>
      <c r="L100" s="7"/>
      <c r="M100" s="7"/>
      <c r="N100" s="7"/>
      <c r="O100" s="7"/>
      <c r="P100" s="7"/>
      <c r="Q100" s="53"/>
      <c r="R100" s="7"/>
      <c r="S100" s="7"/>
      <c r="T100" s="53"/>
      <c r="U100" s="7"/>
      <c r="V100" s="7" t="e">
        <f t="shared" si="31"/>
        <v>#VALUE!</v>
      </c>
      <c r="W100" s="28"/>
      <c r="X100" s="7" t="e">
        <f t="shared" si="31"/>
        <v>#VALUE!</v>
      </c>
      <c r="Y100" s="28"/>
      <c r="Z100" s="7" t="e">
        <f t="shared" si="32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33"/>
        <v>#VALUE!</v>
      </c>
      <c r="AH100" s="28"/>
      <c r="AI100" s="7"/>
      <c r="AJ100" s="7" t="e">
        <f t="shared" si="34"/>
        <v>#VALUE!</v>
      </c>
      <c r="AK100" s="28"/>
      <c r="AL100" s="7" t="e">
        <f t="shared" si="35"/>
        <v>#VALUE!</v>
      </c>
      <c r="AM100" s="28"/>
      <c r="AN100" s="7" t="e">
        <f t="shared" si="36"/>
        <v>#VALUE!</v>
      </c>
      <c r="AO100" s="28"/>
      <c r="AP100" s="7">
        <f t="shared" si="37"/>
        <v>2</v>
      </c>
      <c r="AQ100" s="28" t="s">
        <v>2301</v>
      </c>
      <c r="AR100" s="7"/>
      <c r="AS100" s="7"/>
      <c r="AT100" s="7"/>
      <c r="AU100" s="7"/>
      <c r="AV100" s="7">
        <f t="shared" si="38"/>
        <v>4617</v>
      </c>
      <c r="AW100" s="28" t="s">
        <v>2302</v>
      </c>
      <c r="AX100" s="7">
        <v>1</v>
      </c>
      <c r="AY100" s="7" t="e">
        <f t="shared" si="39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0"/>
        <v>#VALUE!</v>
      </c>
      <c r="BG100" s="28"/>
      <c r="BH100" s="7" t="e">
        <f t="shared" si="41"/>
        <v>#VALUE!</v>
      </c>
      <c r="BI100" s="28"/>
      <c r="BJ100" s="7" t="e">
        <f t="shared" si="42"/>
        <v>#VALUE!</v>
      </c>
      <c r="BK100" s="28"/>
      <c r="BL100" s="7"/>
      <c r="BM100" s="7"/>
      <c r="BN100" s="7" t="e">
        <f t="shared" si="43"/>
        <v>#VALUE!</v>
      </c>
      <c r="BO100" s="28"/>
      <c r="BP100" s="7" t="e">
        <f t="shared" si="44"/>
        <v>#VALUE!</v>
      </c>
      <c r="BQ100" s="28"/>
      <c r="BR100" s="7"/>
      <c r="BS100" s="7" t="e">
        <f t="shared" si="45"/>
        <v>#VALUE!</v>
      </c>
      <c r="BT100" s="28"/>
      <c r="BU100" s="7"/>
      <c r="BV100" s="7" t="e">
        <f ca="1">[1]!tメーカー名(BU100)</f>
        <v>#NAME?</v>
      </c>
      <c r="BW100" s="7" t="e">
        <f t="shared" si="46"/>
        <v>#VALUE!</v>
      </c>
      <c r="BX100" s="28"/>
      <c r="BY100" s="7" t="e">
        <f t="shared" si="47"/>
        <v>#VALUE!</v>
      </c>
      <c r="BZ100" s="28"/>
      <c r="CA100" s="54"/>
      <c r="CB100" s="54"/>
      <c r="CC100" s="7" t="e">
        <f t="shared" si="48"/>
        <v>#VALUE!</v>
      </c>
      <c r="CD100" s="28"/>
      <c r="CE100" s="7" t="e">
        <f t="shared" si="49"/>
        <v>#VALUE!</v>
      </c>
      <c r="CF100" s="28"/>
      <c r="CG100" s="7" t="e">
        <f t="shared" si="50"/>
        <v>#VALUE!</v>
      </c>
      <c r="CH100" s="28"/>
      <c r="CI100" s="7" t="e">
        <f t="shared" si="51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6">
        <f t="shared" si="30"/>
        <v>0</v>
      </c>
      <c r="CT100" s="7"/>
      <c r="CU100" s="7"/>
      <c r="CV100" s="97"/>
      <c r="CW100" s="97"/>
      <c r="CX100" s="97"/>
      <c r="CY100" s="98"/>
      <c r="CZ100" s="98"/>
      <c r="DA100" s="97"/>
      <c r="DB100" s="98"/>
      <c r="DC100" s="97"/>
      <c r="DD100" s="97" t="s">
        <v>1758</v>
      </c>
      <c r="DE100" s="97" t="s">
        <v>1682</v>
      </c>
      <c r="DF100" s="98"/>
      <c r="DG100" s="98"/>
      <c r="DH100" s="98"/>
      <c r="DI100" s="98"/>
      <c r="DJ100" s="98"/>
      <c r="DK100" s="98"/>
      <c r="DL100" s="98"/>
      <c r="DM100" s="97"/>
      <c r="DN100" s="97"/>
      <c r="DO100" s="97"/>
      <c r="DP100" s="97"/>
      <c r="DQ100" s="97"/>
      <c r="DR100" s="97"/>
      <c r="DS100" s="97"/>
      <c r="DT100" s="99"/>
      <c r="DU100" s="98"/>
      <c r="DV100" s="97"/>
      <c r="DW100" s="97"/>
      <c r="DX100" s="97"/>
      <c r="DY100" s="97"/>
      <c r="DZ100" s="97"/>
      <c r="EA100" s="97"/>
      <c r="EB100" s="97"/>
      <c r="EC100" s="97"/>
      <c r="ED100" s="97"/>
      <c r="EE100" s="97"/>
      <c r="EF100" s="97"/>
      <c r="EG100" s="97"/>
      <c r="EH100" s="97"/>
      <c r="EI100" s="97"/>
      <c r="EJ100" s="97"/>
      <c r="EK100" s="97"/>
      <c r="EL100" s="97"/>
      <c r="EM100" s="97"/>
      <c r="EN100" s="97"/>
      <c r="EO100" s="97"/>
      <c r="EP100" s="97"/>
      <c r="EQ100" s="97"/>
      <c r="ER100" s="97"/>
      <c r="ES100" s="97"/>
      <c r="ET100" s="97"/>
      <c r="EU100" s="97"/>
      <c r="EV100" s="97"/>
      <c r="EW100" s="97"/>
      <c r="EX100" s="97"/>
      <c r="EY100" s="97"/>
      <c r="EZ100" s="97"/>
      <c r="FA100" s="97"/>
      <c r="FB100" s="97"/>
      <c r="FC100" s="97"/>
      <c r="FD100" s="97"/>
      <c r="FE100" s="97"/>
      <c r="FF100" s="97"/>
      <c r="FG100" s="97"/>
      <c r="FH100" s="97"/>
      <c r="FI100" s="97"/>
      <c r="FJ100" s="97"/>
      <c r="FK100" s="97"/>
      <c r="FL100" s="97"/>
      <c r="FM100" s="97"/>
      <c r="FN100" s="97"/>
      <c r="FO100" s="97"/>
      <c r="FP100" s="97"/>
      <c r="FQ100" s="97"/>
      <c r="FR100" s="97"/>
      <c r="FS100" s="97"/>
      <c r="FT100" s="97"/>
      <c r="FU100" s="97"/>
      <c r="FV100" s="97"/>
      <c r="FW100" s="97"/>
      <c r="FX100" s="97"/>
      <c r="FY100" s="6"/>
      <c r="FZ100" s="7" t="str">
        <f>IF(FY100="","",VLOOKUP(FY100,MT商品ﾏｽﾀ参照シート!AM:AN,2,0))</f>
        <v/>
      </c>
      <c r="GA100" s="8"/>
      <c r="GB100" s="8"/>
      <c r="GC100" s="8"/>
      <c r="GD100" s="8"/>
      <c r="GE100" s="58"/>
      <c r="GF100" s="7" t="str">
        <f>IF(GE100="","",VLOOKUP(GE100,MT商品ﾏｽﾀ参照シート!AO:AP,2,0))</f>
        <v/>
      </c>
      <c r="GG100" s="7"/>
      <c r="GH100" s="7"/>
      <c r="GI100" s="7"/>
      <c r="GJ100" s="7"/>
      <c r="GK100" s="49"/>
      <c r="GL100" s="6"/>
      <c r="GM100" s="6"/>
      <c r="GN100" s="7"/>
      <c r="GO100" s="7"/>
      <c r="GP100" s="7"/>
      <c r="GQ100" s="7"/>
      <c r="GR100" s="7">
        <v>4675</v>
      </c>
      <c r="GS100" s="7">
        <v>5500</v>
      </c>
      <c r="GT100" s="7">
        <v>5500</v>
      </c>
      <c r="GU100" s="7">
        <v>5500</v>
      </c>
      <c r="GV100" s="7">
        <v>5500</v>
      </c>
      <c r="GW100" s="8"/>
      <c r="GX100" s="8"/>
      <c r="GY100" s="8"/>
      <c r="GZ100" s="8"/>
      <c r="HA100" s="8"/>
      <c r="HB100" s="8"/>
      <c r="HC100" s="8"/>
      <c r="HD100" s="8"/>
      <c r="HE100" s="58"/>
      <c r="HF100" s="58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82"/>
      <c r="HR100" s="82"/>
      <c r="HS100" s="82"/>
      <c r="HT100" s="26"/>
      <c r="HU100" s="23"/>
      <c r="HV100" s="23"/>
      <c r="HW100" s="24"/>
      <c r="HX100" s="24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76"/>
      <c r="IY100" s="76"/>
      <c r="IZ100" s="76"/>
      <c r="JA100" s="71"/>
      <c r="JB100" s="71"/>
      <c r="JC100" s="72"/>
      <c r="JD100" s="72"/>
      <c r="JE100" s="72"/>
      <c r="JF100" s="72"/>
      <c r="JG100" s="72"/>
      <c r="JH100" s="72"/>
      <c r="JI100" s="71"/>
      <c r="JJ100" s="71"/>
      <c r="JK100" s="72"/>
      <c r="JL100" s="72"/>
      <c r="JM100" s="72"/>
      <c r="JN100" s="72"/>
    </row>
    <row r="101" spans="1:274" ht="13.5" customHeight="1">
      <c r="A101" s="7">
        <v>89</v>
      </c>
      <c r="B101" s="7"/>
      <c r="C101" s="7" t="e">
        <f t="shared" si="52"/>
        <v>#VALUE!</v>
      </c>
      <c r="D101" s="28"/>
      <c r="E101" s="7">
        <f t="shared" si="27"/>
        <v>0</v>
      </c>
      <c r="F101" s="7"/>
      <c r="G101" s="7">
        <f t="shared" si="28"/>
        <v>0</v>
      </c>
      <c r="H101" s="7"/>
      <c r="I101" s="7">
        <f t="shared" si="29"/>
        <v>0</v>
      </c>
      <c r="J101" s="7"/>
      <c r="K101" s="7"/>
      <c r="L101" s="7"/>
      <c r="M101" s="7"/>
      <c r="N101" s="7"/>
      <c r="O101" s="7"/>
      <c r="P101" s="7"/>
      <c r="Q101" s="53"/>
      <c r="R101" s="7"/>
      <c r="S101" s="7"/>
      <c r="T101" s="53"/>
      <c r="U101" s="7"/>
      <c r="V101" s="7" t="e">
        <f t="shared" si="31"/>
        <v>#VALUE!</v>
      </c>
      <c r="W101" s="28"/>
      <c r="X101" s="7" t="e">
        <f t="shared" si="31"/>
        <v>#VALUE!</v>
      </c>
      <c r="Y101" s="28"/>
      <c r="Z101" s="7" t="e">
        <f t="shared" si="32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33"/>
        <v>#VALUE!</v>
      </c>
      <c r="AH101" s="28"/>
      <c r="AI101" s="7"/>
      <c r="AJ101" s="7" t="e">
        <f t="shared" si="34"/>
        <v>#VALUE!</v>
      </c>
      <c r="AK101" s="28"/>
      <c r="AL101" s="7" t="e">
        <f t="shared" si="35"/>
        <v>#VALUE!</v>
      </c>
      <c r="AM101" s="28"/>
      <c r="AN101" s="7" t="e">
        <f t="shared" si="36"/>
        <v>#VALUE!</v>
      </c>
      <c r="AO101" s="28"/>
      <c r="AP101" s="7">
        <f t="shared" si="37"/>
        <v>2</v>
      </c>
      <c r="AQ101" s="28" t="s">
        <v>2301</v>
      </c>
      <c r="AR101" s="7"/>
      <c r="AS101" s="7"/>
      <c r="AT101" s="7"/>
      <c r="AU101" s="7"/>
      <c r="AV101" s="7">
        <f t="shared" si="38"/>
        <v>4617</v>
      </c>
      <c r="AW101" s="28" t="s">
        <v>2302</v>
      </c>
      <c r="AX101" s="7">
        <v>1</v>
      </c>
      <c r="AY101" s="7" t="e">
        <f t="shared" si="39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0"/>
        <v>#VALUE!</v>
      </c>
      <c r="BG101" s="28"/>
      <c r="BH101" s="7" t="e">
        <f t="shared" si="41"/>
        <v>#VALUE!</v>
      </c>
      <c r="BI101" s="28"/>
      <c r="BJ101" s="7" t="e">
        <f t="shared" si="42"/>
        <v>#VALUE!</v>
      </c>
      <c r="BK101" s="28"/>
      <c r="BL101" s="7"/>
      <c r="BM101" s="7"/>
      <c r="BN101" s="7" t="e">
        <f t="shared" si="43"/>
        <v>#VALUE!</v>
      </c>
      <c r="BO101" s="28"/>
      <c r="BP101" s="7" t="e">
        <f t="shared" si="44"/>
        <v>#VALUE!</v>
      </c>
      <c r="BQ101" s="28"/>
      <c r="BR101" s="7"/>
      <c r="BS101" s="7" t="e">
        <f t="shared" si="45"/>
        <v>#VALUE!</v>
      </c>
      <c r="BT101" s="28"/>
      <c r="BU101" s="7"/>
      <c r="BV101" s="7" t="e">
        <f ca="1">[1]!tメーカー名(BU101)</f>
        <v>#NAME?</v>
      </c>
      <c r="BW101" s="7" t="e">
        <f t="shared" si="46"/>
        <v>#VALUE!</v>
      </c>
      <c r="BX101" s="28"/>
      <c r="BY101" s="7" t="e">
        <f t="shared" si="47"/>
        <v>#VALUE!</v>
      </c>
      <c r="BZ101" s="28"/>
      <c r="CA101" s="54"/>
      <c r="CB101" s="54"/>
      <c r="CC101" s="7" t="e">
        <f t="shared" si="48"/>
        <v>#VALUE!</v>
      </c>
      <c r="CD101" s="28"/>
      <c r="CE101" s="7" t="e">
        <f t="shared" si="49"/>
        <v>#VALUE!</v>
      </c>
      <c r="CF101" s="28"/>
      <c r="CG101" s="7" t="e">
        <f t="shared" si="50"/>
        <v>#VALUE!</v>
      </c>
      <c r="CH101" s="28"/>
      <c r="CI101" s="7" t="e">
        <f t="shared" si="51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6">
        <f t="shared" si="30"/>
        <v>0</v>
      </c>
      <c r="CT101" s="7"/>
      <c r="CU101" s="7"/>
      <c r="CV101" s="97"/>
      <c r="CW101" s="97"/>
      <c r="CX101" s="97"/>
      <c r="CY101" s="98"/>
      <c r="CZ101" s="98"/>
      <c r="DA101" s="97"/>
      <c r="DB101" s="98"/>
      <c r="DC101" s="97"/>
      <c r="DD101" s="97" t="s">
        <v>1759</v>
      </c>
      <c r="DE101" s="97" t="s">
        <v>1682</v>
      </c>
      <c r="DF101" s="98"/>
      <c r="DG101" s="98"/>
      <c r="DH101" s="98"/>
      <c r="DI101" s="98"/>
      <c r="DJ101" s="98"/>
      <c r="DK101" s="98"/>
      <c r="DL101" s="98"/>
      <c r="DM101" s="97"/>
      <c r="DN101" s="97"/>
      <c r="DO101" s="97"/>
      <c r="DP101" s="97"/>
      <c r="DQ101" s="97"/>
      <c r="DR101" s="97"/>
      <c r="DS101" s="97"/>
      <c r="DT101" s="99"/>
      <c r="DU101" s="98"/>
      <c r="DV101" s="97"/>
      <c r="DW101" s="97"/>
      <c r="DX101" s="97"/>
      <c r="DY101" s="97"/>
      <c r="DZ101" s="97"/>
      <c r="EA101" s="97"/>
      <c r="EB101" s="97"/>
      <c r="EC101" s="97"/>
      <c r="ED101" s="97"/>
      <c r="EE101" s="97"/>
      <c r="EF101" s="97"/>
      <c r="EG101" s="97"/>
      <c r="EH101" s="97"/>
      <c r="EI101" s="97"/>
      <c r="EJ101" s="97"/>
      <c r="EK101" s="97"/>
      <c r="EL101" s="97"/>
      <c r="EM101" s="97"/>
      <c r="EN101" s="97"/>
      <c r="EO101" s="97"/>
      <c r="EP101" s="97"/>
      <c r="EQ101" s="97"/>
      <c r="ER101" s="97"/>
      <c r="ES101" s="97"/>
      <c r="ET101" s="97"/>
      <c r="EU101" s="97"/>
      <c r="EV101" s="97"/>
      <c r="EW101" s="97"/>
      <c r="EX101" s="97"/>
      <c r="EY101" s="97"/>
      <c r="EZ101" s="97"/>
      <c r="FA101" s="97"/>
      <c r="FB101" s="97"/>
      <c r="FC101" s="97"/>
      <c r="FD101" s="97"/>
      <c r="FE101" s="97"/>
      <c r="FF101" s="97"/>
      <c r="FG101" s="97"/>
      <c r="FH101" s="97"/>
      <c r="FI101" s="97"/>
      <c r="FJ101" s="97"/>
      <c r="FK101" s="97"/>
      <c r="FL101" s="97"/>
      <c r="FM101" s="97"/>
      <c r="FN101" s="97"/>
      <c r="FO101" s="97"/>
      <c r="FP101" s="97"/>
      <c r="FQ101" s="97"/>
      <c r="FR101" s="97"/>
      <c r="FS101" s="97"/>
      <c r="FT101" s="97"/>
      <c r="FU101" s="97"/>
      <c r="FV101" s="97"/>
      <c r="FW101" s="97"/>
      <c r="FX101" s="97"/>
      <c r="FY101" s="6"/>
      <c r="FZ101" s="7" t="str">
        <f>IF(FY101="","",VLOOKUP(FY101,MT商品ﾏｽﾀ参照シート!AM:AN,2,0))</f>
        <v/>
      </c>
      <c r="GA101" s="8"/>
      <c r="GB101" s="8"/>
      <c r="GC101" s="8"/>
      <c r="GD101" s="8"/>
      <c r="GE101" s="58"/>
      <c r="GF101" s="7" t="str">
        <f>IF(GE101="","",VLOOKUP(GE101,MT商品ﾏｽﾀ参照シート!AO:AP,2,0))</f>
        <v/>
      </c>
      <c r="GG101" s="7"/>
      <c r="GH101" s="7"/>
      <c r="GI101" s="7"/>
      <c r="GJ101" s="7"/>
      <c r="GK101" s="49"/>
      <c r="GL101" s="6"/>
      <c r="GM101" s="6"/>
      <c r="GN101" s="7"/>
      <c r="GO101" s="7"/>
      <c r="GP101" s="7"/>
      <c r="GQ101" s="7"/>
      <c r="GR101" s="7">
        <v>3995</v>
      </c>
      <c r="GS101" s="7">
        <v>4700</v>
      </c>
      <c r="GT101" s="7">
        <v>4700</v>
      </c>
      <c r="GU101" s="7">
        <v>4700</v>
      </c>
      <c r="GV101" s="7">
        <v>4700</v>
      </c>
      <c r="GW101" s="8"/>
      <c r="GX101" s="8"/>
      <c r="GY101" s="8"/>
      <c r="GZ101" s="8"/>
      <c r="HA101" s="8"/>
      <c r="HB101" s="8"/>
      <c r="HC101" s="8"/>
      <c r="HD101" s="8"/>
      <c r="HE101" s="58"/>
      <c r="HF101" s="58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82"/>
      <c r="HR101" s="82"/>
      <c r="HS101" s="82"/>
      <c r="HT101" s="26"/>
      <c r="HU101" s="23"/>
      <c r="HV101" s="23"/>
      <c r="HW101" s="24"/>
      <c r="HX101" s="24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76"/>
      <c r="IY101" s="76"/>
      <c r="IZ101" s="76"/>
      <c r="JA101" s="71"/>
      <c r="JB101" s="71"/>
      <c r="JC101" s="72"/>
      <c r="JD101" s="72"/>
      <c r="JE101" s="72"/>
      <c r="JF101" s="72"/>
      <c r="JG101" s="72"/>
      <c r="JH101" s="72"/>
      <c r="JI101" s="71"/>
      <c r="JJ101" s="71"/>
      <c r="JK101" s="72"/>
      <c r="JL101" s="72"/>
      <c r="JM101" s="72"/>
      <c r="JN101" s="72"/>
    </row>
    <row r="102" spans="1:274" ht="13.5" customHeight="1">
      <c r="A102" s="7">
        <v>90</v>
      </c>
      <c r="B102" s="7"/>
      <c r="C102" s="7" t="e">
        <f t="shared" si="52"/>
        <v>#VALUE!</v>
      </c>
      <c r="D102" s="28"/>
      <c r="E102" s="7">
        <f t="shared" si="27"/>
        <v>0</v>
      </c>
      <c r="F102" s="7"/>
      <c r="G102" s="7">
        <f t="shared" si="28"/>
        <v>0</v>
      </c>
      <c r="H102" s="7"/>
      <c r="I102" s="7">
        <f t="shared" si="29"/>
        <v>0</v>
      </c>
      <c r="J102" s="7"/>
      <c r="K102" s="7"/>
      <c r="L102" s="7"/>
      <c r="M102" s="7"/>
      <c r="N102" s="7"/>
      <c r="O102" s="7"/>
      <c r="P102" s="7"/>
      <c r="Q102" s="53"/>
      <c r="R102" s="7"/>
      <c r="S102" s="7"/>
      <c r="T102" s="53"/>
      <c r="U102" s="7"/>
      <c r="V102" s="7" t="e">
        <f t="shared" si="31"/>
        <v>#VALUE!</v>
      </c>
      <c r="W102" s="28"/>
      <c r="X102" s="7" t="e">
        <f t="shared" si="31"/>
        <v>#VALUE!</v>
      </c>
      <c r="Y102" s="28"/>
      <c r="Z102" s="7" t="e">
        <f t="shared" si="32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33"/>
        <v>#VALUE!</v>
      </c>
      <c r="AH102" s="28"/>
      <c r="AI102" s="7"/>
      <c r="AJ102" s="7" t="e">
        <f t="shared" si="34"/>
        <v>#VALUE!</v>
      </c>
      <c r="AK102" s="28"/>
      <c r="AL102" s="7" t="e">
        <f t="shared" si="35"/>
        <v>#VALUE!</v>
      </c>
      <c r="AM102" s="28"/>
      <c r="AN102" s="7" t="e">
        <f t="shared" si="36"/>
        <v>#VALUE!</v>
      </c>
      <c r="AO102" s="28"/>
      <c r="AP102" s="7">
        <f t="shared" si="37"/>
        <v>2</v>
      </c>
      <c r="AQ102" s="28" t="s">
        <v>2301</v>
      </c>
      <c r="AR102" s="7"/>
      <c r="AS102" s="7"/>
      <c r="AT102" s="7"/>
      <c r="AU102" s="7"/>
      <c r="AV102" s="7">
        <f t="shared" si="38"/>
        <v>4617</v>
      </c>
      <c r="AW102" s="28" t="s">
        <v>2302</v>
      </c>
      <c r="AX102" s="7">
        <v>1</v>
      </c>
      <c r="AY102" s="7" t="e">
        <f t="shared" si="39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0"/>
        <v>#VALUE!</v>
      </c>
      <c r="BG102" s="28"/>
      <c r="BH102" s="7" t="e">
        <f t="shared" si="41"/>
        <v>#VALUE!</v>
      </c>
      <c r="BI102" s="28"/>
      <c r="BJ102" s="7" t="e">
        <f t="shared" si="42"/>
        <v>#VALUE!</v>
      </c>
      <c r="BK102" s="28"/>
      <c r="BL102" s="7"/>
      <c r="BM102" s="7"/>
      <c r="BN102" s="7" t="e">
        <f t="shared" si="43"/>
        <v>#VALUE!</v>
      </c>
      <c r="BO102" s="28"/>
      <c r="BP102" s="7" t="e">
        <f t="shared" si="44"/>
        <v>#VALUE!</v>
      </c>
      <c r="BQ102" s="28"/>
      <c r="BR102" s="7"/>
      <c r="BS102" s="7" t="e">
        <f t="shared" si="45"/>
        <v>#VALUE!</v>
      </c>
      <c r="BT102" s="28"/>
      <c r="BU102" s="7"/>
      <c r="BV102" s="7" t="e">
        <f ca="1">[1]!tメーカー名(BU102)</f>
        <v>#NAME?</v>
      </c>
      <c r="BW102" s="7" t="e">
        <f t="shared" si="46"/>
        <v>#VALUE!</v>
      </c>
      <c r="BX102" s="28"/>
      <c r="BY102" s="7" t="e">
        <f t="shared" si="47"/>
        <v>#VALUE!</v>
      </c>
      <c r="BZ102" s="28"/>
      <c r="CA102" s="54"/>
      <c r="CB102" s="54"/>
      <c r="CC102" s="7" t="e">
        <f t="shared" si="48"/>
        <v>#VALUE!</v>
      </c>
      <c r="CD102" s="28"/>
      <c r="CE102" s="7" t="e">
        <f t="shared" si="49"/>
        <v>#VALUE!</v>
      </c>
      <c r="CF102" s="28"/>
      <c r="CG102" s="7" t="e">
        <f t="shared" si="50"/>
        <v>#VALUE!</v>
      </c>
      <c r="CH102" s="28"/>
      <c r="CI102" s="7" t="e">
        <f t="shared" si="51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6">
        <f t="shared" si="30"/>
        <v>0</v>
      </c>
      <c r="CT102" s="7"/>
      <c r="CU102" s="7"/>
      <c r="CV102" s="97"/>
      <c r="CW102" s="97"/>
      <c r="CX102" s="97"/>
      <c r="CY102" s="98"/>
      <c r="CZ102" s="98"/>
      <c r="DA102" s="97"/>
      <c r="DB102" s="98"/>
      <c r="DC102" s="97"/>
      <c r="DD102" s="97" t="s">
        <v>1760</v>
      </c>
      <c r="DE102" s="97" t="s">
        <v>1682</v>
      </c>
      <c r="DF102" s="98"/>
      <c r="DG102" s="98"/>
      <c r="DH102" s="98"/>
      <c r="DI102" s="98"/>
      <c r="DJ102" s="98"/>
      <c r="DK102" s="98"/>
      <c r="DL102" s="98"/>
      <c r="DM102" s="97"/>
      <c r="DN102" s="97"/>
      <c r="DO102" s="97"/>
      <c r="DP102" s="97"/>
      <c r="DQ102" s="97"/>
      <c r="DR102" s="97"/>
      <c r="DS102" s="97"/>
      <c r="DT102" s="99"/>
      <c r="DU102" s="98"/>
      <c r="DV102" s="97"/>
      <c r="DW102" s="97"/>
      <c r="DX102" s="97"/>
      <c r="DY102" s="97"/>
      <c r="DZ102" s="97"/>
      <c r="EA102" s="97"/>
      <c r="EB102" s="97"/>
      <c r="EC102" s="97"/>
      <c r="ED102" s="97"/>
      <c r="EE102" s="97"/>
      <c r="EF102" s="97"/>
      <c r="EG102" s="97"/>
      <c r="EH102" s="97"/>
      <c r="EI102" s="97"/>
      <c r="EJ102" s="97"/>
      <c r="EK102" s="97"/>
      <c r="EL102" s="97"/>
      <c r="EM102" s="97"/>
      <c r="EN102" s="97"/>
      <c r="EO102" s="97"/>
      <c r="EP102" s="97"/>
      <c r="EQ102" s="97"/>
      <c r="ER102" s="97"/>
      <c r="ES102" s="97"/>
      <c r="ET102" s="97"/>
      <c r="EU102" s="97"/>
      <c r="EV102" s="97"/>
      <c r="EW102" s="97"/>
      <c r="EX102" s="97"/>
      <c r="EY102" s="97"/>
      <c r="EZ102" s="97"/>
      <c r="FA102" s="97"/>
      <c r="FB102" s="97"/>
      <c r="FC102" s="97"/>
      <c r="FD102" s="97"/>
      <c r="FE102" s="97"/>
      <c r="FF102" s="97"/>
      <c r="FG102" s="97"/>
      <c r="FH102" s="97"/>
      <c r="FI102" s="97"/>
      <c r="FJ102" s="97"/>
      <c r="FK102" s="97"/>
      <c r="FL102" s="97"/>
      <c r="FM102" s="97"/>
      <c r="FN102" s="97"/>
      <c r="FO102" s="97"/>
      <c r="FP102" s="97"/>
      <c r="FQ102" s="97"/>
      <c r="FR102" s="97"/>
      <c r="FS102" s="97"/>
      <c r="FT102" s="97"/>
      <c r="FU102" s="97"/>
      <c r="FV102" s="97"/>
      <c r="FW102" s="97"/>
      <c r="FX102" s="97"/>
      <c r="FY102" s="6"/>
      <c r="FZ102" s="7" t="str">
        <f>IF(FY102="","",VLOOKUP(FY102,MT商品ﾏｽﾀ参照シート!AM:AN,2,0))</f>
        <v/>
      </c>
      <c r="GA102" s="8"/>
      <c r="GB102" s="8"/>
      <c r="GC102" s="8"/>
      <c r="GD102" s="8"/>
      <c r="GE102" s="58"/>
      <c r="GF102" s="7" t="str">
        <f>IF(GE102="","",VLOOKUP(GE102,MT商品ﾏｽﾀ参照シート!AO:AP,2,0))</f>
        <v/>
      </c>
      <c r="GG102" s="7"/>
      <c r="GH102" s="7"/>
      <c r="GI102" s="7"/>
      <c r="GJ102" s="7"/>
      <c r="GK102" s="49"/>
      <c r="GL102" s="6"/>
      <c r="GM102" s="6"/>
      <c r="GN102" s="7"/>
      <c r="GO102" s="7"/>
      <c r="GP102" s="7"/>
      <c r="GQ102" s="7"/>
      <c r="GR102" s="7">
        <v>5355</v>
      </c>
      <c r="GS102" s="7">
        <v>6300</v>
      </c>
      <c r="GT102" s="7">
        <v>6300</v>
      </c>
      <c r="GU102" s="7">
        <v>6300</v>
      </c>
      <c r="GV102" s="7">
        <v>6300</v>
      </c>
      <c r="GW102" s="8"/>
      <c r="GX102" s="8"/>
      <c r="GY102" s="8"/>
      <c r="GZ102" s="8"/>
      <c r="HA102" s="8"/>
      <c r="HB102" s="8"/>
      <c r="HC102" s="8"/>
      <c r="HD102" s="8"/>
      <c r="HE102" s="58"/>
      <c r="HF102" s="58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82"/>
      <c r="HR102" s="82"/>
      <c r="HS102" s="82"/>
      <c r="HT102" s="26"/>
      <c r="HU102" s="23"/>
      <c r="HV102" s="23"/>
      <c r="HW102" s="24"/>
      <c r="HX102" s="24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76"/>
      <c r="IY102" s="76"/>
      <c r="IZ102" s="76"/>
      <c r="JA102" s="71"/>
      <c r="JB102" s="71"/>
      <c r="JC102" s="72"/>
      <c r="JD102" s="72"/>
      <c r="JE102" s="72"/>
      <c r="JF102" s="72"/>
      <c r="JG102" s="72"/>
      <c r="JH102" s="72"/>
      <c r="JI102" s="71"/>
      <c r="JJ102" s="71"/>
      <c r="JK102" s="72"/>
      <c r="JL102" s="72"/>
      <c r="JM102" s="72"/>
      <c r="JN102" s="72"/>
    </row>
    <row r="103" spans="1:274" ht="13.5" customHeight="1">
      <c r="A103" s="7">
        <v>91</v>
      </c>
      <c r="B103" s="7"/>
      <c r="C103" s="7" t="e">
        <f t="shared" si="52"/>
        <v>#VALUE!</v>
      </c>
      <c r="D103" s="28"/>
      <c r="E103" s="7">
        <f t="shared" si="27"/>
        <v>0</v>
      </c>
      <c r="F103" s="7"/>
      <c r="G103" s="7">
        <f t="shared" si="28"/>
        <v>0</v>
      </c>
      <c r="H103" s="7"/>
      <c r="I103" s="7">
        <f t="shared" si="29"/>
        <v>0</v>
      </c>
      <c r="J103" s="7"/>
      <c r="K103" s="7"/>
      <c r="L103" s="7"/>
      <c r="M103" s="7"/>
      <c r="N103" s="7"/>
      <c r="O103" s="7"/>
      <c r="P103" s="7"/>
      <c r="Q103" s="53"/>
      <c r="R103" s="7"/>
      <c r="S103" s="7"/>
      <c r="T103" s="53"/>
      <c r="U103" s="7"/>
      <c r="V103" s="7" t="e">
        <f t="shared" si="31"/>
        <v>#VALUE!</v>
      </c>
      <c r="W103" s="28"/>
      <c r="X103" s="7" t="e">
        <f t="shared" si="31"/>
        <v>#VALUE!</v>
      </c>
      <c r="Y103" s="28"/>
      <c r="Z103" s="7" t="e">
        <f t="shared" si="32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33"/>
        <v>#VALUE!</v>
      </c>
      <c r="AH103" s="28"/>
      <c r="AI103" s="7"/>
      <c r="AJ103" s="7" t="e">
        <f t="shared" si="34"/>
        <v>#VALUE!</v>
      </c>
      <c r="AK103" s="28"/>
      <c r="AL103" s="7" t="e">
        <f t="shared" si="35"/>
        <v>#VALUE!</v>
      </c>
      <c r="AM103" s="28"/>
      <c r="AN103" s="7" t="e">
        <f t="shared" si="36"/>
        <v>#VALUE!</v>
      </c>
      <c r="AO103" s="28"/>
      <c r="AP103" s="7">
        <f t="shared" si="37"/>
        <v>2</v>
      </c>
      <c r="AQ103" s="28" t="s">
        <v>2301</v>
      </c>
      <c r="AR103" s="7"/>
      <c r="AS103" s="7"/>
      <c r="AT103" s="7"/>
      <c r="AU103" s="7"/>
      <c r="AV103" s="7">
        <f t="shared" si="38"/>
        <v>4617</v>
      </c>
      <c r="AW103" s="28" t="s">
        <v>2302</v>
      </c>
      <c r="AX103" s="7">
        <v>1</v>
      </c>
      <c r="AY103" s="7" t="e">
        <f t="shared" si="39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0"/>
        <v>#VALUE!</v>
      </c>
      <c r="BG103" s="28"/>
      <c r="BH103" s="7" t="e">
        <f t="shared" si="41"/>
        <v>#VALUE!</v>
      </c>
      <c r="BI103" s="28"/>
      <c r="BJ103" s="7" t="e">
        <f t="shared" si="42"/>
        <v>#VALUE!</v>
      </c>
      <c r="BK103" s="28"/>
      <c r="BL103" s="7"/>
      <c r="BM103" s="7"/>
      <c r="BN103" s="7" t="e">
        <f t="shared" si="43"/>
        <v>#VALUE!</v>
      </c>
      <c r="BO103" s="28"/>
      <c r="BP103" s="7" t="e">
        <f t="shared" si="44"/>
        <v>#VALUE!</v>
      </c>
      <c r="BQ103" s="28"/>
      <c r="BR103" s="7"/>
      <c r="BS103" s="7" t="e">
        <f t="shared" si="45"/>
        <v>#VALUE!</v>
      </c>
      <c r="BT103" s="28"/>
      <c r="BU103" s="7"/>
      <c r="BV103" s="7" t="e">
        <f ca="1">[1]!tメーカー名(BU103)</f>
        <v>#NAME?</v>
      </c>
      <c r="BW103" s="7" t="e">
        <f t="shared" si="46"/>
        <v>#VALUE!</v>
      </c>
      <c r="BX103" s="28"/>
      <c r="BY103" s="7" t="e">
        <f t="shared" si="47"/>
        <v>#VALUE!</v>
      </c>
      <c r="BZ103" s="28"/>
      <c r="CA103" s="54"/>
      <c r="CB103" s="54"/>
      <c r="CC103" s="7" t="e">
        <f t="shared" si="48"/>
        <v>#VALUE!</v>
      </c>
      <c r="CD103" s="28"/>
      <c r="CE103" s="7" t="e">
        <f t="shared" si="49"/>
        <v>#VALUE!</v>
      </c>
      <c r="CF103" s="28"/>
      <c r="CG103" s="7" t="e">
        <f t="shared" si="50"/>
        <v>#VALUE!</v>
      </c>
      <c r="CH103" s="28"/>
      <c r="CI103" s="7" t="e">
        <f t="shared" si="51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6">
        <f t="shared" si="30"/>
        <v>0</v>
      </c>
      <c r="CT103" s="7"/>
      <c r="CU103" s="7"/>
      <c r="CV103" s="97"/>
      <c r="CW103" s="97"/>
      <c r="CX103" s="97"/>
      <c r="CY103" s="98"/>
      <c r="CZ103" s="98"/>
      <c r="DA103" s="97"/>
      <c r="DB103" s="98"/>
      <c r="DC103" s="97"/>
      <c r="DD103" s="97" t="s">
        <v>1761</v>
      </c>
      <c r="DE103" s="97" t="s">
        <v>1682</v>
      </c>
      <c r="DF103" s="98"/>
      <c r="DG103" s="98"/>
      <c r="DH103" s="98"/>
      <c r="DI103" s="98"/>
      <c r="DJ103" s="98"/>
      <c r="DK103" s="98"/>
      <c r="DL103" s="98"/>
      <c r="DM103" s="97"/>
      <c r="DN103" s="97"/>
      <c r="DO103" s="97"/>
      <c r="DP103" s="97"/>
      <c r="DQ103" s="97"/>
      <c r="DR103" s="97"/>
      <c r="DS103" s="97"/>
      <c r="DT103" s="99"/>
      <c r="DU103" s="98"/>
      <c r="DV103" s="97"/>
      <c r="DW103" s="97"/>
      <c r="DX103" s="97"/>
      <c r="DY103" s="97"/>
      <c r="DZ103" s="97"/>
      <c r="EA103" s="97"/>
      <c r="EB103" s="97"/>
      <c r="EC103" s="97"/>
      <c r="ED103" s="97"/>
      <c r="EE103" s="97"/>
      <c r="EF103" s="97"/>
      <c r="EG103" s="97"/>
      <c r="EH103" s="97"/>
      <c r="EI103" s="97"/>
      <c r="EJ103" s="97"/>
      <c r="EK103" s="97"/>
      <c r="EL103" s="97"/>
      <c r="EM103" s="97"/>
      <c r="EN103" s="97"/>
      <c r="EO103" s="97"/>
      <c r="EP103" s="97"/>
      <c r="EQ103" s="97"/>
      <c r="ER103" s="97"/>
      <c r="ES103" s="97"/>
      <c r="ET103" s="97"/>
      <c r="EU103" s="97"/>
      <c r="EV103" s="97"/>
      <c r="EW103" s="97"/>
      <c r="EX103" s="97"/>
      <c r="EY103" s="97"/>
      <c r="EZ103" s="97"/>
      <c r="FA103" s="97"/>
      <c r="FB103" s="97"/>
      <c r="FC103" s="97"/>
      <c r="FD103" s="97"/>
      <c r="FE103" s="97"/>
      <c r="FF103" s="97"/>
      <c r="FG103" s="97"/>
      <c r="FH103" s="97"/>
      <c r="FI103" s="97"/>
      <c r="FJ103" s="97"/>
      <c r="FK103" s="97"/>
      <c r="FL103" s="97"/>
      <c r="FM103" s="97"/>
      <c r="FN103" s="97"/>
      <c r="FO103" s="97"/>
      <c r="FP103" s="97"/>
      <c r="FQ103" s="97"/>
      <c r="FR103" s="97"/>
      <c r="FS103" s="97"/>
      <c r="FT103" s="97"/>
      <c r="FU103" s="97"/>
      <c r="FV103" s="97"/>
      <c r="FW103" s="97"/>
      <c r="FX103" s="97"/>
      <c r="FY103" s="6"/>
      <c r="FZ103" s="7" t="str">
        <f>IF(FY103="","",VLOOKUP(FY103,MT商品ﾏｽﾀ参照シート!AM:AN,2,0))</f>
        <v/>
      </c>
      <c r="GA103" s="8"/>
      <c r="GB103" s="8"/>
      <c r="GC103" s="8"/>
      <c r="GD103" s="8"/>
      <c r="GE103" s="58"/>
      <c r="GF103" s="7" t="str">
        <f>IF(GE103="","",VLOOKUP(GE103,MT商品ﾏｽﾀ参照シート!AO:AP,2,0))</f>
        <v/>
      </c>
      <c r="GG103" s="7"/>
      <c r="GH103" s="7"/>
      <c r="GI103" s="7"/>
      <c r="GJ103" s="7"/>
      <c r="GK103" s="49"/>
      <c r="GL103" s="6"/>
      <c r="GM103" s="6"/>
      <c r="GN103" s="7"/>
      <c r="GO103" s="7"/>
      <c r="GP103" s="7"/>
      <c r="GQ103" s="7"/>
      <c r="GR103" s="7">
        <v>3145</v>
      </c>
      <c r="GS103" s="7">
        <v>3700</v>
      </c>
      <c r="GT103" s="7">
        <v>3700</v>
      </c>
      <c r="GU103" s="7">
        <v>3700</v>
      </c>
      <c r="GV103" s="7">
        <v>3700</v>
      </c>
      <c r="GW103" s="8"/>
      <c r="GX103" s="8"/>
      <c r="GY103" s="8"/>
      <c r="GZ103" s="8"/>
      <c r="HA103" s="8"/>
      <c r="HB103" s="8"/>
      <c r="HC103" s="8"/>
      <c r="HD103" s="8"/>
      <c r="HE103" s="58"/>
      <c r="HF103" s="58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82"/>
      <c r="HR103" s="82"/>
      <c r="HS103" s="82"/>
      <c r="HT103" s="26"/>
      <c r="HU103" s="23"/>
      <c r="HV103" s="23"/>
      <c r="HW103" s="24"/>
      <c r="HX103" s="24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76"/>
      <c r="IY103" s="76"/>
      <c r="IZ103" s="76"/>
      <c r="JA103" s="71"/>
      <c r="JB103" s="71"/>
      <c r="JC103" s="72"/>
      <c r="JD103" s="72"/>
      <c r="JE103" s="72"/>
      <c r="JF103" s="72"/>
      <c r="JG103" s="72"/>
      <c r="JH103" s="72"/>
      <c r="JI103" s="71"/>
      <c r="JJ103" s="71"/>
      <c r="JK103" s="72"/>
      <c r="JL103" s="72"/>
      <c r="JM103" s="72"/>
      <c r="JN103" s="72"/>
    </row>
    <row r="104" spans="1:274" ht="13.5" customHeight="1">
      <c r="A104" s="7">
        <v>92</v>
      </c>
      <c r="B104" s="7"/>
      <c r="C104" s="7" t="e">
        <f t="shared" si="52"/>
        <v>#VALUE!</v>
      </c>
      <c r="D104" s="28"/>
      <c r="E104" s="7">
        <f t="shared" si="27"/>
        <v>0</v>
      </c>
      <c r="F104" s="7"/>
      <c r="G104" s="7">
        <f t="shared" si="28"/>
        <v>0</v>
      </c>
      <c r="H104" s="7"/>
      <c r="I104" s="7">
        <f t="shared" si="29"/>
        <v>0</v>
      </c>
      <c r="J104" s="7"/>
      <c r="K104" s="7"/>
      <c r="L104" s="7"/>
      <c r="M104" s="7"/>
      <c r="N104" s="7"/>
      <c r="O104" s="7"/>
      <c r="P104" s="7"/>
      <c r="Q104" s="53"/>
      <c r="R104" s="7"/>
      <c r="S104" s="7"/>
      <c r="T104" s="53"/>
      <c r="U104" s="7"/>
      <c r="V104" s="7" t="e">
        <f t="shared" si="31"/>
        <v>#VALUE!</v>
      </c>
      <c r="W104" s="28"/>
      <c r="X104" s="7" t="e">
        <f t="shared" si="31"/>
        <v>#VALUE!</v>
      </c>
      <c r="Y104" s="28"/>
      <c r="Z104" s="7" t="e">
        <f t="shared" si="32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33"/>
        <v>#VALUE!</v>
      </c>
      <c r="AH104" s="28"/>
      <c r="AI104" s="7"/>
      <c r="AJ104" s="7" t="e">
        <f t="shared" si="34"/>
        <v>#VALUE!</v>
      </c>
      <c r="AK104" s="28"/>
      <c r="AL104" s="7" t="e">
        <f t="shared" si="35"/>
        <v>#VALUE!</v>
      </c>
      <c r="AM104" s="28"/>
      <c r="AN104" s="7" t="e">
        <f t="shared" si="36"/>
        <v>#VALUE!</v>
      </c>
      <c r="AO104" s="28"/>
      <c r="AP104" s="7">
        <f t="shared" si="37"/>
        <v>2</v>
      </c>
      <c r="AQ104" s="28" t="s">
        <v>2301</v>
      </c>
      <c r="AR104" s="7"/>
      <c r="AS104" s="7"/>
      <c r="AT104" s="7"/>
      <c r="AU104" s="7"/>
      <c r="AV104" s="7">
        <f t="shared" si="38"/>
        <v>4617</v>
      </c>
      <c r="AW104" s="28" t="s">
        <v>2302</v>
      </c>
      <c r="AX104" s="7">
        <v>1</v>
      </c>
      <c r="AY104" s="7" t="e">
        <f t="shared" si="39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0"/>
        <v>#VALUE!</v>
      </c>
      <c r="BG104" s="28"/>
      <c r="BH104" s="7" t="e">
        <f t="shared" si="41"/>
        <v>#VALUE!</v>
      </c>
      <c r="BI104" s="28"/>
      <c r="BJ104" s="7" t="e">
        <f t="shared" si="42"/>
        <v>#VALUE!</v>
      </c>
      <c r="BK104" s="28"/>
      <c r="BL104" s="7"/>
      <c r="BM104" s="7"/>
      <c r="BN104" s="7" t="e">
        <f t="shared" si="43"/>
        <v>#VALUE!</v>
      </c>
      <c r="BO104" s="28"/>
      <c r="BP104" s="7" t="e">
        <f t="shared" si="44"/>
        <v>#VALUE!</v>
      </c>
      <c r="BQ104" s="28"/>
      <c r="BR104" s="7"/>
      <c r="BS104" s="7" t="e">
        <f t="shared" si="45"/>
        <v>#VALUE!</v>
      </c>
      <c r="BT104" s="28"/>
      <c r="BU104" s="7"/>
      <c r="BV104" s="7" t="e">
        <f ca="1">[1]!tメーカー名(BU104)</f>
        <v>#NAME?</v>
      </c>
      <c r="BW104" s="7" t="e">
        <f t="shared" si="46"/>
        <v>#VALUE!</v>
      </c>
      <c r="BX104" s="28"/>
      <c r="BY104" s="7" t="e">
        <f t="shared" si="47"/>
        <v>#VALUE!</v>
      </c>
      <c r="BZ104" s="28"/>
      <c r="CA104" s="54"/>
      <c r="CB104" s="54"/>
      <c r="CC104" s="7" t="e">
        <f t="shared" si="48"/>
        <v>#VALUE!</v>
      </c>
      <c r="CD104" s="28"/>
      <c r="CE104" s="7" t="e">
        <f t="shared" si="49"/>
        <v>#VALUE!</v>
      </c>
      <c r="CF104" s="28"/>
      <c r="CG104" s="7" t="e">
        <f t="shared" si="50"/>
        <v>#VALUE!</v>
      </c>
      <c r="CH104" s="28"/>
      <c r="CI104" s="7" t="e">
        <f t="shared" si="51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6">
        <f t="shared" si="30"/>
        <v>0</v>
      </c>
      <c r="CT104" s="7"/>
      <c r="CU104" s="7"/>
      <c r="CV104" s="97"/>
      <c r="CW104" s="97"/>
      <c r="CX104" s="97"/>
      <c r="CY104" s="98"/>
      <c r="CZ104" s="98"/>
      <c r="DA104" s="97"/>
      <c r="DB104" s="98"/>
      <c r="DC104" s="97"/>
      <c r="DD104" s="97" t="s">
        <v>1762</v>
      </c>
      <c r="DE104" s="97" t="s">
        <v>1682</v>
      </c>
      <c r="DF104" s="98"/>
      <c r="DG104" s="98"/>
      <c r="DH104" s="98"/>
      <c r="DI104" s="98"/>
      <c r="DJ104" s="98"/>
      <c r="DK104" s="98"/>
      <c r="DL104" s="98"/>
      <c r="DM104" s="97"/>
      <c r="DN104" s="97"/>
      <c r="DO104" s="97"/>
      <c r="DP104" s="97"/>
      <c r="DQ104" s="97"/>
      <c r="DR104" s="97"/>
      <c r="DS104" s="97"/>
      <c r="DT104" s="99"/>
      <c r="DU104" s="98"/>
      <c r="DV104" s="97"/>
      <c r="DW104" s="97"/>
      <c r="DX104" s="97"/>
      <c r="DY104" s="97"/>
      <c r="DZ104" s="97"/>
      <c r="EA104" s="97"/>
      <c r="EB104" s="97"/>
      <c r="EC104" s="97"/>
      <c r="ED104" s="97"/>
      <c r="EE104" s="97"/>
      <c r="EF104" s="97"/>
      <c r="EG104" s="97"/>
      <c r="EH104" s="97"/>
      <c r="EI104" s="97"/>
      <c r="EJ104" s="97"/>
      <c r="EK104" s="97"/>
      <c r="EL104" s="97"/>
      <c r="EM104" s="97"/>
      <c r="EN104" s="97"/>
      <c r="EO104" s="97"/>
      <c r="EP104" s="97"/>
      <c r="EQ104" s="97"/>
      <c r="ER104" s="97"/>
      <c r="ES104" s="97"/>
      <c r="ET104" s="97"/>
      <c r="EU104" s="97"/>
      <c r="EV104" s="97"/>
      <c r="EW104" s="97"/>
      <c r="EX104" s="97"/>
      <c r="EY104" s="97"/>
      <c r="EZ104" s="97"/>
      <c r="FA104" s="97"/>
      <c r="FB104" s="97"/>
      <c r="FC104" s="97"/>
      <c r="FD104" s="97"/>
      <c r="FE104" s="97"/>
      <c r="FF104" s="97"/>
      <c r="FG104" s="97"/>
      <c r="FH104" s="97"/>
      <c r="FI104" s="97"/>
      <c r="FJ104" s="97"/>
      <c r="FK104" s="97"/>
      <c r="FL104" s="97"/>
      <c r="FM104" s="97"/>
      <c r="FN104" s="97"/>
      <c r="FO104" s="97"/>
      <c r="FP104" s="97"/>
      <c r="FQ104" s="97"/>
      <c r="FR104" s="97"/>
      <c r="FS104" s="97"/>
      <c r="FT104" s="97"/>
      <c r="FU104" s="97"/>
      <c r="FV104" s="97"/>
      <c r="FW104" s="97"/>
      <c r="FX104" s="97"/>
      <c r="FY104" s="6"/>
      <c r="FZ104" s="7" t="str">
        <f>IF(FY104="","",VLOOKUP(FY104,MT商品ﾏｽﾀ参照シート!AM:AN,2,0))</f>
        <v/>
      </c>
      <c r="GA104" s="8"/>
      <c r="GB104" s="8"/>
      <c r="GC104" s="8"/>
      <c r="GD104" s="8"/>
      <c r="GE104" s="58"/>
      <c r="GF104" s="7" t="str">
        <f>IF(GE104="","",VLOOKUP(GE104,MT商品ﾏｽﾀ参照シート!AO:AP,2,0))</f>
        <v/>
      </c>
      <c r="GG104" s="7"/>
      <c r="GH104" s="7"/>
      <c r="GI104" s="7"/>
      <c r="GJ104" s="7"/>
      <c r="GK104" s="49"/>
      <c r="GL104" s="6"/>
      <c r="GM104" s="6"/>
      <c r="GN104" s="7"/>
      <c r="GO104" s="7"/>
      <c r="GP104" s="7"/>
      <c r="GQ104" s="7"/>
      <c r="GR104" s="7">
        <v>3655</v>
      </c>
      <c r="GS104" s="7">
        <v>4300</v>
      </c>
      <c r="GT104" s="7">
        <v>4300</v>
      </c>
      <c r="GU104" s="7">
        <v>4300</v>
      </c>
      <c r="GV104" s="7">
        <v>4300</v>
      </c>
      <c r="GW104" s="8"/>
      <c r="GX104" s="8"/>
      <c r="GY104" s="8"/>
      <c r="GZ104" s="8"/>
      <c r="HA104" s="8"/>
      <c r="HB104" s="8"/>
      <c r="HC104" s="8"/>
      <c r="HD104" s="8"/>
      <c r="HE104" s="58"/>
      <c r="HF104" s="58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82"/>
      <c r="HR104" s="82"/>
      <c r="HS104" s="82"/>
      <c r="HT104" s="26"/>
      <c r="HU104" s="23"/>
      <c r="HV104" s="23"/>
      <c r="HW104" s="24"/>
      <c r="HX104" s="24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76"/>
      <c r="IY104" s="76"/>
      <c r="IZ104" s="76"/>
      <c r="JA104" s="71"/>
      <c r="JB104" s="71"/>
      <c r="JC104" s="72"/>
      <c r="JD104" s="72"/>
      <c r="JE104" s="72"/>
      <c r="JF104" s="72"/>
      <c r="JG104" s="72"/>
      <c r="JH104" s="72"/>
      <c r="JI104" s="71"/>
      <c r="JJ104" s="71"/>
      <c r="JK104" s="72"/>
      <c r="JL104" s="72"/>
      <c r="JM104" s="72"/>
      <c r="JN104" s="72"/>
    </row>
    <row r="105" spans="1:274" ht="13.5" customHeight="1">
      <c r="A105" s="7">
        <v>93</v>
      </c>
      <c r="B105" s="7"/>
      <c r="C105" s="7" t="e">
        <f t="shared" si="52"/>
        <v>#VALUE!</v>
      </c>
      <c r="D105" s="28"/>
      <c r="E105" s="7">
        <f t="shared" si="27"/>
        <v>0</v>
      </c>
      <c r="F105" s="6"/>
      <c r="G105" s="7">
        <f t="shared" si="28"/>
        <v>0</v>
      </c>
      <c r="H105" s="7"/>
      <c r="I105" s="7">
        <f t="shared" si="29"/>
        <v>0</v>
      </c>
      <c r="J105" s="7"/>
      <c r="K105" s="7"/>
      <c r="L105" s="7"/>
      <c r="M105" s="7"/>
      <c r="N105" s="7"/>
      <c r="O105" s="7"/>
      <c r="P105" s="7"/>
      <c r="Q105" s="53"/>
      <c r="R105" s="7"/>
      <c r="S105" s="7"/>
      <c r="T105" s="53"/>
      <c r="U105" s="7"/>
      <c r="V105" s="7" t="e">
        <f t="shared" si="31"/>
        <v>#VALUE!</v>
      </c>
      <c r="W105" s="28"/>
      <c r="X105" s="7" t="e">
        <f t="shared" si="31"/>
        <v>#VALUE!</v>
      </c>
      <c r="Y105" s="28"/>
      <c r="Z105" s="7" t="e">
        <f t="shared" si="32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33"/>
        <v>#VALUE!</v>
      </c>
      <c r="AH105" s="28"/>
      <c r="AI105" s="7"/>
      <c r="AJ105" s="7" t="e">
        <f t="shared" si="34"/>
        <v>#VALUE!</v>
      </c>
      <c r="AK105" s="28"/>
      <c r="AL105" s="7" t="e">
        <f t="shared" si="35"/>
        <v>#VALUE!</v>
      </c>
      <c r="AM105" s="28"/>
      <c r="AN105" s="7" t="e">
        <f t="shared" si="36"/>
        <v>#VALUE!</v>
      </c>
      <c r="AO105" s="28"/>
      <c r="AP105" s="7">
        <f t="shared" si="37"/>
        <v>2</v>
      </c>
      <c r="AQ105" s="28" t="s">
        <v>2301</v>
      </c>
      <c r="AR105" s="7"/>
      <c r="AS105" s="7"/>
      <c r="AT105" s="7"/>
      <c r="AU105" s="7"/>
      <c r="AV105" s="7">
        <f t="shared" si="38"/>
        <v>4617</v>
      </c>
      <c r="AW105" s="28" t="s">
        <v>2302</v>
      </c>
      <c r="AX105" s="7">
        <v>1</v>
      </c>
      <c r="AY105" s="7" t="e">
        <f t="shared" si="39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0"/>
        <v>#VALUE!</v>
      </c>
      <c r="BG105" s="28"/>
      <c r="BH105" s="7" t="e">
        <f t="shared" si="41"/>
        <v>#VALUE!</v>
      </c>
      <c r="BI105" s="28"/>
      <c r="BJ105" s="7" t="e">
        <f t="shared" si="42"/>
        <v>#VALUE!</v>
      </c>
      <c r="BK105" s="28"/>
      <c r="BL105" s="7"/>
      <c r="BM105" s="7"/>
      <c r="BN105" s="7" t="e">
        <f t="shared" si="43"/>
        <v>#VALUE!</v>
      </c>
      <c r="BO105" s="28"/>
      <c r="BP105" s="7" t="e">
        <f t="shared" si="44"/>
        <v>#VALUE!</v>
      </c>
      <c r="BQ105" s="28"/>
      <c r="BR105" s="7"/>
      <c r="BS105" s="7" t="e">
        <f t="shared" si="45"/>
        <v>#VALUE!</v>
      </c>
      <c r="BT105" s="28"/>
      <c r="BU105" s="7"/>
      <c r="BV105" s="7" t="e">
        <f ca="1">[1]!tメーカー名(BU105)</f>
        <v>#NAME?</v>
      </c>
      <c r="BW105" s="7" t="e">
        <f t="shared" si="46"/>
        <v>#VALUE!</v>
      </c>
      <c r="BX105" s="28"/>
      <c r="BY105" s="7" t="e">
        <f t="shared" si="47"/>
        <v>#VALUE!</v>
      </c>
      <c r="BZ105" s="28"/>
      <c r="CA105" s="54"/>
      <c r="CB105" s="54"/>
      <c r="CC105" s="7" t="e">
        <f t="shared" si="48"/>
        <v>#VALUE!</v>
      </c>
      <c r="CD105" s="28"/>
      <c r="CE105" s="7" t="e">
        <f t="shared" si="49"/>
        <v>#VALUE!</v>
      </c>
      <c r="CF105" s="28"/>
      <c r="CG105" s="7" t="e">
        <f t="shared" si="50"/>
        <v>#VALUE!</v>
      </c>
      <c r="CH105" s="28"/>
      <c r="CI105" s="7" t="e">
        <f t="shared" si="51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6">
        <f t="shared" si="30"/>
        <v>0</v>
      </c>
      <c r="CT105" s="7"/>
      <c r="CU105" s="7"/>
      <c r="CV105" s="97"/>
      <c r="CW105" s="97"/>
      <c r="CX105" s="97"/>
      <c r="CY105" s="98"/>
      <c r="CZ105" s="98"/>
      <c r="DA105" s="97"/>
      <c r="DB105" s="98"/>
      <c r="DC105" s="97"/>
      <c r="DD105" s="97" t="s">
        <v>1763</v>
      </c>
      <c r="DE105" s="97" t="s">
        <v>1682</v>
      </c>
      <c r="DF105" s="98"/>
      <c r="DG105" s="98"/>
      <c r="DH105" s="98"/>
      <c r="DI105" s="98"/>
      <c r="DJ105" s="98"/>
      <c r="DK105" s="98"/>
      <c r="DL105" s="98"/>
      <c r="DM105" s="97"/>
      <c r="DN105" s="97"/>
      <c r="DO105" s="97"/>
      <c r="DP105" s="97"/>
      <c r="DQ105" s="97"/>
      <c r="DR105" s="97"/>
      <c r="DS105" s="97"/>
      <c r="DT105" s="99"/>
      <c r="DU105" s="98"/>
      <c r="DV105" s="97"/>
      <c r="DW105" s="97"/>
      <c r="DX105" s="97"/>
      <c r="DY105" s="97"/>
      <c r="DZ105" s="97"/>
      <c r="EA105" s="97"/>
      <c r="EB105" s="97"/>
      <c r="EC105" s="97"/>
      <c r="ED105" s="97"/>
      <c r="EE105" s="97"/>
      <c r="EF105" s="97"/>
      <c r="EG105" s="97"/>
      <c r="EH105" s="97"/>
      <c r="EI105" s="97"/>
      <c r="EJ105" s="97"/>
      <c r="EK105" s="97"/>
      <c r="EL105" s="97"/>
      <c r="EM105" s="97"/>
      <c r="EN105" s="97"/>
      <c r="EO105" s="97"/>
      <c r="EP105" s="97"/>
      <c r="EQ105" s="97"/>
      <c r="ER105" s="97"/>
      <c r="ES105" s="97"/>
      <c r="ET105" s="97"/>
      <c r="EU105" s="97"/>
      <c r="EV105" s="97"/>
      <c r="EW105" s="97"/>
      <c r="EX105" s="97"/>
      <c r="EY105" s="97"/>
      <c r="EZ105" s="97"/>
      <c r="FA105" s="97"/>
      <c r="FB105" s="97"/>
      <c r="FC105" s="97"/>
      <c r="FD105" s="97"/>
      <c r="FE105" s="97"/>
      <c r="FF105" s="97"/>
      <c r="FG105" s="97"/>
      <c r="FH105" s="97"/>
      <c r="FI105" s="97"/>
      <c r="FJ105" s="97"/>
      <c r="FK105" s="97"/>
      <c r="FL105" s="97"/>
      <c r="FM105" s="97"/>
      <c r="FN105" s="97"/>
      <c r="FO105" s="97"/>
      <c r="FP105" s="97"/>
      <c r="FQ105" s="97"/>
      <c r="FR105" s="97"/>
      <c r="FS105" s="97"/>
      <c r="FT105" s="97"/>
      <c r="FU105" s="97"/>
      <c r="FV105" s="97"/>
      <c r="FW105" s="97"/>
      <c r="FX105" s="97"/>
      <c r="FY105" s="6"/>
      <c r="FZ105" s="7" t="str">
        <f>IF(FY105="","",VLOOKUP(FY105,MT商品ﾏｽﾀ参照シート!AM:AN,2,0))</f>
        <v/>
      </c>
      <c r="GA105" s="8"/>
      <c r="GB105" s="8"/>
      <c r="GC105" s="8"/>
      <c r="GD105" s="8"/>
      <c r="GE105" s="58"/>
      <c r="GF105" s="7" t="str">
        <f>IF(GE105="","",VLOOKUP(GE105,MT商品ﾏｽﾀ参照シート!AO:AP,2,0))</f>
        <v/>
      </c>
      <c r="GG105" s="7"/>
      <c r="GH105" s="7"/>
      <c r="GI105" s="7"/>
      <c r="GJ105" s="7"/>
      <c r="GK105" s="49"/>
      <c r="GL105" s="6"/>
      <c r="GM105" s="6"/>
      <c r="GN105" s="7"/>
      <c r="GO105" s="7"/>
      <c r="GP105" s="7"/>
      <c r="GQ105" s="7"/>
      <c r="GR105" s="7">
        <v>5610</v>
      </c>
      <c r="GS105" s="7">
        <v>6600</v>
      </c>
      <c r="GT105" s="7">
        <v>6600</v>
      </c>
      <c r="GU105" s="7">
        <v>6600</v>
      </c>
      <c r="GV105" s="7">
        <v>6600</v>
      </c>
      <c r="GW105" s="8"/>
      <c r="GX105" s="8"/>
      <c r="GY105" s="8"/>
      <c r="GZ105" s="8"/>
      <c r="HA105" s="8"/>
      <c r="HB105" s="8"/>
      <c r="HC105" s="8"/>
      <c r="HD105" s="8"/>
      <c r="HE105" s="58"/>
      <c r="HF105" s="58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82"/>
      <c r="HR105" s="82"/>
      <c r="HS105" s="82"/>
      <c r="HT105" s="26"/>
      <c r="HU105" s="23"/>
      <c r="HV105" s="23"/>
      <c r="HW105" s="24"/>
      <c r="HX105" s="24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76"/>
      <c r="IY105" s="76"/>
      <c r="IZ105" s="76"/>
      <c r="JA105" s="71"/>
      <c r="JB105" s="71"/>
      <c r="JC105" s="72"/>
      <c r="JD105" s="72"/>
      <c r="JE105" s="72"/>
      <c r="JF105" s="72"/>
      <c r="JG105" s="72"/>
      <c r="JH105" s="72"/>
      <c r="JI105" s="71"/>
      <c r="JJ105" s="71"/>
      <c r="JK105" s="72"/>
      <c r="JL105" s="72"/>
      <c r="JM105" s="72"/>
      <c r="JN105" s="72"/>
    </row>
    <row r="106" spans="1:274" ht="13.5" customHeight="1">
      <c r="A106" s="7">
        <v>94</v>
      </c>
      <c r="B106" s="7"/>
      <c r="C106" s="7" t="e">
        <f t="shared" si="52"/>
        <v>#VALUE!</v>
      </c>
      <c r="D106" s="28"/>
      <c r="E106" s="7">
        <f t="shared" si="27"/>
        <v>0</v>
      </c>
      <c r="F106" s="6"/>
      <c r="G106" s="7">
        <f t="shared" si="28"/>
        <v>0</v>
      </c>
      <c r="H106" s="7"/>
      <c r="I106" s="7">
        <f t="shared" si="29"/>
        <v>0</v>
      </c>
      <c r="J106" s="7"/>
      <c r="K106" s="7"/>
      <c r="L106" s="7"/>
      <c r="M106" s="7"/>
      <c r="N106" s="7"/>
      <c r="O106" s="7"/>
      <c r="P106" s="7"/>
      <c r="Q106" s="53"/>
      <c r="R106" s="7"/>
      <c r="S106" s="7"/>
      <c r="T106" s="53"/>
      <c r="U106" s="7"/>
      <c r="V106" s="7" t="e">
        <f t="shared" si="31"/>
        <v>#VALUE!</v>
      </c>
      <c r="W106" s="28"/>
      <c r="X106" s="7" t="e">
        <f t="shared" si="31"/>
        <v>#VALUE!</v>
      </c>
      <c r="Y106" s="28"/>
      <c r="Z106" s="7" t="e">
        <f t="shared" si="32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33"/>
        <v>#VALUE!</v>
      </c>
      <c r="AH106" s="28"/>
      <c r="AI106" s="7"/>
      <c r="AJ106" s="7" t="e">
        <f t="shared" si="34"/>
        <v>#VALUE!</v>
      </c>
      <c r="AK106" s="28"/>
      <c r="AL106" s="7" t="e">
        <f t="shared" si="35"/>
        <v>#VALUE!</v>
      </c>
      <c r="AM106" s="28"/>
      <c r="AN106" s="7" t="e">
        <f t="shared" si="36"/>
        <v>#VALUE!</v>
      </c>
      <c r="AO106" s="28"/>
      <c r="AP106" s="7">
        <f t="shared" si="37"/>
        <v>2</v>
      </c>
      <c r="AQ106" s="28" t="s">
        <v>2301</v>
      </c>
      <c r="AR106" s="7"/>
      <c r="AS106" s="7"/>
      <c r="AT106" s="7"/>
      <c r="AU106" s="7"/>
      <c r="AV106" s="7">
        <f t="shared" si="38"/>
        <v>4617</v>
      </c>
      <c r="AW106" s="28" t="s">
        <v>2302</v>
      </c>
      <c r="AX106" s="7">
        <v>1</v>
      </c>
      <c r="AY106" s="7" t="e">
        <f t="shared" si="39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0"/>
        <v>#VALUE!</v>
      </c>
      <c r="BG106" s="28"/>
      <c r="BH106" s="7" t="e">
        <f t="shared" si="41"/>
        <v>#VALUE!</v>
      </c>
      <c r="BI106" s="28"/>
      <c r="BJ106" s="7" t="e">
        <f t="shared" si="42"/>
        <v>#VALUE!</v>
      </c>
      <c r="BK106" s="28"/>
      <c r="BL106" s="7"/>
      <c r="BM106" s="7"/>
      <c r="BN106" s="7" t="e">
        <f t="shared" si="43"/>
        <v>#VALUE!</v>
      </c>
      <c r="BO106" s="28"/>
      <c r="BP106" s="7" t="e">
        <f t="shared" si="44"/>
        <v>#VALUE!</v>
      </c>
      <c r="BQ106" s="28"/>
      <c r="BR106" s="7"/>
      <c r="BS106" s="7" t="e">
        <f t="shared" si="45"/>
        <v>#VALUE!</v>
      </c>
      <c r="BT106" s="28"/>
      <c r="BU106" s="7"/>
      <c r="BV106" s="7" t="e">
        <f ca="1">[1]!tメーカー名(BU106)</f>
        <v>#NAME?</v>
      </c>
      <c r="BW106" s="7" t="e">
        <f t="shared" si="46"/>
        <v>#VALUE!</v>
      </c>
      <c r="BX106" s="28"/>
      <c r="BY106" s="7" t="e">
        <f t="shared" si="47"/>
        <v>#VALUE!</v>
      </c>
      <c r="BZ106" s="28"/>
      <c r="CA106" s="54"/>
      <c r="CB106" s="54"/>
      <c r="CC106" s="7" t="e">
        <f t="shared" si="48"/>
        <v>#VALUE!</v>
      </c>
      <c r="CD106" s="28"/>
      <c r="CE106" s="7" t="e">
        <f t="shared" si="49"/>
        <v>#VALUE!</v>
      </c>
      <c r="CF106" s="28"/>
      <c r="CG106" s="7" t="e">
        <f t="shared" si="50"/>
        <v>#VALUE!</v>
      </c>
      <c r="CH106" s="28"/>
      <c r="CI106" s="7" t="e">
        <f t="shared" si="51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6">
        <f t="shared" si="30"/>
        <v>0</v>
      </c>
      <c r="CT106" s="7"/>
      <c r="CU106" s="7"/>
      <c r="CV106" s="97"/>
      <c r="CW106" s="97"/>
      <c r="CX106" s="97"/>
      <c r="CY106" s="98"/>
      <c r="CZ106" s="98"/>
      <c r="DA106" s="97"/>
      <c r="DB106" s="98"/>
      <c r="DC106" s="97"/>
      <c r="DD106" s="97" t="s">
        <v>1764</v>
      </c>
      <c r="DE106" s="97" t="s">
        <v>1682</v>
      </c>
      <c r="DF106" s="98"/>
      <c r="DG106" s="98"/>
      <c r="DH106" s="98"/>
      <c r="DI106" s="98"/>
      <c r="DJ106" s="98"/>
      <c r="DK106" s="98"/>
      <c r="DL106" s="98"/>
      <c r="DM106" s="97"/>
      <c r="DN106" s="97"/>
      <c r="DO106" s="97"/>
      <c r="DP106" s="97"/>
      <c r="DQ106" s="97"/>
      <c r="DR106" s="97"/>
      <c r="DS106" s="97"/>
      <c r="DT106" s="99"/>
      <c r="DU106" s="98"/>
      <c r="DV106" s="97"/>
      <c r="DW106" s="97"/>
      <c r="DX106" s="97"/>
      <c r="DY106" s="97"/>
      <c r="DZ106" s="97"/>
      <c r="EA106" s="97"/>
      <c r="EB106" s="97"/>
      <c r="EC106" s="97"/>
      <c r="ED106" s="97"/>
      <c r="EE106" s="97"/>
      <c r="EF106" s="97"/>
      <c r="EG106" s="97"/>
      <c r="EH106" s="97"/>
      <c r="EI106" s="97"/>
      <c r="EJ106" s="97"/>
      <c r="EK106" s="97"/>
      <c r="EL106" s="97"/>
      <c r="EM106" s="97"/>
      <c r="EN106" s="97"/>
      <c r="EO106" s="97"/>
      <c r="EP106" s="97"/>
      <c r="EQ106" s="97"/>
      <c r="ER106" s="97"/>
      <c r="ES106" s="97"/>
      <c r="ET106" s="97"/>
      <c r="EU106" s="97"/>
      <c r="EV106" s="97"/>
      <c r="EW106" s="97"/>
      <c r="EX106" s="97"/>
      <c r="EY106" s="97"/>
      <c r="EZ106" s="97"/>
      <c r="FA106" s="97"/>
      <c r="FB106" s="97"/>
      <c r="FC106" s="97"/>
      <c r="FD106" s="97"/>
      <c r="FE106" s="97"/>
      <c r="FF106" s="97"/>
      <c r="FG106" s="97"/>
      <c r="FH106" s="97"/>
      <c r="FI106" s="97"/>
      <c r="FJ106" s="97"/>
      <c r="FK106" s="97"/>
      <c r="FL106" s="97"/>
      <c r="FM106" s="97"/>
      <c r="FN106" s="97"/>
      <c r="FO106" s="97"/>
      <c r="FP106" s="97"/>
      <c r="FQ106" s="97"/>
      <c r="FR106" s="97"/>
      <c r="FS106" s="97"/>
      <c r="FT106" s="97"/>
      <c r="FU106" s="97"/>
      <c r="FV106" s="97"/>
      <c r="FW106" s="97"/>
      <c r="FX106" s="97"/>
      <c r="FY106" s="6"/>
      <c r="FZ106" s="7" t="str">
        <f>IF(FY106="","",VLOOKUP(FY106,MT商品ﾏｽﾀ参照シート!AM:AN,2,0))</f>
        <v/>
      </c>
      <c r="GA106" s="8"/>
      <c r="GB106" s="8"/>
      <c r="GC106" s="8"/>
      <c r="GD106" s="8"/>
      <c r="GE106" s="58"/>
      <c r="GF106" s="7" t="str">
        <f>IF(GE106="","",VLOOKUP(GE106,MT商品ﾏｽﾀ参照シート!AO:AP,2,0))</f>
        <v/>
      </c>
      <c r="GG106" s="7"/>
      <c r="GH106" s="7"/>
      <c r="GI106" s="7"/>
      <c r="GJ106" s="7"/>
      <c r="GK106" s="49"/>
      <c r="GL106" s="6"/>
      <c r="GM106" s="6"/>
      <c r="GN106" s="7"/>
      <c r="GO106" s="7"/>
      <c r="GP106" s="7"/>
      <c r="GQ106" s="7"/>
      <c r="GR106" s="7">
        <v>4675</v>
      </c>
      <c r="GS106" s="7">
        <v>5500</v>
      </c>
      <c r="GT106" s="7">
        <v>5500</v>
      </c>
      <c r="GU106" s="7">
        <v>5500</v>
      </c>
      <c r="GV106" s="7">
        <v>5500</v>
      </c>
      <c r="GW106" s="8"/>
      <c r="GX106" s="8"/>
      <c r="GY106" s="8"/>
      <c r="GZ106" s="8"/>
      <c r="HA106" s="8"/>
      <c r="HB106" s="8"/>
      <c r="HC106" s="8"/>
      <c r="HD106" s="8"/>
      <c r="HE106" s="58"/>
      <c r="HF106" s="58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82"/>
      <c r="HR106" s="82"/>
      <c r="HS106" s="82"/>
      <c r="HT106" s="26"/>
      <c r="HU106" s="23"/>
      <c r="HV106" s="23"/>
      <c r="HW106" s="24"/>
      <c r="HX106" s="24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76"/>
      <c r="IY106" s="76"/>
      <c r="IZ106" s="76"/>
      <c r="JA106" s="71"/>
      <c r="JB106" s="71"/>
      <c r="JC106" s="72"/>
      <c r="JD106" s="72"/>
      <c r="JE106" s="72"/>
      <c r="JF106" s="72"/>
      <c r="JG106" s="72"/>
      <c r="JH106" s="72"/>
      <c r="JI106" s="71"/>
      <c r="JJ106" s="71"/>
      <c r="JK106" s="72"/>
      <c r="JL106" s="72"/>
      <c r="JM106" s="72"/>
      <c r="JN106" s="72"/>
    </row>
    <row r="107" spans="1:274" ht="13.5" customHeight="1">
      <c r="A107" s="7">
        <v>95</v>
      </c>
      <c r="B107" s="7"/>
      <c r="C107" s="7" t="e">
        <f t="shared" si="52"/>
        <v>#VALUE!</v>
      </c>
      <c r="D107" s="28"/>
      <c r="E107" s="7">
        <f t="shared" si="27"/>
        <v>0</v>
      </c>
      <c r="F107" s="6"/>
      <c r="G107" s="7">
        <f t="shared" si="28"/>
        <v>0</v>
      </c>
      <c r="H107" s="7"/>
      <c r="I107" s="7">
        <f t="shared" si="29"/>
        <v>0</v>
      </c>
      <c r="J107" s="7"/>
      <c r="K107" s="7"/>
      <c r="L107" s="7"/>
      <c r="M107" s="7"/>
      <c r="N107" s="7"/>
      <c r="O107" s="7"/>
      <c r="P107" s="7"/>
      <c r="Q107" s="53"/>
      <c r="R107" s="7"/>
      <c r="S107" s="7"/>
      <c r="T107" s="53"/>
      <c r="U107" s="7"/>
      <c r="V107" s="7" t="e">
        <f t="shared" si="31"/>
        <v>#VALUE!</v>
      </c>
      <c r="W107" s="28"/>
      <c r="X107" s="7" t="e">
        <f t="shared" si="31"/>
        <v>#VALUE!</v>
      </c>
      <c r="Y107" s="28"/>
      <c r="Z107" s="7" t="e">
        <f t="shared" si="32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33"/>
        <v>#VALUE!</v>
      </c>
      <c r="AH107" s="28"/>
      <c r="AI107" s="7"/>
      <c r="AJ107" s="7" t="e">
        <f t="shared" si="34"/>
        <v>#VALUE!</v>
      </c>
      <c r="AK107" s="28"/>
      <c r="AL107" s="7" t="e">
        <f t="shared" si="35"/>
        <v>#VALUE!</v>
      </c>
      <c r="AM107" s="28"/>
      <c r="AN107" s="7" t="e">
        <f t="shared" si="36"/>
        <v>#VALUE!</v>
      </c>
      <c r="AO107" s="28"/>
      <c r="AP107" s="7">
        <f t="shared" si="37"/>
        <v>2</v>
      </c>
      <c r="AQ107" s="28" t="s">
        <v>2301</v>
      </c>
      <c r="AR107" s="7"/>
      <c r="AS107" s="7"/>
      <c r="AT107" s="7"/>
      <c r="AU107" s="7"/>
      <c r="AV107" s="7">
        <f t="shared" si="38"/>
        <v>4617</v>
      </c>
      <c r="AW107" s="28" t="s">
        <v>2302</v>
      </c>
      <c r="AX107" s="7">
        <v>1</v>
      </c>
      <c r="AY107" s="7" t="e">
        <f t="shared" si="39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0"/>
        <v>#VALUE!</v>
      </c>
      <c r="BG107" s="28"/>
      <c r="BH107" s="7" t="e">
        <f t="shared" si="41"/>
        <v>#VALUE!</v>
      </c>
      <c r="BI107" s="28"/>
      <c r="BJ107" s="7" t="e">
        <f t="shared" si="42"/>
        <v>#VALUE!</v>
      </c>
      <c r="BK107" s="28"/>
      <c r="BL107" s="7"/>
      <c r="BM107" s="7"/>
      <c r="BN107" s="7" t="e">
        <f t="shared" si="43"/>
        <v>#VALUE!</v>
      </c>
      <c r="BO107" s="28"/>
      <c r="BP107" s="7" t="e">
        <f t="shared" si="44"/>
        <v>#VALUE!</v>
      </c>
      <c r="BQ107" s="28"/>
      <c r="BR107" s="7"/>
      <c r="BS107" s="7" t="e">
        <f t="shared" si="45"/>
        <v>#VALUE!</v>
      </c>
      <c r="BT107" s="28"/>
      <c r="BU107" s="7"/>
      <c r="BV107" s="7" t="e">
        <f ca="1">[1]!tメーカー名(BU107)</f>
        <v>#NAME?</v>
      </c>
      <c r="BW107" s="7" t="e">
        <f t="shared" si="46"/>
        <v>#VALUE!</v>
      </c>
      <c r="BX107" s="28"/>
      <c r="BY107" s="7" t="e">
        <f t="shared" si="47"/>
        <v>#VALUE!</v>
      </c>
      <c r="BZ107" s="28"/>
      <c r="CA107" s="54"/>
      <c r="CB107" s="54"/>
      <c r="CC107" s="7" t="e">
        <f t="shared" si="48"/>
        <v>#VALUE!</v>
      </c>
      <c r="CD107" s="28"/>
      <c r="CE107" s="7" t="e">
        <f t="shared" si="49"/>
        <v>#VALUE!</v>
      </c>
      <c r="CF107" s="28"/>
      <c r="CG107" s="7" t="e">
        <f t="shared" si="50"/>
        <v>#VALUE!</v>
      </c>
      <c r="CH107" s="28"/>
      <c r="CI107" s="7" t="e">
        <f t="shared" si="51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6">
        <f t="shared" si="30"/>
        <v>0</v>
      </c>
      <c r="CT107" s="7"/>
      <c r="CU107" s="7"/>
      <c r="CV107" s="97"/>
      <c r="CW107" s="97"/>
      <c r="CX107" s="97"/>
      <c r="CY107" s="98"/>
      <c r="CZ107" s="98"/>
      <c r="DA107" s="97"/>
      <c r="DB107" s="98"/>
      <c r="DC107" s="97"/>
      <c r="DD107" s="97" t="s">
        <v>1765</v>
      </c>
      <c r="DE107" s="97" t="s">
        <v>1682</v>
      </c>
      <c r="DF107" s="98"/>
      <c r="DG107" s="98"/>
      <c r="DH107" s="98"/>
      <c r="DI107" s="98"/>
      <c r="DJ107" s="98"/>
      <c r="DK107" s="98"/>
      <c r="DL107" s="98"/>
      <c r="DM107" s="97"/>
      <c r="DN107" s="97"/>
      <c r="DO107" s="97"/>
      <c r="DP107" s="97"/>
      <c r="DQ107" s="97"/>
      <c r="DR107" s="97"/>
      <c r="DS107" s="97"/>
      <c r="DT107" s="99"/>
      <c r="DU107" s="98"/>
      <c r="DV107" s="97"/>
      <c r="DW107" s="97"/>
      <c r="DX107" s="97"/>
      <c r="DY107" s="97"/>
      <c r="DZ107" s="97"/>
      <c r="EA107" s="97"/>
      <c r="EB107" s="97"/>
      <c r="EC107" s="97"/>
      <c r="ED107" s="97"/>
      <c r="EE107" s="97"/>
      <c r="EF107" s="97"/>
      <c r="EG107" s="97"/>
      <c r="EH107" s="97"/>
      <c r="EI107" s="97"/>
      <c r="EJ107" s="97"/>
      <c r="EK107" s="97"/>
      <c r="EL107" s="97"/>
      <c r="EM107" s="97"/>
      <c r="EN107" s="97"/>
      <c r="EO107" s="97"/>
      <c r="EP107" s="97"/>
      <c r="EQ107" s="97"/>
      <c r="ER107" s="97"/>
      <c r="ES107" s="97"/>
      <c r="ET107" s="97"/>
      <c r="EU107" s="97"/>
      <c r="EV107" s="97"/>
      <c r="EW107" s="97"/>
      <c r="EX107" s="97"/>
      <c r="EY107" s="97"/>
      <c r="EZ107" s="97"/>
      <c r="FA107" s="97"/>
      <c r="FB107" s="97"/>
      <c r="FC107" s="97"/>
      <c r="FD107" s="97"/>
      <c r="FE107" s="97"/>
      <c r="FF107" s="97"/>
      <c r="FG107" s="97"/>
      <c r="FH107" s="97"/>
      <c r="FI107" s="97"/>
      <c r="FJ107" s="97"/>
      <c r="FK107" s="97"/>
      <c r="FL107" s="97"/>
      <c r="FM107" s="97"/>
      <c r="FN107" s="97"/>
      <c r="FO107" s="97"/>
      <c r="FP107" s="97"/>
      <c r="FQ107" s="97"/>
      <c r="FR107" s="97"/>
      <c r="FS107" s="97"/>
      <c r="FT107" s="97"/>
      <c r="FU107" s="97"/>
      <c r="FV107" s="97"/>
      <c r="FW107" s="97"/>
      <c r="FX107" s="97"/>
      <c r="FY107" s="6"/>
      <c r="FZ107" s="7" t="str">
        <f>IF(FY107="","",VLOOKUP(FY107,MT商品ﾏｽﾀ参照シート!AM:AN,2,0))</f>
        <v/>
      </c>
      <c r="GA107" s="8"/>
      <c r="GB107" s="8"/>
      <c r="GC107" s="8"/>
      <c r="GD107" s="8"/>
      <c r="GE107" s="58"/>
      <c r="GF107" s="7" t="str">
        <f>IF(GE107="","",VLOOKUP(GE107,MT商品ﾏｽﾀ参照シート!AO:AP,2,0))</f>
        <v/>
      </c>
      <c r="GG107" s="7"/>
      <c r="GH107" s="7"/>
      <c r="GI107" s="7"/>
      <c r="GJ107" s="7"/>
      <c r="GK107" s="49"/>
      <c r="GL107" s="6"/>
      <c r="GM107" s="6"/>
      <c r="GN107" s="7"/>
      <c r="GO107" s="7"/>
      <c r="GP107" s="7"/>
      <c r="GQ107" s="7"/>
      <c r="GR107" s="7">
        <v>7225</v>
      </c>
      <c r="GS107" s="7">
        <v>8500</v>
      </c>
      <c r="GT107" s="7">
        <v>8500</v>
      </c>
      <c r="GU107" s="7">
        <v>8500</v>
      </c>
      <c r="GV107" s="7">
        <v>8500</v>
      </c>
      <c r="GW107" s="8"/>
      <c r="GX107" s="8"/>
      <c r="GY107" s="8"/>
      <c r="GZ107" s="8"/>
      <c r="HA107" s="8"/>
      <c r="HB107" s="8"/>
      <c r="HC107" s="8"/>
      <c r="HD107" s="8"/>
      <c r="HE107" s="58"/>
      <c r="HF107" s="58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82"/>
      <c r="HR107" s="82"/>
      <c r="HS107" s="82"/>
      <c r="HT107" s="26"/>
      <c r="HU107" s="23"/>
      <c r="HV107" s="23"/>
      <c r="HW107" s="24"/>
      <c r="HX107" s="24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76"/>
      <c r="IY107" s="76"/>
      <c r="IZ107" s="76"/>
      <c r="JA107" s="71"/>
      <c r="JB107" s="71"/>
      <c r="JC107" s="72"/>
      <c r="JD107" s="72"/>
      <c r="JE107" s="72"/>
      <c r="JF107" s="72"/>
      <c r="JG107" s="72"/>
      <c r="JH107" s="72"/>
      <c r="JI107" s="71"/>
      <c r="JJ107" s="71"/>
      <c r="JK107" s="72"/>
      <c r="JL107" s="72"/>
      <c r="JM107" s="72"/>
      <c r="JN107" s="72"/>
    </row>
    <row r="108" spans="1:274" ht="13.5" customHeight="1">
      <c r="A108" s="7">
        <v>96</v>
      </c>
      <c r="B108" s="7"/>
      <c r="C108" s="7" t="e">
        <f t="shared" si="52"/>
        <v>#VALUE!</v>
      </c>
      <c r="D108" s="28"/>
      <c r="E108" s="7">
        <f t="shared" si="27"/>
        <v>0</v>
      </c>
      <c r="F108" s="6"/>
      <c r="G108" s="7">
        <f t="shared" si="28"/>
        <v>0</v>
      </c>
      <c r="H108" s="7"/>
      <c r="I108" s="7">
        <f t="shared" si="29"/>
        <v>0</v>
      </c>
      <c r="J108" s="7"/>
      <c r="K108" s="7"/>
      <c r="L108" s="7"/>
      <c r="M108" s="7"/>
      <c r="N108" s="7"/>
      <c r="O108" s="7"/>
      <c r="P108" s="7"/>
      <c r="Q108" s="53"/>
      <c r="R108" s="7"/>
      <c r="S108" s="7"/>
      <c r="T108" s="53"/>
      <c r="U108" s="7"/>
      <c r="V108" s="7" t="e">
        <f t="shared" si="31"/>
        <v>#VALUE!</v>
      </c>
      <c r="W108" s="28"/>
      <c r="X108" s="7" t="e">
        <f t="shared" si="31"/>
        <v>#VALUE!</v>
      </c>
      <c r="Y108" s="28"/>
      <c r="Z108" s="7" t="e">
        <f t="shared" si="32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33"/>
        <v>#VALUE!</v>
      </c>
      <c r="AH108" s="28"/>
      <c r="AI108" s="7"/>
      <c r="AJ108" s="7" t="e">
        <f t="shared" si="34"/>
        <v>#VALUE!</v>
      </c>
      <c r="AK108" s="28"/>
      <c r="AL108" s="7" t="e">
        <f t="shared" si="35"/>
        <v>#VALUE!</v>
      </c>
      <c r="AM108" s="28"/>
      <c r="AN108" s="7" t="e">
        <f t="shared" si="36"/>
        <v>#VALUE!</v>
      </c>
      <c r="AO108" s="28"/>
      <c r="AP108" s="7">
        <f t="shared" si="37"/>
        <v>2</v>
      </c>
      <c r="AQ108" s="28" t="s">
        <v>2301</v>
      </c>
      <c r="AR108" s="7"/>
      <c r="AS108" s="7"/>
      <c r="AT108" s="7"/>
      <c r="AU108" s="7"/>
      <c r="AV108" s="7">
        <f t="shared" si="38"/>
        <v>4617</v>
      </c>
      <c r="AW108" s="28" t="s">
        <v>2302</v>
      </c>
      <c r="AX108" s="7">
        <v>1</v>
      </c>
      <c r="AY108" s="7" t="e">
        <f t="shared" si="39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0"/>
        <v>#VALUE!</v>
      </c>
      <c r="BG108" s="28"/>
      <c r="BH108" s="7" t="e">
        <f t="shared" si="41"/>
        <v>#VALUE!</v>
      </c>
      <c r="BI108" s="28"/>
      <c r="BJ108" s="7" t="e">
        <f t="shared" si="42"/>
        <v>#VALUE!</v>
      </c>
      <c r="BK108" s="28"/>
      <c r="BL108" s="7"/>
      <c r="BM108" s="7"/>
      <c r="BN108" s="7" t="e">
        <f t="shared" si="43"/>
        <v>#VALUE!</v>
      </c>
      <c r="BO108" s="28"/>
      <c r="BP108" s="7" t="e">
        <f t="shared" si="44"/>
        <v>#VALUE!</v>
      </c>
      <c r="BQ108" s="28"/>
      <c r="BR108" s="7"/>
      <c r="BS108" s="7" t="e">
        <f t="shared" si="45"/>
        <v>#VALUE!</v>
      </c>
      <c r="BT108" s="28"/>
      <c r="BU108" s="7"/>
      <c r="BV108" s="7" t="e">
        <f ca="1">[1]!tメーカー名(BU108)</f>
        <v>#NAME?</v>
      </c>
      <c r="BW108" s="7" t="e">
        <f t="shared" si="46"/>
        <v>#VALUE!</v>
      </c>
      <c r="BX108" s="28"/>
      <c r="BY108" s="7" t="e">
        <f t="shared" si="47"/>
        <v>#VALUE!</v>
      </c>
      <c r="BZ108" s="28"/>
      <c r="CA108" s="54"/>
      <c r="CB108" s="54"/>
      <c r="CC108" s="7" t="e">
        <f t="shared" si="48"/>
        <v>#VALUE!</v>
      </c>
      <c r="CD108" s="28"/>
      <c r="CE108" s="7" t="e">
        <f t="shared" si="49"/>
        <v>#VALUE!</v>
      </c>
      <c r="CF108" s="28"/>
      <c r="CG108" s="7" t="e">
        <f t="shared" si="50"/>
        <v>#VALUE!</v>
      </c>
      <c r="CH108" s="28"/>
      <c r="CI108" s="7" t="e">
        <f t="shared" si="51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6">
        <f t="shared" si="30"/>
        <v>0</v>
      </c>
      <c r="CT108" s="7"/>
      <c r="CU108" s="7"/>
      <c r="CV108" s="97"/>
      <c r="CW108" s="97"/>
      <c r="CX108" s="97"/>
      <c r="CY108" s="98"/>
      <c r="CZ108" s="98"/>
      <c r="DA108" s="97"/>
      <c r="DB108" s="98"/>
      <c r="DC108" s="97"/>
      <c r="DD108" s="97" t="s">
        <v>1766</v>
      </c>
      <c r="DE108" s="97" t="s">
        <v>1682</v>
      </c>
      <c r="DF108" s="98"/>
      <c r="DG108" s="98"/>
      <c r="DH108" s="98"/>
      <c r="DI108" s="98"/>
      <c r="DJ108" s="98"/>
      <c r="DK108" s="98"/>
      <c r="DL108" s="98"/>
      <c r="DM108" s="97"/>
      <c r="DN108" s="97"/>
      <c r="DO108" s="97"/>
      <c r="DP108" s="97"/>
      <c r="DQ108" s="97"/>
      <c r="DR108" s="97"/>
      <c r="DS108" s="97"/>
      <c r="DT108" s="99"/>
      <c r="DU108" s="98"/>
      <c r="DV108" s="97"/>
      <c r="DW108" s="97"/>
      <c r="DX108" s="97"/>
      <c r="DY108" s="97"/>
      <c r="DZ108" s="97"/>
      <c r="EA108" s="97"/>
      <c r="EB108" s="97"/>
      <c r="EC108" s="97"/>
      <c r="ED108" s="97"/>
      <c r="EE108" s="97"/>
      <c r="EF108" s="97"/>
      <c r="EG108" s="97"/>
      <c r="EH108" s="97"/>
      <c r="EI108" s="97"/>
      <c r="EJ108" s="97"/>
      <c r="EK108" s="97"/>
      <c r="EL108" s="97"/>
      <c r="EM108" s="97"/>
      <c r="EN108" s="97"/>
      <c r="EO108" s="97"/>
      <c r="EP108" s="97"/>
      <c r="EQ108" s="97"/>
      <c r="ER108" s="97"/>
      <c r="ES108" s="97"/>
      <c r="ET108" s="97"/>
      <c r="EU108" s="97"/>
      <c r="EV108" s="97"/>
      <c r="EW108" s="97"/>
      <c r="EX108" s="97"/>
      <c r="EY108" s="97"/>
      <c r="EZ108" s="97"/>
      <c r="FA108" s="97"/>
      <c r="FB108" s="97"/>
      <c r="FC108" s="97"/>
      <c r="FD108" s="97"/>
      <c r="FE108" s="97"/>
      <c r="FF108" s="97"/>
      <c r="FG108" s="97"/>
      <c r="FH108" s="97"/>
      <c r="FI108" s="97"/>
      <c r="FJ108" s="97"/>
      <c r="FK108" s="97"/>
      <c r="FL108" s="97"/>
      <c r="FM108" s="97"/>
      <c r="FN108" s="97"/>
      <c r="FO108" s="97"/>
      <c r="FP108" s="97"/>
      <c r="FQ108" s="97"/>
      <c r="FR108" s="97"/>
      <c r="FS108" s="97"/>
      <c r="FT108" s="97"/>
      <c r="FU108" s="97"/>
      <c r="FV108" s="97"/>
      <c r="FW108" s="97"/>
      <c r="FX108" s="97"/>
      <c r="FY108" s="6"/>
      <c r="FZ108" s="7" t="str">
        <f>IF(FY108="","",VLOOKUP(FY108,MT商品ﾏｽﾀ参照シート!AM:AN,2,0))</f>
        <v/>
      </c>
      <c r="GA108" s="8"/>
      <c r="GB108" s="8"/>
      <c r="GC108" s="8"/>
      <c r="GD108" s="8"/>
      <c r="GE108" s="58"/>
      <c r="GF108" s="7" t="str">
        <f>IF(GE108="","",VLOOKUP(GE108,MT商品ﾏｽﾀ参照シート!AO:AP,2,0))</f>
        <v/>
      </c>
      <c r="GG108" s="7"/>
      <c r="GH108" s="7"/>
      <c r="GI108" s="7"/>
      <c r="GJ108" s="7"/>
      <c r="GK108" s="49"/>
      <c r="GL108" s="6"/>
      <c r="GM108" s="6"/>
      <c r="GN108" s="7"/>
      <c r="GO108" s="7"/>
      <c r="GP108" s="7"/>
      <c r="GQ108" s="7"/>
      <c r="GR108" s="7">
        <v>4250</v>
      </c>
      <c r="GS108" s="7">
        <v>5000</v>
      </c>
      <c r="GT108" s="7">
        <v>5000</v>
      </c>
      <c r="GU108" s="7">
        <v>5000</v>
      </c>
      <c r="GV108" s="7">
        <v>5000</v>
      </c>
      <c r="GW108" s="8"/>
      <c r="GX108" s="8"/>
      <c r="GY108" s="8"/>
      <c r="GZ108" s="8"/>
      <c r="HA108" s="8"/>
      <c r="HB108" s="8"/>
      <c r="HC108" s="8"/>
      <c r="HD108" s="8"/>
      <c r="HE108" s="58"/>
      <c r="HF108" s="58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82"/>
      <c r="HR108" s="82"/>
      <c r="HS108" s="82"/>
      <c r="HT108" s="26"/>
      <c r="HU108" s="23"/>
      <c r="HV108" s="23"/>
      <c r="HW108" s="24"/>
      <c r="HX108" s="24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76"/>
      <c r="IY108" s="76"/>
      <c r="IZ108" s="76"/>
      <c r="JA108" s="71"/>
      <c r="JB108" s="71"/>
      <c r="JC108" s="72"/>
      <c r="JD108" s="72"/>
      <c r="JE108" s="72"/>
      <c r="JF108" s="72"/>
      <c r="JG108" s="72"/>
      <c r="JH108" s="72"/>
      <c r="JI108" s="71"/>
      <c r="JJ108" s="71"/>
      <c r="JK108" s="72"/>
      <c r="JL108" s="72"/>
      <c r="JM108" s="72"/>
      <c r="JN108" s="72"/>
    </row>
    <row r="109" spans="1:274" ht="13.5" customHeight="1">
      <c r="A109" s="7">
        <v>97</v>
      </c>
      <c r="B109" s="7"/>
      <c r="C109" s="7" t="e">
        <f t="shared" si="52"/>
        <v>#VALUE!</v>
      </c>
      <c r="D109" s="28"/>
      <c r="E109" s="7">
        <f t="shared" si="27"/>
        <v>0</v>
      </c>
      <c r="F109" s="6"/>
      <c r="G109" s="7">
        <f t="shared" si="28"/>
        <v>0</v>
      </c>
      <c r="H109" s="7"/>
      <c r="I109" s="7">
        <f t="shared" si="29"/>
        <v>0</v>
      </c>
      <c r="J109" s="7"/>
      <c r="K109" s="7"/>
      <c r="L109" s="7"/>
      <c r="M109" s="7"/>
      <c r="N109" s="7"/>
      <c r="O109" s="7"/>
      <c r="P109" s="7"/>
      <c r="Q109" s="53"/>
      <c r="R109" s="7"/>
      <c r="S109" s="7"/>
      <c r="T109" s="53"/>
      <c r="U109" s="7"/>
      <c r="V109" s="7" t="e">
        <f t="shared" si="31"/>
        <v>#VALUE!</v>
      </c>
      <c r="W109" s="28"/>
      <c r="X109" s="7" t="e">
        <f t="shared" si="31"/>
        <v>#VALUE!</v>
      </c>
      <c r="Y109" s="28"/>
      <c r="Z109" s="7" t="e">
        <f t="shared" si="32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33"/>
        <v>#VALUE!</v>
      </c>
      <c r="AH109" s="28"/>
      <c r="AI109" s="7"/>
      <c r="AJ109" s="7" t="e">
        <f t="shared" si="34"/>
        <v>#VALUE!</v>
      </c>
      <c r="AK109" s="28"/>
      <c r="AL109" s="7" t="e">
        <f t="shared" si="35"/>
        <v>#VALUE!</v>
      </c>
      <c r="AM109" s="28"/>
      <c r="AN109" s="7" t="e">
        <f t="shared" si="36"/>
        <v>#VALUE!</v>
      </c>
      <c r="AO109" s="28"/>
      <c r="AP109" s="7">
        <f t="shared" si="37"/>
        <v>2</v>
      </c>
      <c r="AQ109" s="28" t="s">
        <v>2301</v>
      </c>
      <c r="AR109" s="7"/>
      <c r="AS109" s="7"/>
      <c r="AT109" s="7"/>
      <c r="AU109" s="7"/>
      <c r="AV109" s="7">
        <f t="shared" si="38"/>
        <v>4617</v>
      </c>
      <c r="AW109" s="28" t="s">
        <v>2302</v>
      </c>
      <c r="AX109" s="7">
        <v>1</v>
      </c>
      <c r="AY109" s="7" t="e">
        <f t="shared" si="39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0"/>
        <v>#VALUE!</v>
      </c>
      <c r="BG109" s="28"/>
      <c r="BH109" s="7" t="e">
        <f t="shared" si="41"/>
        <v>#VALUE!</v>
      </c>
      <c r="BI109" s="28"/>
      <c r="BJ109" s="7" t="e">
        <f t="shared" si="42"/>
        <v>#VALUE!</v>
      </c>
      <c r="BK109" s="28"/>
      <c r="BL109" s="7"/>
      <c r="BM109" s="7"/>
      <c r="BN109" s="7" t="e">
        <f t="shared" si="43"/>
        <v>#VALUE!</v>
      </c>
      <c r="BO109" s="28"/>
      <c r="BP109" s="7" t="e">
        <f t="shared" si="44"/>
        <v>#VALUE!</v>
      </c>
      <c r="BQ109" s="28"/>
      <c r="BR109" s="7"/>
      <c r="BS109" s="7" t="e">
        <f t="shared" si="45"/>
        <v>#VALUE!</v>
      </c>
      <c r="BT109" s="28"/>
      <c r="BU109" s="7"/>
      <c r="BV109" s="7" t="e">
        <f ca="1">[1]!tメーカー名(BU109)</f>
        <v>#NAME?</v>
      </c>
      <c r="BW109" s="7" t="e">
        <f t="shared" si="46"/>
        <v>#VALUE!</v>
      </c>
      <c r="BX109" s="28"/>
      <c r="BY109" s="7" t="e">
        <f t="shared" si="47"/>
        <v>#VALUE!</v>
      </c>
      <c r="BZ109" s="28"/>
      <c r="CA109" s="54"/>
      <c r="CB109" s="54"/>
      <c r="CC109" s="7" t="e">
        <f t="shared" si="48"/>
        <v>#VALUE!</v>
      </c>
      <c r="CD109" s="28"/>
      <c r="CE109" s="7" t="e">
        <f t="shared" si="49"/>
        <v>#VALUE!</v>
      </c>
      <c r="CF109" s="28"/>
      <c r="CG109" s="7" t="e">
        <f t="shared" si="50"/>
        <v>#VALUE!</v>
      </c>
      <c r="CH109" s="28"/>
      <c r="CI109" s="7" t="e">
        <f t="shared" si="51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6">
        <f t="shared" si="30"/>
        <v>0</v>
      </c>
      <c r="CT109" s="7"/>
      <c r="CU109" s="7"/>
      <c r="CV109" s="97"/>
      <c r="CW109" s="97"/>
      <c r="CX109" s="97"/>
      <c r="CY109" s="98"/>
      <c r="CZ109" s="98"/>
      <c r="DA109" s="97"/>
      <c r="DB109" s="98"/>
      <c r="DC109" s="97"/>
      <c r="DD109" s="97" t="s">
        <v>1767</v>
      </c>
      <c r="DE109" s="97" t="s">
        <v>1682</v>
      </c>
      <c r="DF109" s="98"/>
      <c r="DG109" s="98"/>
      <c r="DH109" s="98"/>
      <c r="DI109" s="98"/>
      <c r="DJ109" s="98"/>
      <c r="DK109" s="98"/>
      <c r="DL109" s="98"/>
      <c r="DM109" s="97"/>
      <c r="DN109" s="97"/>
      <c r="DO109" s="97"/>
      <c r="DP109" s="97"/>
      <c r="DQ109" s="97"/>
      <c r="DR109" s="97"/>
      <c r="DS109" s="97"/>
      <c r="DT109" s="99"/>
      <c r="DU109" s="98"/>
      <c r="DV109" s="97"/>
      <c r="DW109" s="97"/>
      <c r="DX109" s="97"/>
      <c r="DY109" s="97"/>
      <c r="DZ109" s="97"/>
      <c r="EA109" s="97"/>
      <c r="EB109" s="97"/>
      <c r="EC109" s="97"/>
      <c r="ED109" s="97"/>
      <c r="EE109" s="97"/>
      <c r="EF109" s="97"/>
      <c r="EG109" s="97"/>
      <c r="EH109" s="97"/>
      <c r="EI109" s="97"/>
      <c r="EJ109" s="97"/>
      <c r="EK109" s="97"/>
      <c r="EL109" s="97"/>
      <c r="EM109" s="97"/>
      <c r="EN109" s="97"/>
      <c r="EO109" s="97"/>
      <c r="EP109" s="97"/>
      <c r="EQ109" s="97"/>
      <c r="ER109" s="97"/>
      <c r="ES109" s="97"/>
      <c r="ET109" s="97"/>
      <c r="EU109" s="97"/>
      <c r="EV109" s="97"/>
      <c r="EW109" s="97"/>
      <c r="EX109" s="97"/>
      <c r="EY109" s="97"/>
      <c r="EZ109" s="97"/>
      <c r="FA109" s="97"/>
      <c r="FB109" s="97"/>
      <c r="FC109" s="97"/>
      <c r="FD109" s="97"/>
      <c r="FE109" s="97"/>
      <c r="FF109" s="97"/>
      <c r="FG109" s="97"/>
      <c r="FH109" s="97"/>
      <c r="FI109" s="97"/>
      <c r="FJ109" s="97"/>
      <c r="FK109" s="97"/>
      <c r="FL109" s="97"/>
      <c r="FM109" s="97"/>
      <c r="FN109" s="97"/>
      <c r="FO109" s="97"/>
      <c r="FP109" s="97"/>
      <c r="FQ109" s="97"/>
      <c r="FR109" s="97"/>
      <c r="FS109" s="97"/>
      <c r="FT109" s="97"/>
      <c r="FU109" s="97"/>
      <c r="FV109" s="97"/>
      <c r="FW109" s="97"/>
      <c r="FX109" s="97"/>
      <c r="FY109" s="6"/>
      <c r="FZ109" s="7" t="str">
        <f>IF(FY109="","",VLOOKUP(FY109,MT商品ﾏｽﾀ参照シート!AM:AN,2,0))</f>
        <v/>
      </c>
      <c r="GA109" s="8"/>
      <c r="GB109" s="8"/>
      <c r="GC109" s="8"/>
      <c r="GD109" s="8"/>
      <c r="GE109" s="58"/>
      <c r="GF109" s="7" t="str">
        <f>IF(GE109="","",VLOOKUP(GE109,MT商品ﾏｽﾀ参照シート!AO:AP,2,0))</f>
        <v/>
      </c>
      <c r="GG109" s="7"/>
      <c r="GH109" s="7"/>
      <c r="GI109" s="7"/>
      <c r="GJ109" s="7"/>
      <c r="GK109" s="49"/>
      <c r="GL109" s="6"/>
      <c r="GM109" s="6"/>
      <c r="GN109" s="7"/>
      <c r="GO109" s="7"/>
      <c r="GP109" s="7"/>
      <c r="GQ109" s="7"/>
      <c r="GR109" s="7">
        <v>4930</v>
      </c>
      <c r="GS109" s="7">
        <v>5800</v>
      </c>
      <c r="GT109" s="7">
        <v>5800</v>
      </c>
      <c r="GU109" s="7">
        <v>5800</v>
      </c>
      <c r="GV109" s="7">
        <v>5800</v>
      </c>
      <c r="GW109" s="8"/>
      <c r="GX109" s="8"/>
      <c r="GY109" s="8"/>
      <c r="GZ109" s="8"/>
      <c r="HA109" s="8"/>
      <c r="HB109" s="8"/>
      <c r="HC109" s="8"/>
      <c r="HD109" s="8"/>
      <c r="HE109" s="58"/>
      <c r="HF109" s="58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82"/>
      <c r="HR109" s="82"/>
      <c r="HS109" s="82"/>
      <c r="HT109" s="26"/>
      <c r="HU109" s="23"/>
      <c r="HV109" s="23"/>
      <c r="HW109" s="24"/>
      <c r="HX109" s="24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76"/>
      <c r="IY109" s="76"/>
      <c r="IZ109" s="76"/>
      <c r="JA109" s="71"/>
      <c r="JB109" s="71"/>
      <c r="JC109" s="72"/>
      <c r="JD109" s="72"/>
      <c r="JE109" s="72"/>
      <c r="JF109" s="72"/>
      <c r="JG109" s="72"/>
      <c r="JH109" s="72"/>
      <c r="JI109" s="71"/>
      <c r="JJ109" s="71"/>
      <c r="JK109" s="72"/>
      <c r="JL109" s="72"/>
      <c r="JM109" s="72"/>
      <c r="JN109" s="72"/>
    </row>
    <row r="110" spans="1:274" ht="13.5" customHeight="1">
      <c r="A110" s="7">
        <v>98</v>
      </c>
      <c r="B110" s="7"/>
      <c r="C110" s="7" t="e">
        <f t="shared" si="52"/>
        <v>#VALUE!</v>
      </c>
      <c r="D110" s="28"/>
      <c r="E110" s="7">
        <f t="shared" si="27"/>
        <v>0</v>
      </c>
      <c r="F110" s="6"/>
      <c r="G110" s="7">
        <f t="shared" si="28"/>
        <v>0</v>
      </c>
      <c r="H110" s="7"/>
      <c r="I110" s="7">
        <f t="shared" si="29"/>
        <v>0</v>
      </c>
      <c r="J110" s="7"/>
      <c r="K110" s="7"/>
      <c r="L110" s="7"/>
      <c r="M110" s="7"/>
      <c r="N110" s="7"/>
      <c r="O110" s="7"/>
      <c r="P110" s="7"/>
      <c r="Q110" s="53"/>
      <c r="R110" s="7"/>
      <c r="S110" s="7"/>
      <c r="T110" s="53"/>
      <c r="U110" s="7"/>
      <c r="V110" s="7" t="e">
        <f t="shared" si="31"/>
        <v>#VALUE!</v>
      </c>
      <c r="W110" s="28"/>
      <c r="X110" s="7" t="e">
        <f t="shared" si="31"/>
        <v>#VALUE!</v>
      </c>
      <c r="Y110" s="28"/>
      <c r="Z110" s="7" t="e">
        <f t="shared" si="32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33"/>
        <v>#VALUE!</v>
      </c>
      <c r="AH110" s="28"/>
      <c r="AI110" s="7"/>
      <c r="AJ110" s="7" t="e">
        <f t="shared" si="34"/>
        <v>#VALUE!</v>
      </c>
      <c r="AK110" s="28"/>
      <c r="AL110" s="7" t="e">
        <f t="shared" si="35"/>
        <v>#VALUE!</v>
      </c>
      <c r="AM110" s="28"/>
      <c r="AN110" s="7" t="e">
        <f t="shared" si="36"/>
        <v>#VALUE!</v>
      </c>
      <c r="AO110" s="28"/>
      <c r="AP110" s="7">
        <f t="shared" si="37"/>
        <v>2</v>
      </c>
      <c r="AQ110" s="28" t="s">
        <v>2301</v>
      </c>
      <c r="AR110" s="7"/>
      <c r="AS110" s="7"/>
      <c r="AT110" s="7"/>
      <c r="AU110" s="7"/>
      <c r="AV110" s="7">
        <f t="shared" si="38"/>
        <v>4617</v>
      </c>
      <c r="AW110" s="28" t="s">
        <v>2302</v>
      </c>
      <c r="AX110" s="7">
        <v>1</v>
      </c>
      <c r="AY110" s="7" t="e">
        <f t="shared" si="39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0"/>
        <v>#VALUE!</v>
      </c>
      <c r="BG110" s="28"/>
      <c r="BH110" s="7" t="e">
        <f t="shared" si="41"/>
        <v>#VALUE!</v>
      </c>
      <c r="BI110" s="28"/>
      <c r="BJ110" s="7" t="e">
        <f t="shared" si="42"/>
        <v>#VALUE!</v>
      </c>
      <c r="BK110" s="28"/>
      <c r="BL110" s="7"/>
      <c r="BM110" s="7"/>
      <c r="BN110" s="7" t="e">
        <f t="shared" si="43"/>
        <v>#VALUE!</v>
      </c>
      <c r="BO110" s="28"/>
      <c r="BP110" s="7" t="e">
        <f t="shared" si="44"/>
        <v>#VALUE!</v>
      </c>
      <c r="BQ110" s="28"/>
      <c r="BR110" s="7"/>
      <c r="BS110" s="7" t="e">
        <f t="shared" si="45"/>
        <v>#VALUE!</v>
      </c>
      <c r="BT110" s="28"/>
      <c r="BU110" s="7"/>
      <c r="BV110" s="7" t="e">
        <f ca="1">[1]!tメーカー名(BU110)</f>
        <v>#NAME?</v>
      </c>
      <c r="BW110" s="7" t="e">
        <f t="shared" si="46"/>
        <v>#VALUE!</v>
      </c>
      <c r="BX110" s="28"/>
      <c r="BY110" s="7" t="e">
        <f t="shared" si="47"/>
        <v>#VALUE!</v>
      </c>
      <c r="BZ110" s="28"/>
      <c r="CA110" s="54"/>
      <c r="CB110" s="54"/>
      <c r="CC110" s="7" t="e">
        <f t="shared" si="48"/>
        <v>#VALUE!</v>
      </c>
      <c r="CD110" s="28"/>
      <c r="CE110" s="7" t="e">
        <f t="shared" si="49"/>
        <v>#VALUE!</v>
      </c>
      <c r="CF110" s="28"/>
      <c r="CG110" s="7" t="e">
        <f t="shared" si="50"/>
        <v>#VALUE!</v>
      </c>
      <c r="CH110" s="28"/>
      <c r="CI110" s="7" t="e">
        <f t="shared" si="51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6">
        <f t="shared" si="30"/>
        <v>0</v>
      </c>
      <c r="CT110" s="7"/>
      <c r="CU110" s="7"/>
      <c r="CV110" s="97"/>
      <c r="CW110" s="97"/>
      <c r="CX110" s="97"/>
      <c r="CY110" s="98"/>
      <c r="CZ110" s="98"/>
      <c r="DA110" s="97"/>
      <c r="DB110" s="98"/>
      <c r="DC110" s="97"/>
      <c r="DD110" s="97" t="s">
        <v>1768</v>
      </c>
      <c r="DE110" s="97" t="s">
        <v>1682</v>
      </c>
      <c r="DF110" s="98"/>
      <c r="DG110" s="98"/>
      <c r="DH110" s="98"/>
      <c r="DI110" s="98"/>
      <c r="DJ110" s="98"/>
      <c r="DK110" s="98"/>
      <c r="DL110" s="98"/>
      <c r="DM110" s="97"/>
      <c r="DN110" s="97"/>
      <c r="DO110" s="97"/>
      <c r="DP110" s="97"/>
      <c r="DQ110" s="97"/>
      <c r="DR110" s="97"/>
      <c r="DS110" s="97"/>
      <c r="DT110" s="99"/>
      <c r="DU110" s="98"/>
      <c r="DV110" s="97"/>
      <c r="DW110" s="97"/>
      <c r="DX110" s="97"/>
      <c r="DY110" s="97"/>
      <c r="DZ110" s="97"/>
      <c r="EA110" s="97"/>
      <c r="EB110" s="97"/>
      <c r="EC110" s="97"/>
      <c r="ED110" s="97"/>
      <c r="EE110" s="97"/>
      <c r="EF110" s="97"/>
      <c r="EG110" s="97"/>
      <c r="EH110" s="97"/>
      <c r="EI110" s="97"/>
      <c r="EJ110" s="97"/>
      <c r="EK110" s="97"/>
      <c r="EL110" s="97"/>
      <c r="EM110" s="97"/>
      <c r="EN110" s="97"/>
      <c r="EO110" s="97"/>
      <c r="EP110" s="97"/>
      <c r="EQ110" s="97"/>
      <c r="ER110" s="97"/>
      <c r="ES110" s="97"/>
      <c r="ET110" s="97"/>
      <c r="EU110" s="97"/>
      <c r="EV110" s="97"/>
      <c r="EW110" s="97"/>
      <c r="EX110" s="97"/>
      <c r="EY110" s="97"/>
      <c r="EZ110" s="97"/>
      <c r="FA110" s="97"/>
      <c r="FB110" s="97"/>
      <c r="FC110" s="97"/>
      <c r="FD110" s="97"/>
      <c r="FE110" s="97"/>
      <c r="FF110" s="97"/>
      <c r="FG110" s="97"/>
      <c r="FH110" s="97"/>
      <c r="FI110" s="97"/>
      <c r="FJ110" s="97"/>
      <c r="FK110" s="97"/>
      <c r="FL110" s="97"/>
      <c r="FM110" s="97"/>
      <c r="FN110" s="97"/>
      <c r="FO110" s="97"/>
      <c r="FP110" s="97"/>
      <c r="FQ110" s="97"/>
      <c r="FR110" s="97"/>
      <c r="FS110" s="97"/>
      <c r="FT110" s="97"/>
      <c r="FU110" s="97"/>
      <c r="FV110" s="97"/>
      <c r="FW110" s="97"/>
      <c r="FX110" s="97"/>
      <c r="FY110" s="6"/>
      <c r="FZ110" s="7" t="str">
        <f>IF(FY110="","",VLOOKUP(FY110,MT商品ﾏｽﾀ参照シート!AM:AN,2,0))</f>
        <v/>
      </c>
      <c r="GA110" s="8"/>
      <c r="GB110" s="8"/>
      <c r="GC110" s="8"/>
      <c r="GD110" s="8"/>
      <c r="GE110" s="58"/>
      <c r="GF110" s="7" t="str">
        <f>IF(GE110="","",VLOOKUP(GE110,MT商品ﾏｽﾀ参照シート!AO:AP,2,0))</f>
        <v/>
      </c>
      <c r="GG110" s="7"/>
      <c r="GH110" s="7"/>
      <c r="GI110" s="7"/>
      <c r="GJ110" s="7"/>
      <c r="GK110" s="49"/>
      <c r="GL110" s="6"/>
      <c r="GM110" s="6"/>
      <c r="GN110" s="7"/>
      <c r="GO110" s="7"/>
      <c r="GP110" s="7"/>
      <c r="GQ110" s="7"/>
      <c r="GR110" s="7">
        <v>6460</v>
      </c>
      <c r="GS110" s="7">
        <v>7600</v>
      </c>
      <c r="GT110" s="7">
        <v>7600</v>
      </c>
      <c r="GU110" s="7">
        <v>7600</v>
      </c>
      <c r="GV110" s="7">
        <v>7600</v>
      </c>
      <c r="GW110" s="8"/>
      <c r="GX110" s="8"/>
      <c r="GY110" s="8"/>
      <c r="GZ110" s="8"/>
      <c r="HA110" s="8"/>
      <c r="HB110" s="8"/>
      <c r="HC110" s="8"/>
      <c r="HD110" s="8"/>
      <c r="HE110" s="58"/>
      <c r="HF110" s="58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82"/>
      <c r="HR110" s="82"/>
      <c r="HS110" s="82"/>
      <c r="HT110" s="26"/>
      <c r="HU110" s="23"/>
      <c r="HV110" s="23"/>
      <c r="HW110" s="24"/>
      <c r="HX110" s="24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76"/>
      <c r="IY110" s="76"/>
      <c r="IZ110" s="76"/>
      <c r="JA110" s="71"/>
      <c r="JB110" s="71"/>
      <c r="JC110" s="72"/>
      <c r="JD110" s="72"/>
      <c r="JE110" s="72"/>
      <c r="JF110" s="72"/>
      <c r="JG110" s="72"/>
      <c r="JH110" s="72"/>
      <c r="JI110" s="71"/>
      <c r="JJ110" s="71"/>
      <c r="JK110" s="72"/>
      <c r="JL110" s="72"/>
      <c r="JM110" s="72"/>
      <c r="JN110" s="72"/>
    </row>
    <row r="111" spans="1:274" ht="13.5" customHeight="1">
      <c r="A111" s="7">
        <v>99</v>
      </c>
      <c r="B111" s="7"/>
      <c r="C111" s="7" t="e">
        <f t="shared" si="52"/>
        <v>#VALUE!</v>
      </c>
      <c r="D111" s="28"/>
      <c r="E111" s="7">
        <f t="shared" si="27"/>
        <v>0</v>
      </c>
      <c r="F111" s="6"/>
      <c r="G111" s="7">
        <f t="shared" si="28"/>
        <v>0</v>
      </c>
      <c r="H111" s="7"/>
      <c r="I111" s="7">
        <f t="shared" si="29"/>
        <v>0</v>
      </c>
      <c r="J111" s="7"/>
      <c r="K111" s="7"/>
      <c r="L111" s="7"/>
      <c r="M111" s="7"/>
      <c r="N111" s="7"/>
      <c r="O111" s="7"/>
      <c r="P111" s="7"/>
      <c r="Q111" s="53"/>
      <c r="R111" s="7"/>
      <c r="S111" s="7"/>
      <c r="T111" s="53"/>
      <c r="U111" s="7"/>
      <c r="V111" s="7" t="e">
        <f t="shared" si="31"/>
        <v>#VALUE!</v>
      </c>
      <c r="W111" s="28"/>
      <c r="X111" s="7" t="e">
        <f t="shared" si="31"/>
        <v>#VALUE!</v>
      </c>
      <c r="Y111" s="28"/>
      <c r="Z111" s="7" t="e">
        <f t="shared" si="32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33"/>
        <v>#VALUE!</v>
      </c>
      <c r="AH111" s="28"/>
      <c r="AI111" s="7"/>
      <c r="AJ111" s="7" t="e">
        <f t="shared" si="34"/>
        <v>#VALUE!</v>
      </c>
      <c r="AK111" s="28"/>
      <c r="AL111" s="7" t="e">
        <f t="shared" si="35"/>
        <v>#VALUE!</v>
      </c>
      <c r="AM111" s="28"/>
      <c r="AN111" s="7" t="e">
        <f t="shared" si="36"/>
        <v>#VALUE!</v>
      </c>
      <c r="AO111" s="28"/>
      <c r="AP111" s="7">
        <f t="shared" si="37"/>
        <v>2</v>
      </c>
      <c r="AQ111" s="28" t="s">
        <v>2301</v>
      </c>
      <c r="AR111" s="7"/>
      <c r="AS111" s="7"/>
      <c r="AT111" s="7"/>
      <c r="AU111" s="7"/>
      <c r="AV111" s="7">
        <f t="shared" si="38"/>
        <v>4617</v>
      </c>
      <c r="AW111" s="28" t="s">
        <v>2302</v>
      </c>
      <c r="AX111" s="7">
        <v>1</v>
      </c>
      <c r="AY111" s="7" t="e">
        <f t="shared" si="39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0"/>
        <v>#VALUE!</v>
      </c>
      <c r="BG111" s="28"/>
      <c r="BH111" s="7" t="e">
        <f t="shared" si="41"/>
        <v>#VALUE!</v>
      </c>
      <c r="BI111" s="28"/>
      <c r="BJ111" s="7" t="e">
        <f t="shared" si="42"/>
        <v>#VALUE!</v>
      </c>
      <c r="BK111" s="28"/>
      <c r="BL111" s="7"/>
      <c r="BM111" s="7"/>
      <c r="BN111" s="7" t="e">
        <f t="shared" si="43"/>
        <v>#VALUE!</v>
      </c>
      <c r="BO111" s="28"/>
      <c r="BP111" s="7" t="e">
        <f t="shared" si="44"/>
        <v>#VALUE!</v>
      </c>
      <c r="BQ111" s="28"/>
      <c r="BR111" s="7"/>
      <c r="BS111" s="7" t="e">
        <f t="shared" si="45"/>
        <v>#VALUE!</v>
      </c>
      <c r="BT111" s="28"/>
      <c r="BU111" s="7"/>
      <c r="BV111" s="7" t="e">
        <f ca="1">[1]!tメーカー名(BU111)</f>
        <v>#NAME?</v>
      </c>
      <c r="BW111" s="7" t="e">
        <f t="shared" si="46"/>
        <v>#VALUE!</v>
      </c>
      <c r="BX111" s="28"/>
      <c r="BY111" s="7" t="e">
        <f t="shared" si="47"/>
        <v>#VALUE!</v>
      </c>
      <c r="BZ111" s="28"/>
      <c r="CA111" s="54"/>
      <c r="CB111" s="54"/>
      <c r="CC111" s="7" t="e">
        <f t="shared" si="48"/>
        <v>#VALUE!</v>
      </c>
      <c r="CD111" s="28"/>
      <c r="CE111" s="7" t="e">
        <f t="shared" si="49"/>
        <v>#VALUE!</v>
      </c>
      <c r="CF111" s="28"/>
      <c r="CG111" s="7" t="e">
        <f t="shared" si="50"/>
        <v>#VALUE!</v>
      </c>
      <c r="CH111" s="28"/>
      <c r="CI111" s="7" t="e">
        <f t="shared" si="51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6">
        <f t="shared" si="30"/>
        <v>0</v>
      </c>
      <c r="CT111" s="7"/>
      <c r="CU111" s="7"/>
      <c r="CV111" s="97"/>
      <c r="CW111" s="97"/>
      <c r="CX111" s="97"/>
      <c r="CY111" s="98"/>
      <c r="CZ111" s="98"/>
      <c r="DA111" s="97"/>
      <c r="DB111" s="98"/>
      <c r="DC111" s="97"/>
      <c r="DD111" s="97" t="s">
        <v>1769</v>
      </c>
      <c r="DE111" s="97" t="s">
        <v>1682</v>
      </c>
      <c r="DF111" s="98"/>
      <c r="DG111" s="98"/>
      <c r="DH111" s="98"/>
      <c r="DI111" s="98"/>
      <c r="DJ111" s="98"/>
      <c r="DK111" s="98"/>
      <c r="DL111" s="98"/>
      <c r="DM111" s="97"/>
      <c r="DN111" s="97"/>
      <c r="DO111" s="97"/>
      <c r="DP111" s="97"/>
      <c r="DQ111" s="97"/>
      <c r="DR111" s="97"/>
      <c r="DS111" s="97"/>
      <c r="DT111" s="99"/>
      <c r="DU111" s="98"/>
      <c r="DV111" s="97"/>
      <c r="DW111" s="97"/>
      <c r="DX111" s="97"/>
      <c r="DY111" s="97"/>
      <c r="DZ111" s="97"/>
      <c r="EA111" s="97"/>
      <c r="EB111" s="97"/>
      <c r="EC111" s="97"/>
      <c r="ED111" s="97"/>
      <c r="EE111" s="97"/>
      <c r="EF111" s="97"/>
      <c r="EG111" s="97"/>
      <c r="EH111" s="97"/>
      <c r="EI111" s="97"/>
      <c r="EJ111" s="97"/>
      <c r="EK111" s="97"/>
      <c r="EL111" s="97"/>
      <c r="EM111" s="97"/>
      <c r="EN111" s="97"/>
      <c r="EO111" s="97"/>
      <c r="EP111" s="97"/>
      <c r="EQ111" s="97"/>
      <c r="ER111" s="97"/>
      <c r="ES111" s="97"/>
      <c r="ET111" s="97"/>
      <c r="EU111" s="97"/>
      <c r="EV111" s="97"/>
      <c r="EW111" s="97"/>
      <c r="EX111" s="97"/>
      <c r="EY111" s="97"/>
      <c r="EZ111" s="97"/>
      <c r="FA111" s="97"/>
      <c r="FB111" s="97"/>
      <c r="FC111" s="97"/>
      <c r="FD111" s="97"/>
      <c r="FE111" s="97"/>
      <c r="FF111" s="97"/>
      <c r="FG111" s="97"/>
      <c r="FH111" s="97"/>
      <c r="FI111" s="97"/>
      <c r="FJ111" s="97"/>
      <c r="FK111" s="97"/>
      <c r="FL111" s="97"/>
      <c r="FM111" s="97"/>
      <c r="FN111" s="97"/>
      <c r="FO111" s="97"/>
      <c r="FP111" s="97"/>
      <c r="FQ111" s="97"/>
      <c r="FR111" s="97"/>
      <c r="FS111" s="97"/>
      <c r="FT111" s="97"/>
      <c r="FU111" s="97"/>
      <c r="FV111" s="97"/>
      <c r="FW111" s="97"/>
      <c r="FX111" s="97"/>
      <c r="FY111" s="6"/>
      <c r="FZ111" s="7" t="str">
        <f>IF(FY111="","",VLOOKUP(FY111,MT商品ﾏｽﾀ参照シート!AM:AN,2,0))</f>
        <v/>
      </c>
      <c r="GA111" s="8"/>
      <c r="GB111" s="8"/>
      <c r="GC111" s="8"/>
      <c r="GD111" s="8"/>
      <c r="GE111" s="58"/>
      <c r="GF111" s="7" t="str">
        <f>IF(GE111="","",VLOOKUP(GE111,MT商品ﾏｽﾀ参照シート!AO:AP,2,0))</f>
        <v/>
      </c>
      <c r="GG111" s="7"/>
      <c r="GH111" s="7"/>
      <c r="GI111" s="7"/>
      <c r="GJ111" s="7"/>
      <c r="GK111" s="49"/>
      <c r="GL111" s="6"/>
      <c r="GM111" s="6"/>
      <c r="GN111" s="7"/>
      <c r="GO111" s="7"/>
      <c r="GP111" s="7"/>
      <c r="GQ111" s="7"/>
      <c r="GR111" s="7">
        <v>4930</v>
      </c>
      <c r="GS111" s="7">
        <v>5800</v>
      </c>
      <c r="GT111" s="7">
        <v>5800</v>
      </c>
      <c r="GU111" s="7">
        <v>5800</v>
      </c>
      <c r="GV111" s="7">
        <v>5800</v>
      </c>
      <c r="GW111" s="8"/>
      <c r="GX111" s="8"/>
      <c r="GY111" s="8"/>
      <c r="GZ111" s="8"/>
      <c r="HA111" s="8"/>
      <c r="HB111" s="8"/>
      <c r="HC111" s="8"/>
      <c r="HD111" s="8"/>
      <c r="HE111" s="58"/>
      <c r="HF111" s="58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82"/>
      <c r="HR111" s="82"/>
      <c r="HS111" s="82"/>
      <c r="HT111" s="26"/>
      <c r="HU111" s="23"/>
      <c r="HV111" s="23"/>
      <c r="HW111" s="24"/>
      <c r="HX111" s="24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76"/>
      <c r="IY111" s="76"/>
      <c r="IZ111" s="76"/>
      <c r="JA111" s="71"/>
      <c r="JB111" s="71"/>
      <c r="JC111" s="72"/>
      <c r="JD111" s="72"/>
      <c r="JE111" s="72"/>
      <c r="JF111" s="72"/>
      <c r="JG111" s="72"/>
      <c r="JH111" s="72"/>
      <c r="JI111" s="71"/>
      <c r="JJ111" s="71"/>
      <c r="JK111" s="72"/>
      <c r="JL111" s="72"/>
      <c r="JM111" s="72"/>
      <c r="JN111" s="72"/>
    </row>
    <row r="112" spans="1:274" ht="13.5" customHeight="1">
      <c r="A112" s="7">
        <v>100</v>
      </c>
      <c r="B112" s="7"/>
      <c r="C112" s="7" t="e">
        <f t="shared" si="52"/>
        <v>#VALUE!</v>
      </c>
      <c r="D112" s="28"/>
      <c r="E112" s="7">
        <f t="shared" si="27"/>
        <v>0</v>
      </c>
      <c r="F112" s="6"/>
      <c r="G112" s="7">
        <f t="shared" si="28"/>
        <v>0</v>
      </c>
      <c r="H112" s="7"/>
      <c r="I112" s="7">
        <f t="shared" si="29"/>
        <v>0</v>
      </c>
      <c r="J112" s="7"/>
      <c r="K112" s="7"/>
      <c r="L112" s="7"/>
      <c r="M112" s="7"/>
      <c r="N112" s="7"/>
      <c r="O112" s="7"/>
      <c r="P112" s="7"/>
      <c r="Q112" s="53"/>
      <c r="R112" s="7"/>
      <c r="S112" s="7"/>
      <c r="T112" s="53"/>
      <c r="U112" s="7"/>
      <c r="V112" s="7" t="e">
        <f t="shared" si="31"/>
        <v>#VALUE!</v>
      </c>
      <c r="W112" s="28"/>
      <c r="X112" s="7" t="e">
        <f t="shared" si="31"/>
        <v>#VALUE!</v>
      </c>
      <c r="Y112" s="28"/>
      <c r="Z112" s="7" t="e">
        <f t="shared" si="32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33"/>
        <v>#VALUE!</v>
      </c>
      <c r="AH112" s="28"/>
      <c r="AI112" s="7"/>
      <c r="AJ112" s="7" t="e">
        <f t="shared" si="34"/>
        <v>#VALUE!</v>
      </c>
      <c r="AK112" s="28"/>
      <c r="AL112" s="7" t="e">
        <f t="shared" si="35"/>
        <v>#VALUE!</v>
      </c>
      <c r="AM112" s="28"/>
      <c r="AN112" s="7" t="e">
        <f t="shared" si="36"/>
        <v>#VALUE!</v>
      </c>
      <c r="AO112" s="28"/>
      <c r="AP112" s="7">
        <f t="shared" si="37"/>
        <v>2</v>
      </c>
      <c r="AQ112" s="28" t="s">
        <v>2301</v>
      </c>
      <c r="AR112" s="7"/>
      <c r="AS112" s="7"/>
      <c r="AT112" s="7"/>
      <c r="AU112" s="7"/>
      <c r="AV112" s="7">
        <f t="shared" si="38"/>
        <v>4617</v>
      </c>
      <c r="AW112" s="28" t="s">
        <v>2302</v>
      </c>
      <c r="AX112" s="7">
        <v>1</v>
      </c>
      <c r="AY112" s="7" t="e">
        <f t="shared" si="39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0"/>
        <v>#VALUE!</v>
      </c>
      <c r="BG112" s="28"/>
      <c r="BH112" s="7" t="e">
        <f t="shared" si="41"/>
        <v>#VALUE!</v>
      </c>
      <c r="BI112" s="28"/>
      <c r="BJ112" s="7" t="e">
        <f t="shared" si="42"/>
        <v>#VALUE!</v>
      </c>
      <c r="BK112" s="28"/>
      <c r="BL112" s="7"/>
      <c r="BM112" s="7"/>
      <c r="BN112" s="7" t="e">
        <f t="shared" si="43"/>
        <v>#VALUE!</v>
      </c>
      <c r="BO112" s="28"/>
      <c r="BP112" s="7" t="e">
        <f t="shared" si="44"/>
        <v>#VALUE!</v>
      </c>
      <c r="BQ112" s="28"/>
      <c r="BR112" s="7"/>
      <c r="BS112" s="7" t="e">
        <f t="shared" si="45"/>
        <v>#VALUE!</v>
      </c>
      <c r="BT112" s="28"/>
      <c r="BU112" s="7"/>
      <c r="BV112" s="7" t="e">
        <f ca="1">[1]!tメーカー名(BU112)</f>
        <v>#NAME?</v>
      </c>
      <c r="BW112" s="7" t="e">
        <f t="shared" si="46"/>
        <v>#VALUE!</v>
      </c>
      <c r="BX112" s="28"/>
      <c r="BY112" s="7" t="e">
        <f t="shared" si="47"/>
        <v>#VALUE!</v>
      </c>
      <c r="BZ112" s="28"/>
      <c r="CA112" s="54"/>
      <c r="CB112" s="54"/>
      <c r="CC112" s="7" t="e">
        <f t="shared" si="48"/>
        <v>#VALUE!</v>
      </c>
      <c r="CD112" s="28"/>
      <c r="CE112" s="7" t="e">
        <f t="shared" si="49"/>
        <v>#VALUE!</v>
      </c>
      <c r="CF112" s="28"/>
      <c r="CG112" s="7" t="e">
        <f t="shared" si="50"/>
        <v>#VALUE!</v>
      </c>
      <c r="CH112" s="28"/>
      <c r="CI112" s="7" t="e">
        <f t="shared" si="51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6">
        <f t="shared" si="30"/>
        <v>0</v>
      </c>
      <c r="CT112" s="7"/>
      <c r="CU112" s="7"/>
      <c r="CV112" s="97"/>
      <c r="CW112" s="97"/>
      <c r="CX112" s="97"/>
      <c r="CY112" s="98"/>
      <c r="CZ112" s="98"/>
      <c r="DA112" s="97"/>
      <c r="DB112" s="98"/>
      <c r="DC112" s="97"/>
      <c r="DD112" s="97" t="s">
        <v>1770</v>
      </c>
      <c r="DE112" s="97" t="s">
        <v>1682</v>
      </c>
      <c r="DF112" s="98"/>
      <c r="DG112" s="98"/>
      <c r="DH112" s="98"/>
      <c r="DI112" s="98"/>
      <c r="DJ112" s="98"/>
      <c r="DK112" s="98"/>
      <c r="DL112" s="98"/>
      <c r="DM112" s="97"/>
      <c r="DN112" s="97"/>
      <c r="DO112" s="97"/>
      <c r="DP112" s="97"/>
      <c r="DQ112" s="97"/>
      <c r="DR112" s="97"/>
      <c r="DS112" s="97"/>
      <c r="DT112" s="99"/>
      <c r="DU112" s="98"/>
      <c r="DV112" s="97"/>
      <c r="DW112" s="97"/>
      <c r="DX112" s="97"/>
      <c r="DY112" s="97"/>
      <c r="DZ112" s="97"/>
      <c r="EA112" s="97"/>
      <c r="EB112" s="97"/>
      <c r="EC112" s="97"/>
      <c r="ED112" s="97"/>
      <c r="EE112" s="97"/>
      <c r="EF112" s="97"/>
      <c r="EG112" s="97"/>
      <c r="EH112" s="97"/>
      <c r="EI112" s="97"/>
      <c r="EJ112" s="97"/>
      <c r="EK112" s="97"/>
      <c r="EL112" s="97"/>
      <c r="EM112" s="97"/>
      <c r="EN112" s="97"/>
      <c r="EO112" s="97"/>
      <c r="EP112" s="97"/>
      <c r="EQ112" s="97"/>
      <c r="ER112" s="97"/>
      <c r="ES112" s="97"/>
      <c r="ET112" s="97"/>
      <c r="EU112" s="97"/>
      <c r="EV112" s="97"/>
      <c r="EW112" s="97"/>
      <c r="EX112" s="97"/>
      <c r="EY112" s="97"/>
      <c r="EZ112" s="97"/>
      <c r="FA112" s="97"/>
      <c r="FB112" s="97"/>
      <c r="FC112" s="97"/>
      <c r="FD112" s="97"/>
      <c r="FE112" s="97"/>
      <c r="FF112" s="97"/>
      <c r="FG112" s="97"/>
      <c r="FH112" s="97"/>
      <c r="FI112" s="97"/>
      <c r="FJ112" s="97"/>
      <c r="FK112" s="97"/>
      <c r="FL112" s="97"/>
      <c r="FM112" s="97"/>
      <c r="FN112" s="97"/>
      <c r="FO112" s="97"/>
      <c r="FP112" s="97"/>
      <c r="FQ112" s="97"/>
      <c r="FR112" s="97"/>
      <c r="FS112" s="97"/>
      <c r="FT112" s="97"/>
      <c r="FU112" s="97"/>
      <c r="FV112" s="97"/>
      <c r="FW112" s="97"/>
      <c r="FX112" s="97"/>
      <c r="FY112" s="6"/>
      <c r="FZ112" s="7" t="str">
        <f>IF(FY112="","",VLOOKUP(FY112,MT商品ﾏｽﾀ参照シート!AM:AN,2,0))</f>
        <v/>
      </c>
      <c r="GA112" s="8"/>
      <c r="GB112" s="8"/>
      <c r="GC112" s="8"/>
      <c r="GD112" s="8"/>
      <c r="GE112" s="58"/>
      <c r="GF112" s="7" t="str">
        <f>IF(GE112="","",VLOOKUP(GE112,MT商品ﾏｽﾀ参照シート!AO:AP,2,0))</f>
        <v/>
      </c>
      <c r="GG112" s="7"/>
      <c r="GH112" s="7"/>
      <c r="GI112" s="7"/>
      <c r="GJ112" s="7"/>
      <c r="GK112" s="49"/>
      <c r="GL112" s="6"/>
      <c r="GM112" s="6"/>
      <c r="GN112" s="7"/>
      <c r="GO112" s="7"/>
      <c r="GP112" s="7"/>
      <c r="GQ112" s="7"/>
      <c r="GR112" s="7">
        <v>4675</v>
      </c>
      <c r="GS112" s="7">
        <v>5500</v>
      </c>
      <c r="GT112" s="7">
        <v>5500</v>
      </c>
      <c r="GU112" s="7">
        <v>5500</v>
      </c>
      <c r="GV112" s="7">
        <v>5500</v>
      </c>
      <c r="GW112" s="8"/>
      <c r="GX112" s="8"/>
      <c r="GY112" s="8"/>
      <c r="GZ112" s="8"/>
      <c r="HA112" s="8"/>
      <c r="HB112" s="8"/>
      <c r="HC112" s="8"/>
      <c r="HD112" s="8"/>
      <c r="HE112" s="58"/>
      <c r="HF112" s="58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82"/>
      <c r="HR112" s="82"/>
      <c r="HS112" s="82"/>
      <c r="HT112" s="26"/>
      <c r="HU112" s="23"/>
      <c r="HV112" s="23"/>
      <c r="HW112" s="24"/>
      <c r="HX112" s="24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76"/>
      <c r="IY112" s="76"/>
      <c r="IZ112" s="76"/>
      <c r="JA112" s="71"/>
      <c r="JB112" s="71"/>
      <c r="JC112" s="72"/>
      <c r="JD112" s="72"/>
      <c r="JE112" s="72"/>
      <c r="JF112" s="72"/>
      <c r="JG112" s="72"/>
      <c r="JH112" s="72"/>
      <c r="JI112" s="71"/>
      <c r="JJ112" s="71"/>
      <c r="JK112" s="72"/>
      <c r="JL112" s="72"/>
      <c r="JM112" s="72"/>
      <c r="JN112" s="72"/>
    </row>
  </sheetData>
  <autoFilter ref="A12:KI112" xr:uid="{00000000-0009-0000-0000-000001000000}"/>
  <customSheetViews>
    <customSheetView guid="{4A49014B-6EB8-41BC-821C-AA758C89CB00}" scale="80" showPageBreaks="1" showAutoFilter="1" state="hidden" topLeftCell="AG1">
      <selection activeCell="BO14" sqref="BO14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KI112" xr:uid="{6B334816-B222-4DC4-84A1-11EEBA539F2E}"/>
    </customSheetView>
  </customSheetViews>
  <phoneticPr fontId="3"/>
  <conditionalFormatting sqref="A10">
    <cfRule type="expression" dxfId="65" priority="21" stopIfTrue="1">
      <formula>"51＜"</formula>
    </cfRule>
    <cfRule type="expression" priority="22" stopIfTrue="1">
      <formula>"51＜"</formula>
    </cfRule>
  </conditionalFormatting>
  <conditionalFormatting sqref="C5 B6:C6">
    <cfRule type="expression" priority="60" stopIfTrue="1">
      <formula>"51＜"</formula>
    </cfRule>
    <cfRule type="expression" dxfId="64" priority="59" stopIfTrue="1">
      <formula>"51＜"</formula>
    </cfRule>
  </conditionalFormatting>
  <conditionalFormatting sqref="E12">
    <cfRule type="expression" priority="64" stopIfTrue="1">
      <formula>"51＜"</formula>
    </cfRule>
    <cfRule type="expression" dxfId="63" priority="63" stopIfTrue="1">
      <formula>"51＜"</formula>
    </cfRule>
  </conditionalFormatting>
  <conditionalFormatting sqref="E10:F10">
    <cfRule type="expression" dxfId="62" priority="9" stopIfTrue="1">
      <formula>"51＜"</formula>
    </cfRule>
    <cfRule type="expression" priority="10" stopIfTrue="1">
      <formula>"51＜"</formula>
    </cfRule>
  </conditionalFormatting>
  <conditionalFormatting sqref="G9:G10 G12:G65349">
    <cfRule type="expression" priority="78" stopIfTrue="1">
      <formula>"51＜"</formula>
    </cfRule>
    <cfRule type="expression" dxfId="61" priority="77" stopIfTrue="1">
      <formula>"51＜"</formula>
    </cfRule>
  </conditionalFormatting>
  <conditionalFormatting sqref="I9:I10">
    <cfRule type="expression" dxfId="60" priority="19" stopIfTrue="1">
      <formula>"51＜"</formula>
    </cfRule>
    <cfRule type="expression" priority="20" stopIfTrue="1">
      <formula>"51＜"</formula>
    </cfRule>
  </conditionalFormatting>
  <conditionalFormatting sqref="I12:I65349">
    <cfRule type="expression" dxfId="59" priority="71" stopIfTrue="1">
      <formula>"51＜"</formula>
    </cfRule>
    <cfRule type="expression" priority="72" stopIfTrue="1">
      <formula>"51＜"</formula>
    </cfRule>
  </conditionalFormatting>
  <conditionalFormatting sqref="K9:K10">
    <cfRule type="expression" dxfId="58" priority="17" stopIfTrue="1">
      <formula>"51＜"</formula>
    </cfRule>
    <cfRule type="expression" priority="18" stopIfTrue="1">
      <formula>"51＜"</formula>
    </cfRule>
  </conditionalFormatting>
  <conditionalFormatting sqref="K12:K65349 M12:M65349 DA12:DA65349">
    <cfRule type="expression" priority="66" stopIfTrue="1">
      <formula>"51＜"</formula>
    </cfRule>
    <cfRule type="expression" dxfId="57" priority="65" stopIfTrue="1">
      <formula>"51＜"</formula>
    </cfRule>
  </conditionalFormatting>
  <conditionalFormatting sqref="M6">
    <cfRule type="expression" dxfId="56" priority="67" stopIfTrue="1">
      <formula>"51＜"</formula>
    </cfRule>
    <cfRule type="expression" priority="68" stopIfTrue="1">
      <formula>"51＜"</formula>
    </cfRule>
  </conditionalFormatting>
  <conditionalFormatting sqref="M9:M10">
    <cfRule type="expression" dxfId="55" priority="15" stopIfTrue="1">
      <formula>"51＜"</formula>
    </cfRule>
    <cfRule type="expression" priority="16" stopIfTrue="1">
      <formula>"51＜"</formula>
    </cfRule>
  </conditionalFormatting>
  <conditionalFormatting sqref="Q10">
    <cfRule type="expression" dxfId="54" priority="31" stopIfTrue="1">
      <formula>"51＜"</formula>
    </cfRule>
    <cfRule type="expression" priority="32" stopIfTrue="1">
      <formula>"51＜"</formula>
    </cfRule>
  </conditionalFormatting>
  <conditionalFormatting sqref="T10">
    <cfRule type="expression" priority="30" stopIfTrue="1">
      <formula>"51＜"</formula>
    </cfRule>
    <cfRule type="expression" dxfId="53" priority="29" stopIfTrue="1">
      <formula>"51＜"</formula>
    </cfRule>
  </conditionalFormatting>
  <conditionalFormatting sqref="DA5:DA6">
    <cfRule type="expression" dxfId="52" priority="75" stopIfTrue="1">
      <formula>"51＜"</formula>
    </cfRule>
    <cfRule type="expression" priority="76" stopIfTrue="1">
      <formula>"51＜"</formula>
    </cfRule>
  </conditionalFormatting>
  <conditionalFormatting sqref="DA9:DA10">
    <cfRule type="expression" priority="14" stopIfTrue="1">
      <formula>"51＜"</formula>
    </cfRule>
    <cfRule type="expression" dxfId="51" priority="13" stopIfTrue="1">
      <formula>"51＜"</formula>
    </cfRule>
  </conditionalFormatting>
  <conditionalFormatting sqref="DC10:DE10">
    <cfRule type="expression" priority="8" stopIfTrue="1">
      <formula>"51＜"</formula>
    </cfRule>
    <cfRule type="expression" dxfId="50" priority="7" stopIfTrue="1">
      <formula>"51＜"</formula>
    </cfRule>
  </conditionalFormatting>
  <dataValidations count="4">
    <dataValidation type="list" allowBlank="1" showInputMessage="1" showErrorMessage="1" sqref="BI13:BI112" xr:uid="{00000000-0002-0000-0100-000000000000}">
      <formula1>酒税分類</formula1>
    </dataValidation>
    <dataValidation type="list" allowBlank="1" showInputMessage="1" showErrorMessage="1" sqref="BK13:BK112" xr:uid="{00000000-0002-0000-0100-000001000000}">
      <formula1>国産輸入</formula1>
    </dataValidation>
    <dataValidation type="list" allowBlank="1" showInputMessage="1" showErrorMessage="1" sqref="BT13:BT112" xr:uid="{00000000-0002-0000-0100-000002000000}">
      <formula1>飲み口</formula1>
    </dataValidation>
    <dataValidation type="list" allowBlank="1" showInputMessage="1" showErrorMessage="1" sqref="CH13:CH112" xr:uid="{00000000-0002-0000-0100-000003000000}">
      <formula1>予備区分3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0" r:id="rId5" name="Check Box 16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6" name="Check Box 16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" name="Check Box 162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8" name="Check Box 163">
              <controlPr defaultSize="0" autoFill="0" autoLine="0" autoPict="0">
                <anchor mov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6</xdr:col>
                    <xdr:colOff>419100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9" name="Check Box 164">
              <controlPr defaultSize="0" autoFill="0" autoLine="0" autoPict="0">
                <anchor moveWithCells="1">
                  <from>
                    <xdr:col>6</xdr:col>
                    <xdr:colOff>114300</xdr:colOff>
                    <xdr:row>2</xdr:row>
                    <xdr:rowOff>0</xdr:rowOff>
                  </from>
                  <to>
                    <xdr:col>6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0000000-0002-0000-0100-000004000000}">
          <x14:formula1>
            <xm:f>MT商品ﾏｽﾀ参照シート!$B$2:$B$10</xm:f>
          </x14:formula1>
          <xm:sqref>D13:D14</xm:sqref>
        </x14:dataValidation>
        <x14:dataValidation type="list" allowBlank="1" showInputMessage="1" showErrorMessage="1" xr:uid="{00000000-0002-0000-0100-000005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100-000006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100-000007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100-000008000000}">
          <x14:formula1>
            <xm:f>MT商品ﾏｽﾀ参照シート!$J$2:$J$17</xm:f>
          </x14:formula1>
          <xm:sqref>AK13:AK112</xm:sqref>
        </x14:dataValidation>
        <x14:dataValidation type="list" allowBlank="1" showInputMessage="1" showErrorMessage="1" xr:uid="{00000000-0002-0000-0100-000009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100-00000A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100-00000B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100-00000C000000}">
          <x14:formula1>
            <xm:f>MT商品ﾏｽﾀ参照シート!$X$2:$X$30</xm:f>
          </x14:formula1>
          <xm:sqref>BG13:BG112</xm:sqref>
        </x14:dataValidation>
        <x14:dataValidation type="list" allowBlank="1" showInputMessage="1" showErrorMessage="1" xr:uid="{00000000-0002-0000-0100-00000D000000}">
          <x14:formula1>
            <xm:f>MT商品ﾏｽﾀ参照シート!$AD$2:$AD$70</xm:f>
          </x14:formula1>
          <xm:sqref>BO13:BO112</xm:sqref>
        </x14:dataValidation>
        <x14:dataValidation type="list" allowBlank="1" showInputMessage="1" showErrorMessage="1" xr:uid="{00000000-0002-0000-0100-00000E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100-00000F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100-000010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100-000011000000}">
          <x14:formula1>
            <xm:f>MT商品ﾏｽﾀ参照シート!$T$2:$T$140</xm:f>
          </x14:formula1>
          <xm:sqref>AZ13:AZ112</xm:sqref>
        </x14:dataValidation>
        <x14:dataValidation type="list" allowBlank="1" showInputMessage="1" showErrorMessage="1" xr:uid="{00000000-0002-0000-0100-000012000000}">
          <x14:formula1>
            <xm:f>MT商品ﾏｽﾀ参照シート!$AF$2:$AF$89</xm:f>
          </x14:formula1>
          <xm:sqref>BQ13:BQ112</xm:sqref>
        </x14:dataValidation>
        <x14:dataValidation type="list" allowBlank="1" showInputMessage="1" showErrorMessage="1" xr:uid="{00000000-0002-0000-0100-000013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100-000014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100-000015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100-000016000000}">
          <x14:formula1>
            <xm:f>MT商品ﾏｽﾀ参照シート!$R$2:$R$589</xm:f>
          </x14:formula1>
          <xm:sqref>AW13:AW112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U112"/>
  <sheetViews>
    <sheetView zoomScale="80" zoomScaleNormal="80" workbookViewId="0"/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4.33203125" style="2" bestFit="1" customWidth="1"/>
    <col min="68" max="68" width="8.6640625" style="2" customWidth="1"/>
    <col min="69" max="69" width="22.33203125" style="2" bestFit="1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6384" width="9" style="2"/>
  </cols>
  <sheetData>
    <row r="1" spans="1:99">
      <c r="A1" s="2" t="s">
        <v>3402</v>
      </c>
      <c r="B1" s="19"/>
      <c r="C1" s="19"/>
      <c r="F1" s="2" t="s">
        <v>3400</v>
      </c>
      <c r="H1" s="2" t="s">
        <v>3401</v>
      </c>
    </row>
    <row r="2" spans="1:99">
      <c r="A2" s="2" t="s">
        <v>3407</v>
      </c>
    </row>
    <row r="3" spans="1:99">
      <c r="A3" s="2" t="s">
        <v>3406</v>
      </c>
    </row>
    <row r="4" spans="1:99">
      <c r="A4" s="2" t="s">
        <v>3404</v>
      </c>
    </row>
    <row r="5" spans="1:99">
      <c r="A5" s="2" t="s">
        <v>3405</v>
      </c>
      <c r="B5" s="2"/>
      <c r="C5" s="135"/>
      <c r="D5" s="129"/>
      <c r="G5" s="130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 s="16" customFormat="1">
      <c r="A6" s="2" t="s">
        <v>3408</v>
      </c>
      <c r="B6" s="19"/>
      <c r="C6" s="19"/>
      <c r="D6" s="102"/>
      <c r="G6" s="112"/>
      <c r="H6" s="2"/>
      <c r="I6" s="3"/>
      <c r="J6" s="2"/>
      <c r="K6" s="3"/>
      <c r="L6" s="2"/>
      <c r="P6" s="32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V6" s="1"/>
      <c r="AW6" s="1"/>
      <c r="AY6" s="43"/>
      <c r="AZ6" s="1"/>
      <c r="BH6" s="46"/>
      <c r="BS6" s="46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2222</v>
      </c>
      <c r="CH8" s="63"/>
      <c r="CI8" s="2" t="s">
        <v>2222</v>
      </c>
      <c r="CJ8" s="63"/>
      <c r="CK8" s="2" t="s">
        <v>2222</v>
      </c>
      <c r="CL8" s="2" t="s">
        <v>2222</v>
      </c>
      <c r="CM8" s="2" t="s">
        <v>2222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92.4">
      <c r="A12" s="13" t="s">
        <v>1432</v>
      </c>
      <c r="B12" s="13" t="s">
        <v>2242</v>
      </c>
      <c r="C12" s="13" t="s">
        <v>2785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2786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3388</v>
      </c>
      <c r="CD12" s="27" t="s">
        <v>3388</v>
      </c>
      <c r="CE12" s="13" t="s">
        <v>3389</v>
      </c>
      <c r="CF12" s="27" t="s">
        <v>3389</v>
      </c>
      <c r="CG12" s="12" t="s">
        <v>2673</v>
      </c>
      <c r="CH12" s="119" t="s">
        <v>2673</v>
      </c>
      <c r="CI12" s="12" t="s">
        <v>2812</v>
      </c>
      <c r="CJ12" s="119" t="s">
        <v>2812</v>
      </c>
      <c r="CK12" s="13" t="s">
        <v>3392</v>
      </c>
      <c r="CL12" s="13" t="s">
        <v>564</v>
      </c>
      <c r="CM12" s="13" t="s">
        <v>2821</v>
      </c>
      <c r="CN12" s="13" t="s">
        <v>568</v>
      </c>
      <c r="CO12" s="13" t="s">
        <v>2209</v>
      </c>
      <c r="CP12" s="13" t="s">
        <v>569</v>
      </c>
      <c r="CQ12" s="13" t="s">
        <v>2822</v>
      </c>
      <c r="CR12" s="13" t="s">
        <v>574</v>
      </c>
      <c r="CS12" s="13" t="s">
        <v>2782</v>
      </c>
      <c r="CT12" s="13" t="s">
        <v>2783</v>
      </c>
      <c r="CU12" s="13" t="s">
        <v>585</v>
      </c>
    </row>
    <row r="13" spans="1:99" ht="13.5" customHeight="1">
      <c r="A13" s="7">
        <v>1</v>
      </c>
      <c r="B13" s="7">
        <v>391098</v>
      </c>
      <c r="C13" s="7">
        <f>ABS(LEFT(D13,1))</f>
        <v>0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40</v>
      </c>
      <c r="H13" s="7" t="s">
        <v>2675</v>
      </c>
      <c r="I13" s="7">
        <f t="shared" ref="I13:I76" si="2">LENB(J13)</f>
        <v>35</v>
      </c>
      <c r="J13" s="7" t="s">
        <v>2679</v>
      </c>
      <c r="K13" s="7">
        <f t="shared" ref="K13:K76" si="3">LENB(L13)</f>
        <v>19</v>
      </c>
      <c r="L13" s="7" t="s">
        <v>2683</v>
      </c>
      <c r="M13" s="7">
        <f t="shared" ref="M13:M76" si="4">LENB(N13)</f>
        <v>14</v>
      </c>
      <c r="N13" s="7" t="s">
        <v>2687</v>
      </c>
      <c r="O13" s="7">
        <v>750</v>
      </c>
      <c r="P13" s="7" t="s">
        <v>2689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1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6204</v>
      </c>
      <c r="AW13" s="28" t="s">
        <v>2787</v>
      </c>
      <c r="AX13" s="7">
        <v>0</v>
      </c>
      <c r="AY13" s="7">
        <f>ABS(LEFT(AZ13,4))</f>
        <v>504</v>
      </c>
      <c r="AZ13" s="28" t="s">
        <v>2338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10</v>
      </c>
      <c r="BG13" s="28" t="s">
        <v>2669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10</v>
      </c>
      <c r="BM13" s="7">
        <v>15</v>
      </c>
      <c r="BN13" s="7">
        <f>ABS(LEFT(BO13,5))</f>
        <v>10209</v>
      </c>
      <c r="BO13" s="28" t="s">
        <v>2519</v>
      </c>
      <c r="BP13" s="7">
        <f>ABS(LEFT(BQ13,5))</f>
        <v>20102</v>
      </c>
      <c r="BQ13" s="28" t="s">
        <v>2591</v>
      </c>
      <c r="BR13" s="7">
        <v>0</v>
      </c>
      <c r="BS13" s="7">
        <f>ABS(LEFT(BT13,2))</f>
        <v>1</v>
      </c>
      <c r="BT13" s="28" t="s">
        <v>2690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2691</v>
      </c>
      <c r="CB13" s="54" t="s">
        <v>2691</v>
      </c>
      <c r="CC13" s="7" t="e">
        <f>ABS(LEFT(CD13,1))</f>
        <v>#VALUE!</v>
      </c>
      <c r="CD13" s="28"/>
      <c r="CE13" s="7" t="e">
        <f>ABS(LEFT(CF13,1))</f>
        <v>#VALUE!</v>
      </c>
      <c r="CF13" s="28"/>
      <c r="CG13" s="7" t="e">
        <f>ABS(LEFT(CH13,1))</f>
        <v>#VALUE!</v>
      </c>
      <c r="CH13" s="28"/>
      <c r="CI13" s="7" t="e">
        <f>ABS(LEFT(CJ13,1))</f>
        <v>#VALUE!</v>
      </c>
      <c r="CJ13" s="28"/>
      <c r="CK13" s="7"/>
      <c r="CL13" s="7"/>
      <c r="CM13" s="7"/>
      <c r="CN13" s="7"/>
      <c r="CO13" s="7"/>
      <c r="CP13" s="7"/>
      <c r="CQ13" s="7"/>
      <c r="CR13" s="7"/>
      <c r="CS13" s="126">
        <f t="shared" ref="CS13:CS44" si="5">O13*(BM13/100)*0.8</f>
        <v>90</v>
      </c>
      <c r="CT13" s="7"/>
      <c r="CU13" s="7" t="e">
        <f ca="1">[1]!sITFコード(B13)</f>
        <v>#NAME?</v>
      </c>
    </row>
    <row r="14" spans="1:99" ht="13.5" customHeight="1">
      <c r="A14" s="7">
        <v>2</v>
      </c>
      <c r="B14" s="7">
        <v>391099</v>
      </c>
      <c r="C14" s="7">
        <f>ABS(LEFT(D14,1))</f>
        <v>0</v>
      </c>
      <c r="D14" s="28" t="s">
        <v>2255</v>
      </c>
      <c r="E14" s="7">
        <f t="shared" si="0"/>
        <v>0</v>
      </c>
      <c r="F14" s="7"/>
      <c r="G14" s="7">
        <f t="shared" si="1"/>
        <v>38</v>
      </c>
      <c r="H14" s="7" t="s">
        <v>2676</v>
      </c>
      <c r="I14" s="7">
        <f t="shared" si="2"/>
        <v>33</v>
      </c>
      <c r="J14" s="7" t="s">
        <v>2680</v>
      </c>
      <c r="K14" s="7">
        <f t="shared" si="3"/>
        <v>20</v>
      </c>
      <c r="L14" s="7" t="s">
        <v>2684</v>
      </c>
      <c r="M14" s="7">
        <f t="shared" si="4"/>
        <v>20</v>
      </c>
      <c r="N14" s="7" t="s">
        <v>2684</v>
      </c>
      <c r="O14" s="7">
        <v>750</v>
      </c>
      <c r="P14" s="7" t="s">
        <v>2689</v>
      </c>
      <c r="Q14" s="53"/>
      <c r="R14" s="7">
        <v>12</v>
      </c>
      <c r="S14" s="7">
        <v>16</v>
      </c>
      <c r="T14" s="53"/>
      <c r="U14" s="7">
        <v>1300</v>
      </c>
      <c r="V14" s="7">
        <f t="shared" ref="V14:X29" si="6">ABS(LEFT(W14,2))</f>
        <v>2</v>
      </c>
      <c r="W14" s="28" t="s">
        <v>621</v>
      </c>
      <c r="X14" s="7">
        <f t="shared" si="6"/>
        <v>1</v>
      </c>
      <c r="Y14" s="28" t="s">
        <v>2262</v>
      </c>
      <c r="Z14" s="7">
        <f t="shared" ref="Z14:Z77" si="7">ABS(LEFT(AA14,1))</f>
        <v>0</v>
      </c>
      <c r="AA14" s="28" t="s">
        <v>638</v>
      </c>
      <c r="AB14" s="7"/>
      <c r="AC14" s="7"/>
      <c r="AD14" s="7"/>
      <c r="AE14" s="7"/>
      <c r="AF14" s="7">
        <v>1</v>
      </c>
      <c r="AG14" s="7">
        <f t="shared" ref="AG14:AG77" si="8">ABS(LEFT(AH14,1))</f>
        <v>0</v>
      </c>
      <c r="AH14" s="28" t="s">
        <v>2281</v>
      </c>
      <c r="AI14" s="7">
        <v>10</v>
      </c>
      <c r="AJ14" s="7">
        <f t="shared" ref="AJ14:AJ77" si="9">ABS(LEFT(AK14,2))</f>
        <v>4</v>
      </c>
      <c r="AK14" s="28" t="s">
        <v>2662</v>
      </c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6204</v>
      </c>
      <c r="AW14" s="28" t="s">
        <v>2787</v>
      </c>
      <c r="AX14" s="7">
        <v>0</v>
      </c>
      <c r="AY14" s="7">
        <f t="shared" ref="AY14:AY77" si="14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10</v>
      </c>
      <c r="BG14" s="28" t="s">
        <v>2669</v>
      </c>
      <c r="BH14" s="7">
        <f t="shared" ref="BH14:BH77" si="16">ABS(LEFT(BI14,4))</f>
        <v>601</v>
      </c>
      <c r="BI14" s="28" t="s">
        <v>2664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10209</v>
      </c>
      <c r="BO14" s="28" t="s">
        <v>2519</v>
      </c>
      <c r="BP14" s="7">
        <f t="shared" ref="BP14:BP77" si="19">ABS(LEFT(BQ14,5))</f>
        <v>20102</v>
      </c>
      <c r="BQ14" s="28" t="s">
        <v>2591</v>
      </c>
      <c r="BR14" s="7">
        <v>0</v>
      </c>
      <c r="BS14" s="7">
        <f t="shared" ref="BS14:BS77" si="20">ABS(LEFT(BT14,2))</f>
        <v>1</v>
      </c>
      <c r="BT14" s="28" t="s">
        <v>2690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 t="e">
        <f t="shared" ref="BY14:BY77" si="22">ABS(LEFT(BZ14,1))</f>
        <v>#VALUE!</v>
      </c>
      <c r="BZ14" s="28"/>
      <c r="CA14" s="54" t="s">
        <v>2691</v>
      </c>
      <c r="CB14" s="54" t="s">
        <v>2691</v>
      </c>
      <c r="CC14" s="7" t="e">
        <f t="shared" ref="CC14:CC77" si="23">ABS(LEFT(CD14,1))</f>
        <v>#VALUE!</v>
      </c>
      <c r="CD14" s="28"/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6">
        <f t="shared" si="5"/>
        <v>90</v>
      </c>
      <c r="CT14" s="7"/>
      <c r="CU14" s="7"/>
    </row>
    <row r="15" spans="1:99" ht="13.5" customHeight="1">
      <c r="A15" s="7">
        <v>3</v>
      </c>
      <c r="B15" s="7">
        <v>391100</v>
      </c>
      <c r="C15" s="7">
        <f t="shared" ref="C15:C78" si="27">ABS(LEFT(D15,1))</f>
        <v>0</v>
      </c>
      <c r="D15" s="28" t="s">
        <v>2255</v>
      </c>
      <c r="E15" s="7">
        <f t="shared" si="0"/>
        <v>0</v>
      </c>
      <c r="F15" s="7"/>
      <c r="G15" s="7">
        <f t="shared" si="1"/>
        <v>34</v>
      </c>
      <c r="H15" s="7" t="s">
        <v>2677</v>
      </c>
      <c r="I15" s="7">
        <f t="shared" si="2"/>
        <v>29</v>
      </c>
      <c r="J15" s="7" t="s">
        <v>2681</v>
      </c>
      <c r="K15" s="7">
        <f t="shared" si="3"/>
        <v>18</v>
      </c>
      <c r="L15" s="7" t="s">
        <v>2685</v>
      </c>
      <c r="M15" s="7">
        <f t="shared" si="4"/>
        <v>18</v>
      </c>
      <c r="N15" s="7" t="s">
        <v>2685</v>
      </c>
      <c r="O15" s="7">
        <v>750</v>
      </c>
      <c r="P15" s="7" t="s">
        <v>2689</v>
      </c>
      <c r="Q15" s="53"/>
      <c r="R15" s="7">
        <v>12</v>
      </c>
      <c r="S15" s="7">
        <v>16</v>
      </c>
      <c r="T15" s="53"/>
      <c r="U15" s="7">
        <v>1300</v>
      </c>
      <c r="V15" s="7">
        <f t="shared" si="6"/>
        <v>2</v>
      </c>
      <c r="W15" s="28" t="s">
        <v>621</v>
      </c>
      <c r="X15" s="7">
        <f t="shared" si="6"/>
        <v>1</v>
      </c>
      <c r="Y15" s="28" t="s">
        <v>2262</v>
      </c>
      <c r="Z15" s="7">
        <f t="shared" si="7"/>
        <v>0</v>
      </c>
      <c r="AA15" s="28" t="s">
        <v>638</v>
      </c>
      <c r="AB15" s="7"/>
      <c r="AC15" s="7"/>
      <c r="AD15" s="7"/>
      <c r="AE15" s="7"/>
      <c r="AF15" s="7">
        <v>1</v>
      </c>
      <c r="AG15" s="7">
        <f t="shared" si="8"/>
        <v>0</v>
      </c>
      <c r="AH15" s="28" t="s">
        <v>2281</v>
      </c>
      <c r="AI15" s="7">
        <v>10</v>
      </c>
      <c r="AJ15" s="7">
        <f t="shared" si="9"/>
        <v>4</v>
      </c>
      <c r="AK15" s="28" t="s">
        <v>2662</v>
      </c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6204</v>
      </c>
      <c r="AW15" s="28" t="s">
        <v>2787</v>
      </c>
      <c r="AX15" s="7">
        <v>0</v>
      </c>
      <c r="AY15" s="7">
        <f t="shared" si="14"/>
        <v>504</v>
      </c>
      <c r="AZ15" s="28" t="s">
        <v>2338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2669</v>
      </c>
      <c r="BH15" s="7">
        <f t="shared" si="16"/>
        <v>601</v>
      </c>
      <c r="BI15" s="28" t="s">
        <v>2664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10209</v>
      </c>
      <c r="BO15" s="28" t="s">
        <v>2519</v>
      </c>
      <c r="BP15" s="7">
        <f t="shared" si="19"/>
        <v>20102</v>
      </c>
      <c r="BQ15" s="28" t="s">
        <v>2591</v>
      </c>
      <c r="BR15" s="7">
        <v>0</v>
      </c>
      <c r="BS15" s="7">
        <f t="shared" si="20"/>
        <v>1</v>
      </c>
      <c r="BT15" s="28" t="s">
        <v>2690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 t="e">
        <f t="shared" si="22"/>
        <v>#VALUE!</v>
      </c>
      <c r="BZ15" s="28"/>
      <c r="CA15" s="54" t="s">
        <v>2691</v>
      </c>
      <c r="CB15" s="54" t="s">
        <v>2691</v>
      </c>
      <c r="CC15" s="7" t="e">
        <f t="shared" si="23"/>
        <v>#VALUE!</v>
      </c>
      <c r="CD15" s="28"/>
      <c r="CE15" s="7" t="e">
        <f t="shared" si="24"/>
        <v>#VALUE!</v>
      </c>
      <c r="CF15" s="28"/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6">
        <f t="shared" si="5"/>
        <v>90</v>
      </c>
      <c r="CT15" s="7"/>
      <c r="CU15" s="7"/>
    </row>
    <row r="16" spans="1:99" ht="13.5" customHeight="1">
      <c r="A16" s="7">
        <v>4</v>
      </c>
      <c r="B16" s="7">
        <v>391101</v>
      </c>
      <c r="C16" s="7">
        <f t="shared" si="27"/>
        <v>0</v>
      </c>
      <c r="D16" s="28" t="s">
        <v>2255</v>
      </c>
      <c r="E16" s="7">
        <f t="shared" si="0"/>
        <v>0</v>
      </c>
      <c r="F16" s="7"/>
      <c r="G16" s="7">
        <f t="shared" si="1"/>
        <v>33</v>
      </c>
      <c r="H16" s="7" t="s">
        <v>2678</v>
      </c>
      <c r="I16" s="7">
        <f t="shared" si="2"/>
        <v>28</v>
      </c>
      <c r="J16" s="7" t="s">
        <v>2682</v>
      </c>
      <c r="K16" s="7">
        <f t="shared" si="3"/>
        <v>20</v>
      </c>
      <c r="L16" s="7" t="s">
        <v>2686</v>
      </c>
      <c r="M16" s="7">
        <f t="shared" si="4"/>
        <v>17</v>
      </c>
      <c r="N16" s="7" t="s">
        <v>2688</v>
      </c>
      <c r="O16" s="7">
        <v>750</v>
      </c>
      <c r="P16" s="7" t="s">
        <v>2689</v>
      </c>
      <c r="Q16" s="53"/>
      <c r="R16" s="7">
        <v>12</v>
      </c>
      <c r="S16" s="7">
        <v>16</v>
      </c>
      <c r="T16" s="53"/>
      <c r="U16" s="7">
        <v>1300</v>
      </c>
      <c r="V16" s="7">
        <f t="shared" si="6"/>
        <v>2</v>
      </c>
      <c r="W16" s="28" t="s">
        <v>621</v>
      </c>
      <c r="X16" s="7">
        <f t="shared" si="6"/>
        <v>1</v>
      </c>
      <c r="Y16" s="28" t="s">
        <v>2262</v>
      </c>
      <c r="Z16" s="7">
        <f t="shared" si="7"/>
        <v>0</v>
      </c>
      <c r="AA16" s="28" t="s">
        <v>638</v>
      </c>
      <c r="AB16" s="7"/>
      <c r="AC16" s="7"/>
      <c r="AD16" s="7"/>
      <c r="AE16" s="7"/>
      <c r="AF16" s="7">
        <v>1</v>
      </c>
      <c r="AG16" s="7">
        <f t="shared" si="8"/>
        <v>0</v>
      </c>
      <c r="AH16" s="28" t="s">
        <v>2281</v>
      </c>
      <c r="AI16" s="7">
        <v>10</v>
      </c>
      <c r="AJ16" s="7">
        <f t="shared" si="9"/>
        <v>4</v>
      </c>
      <c r="AK16" s="28" t="s">
        <v>2662</v>
      </c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6204</v>
      </c>
      <c r="AW16" s="28" t="s">
        <v>2787</v>
      </c>
      <c r="AX16" s="7">
        <v>0</v>
      </c>
      <c r="AY16" s="7">
        <f t="shared" si="14"/>
        <v>504</v>
      </c>
      <c r="AZ16" s="28" t="s">
        <v>2338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10</v>
      </c>
      <c r="BG16" s="28" t="s">
        <v>2669</v>
      </c>
      <c r="BH16" s="7">
        <f t="shared" si="16"/>
        <v>601</v>
      </c>
      <c r="BI16" s="28" t="s">
        <v>2664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10209</v>
      </c>
      <c r="BO16" s="28" t="s">
        <v>2519</v>
      </c>
      <c r="BP16" s="7">
        <f t="shared" si="19"/>
        <v>20102</v>
      </c>
      <c r="BQ16" s="28" t="s">
        <v>2591</v>
      </c>
      <c r="BR16" s="7">
        <v>0</v>
      </c>
      <c r="BS16" s="7">
        <f t="shared" si="20"/>
        <v>1</v>
      </c>
      <c r="BT16" s="28" t="s">
        <v>2690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2691</v>
      </c>
      <c r="CB16" s="54" t="s">
        <v>2691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6">
        <f t="shared" si="5"/>
        <v>90</v>
      </c>
      <c r="CT16" s="7"/>
      <c r="CU16" s="7"/>
    </row>
    <row r="17" spans="1:99" ht="13.5" customHeight="1">
      <c r="A17" s="7">
        <v>5</v>
      </c>
      <c r="B17" s="7">
        <v>391102</v>
      </c>
      <c r="C17" s="7">
        <f t="shared" si="27"/>
        <v>0</v>
      </c>
      <c r="D17" s="28" t="s">
        <v>2255</v>
      </c>
      <c r="E17" s="7">
        <f t="shared" si="0"/>
        <v>0</v>
      </c>
      <c r="F17" s="7"/>
      <c r="G17" s="7">
        <f t="shared" si="1"/>
        <v>31</v>
      </c>
      <c r="H17" s="7" t="s">
        <v>2692</v>
      </c>
      <c r="I17" s="7">
        <f t="shared" si="2"/>
        <v>27</v>
      </c>
      <c r="J17" s="7" t="s">
        <v>2696</v>
      </c>
      <c r="K17" s="7">
        <f t="shared" si="3"/>
        <v>17</v>
      </c>
      <c r="L17" s="7" t="s">
        <v>2700</v>
      </c>
      <c r="M17" s="7">
        <f t="shared" si="4"/>
        <v>20</v>
      </c>
      <c r="N17" s="7" t="s">
        <v>2704</v>
      </c>
      <c r="O17" s="7">
        <v>750</v>
      </c>
      <c r="P17" s="7" t="s">
        <v>2689</v>
      </c>
      <c r="Q17" s="53"/>
      <c r="R17" s="7">
        <v>12</v>
      </c>
      <c r="S17" s="7">
        <v>16</v>
      </c>
      <c r="T17" s="53"/>
      <c r="U17" s="7">
        <v>1300</v>
      </c>
      <c r="V17" s="7">
        <f t="shared" si="6"/>
        <v>2</v>
      </c>
      <c r="W17" s="28" t="s">
        <v>621</v>
      </c>
      <c r="X17" s="7">
        <f t="shared" si="6"/>
        <v>1</v>
      </c>
      <c r="Y17" s="28" t="s">
        <v>2262</v>
      </c>
      <c r="Z17" s="7">
        <f t="shared" si="7"/>
        <v>0</v>
      </c>
      <c r="AA17" s="28" t="s">
        <v>638</v>
      </c>
      <c r="AB17" s="7"/>
      <c r="AC17" s="7"/>
      <c r="AD17" s="7"/>
      <c r="AE17" s="7"/>
      <c r="AF17" s="7">
        <v>0</v>
      </c>
      <c r="AG17" s="7">
        <f t="shared" si="8"/>
        <v>0</v>
      </c>
      <c r="AH17" s="28" t="s">
        <v>2281</v>
      </c>
      <c r="AI17" s="7">
        <v>10</v>
      </c>
      <c r="AJ17" s="7">
        <f t="shared" si="9"/>
        <v>4</v>
      </c>
      <c r="AK17" s="28" t="s">
        <v>2662</v>
      </c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6204</v>
      </c>
      <c r="AW17" s="28" t="s">
        <v>2787</v>
      </c>
      <c r="AX17" s="7">
        <v>0</v>
      </c>
      <c r="AY17" s="7">
        <f t="shared" si="14"/>
        <v>604</v>
      </c>
      <c r="AZ17" s="28" t="s">
        <v>2372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10</v>
      </c>
      <c r="BG17" s="28" t="s">
        <v>2669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20102</v>
      </c>
      <c r="BQ17" s="28" t="s">
        <v>2591</v>
      </c>
      <c r="BR17" s="7">
        <v>0</v>
      </c>
      <c r="BS17" s="7">
        <f t="shared" si="20"/>
        <v>7</v>
      </c>
      <c r="BT17" s="28" t="s">
        <v>2709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 t="e">
        <f t="shared" si="23"/>
        <v>#VALUE!</v>
      </c>
      <c r="CD17" s="28"/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6">
        <f t="shared" si="5"/>
        <v>90</v>
      </c>
      <c r="CT17" s="7"/>
      <c r="CU17" s="7"/>
    </row>
    <row r="18" spans="1:99" ht="13.5" customHeight="1">
      <c r="A18" s="7">
        <v>6</v>
      </c>
      <c r="B18" s="7">
        <v>391103</v>
      </c>
      <c r="C18" s="7">
        <f t="shared" si="27"/>
        <v>0</v>
      </c>
      <c r="D18" s="28" t="s">
        <v>2255</v>
      </c>
      <c r="E18" s="7">
        <f t="shared" si="0"/>
        <v>0</v>
      </c>
      <c r="F18" s="7"/>
      <c r="G18" s="7">
        <f t="shared" si="1"/>
        <v>42</v>
      </c>
      <c r="H18" s="7" t="s">
        <v>2693</v>
      </c>
      <c r="I18" s="7">
        <f t="shared" si="2"/>
        <v>36</v>
      </c>
      <c r="J18" s="125" t="s">
        <v>2697</v>
      </c>
      <c r="K18" s="7">
        <f t="shared" si="3"/>
        <v>20</v>
      </c>
      <c r="L18" s="7" t="s">
        <v>2701</v>
      </c>
      <c r="M18" s="7">
        <f t="shared" si="4"/>
        <v>16</v>
      </c>
      <c r="N18" s="7" t="s">
        <v>2705</v>
      </c>
      <c r="O18" s="7">
        <v>1000</v>
      </c>
      <c r="P18" s="7" t="s">
        <v>2708</v>
      </c>
      <c r="Q18" s="53"/>
      <c r="R18" s="7">
        <v>12</v>
      </c>
      <c r="S18" s="7">
        <v>19</v>
      </c>
      <c r="T18" s="53"/>
      <c r="U18" s="7">
        <v>1500</v>
      </c>
      <c r="V18" s="7">
        <f t="shared" si="6"/>
        <v>2</v>
      </c>
      <c r="W18" s="28" t="s">
        <v>621</v>
      </c>
      <c r="X18" s="7">
        <f t="shared" si="6"/>
        <v>1</v>
      </c>
      <c r="Y18" s="28" t="s">
        <v>2262</v>
      </c>
      <c r="Z18" s="7">
        <f t="shared" si="7"/>
        <v>0</v>
      </c>
      <c r="AA18" s="28" t="s">
        <v>638</v>
      </c>
      <c r="AB18" s="7"/>
      <c r="AC18" s="7"/>
      <c r="AD18" s="7"/>
      <c r="AE18" s="7"/>
      <c r="AF18" s="7">
        <v>0</v>
      </c>
      <c r="AG18" s="7">
        <f t="shared" si="8"/>
        <v>0</v>
      </c>
      <c r="AH18" s="28" t="s">
        <v>2281</v>
      </c>
      <c r="AI18" s="7">
        <v>10</v>
      </c>
      <c r="AJ18" s="7">
        <f t="shared" si="9"/>
        <v>4</v>
      </c>
      <c r="AK18" s="28" t="s">
        <v>2662</v>
      </c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6204</v>
      </c>
      <c r="AW18" s="28" t="s">
        <v>2787</v>
      </c>
      <c r="AX18" s="7">
        <v>0</v>
      </c>
      <c r="AY18" s="7">
        <f t="shared" si="14"/>
        <v>505</v>
      </c>
      <c r="AZ18" s="28" t="s">
        <v>2339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2669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7</v>
      </c>
      <c r="BT18" s="28" t="s">
        <v>2709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6">
        <f t="shared" si="5"/>
        <v>120</v>
      </c>
      <c r="CT18" s="7"/>
      <c r="CU18" s="7"/>
    </row>
    <row r="19" spans="1:99" ht="13.5" customHeight="1">
      <c r="A19" s="7">
        <v>7</v>
      </c>
      <c r="B19" s="7">
        <v>391104</v>
      </c>
      <c r="C19" s="7">
        <f t="shared" si="27"/>
        <v>0</v>
      </c>
      <c r="D19" s="28" t="s">
        <v>2255</v>
      </c>
      <c r="E19" s="7">
        <f t="shared" si="0"/>
        <v>0</v>
      </c>
      <c r="F19" s="7"/>
      <c r="G19" s="7">
        <f t="shared" si="1"/>
        <v>33</v>
      </c>
      <c r="H19" s="7" t="s">
        <v>2694</v>
      </c>
      <c r="I19" s="7">
        <f t="shared" si="2"/>
        <v>28</v>
      </c>
      <c r="J19" s="7" t="s">
        <v>2698</v>
      </c>
      <c r="K19" s="7">
        <f t="shared" si="3"/>
        <v>19</v>
      </c>
      <c r="L19" s="7" t="s">
        <v>2702</v>
      </c>
      <c r="M19" s="7">
        <f t="shared" si="4"/>
        <v>16</v>
      </c>
      <c r="N19" s="7" t="s">
        <v>2706</v>
      </c>
      <c r="O19" s="7">
        <v>750</v>
      </c>
      <c r="P19" s="7" t="s">
        <v>2689</v>
      </c>
      <c r="Q19" s="53"/>
      <c r="R19" s="7">
        <v>12</v>
      </c>
      <c r="S19" s="7">
        <v>16</v>
      </c>
      <c r="T19" s="53"/>
      <c r="U19" s="7">
        <v>1300</v>
      </c>
      <c r="V19" s="7">
        <f t="shared" si="6"/>
        <v>2</v>
      </c>
      <c r="W19" s="28" t="s">
        <v>621</v>
      </c>
      <c r="X19" s="7">
        <f t="shared" si="6"/>
        <v>1</v>
      </c>
      <c r="Y19" s="28" t="s">
        <v>2262</v>
      </c>
      <c r="Z19" s="7">
        <f t="shared" si="7"/>
        <v>0</v>
      </c>
      <c r="AA19" s="28" t="s">
        <v>638</v>
      </c>
      <c r="AB19" s="7"/>
      <c r="AC19" s="7"/>
      <c r="AD19" s="7"/>
      <c r="AE19" s="7"/>
      <c r="AF19" s="7">
        <v>0</v>
      </c>
      <c r="AG19" s="7">
        <f t="shared" si="8"/>
        <v>0</v>
      </c>
      <c r="AH19" s="28" t="s">
        <v>2281</v>
      </c>
      <c r="AI19" s="7">
        <v>10</v>
      </c>
      <c r="AJ19" s="7">
        <f t="shared" si="9"/>
        <v>4</v>
      </c>
      <c r="AK19" s="28" t="s">
        <v>2662</v>
      </c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6204</v>
      </c>
      <c r="AW19" s="28" t="s">
        <v>2787</v>
      </c>
      <c r="AX19" s="7">
        <v>0</v>
      </c>
      <c r="AY19" s="7">
        <f t="shared" si="14"/>
        <v>505</v>
      </c>
      <c r="AZ19" s="28" t="s">
        <v>2339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2669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7</v>
      </c>
      <c r="BT19" s="28" t="s">
        <v>2709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6">
        <f t="shared" si="5"/>
        <v>90</v>
      </c>
      <c r="CT19" s="7"/>
      <c r="CU19" s="7"/>
    </row>
    <row r="20" spans="1:99" ht="13.5" customHeight="1">
      <c r="A20" s="7">
        <v>8</v>
      </c>
      <c r="B20" s="7">
        <v>391105</v>
      </c>
      <c r="C20" s="7">
        <f t="shared" si="27"/>
        <v>0</v>
      </c>
      <c r="D20" s="28" t="s">
        <v>2255</v>
      </c>
      <c r="E20" s="7">
        <f t="shared" si="0"/>
        <v>0</v>
      </c>
      <c r="F20" s="7"/>
      <c r="G20" s="7">
        <f t="shared" si="1"/>
        <v>45</v>
      </c>
      <c r="H20" s="7" t="s">
        <v>2695</v>
      </c>
      <c r="I20" s="7">
        <f t="shared" si="2"/>
        <v>37</v>
      </c>
      <c r="J20" s="7" t="s">
        <v>2699</v>
      </c>
      <c r="K20" s="7">
        <f t="shared" si="3"/>
        <v>19</v>
      </c>
      <c r="L20" s="7" t="s">
        <v>2703</v>
      </c>
      <c r="M20" s="7">
        <f t="shared" si="4"/>
        <v>13</v>
      </c>
      <c r="N20" s="7" t="s">
        <v>2707</v>
      </c>
      <c r="O20" s="7">
        <v>750</v>
      </c>
      <c r="P20" s="7" t="s">
        <v>2689</v>
      </c>
      <c r="Q20" s="53"/>
      <c r="R20" s="7">
        <v>12</v>
      </c>
      <c r="S20" s="7">
        <v>16</v>
      </c>
      <c r="T20" s="53"/>
      <c r="U20" s="7">
        <v>1300</v>
      </c>
      <c r="V20" s="7">
        <f t="shared" si="6"/>
        <v>2</v>
      </c>
      <c r="W20" s="28" t="s">
        <v>621</v>
      </c>
      <c r="X20" s="7">
        <f t="shared" si="6"/>
        <v>1</v>
      </c>
      <c r="Y20" s="28" t="s">
        <v>2262</v>
      </c>
      <c r="Z20" s="7">
        <f t="shared" si="7"/>
        <v>0</v>
      </c>
      <c r="AA20" s="28" t="s">
        <v>638</v>
      </c>
      <c r="AB20" s="7"/>
      <c r="AC20" s="7"/>
      <c r="AD20" s="7"/>
      <c r="AE20" s="7"/>
      <c r="AF20" s="7">
        <v>0</v>
      </c>
      <c r="AG20" s="7">
        <f t="shared" si="8"/>
        <v>0</v>
      </c>
      <c r="AH20" s="28" t="s">
        <v>2281</v>
      </c>
      <c r="AI20" s="7">
        <v>10</v>
      </c>
      <c r="AJ20" s="7">
        <f t="shared" si="9"/>
        <v>4</v>
      </c>
      <c r="AK20" s="28" t="s">
        <v>2662</v>
      </c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6204</v>
      </c>
      <c r="AW20" s="28" t="s">
        <v>2787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2669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2709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6">
        <f t="shared" si="5"/>
        <v>90</v>
      </c>
      <c r="CT20" s="7"/>
      <c r="CU20" s="7"/>
    </row>
    <row r="21" spans="1:99" ht="13.5" customHeight="1">
      <c r="A21" s="7">
        <v>9</v>
      </c>
      <c r="B21" s="7">
        <v>391108</v>
      </c>
      <c r="C21" s="7">
        <f t="shared" si="27"/>
        <v>0</v>
      </c>
      <c r="D21" s="28" t="s">
        <v>2255</v>
      </c>
      <c r="E21" s="7">
        <f t="shared" si="0"/>
        <v>0</v>
      </c>
      <c r="F21" s="7"/>
      <c r="G21" s="7">
        <f t="shared" si="1"/>
        <v>43</v>
      </c>
      <c r="H21" s="7" t="s">
        <v>2710</v>
      </c>
      <c r="I21" s="7">
        <f t="shared" si="2"/>
        <v>35</v>
      </c>
      <c r="J21" s="7" t="s">
        <v>2712</v>
      </c>
      <c r="K21" s="7">
        <f t="shared" si="3"/>
        <v>20</v>
      </c>
      <c r="L21" s="7" t="s">
        <v>2714</v>
      </c>
      <c r="M21" s="7">
        <f t="shared" si="4"/>
        <v>14</v>
      </c>
      <c r="N21" s="7" t="s">
        <v>2716</v>
      </c>
      <c r="O21" s="7">
        <v>750</v>
      </c>
      <c r="P21" s="7" t="s">
        <v>2668</v>
      </c>
      <c r="Q21" s="53"/>
      <c r="R21" s="7">
        <v>12</v>
      </c>
      <c r="S21" s="7">
        <v>16</v>
      </c>
      <c r="T21" s="53"/>
      <c r="U21" s="7">
        <v>1300</v>
      </c>
      <c r="V21" s="7">
        <f t="shared" si="6"/>
        <v>2</v>
      </c>
      <c r="W21" s="28" t="s">
        <v>621</v>
      </c>
      <c r="X21" s="7">
        <f t="shared" si="6"/>
        <v>1</v>
      </c>
      <c r="Y21" s="28" t="s">
        <v>2262</v>
      </c>
      <c r="Z21" s="7">
        <f t="shared" si="7"/>
        <v>0</v>
      </c>
      <c r="AA21" s="28" t="s">
        <v>638</v>
      </c>
      <c r="AB21" s="7"/>
      <c r="AC21" s="7"/>
      <c r="AD21" s="7"/>
      <c r="AE21" s="7"/>
      <c r="AF21" s="7">
        <v>0</v>
      </c>
      <c r="AG21" s="7">
        <f t="shared" si="8"/>
        <v>0</v>
      </c>
      <c r="AH21" s="28" t="s">
        <v>2281</v>
      </c>
      <c r="AI21" s="7">
        <v>10</v>
      </c>
      <c r="AJ21" s="7">
        <f t="shared" si="9"/>
        <v>4</v>
      </c>
      <c r="AK21" s="28" t="s">
        <v>2662</v>
      </c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6204</v>
      </c>
      <c r="AW21" s="28" t="s">
        <v>2787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2669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1</v>
      </c>
      <c r="BT21" s="28" t="s">
        <v>2690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6">
        <f t="shared" si="5"/>
        <v>90</v>
      </c>
      <c r="CT21" s="7"/>
      <c r="CU21" s="7"/>
    </row>
    <row r="22" spans="1:99" ht="13.5" customHeight="1">
      <c r="A22" s="7">
        <v>10</v>
      </c>
      <c r="B22" s="7">
        <v>391109</v>
      </c>
      <c r="C22" s="7">
        <f t="shared" si="27"/>
        <v>0</v>
      </c>
      <c r="D22" s="28" t="s">
        <v>2255</v>
      </c>
      <c r="E22" s="7">
        <f t="shared" si="0"/>
        <v>0</v>
      </c>
      <c r="F22" s="7"/>
      <c r="G22" s="7">
        <f t="shared" si="1"/>
        <v>38</v>
      </c>
      <c r="H22" s="7" t="s">
        <v>2711</v>
      </c>
      <c r="I22" s="7">
        <f t="shared" si="2"/>
        <v>30</v>
      </c>
      <c r="J22" s="7" t="s">
        <v>2713</v>
      </c>
      <c r="K22" s="7">
        <f t="shared" si="3"/>
        <v>18</v>
      </c>
      <c r="L22" s="7" t="s">
        <v>2715</v>
      </c>
      <c r="M22" s="7">
        <f t="shared" si="4"/>
        <v>12</v>
      </c>
      <c r="N22" s="7" t="s">
        <v>2717</v>
      </c>
      <c r="O22" s="7">
        <v>750</v>
      </c>
      <c r="P22" s="7" t="s">
        <v>2668</v>
      </c>
      <c r="Q22" s="53"/>
      <c r="R22" s="7">
        <v>12</v>
      </c>
      <c r="S22" s="7">
        <v>16</v>
      </c>
      <c r="T22" s="53"/>
      <c r="U22" s="7">
        <v>1300</v>
      </c>
      <c r="V22" s="7">
        <f t="shared" si="6"/>
        <v>2</v>
      </c>
      <c r="W22" s="28" t="s">
        <v>621</v>
      </c>
      <c r="X22" s="7">
        <f t="shared" si="6"/>
        <v>1</v>
      </c>
      <c r="Y22" s="28" t="s">
        <v>2262</v>
      </c>
      <c r="Z22" s="7">
        <f t="shared" si="7"/>
        <v>0</v>
      </c>
      <c r="AA22" s="28" t="s">
        <v>638</v>
      </c>
      <c r="AB22" s="7"/>
      <c r="AC22" s="7"/>
      <c r="AD22" s="7"/>
      <c r="AE22" s="7"/>
      <c r="AF22" s="7">
        <v>0</v>
      </c>
      <c r="AG22" s="7">
        <f t="shared" si="8"/>
        <v>0</v>
      </c>
      <c r="AH22" s="28" t="s">
        <v>2281</v>
      </c>
      <c r="AI22" s="7">
        <v>10</v>
      </c>
      <c r="AJ22" s="7">
        <f t="shared" si="9"/>
        <v>4</v>
      </c>
      <c r="AK22" s="28" t="s">
        <v>2662</v>
      </c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6204</v>
      </c>
      <c r="AW22" s="28" t="s">
        <v>2787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2669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1</v>
      </c>
      <c r="BT22" s="28" t="s">
        <v>2690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6">
        <f t="shared" si="5"/>
        <v>90</v>
      </c>
      <c r="CT22" s="7"/>
      <c r="CU22" s="7"/>
    </row>
    <row r="23" spans="1:99" ht="13.5" customHeight="1">
      <c r="A23" s="7">
        <v>11</v>
      </c>
      <c r="B23" s="7">
        <v>391112</v>
      </c>
      <c r="C23" s="7">
        <f t="shared" si="27"/>
        <v>0</v>
      </c>
      <c r="D23" s="28" t="s">
        <v>2255</v>
      </c>
      <c r="E23" s="7">
        <f t="shared" si="0"/>
        <v>0</v>
      </c>
      <c r="F23" s="7"/>
      <c r="G23" s="7">
        <f t="shared" si="1"/>
        <v>36</v>
      </c>
      <c r="H23" s="7" t="s">
        <v>2718</v>
      </c>
      <c r="I23" s="7">
        <f t="shared" si="2"/>
        <v>30</v>
      </c>
      <c r="J23" s="7" t="s">
        <v>2720</v>
      </c>
      <c r="K23" s="7">
        <f t="shared" si="3"/>
        <v>20</v>
      </c>
      <c r="L23" s="7" t="s">
        <v>2722</v>
      </c>
      <c r="M23" s="7">
        <f t="shared" si="4"/>
        <v>17</v>
      </c>
      <c r="N23" s="7" t="s">
        <v>2723</v>
      </c>
      <c r="O23" s="7">
        <v>750</v>
      </c>
      <c r="P23" s="7" t="s">
        <v>2668</v>
      </c>
      <c r="Q23" s="53"/>
      <c r="R23" s="7">
        <v>12</v>
      </c>
      <c r="S23" s="7">
        <v>16</v>
      </c>
      <c r="T23" s="53"/>
      <c r="U23" s="7">
        <v>1300</v>
      </c>
      <c r="V23" s="7">
        <f t="shared" si="6"/>
        <v>2</v>
      </c>
      <c r="W23" s="28" t="s">
        <v>621</v>
      </c>
      <c r="X23" s="7">
        <f t="shared" si="6"/>
        <v>1</v>
      </c>
      <c r="Y23" s="28" t="s">
        <v>2262</v>
      </c>
      <c r="Z23" s="7">
        <f t="shared" si="7"/>
        <v>0</v>
      </c>
      <c r="AA23" s="28" t="s">
        <v>638</v>
      </c>
      <c r="AB23" s="7"/>
      <c r="AC23" s="7"/>
      <c r="AD23" s="7"/>
      <c r="AE23" s="7"/>
      <c r="AF23" s="7">
        <v>0</v>
      </c>
      <c r="AG23" s="7">
        <f t="shared" si="8"/>
        <v>0</v>
      </c>
      <c r="AH23" s="28" t="s">
        <v>2281</v>
      </c>
      <c r="AI23" s="7">
        <v>10</v>
      </c>
      <c r="AJ23" s="7">
        <f t="shared" si="9"/>
        <v>4</v>
      </c>
      <c r="AK23" s="28" t="s">
        <v>2662</v>
      </c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6204</v>
      </c>
      <c r="AW23" s="28" t="s">
        <v>2787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2669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</v>
      </c>
      <c r="BT23" s="28" t="s">
        <v>2690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6">
        <f t="shared" si="5"/>
        <v>90</v>
      </c>
      <c r="CT23" s="7"/>
      <c r="CU23" s="7"/>
    </row>
    <row r="24" spans="1:99" ht="13.5" customHeight="1">
      <c r="A24" s="7">
        <v>12</v>
      </c>
      <c r="B24" s="7">
        <v>391113</v>
      </c>
      <c r="C24" s="7">
        <f t="shared" si="27"/>
        <v>0</v>
      </c>
      <c r="D24" s="28" t="s">
        <v>2255</v>
      </c>
      <c r="E24" s="7">
        <f t="shared" si="0"/>
        <v>0</v>
      </c>
      <c r="F24" s="7"/>
      <c r="G24" s="7">
        <f t="shared" si="1"/>
        <v>42</v>
      </c>
      <c r="H24" s="7" t="s">
        <v>2719</v>
      </c>
      <c r="I24" s="7">
        <f t="shared" si="2"/>
        <v>35</v>
      </c>
      <c r="J24" s="7" t="s">
        <v>2721</v>
      </c>
      <c r="K24" s="7">
        <f t="shared" si="3"/>
        <v>17</v>
      </c>
      <c r="L24" s="7" t="s">
        <v>2723</v>
      </c>
      <c r="M24" s="7">
        <f t="shared" si="4"/>
        <v>16</v>
      </c>
      <c r="N24" s="7" t="s">
        <v>2724</v>
      </c>
      <c r="O24" s="7">
        <v>1500</v>
      </c>
      <c r="P24" s="7" t="s">
        <v>2725</v>
      </c>
      <c r="Q24" s="53"/>
      <c r="R24" s="7">
        <v>3</v>
      </c>
      <c r="S24" s="7">
        <v>4.8</v>
      </c>
      <c r="T24" s="53"/>
      <c r="U24" s="7">
        <v>1600</v>
      </c>
      <c r="V24" s="7">
        <f t="shared" si="6"/>
        <v>2</v>
      </c>
      <c r="W24" s="28" t="s">
        <v>621</v>
      </c>
      <c r="X24" s="7">
        <f t="shared" si="6"/>
        <v>1</v>
      </c>
      <c r="Y24" s="28" t="s">
        <v>2262</v>
      </c>
      <c r="Z24" s="7">
        <f t="shared" si="7"/>
        <v>0</v>
      </c>
      <c r="AA24" s="28" t="s">
        <v>638</v>
      </c>
      <c r="AB24" s="7"/>
      <c r="AC24" s="7"/>
      <c r="AD24" s="7"/>
      <c r="AE24" s="7"/>
      <c r="AF24" s="7">
        <v>0</v>
      </c>
      <c r="AG24" s="7">
        <f t="shared" si="8"/>
        <v>0</v>
      </c>
      <c r="AH24" s="28" t="s">
        <v>2281</v>
      </c>
      <c r="AI24" s="7">
        <v>10</v>
      </c>
      <c r="AJ24" s="7">
        <f t="shared" si="9"/>
        <v>4</v>
      </c>
      <c r="AK24" s="28" t="s">
        <v>2662</v>
      </c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6204</v>
      </c>
      <c r="AW24" s="28" t="s">
        <v>2787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2669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</v>
      </c>
      <c r="BT24" s="28" t="s">
        <v>2690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6">
        <f t="shared" si="5"/>
        <v>180</v>
      </c>
      <c r="CT24" s="7"/>
      <c r="CU24" s="7"/>
    </row>
    <row r="25" spans="1:99" ht="13.5" customHeight="1">
      <c r="A25" s="7">
        <v>13</v>
      </c>
      <c r="B25" s="7">
        <v>391114</v>
      </c>
      <c r="C25" s="7">
        <f t="shared" si="27"/>
        <v>0</v>
      </c>
      <c r="D25" s="28" t="s">
        <v>2255</v>
      </c>
      <c r="E25" s="7">
        <f t="shared" si="0"/>
        <v>0</v>
      </c>
      <c r="F25" s="7"/>
      <c r="G25" s="7">
        <f t="shared" si="1"/>
        <v>43</v>
      </c>
      <c r="H25" s="7" t="s">
        <v>2727</v>
      </c>
      <c r="I25" s="7">
        <f t="shared" si="2"/>
        <v>36</v>
      </c>
      <c r="J25" s="7" t="s">
        <v>2730</v>
      </c>
      <c r="K25" s="7">
        <f t="shared" si="3"/>
        <v>19</v>
      </c>
      <c r="L25" s="7" t="s">
        <v>2734</v>
      </c>
      <c r="M25" s="7">
        <f t="shared" si="4"/>
        <v>15</v>
      </c>
      <c r="N25" s="7" t="s">
        <v>2738</v>
      </c>
      <c r="O25" s="7">
        <v>750</v>
      </c>
      <c r="P25" s="7" t="s">
        <v>2668</v>
      </c>
      <c r="Q25" s="53"/>
      <c r="R25" s="7">
        <v>12</v>
      </c>
      <c r="S25" s="7">
        <v>16</v>
      </c>
      <c r="T25" s="53"/>
      <c r="U25" s="7">
        <v>1300</v>
      </c>
      <c r="V25" s="7">
        <f t="shared" si="6"/>
        <v>2</v>
      </c>
      <c r="W25" s="28" t="s">
        <v>621</v>
      </c>
      <c r="X25" s="7">
        <f t="shared" si="6"/>
        <v>1</v>
      </c>
      <c r="Y25" s="28" t="s">
        <v>2262</v>
      </c>
      <c r="Z25" s="7">
        <f t="shared" si="7"/>
        <v>0</v>
      </c>
      <c r="AA25" s="28" t="s">
        <v>638</v>
      </c>
      <c r="AB25" s="7"/>
      <c r="AC25" s="7"/>
      <c r="AD25" s="7"/>
      <c r="AE25" s="7"/>
      <c r="AF25" s="7">
        <v>0</v>
      </c>
      <c r="AG25" s="7">
        <f t="shared" si="8"/>
        <v>0</v>
      </c>
      <c r="AH25" s="28" t="s">
        <v>2281</v>
      </c>
      <c r="AI25" s="7">
        <v>10</v>
      </c>
      <c r="AJ25" s="7">
        <f t="shared" si="9"/>
        <v>4</v>
      </c>
      <c r="AK25" s="28" t="s">
        <v>2662</v>
      </c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6204</v>
      </c>
      <c r="AW25" s="28" t="s">
        <v>2787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2669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</v>
      </c>
      <c r="BT25" s="28" t="s">
        <v>2690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6">
        <f t="shared" si="5"/>
        <v>90</v>
      </c>
      <c r="CT25" s="7"/>
      <c r="CU25" s="7"/>
    </row>
    <row r="26" spans="1:99" ht="13.5" customHeight="1">
      <c r="A26" s="7">
        <v>14</v>
      </c>
      <c r="B26" s="7">
        <v>391115</v>
      </c>
      <c r="C26" s="7">
        <f t="shared" si="27"/>
        <v>0</v>
      </c>
      <c r="D26" s="28" t="s">
        <v>2255</v>
      </c>
      <c r="E26" s="7">
        <f t="shared" si="0"/>
        <v>0</v>
      </c>
      <c r="F26" s="7"/>
      <c r="G26" s="7">
        <f t="shared" si="1"/>
        <v>38</v>
      </c>
      <c r="H26" s="7" t="s">
        <v>2728</v>
      </c>
      <c r="I26" s="7">
        <f t="shared" si="2"/>
        <v>31</v>
      </c>
      <c r="J26" s="7" t="s">
        <v>2731</v>
      </c>
      <c r="K26" s="7">
        <f t="shared" si="3"/>
        <v>18</v>
      </c>
      <c r="L26" s="7" t="s">
        <v>2735</v>
      </c>
      <c r="M26" s="7">
        <f t="shared" si="4"/>
        <v>12</v>
      </c>
      <c r="N26" s="7" t="s">
        <v>2739</v>
      </c>
      <c r="O26" s="7">
        <v>750</v>
      </c>
      <c r="P26" s="7" t="s">
        <v>2668</v>
      </c>
      <c r="Q26" s="53"/>
      <c r="R26" s="7">
        <v>12</v>
      </c>
      <c r="S26" s="7">
        <v>16</v>
      </c>
      <c r="T26" s="53"/>
      <c r="U26" s="7">
        <v>1300</v>
      </c>
      <c r="V26" s="7">
        <f t="shared" si="6"/>
        <v>2</v>
      </c>
      <c r="W26" s="28" t="s">
        <v>621</v>
      </c>
      <c r="X26" s="7">
        <f t="shared" si="6"/>
        <v>1</v>
      </c>
      <c r="Y26" s="28" t="s">
        <v>2262</v>
      </c>
      <c r="Z26" s="7">
        <f t="shared" si="7"/>
        <v>0</v>
      </c>
      <c r="AA26" s="28" t="s">
        <v>638</v>
      </c>
      <c r="AB26" s="7"/>
      <c r="AC26" s="7"/>
      <c r="AD26" s="7"/>
      <c r="AE26" s="7"/>
      <c r="AF26" s="7">
        <v>0</v>
      </c>
      <c r="AG26" s="7">
        <f t="shared" si="8"/>
        <v>0</v>
      </c>
      <c r="AH26" s="28" t="s">
        <v>2281</v>
      </c>
      <c r="AI26" s="7">
        <v>10</v>
      </c>
      <c r="AJ26" s="7">
        <f t="shared" si="9"/>
        <v>4</v>
      </c>
      <c r="AK26" s="28" t="s">
        <v>2662</v>
      </c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6204</v>
      </c>
      <c r="AW26" s="28" t="s">
        <v>2787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2669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</v>
      </c>
      <c r="BT26" s="28" t="s">
        <v>2690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6">
        <f t="shared" si="5"/>
        <v>90</v>
      </c>
      <c r="CT26" s="7"/>
      <c r="CU26" s="7"/>
    </row>
    <row r="27" spans="1:99" ht="13.5" customHeight="1">
      <c r="A27" s="7">
        <v>15</v>
      </c>
      <c r="B27" s="7">
        <v>391116</v>
      </c>
      <c r="C27" s="7">
        <f t="shared" si="27"/>
        <v>0</v>
      </c>
      <c r="D27" s="28" t="s">
        <v>2255</v>
      </c>
      <c r="E27" s="7">
        <f t="shared" si="0"/>
        <v>0</v>
      </c>
      <c r="F27" s="7"/>
      <c r="G27" s="7">
        <f t="shared" si="1"/>
        <v>40</v>
      </c>
      <c r="H27" s="7" t="s">
        <v>2726</v>
      </c>
      <c r="I27" s="7">
        <f t="shared" si="2"/>
        <v>33</v>
      </c>
      <c r="J27" s="7" t="s">
        <v>2732</v>
      </c>
      <c r="K27" s="7">
        <f t="shared" si="3"/>
        <v>18</v>
      </c>
      <c r="L27" s="7" t="s">
        <v>2736</v>
      </c>
      <c r="M27" s="7">
        <f t="shared" si="4"/>
        <v>14</v>
      </c>
      <c r="N27" s="7" t="s">
        <v>2740</v>
      </c>
      <c r="O27" s="7">
        <v>750</v>
      </c>
      <c r="P27" s="7" t="s">
        <v>2668</v>
      </c>
      <c r="Q27" s="53"/>
      <c r="R27" s="7">
        <v>12</v>
      </c>
      <c r="S27" s="7">
        <v>16</v>
      </c>
      <c r="T27" s="53"/>
      <c r="U27" s="7">
        <v>1300</v>
      </c>
      <c r="V27" s="7">
        <f t="shared" si="6"/>
        <v>2</v>
      </c>
      <c r="W27" s="28" t="s">
        <v>621</v>
      </c>
      <c r="X27" s="7">
        <f t="shared" si="6"/>
        <v>1</v>
      </c>
      <c r="Y27" s="28" t="s">
        <v>2262</v>
      </c>
      <c r="Z27" s="7">
        <f t="shared" si="7"/>
        <v>0</v>
      </c>
      <c r="AA27" s="28" t="s">
        <v>638</v>
      </c>
      <c r="AB27" s="7"/>
      <c r="AC27" s="7"/>
      <c r="AD27" s="7"/>
      <c r="AE27" s="7"/>
      <c r="AF27" s="7">
        <v>0</v>
      </c>
      <c r="AG27" s="7">
        <f t="shared" si="8"/>
        <v>0</v>
      </c>
      <c r="AH27" s="28" t="s">
        <v>2281</v>
      </c>
      <c r="AI27" s="7">
        <v>10</v>
      </c>
      <c r="AJ27" s="7">
        <f t="shared" si="9"/>
        <v>4</v>
      </c>
      <c r="AK27" s="28" t="s">
        <v>2662</v>
      </c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6204</v>
      </c>
      <c r="AW27" s="28" t="s">
        <v>2787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2669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1</v>
      </c>
      <c r="BT27" s="28" t="s">
        <v>2690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6">
        <f t="shared" si="5"/>
        <v>90</v>
      </c>
      <c r="CT27" s="7"/>
      <c r="CU27" s="7"/>
    </row>
    <row r="28" spans="1:99" ht="13.5" customHeight="1">
      <c r="A28" s="7">
        <v>16</v>
      </c>
      <c r="B28" s="7">
        <v>391117</v>
      </c>
      <c r="C28" s="7">
        <f t="shared" si="27"/>
        <v>0</v>
      </c>
      <c r="D28" s="28" t="s">
        <v>2255</v>
      </c>
      <c r="E28" s="7">
        <f t="shared" si="0"/>
        <v>0</v>
      </c>
      <c r="F28" s="7"/>
      <c r="G28" s="7">
        <f t="shared" si="1"/>
        <v>46</v>
      </c>
      <c r="H28" s="7" t="s">
        <v>2729</v>
      </c>
      <c r="I28" s="7">
        <f t="shared" si="2"/>
        <v>38</v>
      </c>
      <c r="J28" s="7" t="s">
        <v>2733</v>
      </c>
      <c r="K28" s="7">
        <f t="shared" si="3"/>
        <v>19</v>
      </c>
      <c r="L28" s="7" t="s">
        <v>2737</v>
      </c>
      <c r="M28" s="7">
        <f t="shared" si="4"/>
        <v>15</v>
      </c>
      <c r="N28" s="7" t="s">
        <v>2741</v>
      </c>
      <c r="O28" s="7">
        <v>1500</v>
      </c>
      <c r="P28" s="7" t="s">
        <v>2725</v>
      </c>
      <c r="Q28" s="53"/>
      <c r="R28" s="7">
        <v>3</v>
      </c>
      <c r="S28" s="7">
        <v>4.8</v>
      </c>
      <c r="T28" s="53"/>
      <c r="U28" s="7">
        <v>1600</v>
      </c>
      <c r="V28" s="7">
        <f t="shared" si="6"/>
        <v>2</v>
      </c>
      <c r="W28" s="28" t="s">
        <v>621</v>
      </c>
      <c r="X28" s="7">
        <f t="shared" si="6"/>
        <v>1</v>
      </c>
      <c r="Y28" s="28" t="s">
        <v>2262</v>
      </c>
      <c r="Z28" s="7">
        <f t="shared" si="7"/>
        <v>0</v>
      </c>
      <c r="AA28" s="28" t="s">
        <v>638</v>
      </c>
      <c r="AB28" s="7"/>
      <c r="AC28" s="7"/>
      <c r="AD28" s="7"/>
      <c r="AE28" s="7"/>
      <c r="AF28" s="7">
        <v>0</v>
      </c>
      <c r="AG28" s="7">
        <f t="shared" si="8"/>
        <v>0</v>
      </c>
      <c r="AH28" s="28" t="s">
        <v>2281</v>
      </c>
      <c r="AI28" s="7">
        <v>10</v>
      </c>
      <c r="AJ28" s="7">
        <f t="shared" si="9"/>
        <v>4</v>
      </c>
      <c r="AK28" s="28" t="s">
        <v>2662</v>
      </c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6204</v>
      </c>
      <c r="AW28" s="28" t="s">
        <v>2787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2669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1</v>
      </c>
      <c r="BT28" s="28" t="s">
        <v>2690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6">
        <f t="shared" si="5"/>
        <v>180</v>
      </c>
      <c r="CT28" s="7"/>
      <c r="CU28" s="7"/>
    </row>
    <row r="29" spans="1:99" ht="13.5" customHeight="1">
      <c r="A29" s="7">
        <v>17</v>
      </c>
      <c r="B29" s="7">
        <v>391118</v>
      </c>
      <c r="C29" s="7">
        <f t="shared" si="27"/>
        <v>0</v>
      </c>
      <c r="D29" s="28" t="s">
        <v>2255</v>
      </c>
      <c r="E29" s="7">
        <f t="shared" si="0"/>
        <v>0</v>
      </c>
      <c r="F29" s="7"/>
      <c r="G29" s="7">
        <f t="shared" si="1"/>
        <v>46</v>
      </c>
      <c r="H29" s="7" t="s">
        <v>2742</v>
      </c>
      <c r="I29" s="7">
        <f t="shared" si="2"/>
        <v>38</v>
      </c>
      <c r="J29" s="7" t="s">
        <v>2744</v>
      </c>
      <c r="K29" s="7">
        <f t="shared" si="3"/>
        <v>19</v>
      </c>
      <c r="L29" s="7" t="s">
        <v>2746</v>
      </c>
      <c r="M29" s="7">
        <f t="shared" si="4"/>
        <v>15</v>
      </c>
      <c r="N29" s="7" t="s">
        <v>2748</v>
      </c>
      <c r="O29" s="7">
        <v>750</v>
      </c>
      <c r="P29" s="7" t="s">
        <v>2668</v>
      </c>
      <c r="Q29" s="53"/>
      <c r="R29" s="7">
        <v>12</v>
      </c>
      <c r="S29" s="7">
        <v>16</v>
      </c>
      <c r="T29" s="53"/>
      <c r="U29" s="7">
        <v>1300</v>
      </c>
      <c r="V29" s="7">
        <f t="shared" si="6"/>
        <v>2</v>
      </c>
      <c r="W29" s="28" t="s">
        <v>621</v>
      </c>
      <c r="X29" s="7">
        <f t="shared" si="6"/>
        <v>1</v>
      </c>
      <c r="Y29" s="28" t="s">
        <v>2262</v>
      </c>
      <c r="Z29" s="7">
        <f t="shared" si="7"/>
        <v>0</v>
      </c>
      <c r="AA29" s="28" t="s">
        <v>638</v>
      </c>
      <c r="AB29" s="7"/>
      <c r="AC29" s="7"/>
      <c r="AD29" s="7"/>
      <c r="AE29" s="7"/>
      <c r="AF29" s="7">
        <v>0</v>
      </c>
      <c r="AG29" s="7">
        <f t="shared" si="8"/>
        <v>0</v>
      </c>
      <c r="AH29" s="28" t="s">
        <v>2281</v>
      </c>
      <c r="AI29" s="7">
        <v>10</v>
      </c>
      <c r="AJ29" s="7">
        <f t="shared" si="9"/>
        <v>4</v>
      </c>
      <c r="AK29" s="28" t="s">
        <v>2662</v>
      </c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6204</v>
      </c>
      <c r="AW29" s="28" t="s">
        <v>2787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2669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1</v>
      </c>
      <c r="BT29" s="28" t="s">
        <v>2690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6">
        <f t="shared" si="5"/>
        <v>90</v>
      </c>
      <c r="CT29" s="7"/>
      <c r="CU29" s="7"/>
    </row>
    <row r="30" spans="1:99" ht="13.5" customHeight="1">
      <c r="A30" s="7">
        <v>18</v>
      </c>
      <c r="B30" s="7">
        <v>391119</v>
      </c>
      <c r="C30" s="7">
        <f t="shared" si="27"/>
        <v>0</v>
      </c>
      <c r="D30" s="28" t="s">
        <v>2255</v>
      </c>
      <c r="E30" s="7">
        <f t="shared" si="0"/>
        <v>0</v>
      </c>
      <c r="F30" s="7"/>
      <c r="G30" s="7">
        <f t="shared" si="1"/>
        <v>39</v>
      </c>
      <c r="H30" s="7" t="s">
        <v>2743</v>
      </c>
      <c r="I30" s="7">
        <f t="shared" si="2"/>
        <v>32</v>
      </c>
      <c r="J30" s="7" t="s">
        <v>2745</v>
      </c>
      <c r="K30" s="7">
        <f t="shared" si="3"/>
        <v>19</v>
      </c>
      <c r="L30" s="7" t="s">
        <v>2747</v>
      </c>
      <c r="M30" s="7">
        <f t="shared" si="4"/>
        <v>13</v>
      </c>
      <c r="N30" s="7" t="s">
        <v>2749</v>
      </c>
      <c r="O30" s="7">
        <v>750</v>
      </c>
      <c r="P30" s="7" t="s">
        <v>2668</v>
      </c>
      <c r="Q30" s="53"/>
      <c r="R30" s="7">
        <v>12</v>
      </c>
      <c r="S30" s="7">
        <v>16</v>
      </c>
      <c r="T30" s="53"/>
      <c r="U30" s="7">
        <v>1300</v>
      </c>
      <c r="V30" s="7">
        <f t="shared" ref="V30:X45" si="28">ABS(LEFT(W30,2))</f>
        <v>2</v>
      </c>
      <c r="W30" s="28" t="s">
        <v>621</v>
      </c>
      <c r="X30" s="7">
        <f t="shared" si="28"/>
        <v>1</v>
      </c>
      <c r="Y30" s="28" t="s">
        <v>2262</v>
      </c>
      <c r="Z30" s="7">
        <f t="shared" si="7"/>
        <v>0</v>
      </c>
      <c r="AA30" s="28" t="s">
        <v>638</v>
      </c>
      <c r="AB30" s="7"/>
      <c r="AC30" s="7"/>
      <c r="AD30" s="7"/>
      <c r="AE30" s="7"/>
      <c r="AF30" s="7">
        <v>0</v>
      </c>
      <c r="AG30" s="7">
        <f t="shared" si="8"/>
        <v>0</v>
      </c>
      <c r="AH30" s="28" t="s">
        <v>2281</v>
      </c>
      <c r="AI30" s="7">
        <v>10</v>
      </c>
      <c r="AJ30" s="7">
        <f t="shared" si="9"/>
        <v>4</v>
      </c>
      <c r="AK30" s="28" t="s">
        <v>2662</v>
      </c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6204</v>
      </c>
      <c r="AW30" s="28" t="s">
        <v>2787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2669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1</v>
      </c>
      <c r="BT30" s="28" t="s">
        <v>2690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6">
        <f t="shared" si="5"/>
        <v>90</v>
      </c>
      <c r="CT30" s="7"/>
      <c r="CU30" s="7"/>
    </row>
    <row r="31" spans="1:99" ht="13.5" customHeight="1">
      <c r="A31" s="7">
        <v>19</v>
      </c>
      <c r="B31" s="7">
        <v>391106</v>
      </c>
      <c r="C31" s="7">
        <f t="shared" si="27"/>
        <v>0</v>
      </c>
      <c r="D31" s="28" t="s">
        <v>2255</v>
      </c>
      <c r="E31" s="7">
        <f t="shared" si="0"/>
        <v>0</v>
      </c>
      <c r="F31" s="7"/>
      <c r="G31" s="7">
        <f t="shared" si="1"/>
        <v>26</v>
      </c>
      <c r="H31" s="7" t="s">
        <v>2750</v>
      </c>
      <c r="I31" s="7">
        <f t="shared" si="2"/>
        <v>24</v>
      </c>
      <c r="J31" s="7" t="s">
        <v>2752</v>
      </c>
      <c r="K31" s="7">
        <f t="shared" si="3"/>
        <v>19</v>
      </c>
      <c r="L31" s="7" t="s">
        <v>2754</v>
      </c>
      <c r="M31" s="7">
        <f t="shared" si="4"/>
        <v>19</v>
      </c>
      <c r="N31" s="7" t="s">
        <v>2754</v>
      </c>
      <c r="O31" s="7">
        <v>750</v>
      </c>
      <c r="P31" s="7" t="s">
        <v>2661</v>
      </c>
      <c r="Q31" s="53"/>
      <c r="R31" s="7">
        <v>12</v>
      </c>
      <c r="S31" s="7">
        <v>16</v>
      </c>
      <c r="T31" s="53"/>
      <c r="U31" s="7">
        <v>1300</v>
      </c>
      <c r="V31" s="7">
        <f t="shared" si="28"/>
        <v>2</v>
      </c>
      <c r="W31" s="28" t="s">
        <v>621</v>
      </c>
      <c r="X31" s="7">
        <f t="shared" si="28"/>
        <v>1</v>
      </c>
      <c r="Y31" s="28" t="s">
        <v>2262</v>
      </c>
      <c r="Z31" s="7">
        <f t="shared" si="7"/>
        <v>0</v>
      </c>
      <c r="AA31" s="28" t="s">
        <v>638</v>
      </c>
      <c r="AB31" s="7"/>
      <c r="AC31" s="7"/>
      <c r="AD31" s="7"/>
      <c r="AE31" s="7"/>
      <c r="AF31" s="7">
        <v>0</v>
      </c>
      <c r="AG31" s="7">
        <f t="shared" si="8"/>
        <v>0</v>
      </c>
      <c r="AH31" s="28" t="s">
        <v>2281</v>
      </c>
      <c r="AI31" s="7">
        <v>10</v>
      </c>
      <c r="AJ31" s="7">
        <f t="shared" si="9"/>
        <v>4</v>
      </c>
      <c r="AK31" s="28" t="s">
        <v>2662</v>
      </c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6204</v>
      </c>
      <c r="AW31" s="28" t="s">
        <v>2787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2669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1</v>
      </c>
      <c r="BT31" s="28" t="s">
        <v>2690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6">
        <f t="shared" si="5"/>
        <v>90</v>
      </c>
      <c r="CT31" s="7"/>
      <c r="CU31" s="7"/>
    </row>
    <row r="32" spans="1:99" ht="13.5" customHeight="1">
      <c r="A32" s="7">
        <v>20</v>
      </c>
      <c r="B32" s="7">
        <v>391107</v>
      </c>
      <c r="C32" s="7">
        <f t="shared" si="27"/>
        <v>0</v>
      </c>
      <c r="D32" s="28" t="s">
        <v>2255</v>
      </c>
      <c r="E32" s="7">
        <f t="shared" si="0"/>
        <v>0</v>
      </c>
      <c r="F32" s="7"/>
      <c r="G32" s="7">
        <f t="shared" si="1"/>
        <v>29</v>
      </c>
      <c r="H32" s="7" t="s">
        <v>2751</v>
      </c>
      <c r="I32" s="7">
        <f t="shared" si="2"/>
        <v>26</v>
      </c>
      <c r="J32" s="7" t="s">
        <v>2753</v>
      </c>
      <c r="K32" s="7">
        <f t="shared" si="3"/>
        <v>20</v>
      </c>
      <c r="L32" s="7" t="s">
        <v>2755</v>
      </c>
      <c r="M32" s="7">
        <f t="shared" si="4"/>
        <v>20</v>
      </c>
      <c r="N32" s="7" t="s">
        <v>2755</v>
      </c>
      <c r="O32" s="7">
        <v>750</v>
      </c>
      <c r="P32" s="7" t="s">
        <v>2661</v>
      </c>
      <c r="Q32" s="53"/>
      <c r="R32" s="7">
        <v>12</v>
      </c>
      <c r="S32" s="7">
        <v>16</v>
      </c>
      <c r="T32" s="53"/>
      <c r="U32" s="7">
        <v>1300</v>
      </c>
      <c r="V32" s="7">
        <f t="shared" si="28"/>
        <v>2</v>
      </c>
      <c r="W32" s="28" t="s">
        <v>621</v>
      </c>
      <c r="X32" s="7">
        <f t="shared" si="28"/>
        <v>1</v>
      </c>
      <c r="Y32" s="28" t="s">
        <v>2262</v>
      </c>
      <c r="Z32" s="7">
        <f t="shared" si="7"/>
        <v>0</v>
      </c>
      <c r="AA32" s="28" t="s">
        <v>638</v>
      </c>
      <c r="AB32" s="7"/>
      <c r="AC32" s="7"/>
      <c r="AD32" s="7"/>
      <c r="AE32" s="7"/>
      <c r="AF32" s="7">
        <v>0</v>
      </c>
      <c r="AG32" s="7">
        <f t="shared" si="8"/>
        <v>0</v>
      </c>
      <c r="AH32" s="28" t="s">
        <v>2281</v>
      </c>
      <c r="AI32" s="7">
        <v>10</v>
      </c>
      <c r="AJ32" s="7">
        <f t="shared" si="9"/>
        <v>4</v>
      </c>
      <c r="AK32" s="28" t="s">
        <v>2662</v>
      </c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6204</v>
      </c>
      <c r="AW32" s="28" t="s">
        <v>2787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2669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1</v>
      </c>
      <c r="BT32" s="28" t="s">
        <v>2690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6">
        <f t="shared" si="5"/>
        <v>90</v>
      </c>
      <c r="CT32" s="7"/>
      <c r="CU32" s="7"/>
    </row>
    <row r="33" spans="1:99" ht="13.5" customHeight="1">
      <c r="A33" s="7">
        <v>21</v>
      </c>
      <c r="B33" s="7">
        <v>391110</v>
      </c>
      <c r="C33" s="7">
        <f t="shared" si="27"/>
        <v>0</v>
      </c>
      <c r="D33" s="28" t="s">
        <v>2255</v>
      </c>
      <c r="E33" s="7">
        <f t="shared" si="0"/>
        <v>0</v>
      </c>
      <c r="F33" s="7"/>
      <c r="G33" s="7">
        <f t="shared" si="1"/>
        <v>36</v>
      </c>
      <c r="H33" s="7" t="s">
        <v>2756</v>
      </c>
      <c r="I33" s="7">
        <f t="shared" si="2"/>
        <v>32</v>
      </c>
      <c r="J33" s="7" t="s">
        <v>2758</v>
      </c>
      <c r="K33" s="7">
        <f t="shared" si="3"/>
        <v>20</v>
      </c>
      <c r="L33" s="7" t="s">
        <v>2764</v>
      </c>
      <c r="M33" s="7">
        <f t="shared" si="4"/>
        <v>20</v>
      </c>
      <c r="N33" s="7" t="s">
        <v>2764</v>
      </c>
      <c r="O33" s="7">
        <v>750</v>
      </c>
      <c r="P33" s="7" t="s">
        <v>2661</v>
      </c>
      <c r="Q33" s="53"/>
      <c r="R33" s="7">
        <v>12</v>
      </c>
      <c r="S33" s="7">
        <v>16</v>
      </c>
      <c r="T33" s="53"/>
      <c r="U33" s="7">
        <v>1300</v>
      </c>
      <c r="V33" s="7">
        <f t="shared" si="28"/>
        <v>2</v>
      </c>
      <c r="W33" s="28" t="s">
        <v>621</v>
      </c>
      <c r="X33" s="7">
        <f t="shared" si="28"/>
        <v>1</v>
      </c>
      <c r="Y33" s="28" t="s">
        <v>2262</v>
      </c>
      <c r="Z33" s="7">
        <f t="shared" si="7"/>
        <v>0</v>
      </c>
      <c r="AA33" s="28" t="s">
        <v>638</v>
      </c>
      <c r="AB33" s="7"/>
      <c r="AC33" s="7"/>
      <c r="AD33" s="7"/>
      <c r="AE33" s="7"/>
      <c r="AF33" s="7">
        <v>0</v>
      </c>
      <c r="AG33" s="7">
        <f t="shared" si="8"/>
        <v>0</v>
      </c>
      <c r="AH33" s="28" t="s">
        <v>2281</v>
      </c>
      <c r="AI33" s="7">
        <v>10</v>
      </c>
      <c r="AJ33" s="7">
        <f t="shared" si="9"/>
        <v>4</v>
      </c>
      <c r="AK33" s="28" t="s">
        <v>2662</v>
      </c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6204</v>
      </c>
      <c r="AW33" s="28" t="s">
        <v>2787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2669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7</v>
      </c>
      <c r="BT33" s="28" t="s">
        <v>2709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6">
        <f t="shared" si="5"/>
        <v>90</v>
      </c>
      <c r="CT33" s="7"/>
      <c r="CU33" s="7"/>
    </row>
    <row r="34" spans="1:99" ht="13.5" customHeight="1">
      <c r="A34" s="7">
        <v>22</v>
      </c>
      <c r="B34" s="7">
        <v>391111</v>
      </c>
      <c r="C34" s="7">
        <f t="shared" si="27"/>
        <v>0</v>
      </c>
      <c r="D34" s="28" t="s">
        <v>2255</v>
      </c>
      <c r="E34" s="7">
        <f t="shared" si="0"/>
        <v>0</v>
      </c>
      <c r="F34" s="7"/>
      <c r="G34" s="7">
        <f t="shared" si="1"/>
        <v>34</v>
      </c>
      <c r="H34" s="7" t="s">
        <v>2757</v>
      </c>
      <c r="I34" s="7">
        <f t="shared" si="2"/>
        <v>30</v>
      </c>
      <c r="J34" s="7" t="s">
        <v>2759</v>
      </c>
      <c r="K34" s="7">
        <f t="shared" si="3"/>
        <v>19</v>
      </c>
      <c r="L34" s="7" t="s">
        <v>2765</v>
      </c>
      <c r="M34" s="7">
        <f t="shared" si="4"/>
        <v>19</v>
      </c>
      <c r="N34" s="7" t="s">
        <v>2765</v>
      </c>
      <c r="O34" s="7">
        <v>750</v>
      </c>
      <c r="P34" s="7" t="s">
        <v>2661</v>
      </c>
      <c r="Q34" s="53"/>
      <c r="R34" s="7">
        <v>12</v>
      </c>
      <c r="S34" s="7">
        <v>16</v>
      </c>
      <c r="T34" s="53"/>
      <c r="U34" s="7">
        <v>1300</v>
      </c>
      <c r="V34" s="7">
        <f t="shared" si="28"/>
        <v>2</v>
      </c>
      <c r="W34" s="28" t="s">
        <v>621</v>
      </c>
      <c r="X34" s="7">
        <f t="shared" si="28"/>
        <v>1</v>
      </c>
      <c r="Y34" s="28" t="s">
        <v>2262</v>
      </c>
      <c r="Z34" s="7">
        <f t="shared" si="7"/>
        <v>0</v>
      </c>
      <c r="AA34" s="28" t="s">
        <v>638</v>
      </c>
      <c r="AB34" s="7"/>
      <c r="AC34" s="7"/>
      <c r="AD34" s="7"/>
      <c r="AE34" s="7"/>
      <c r="AF34" s="7">
        <v>0</v>
      </c>
      <c r="AG34" s="7">
        <f t="shared" si="8"/>
        <v>0</v>
      </c>
      <c r="AH34" s="28" t="s">
        <v>2281</v>
      </c>
      <c r="AI34" s="7">
        <v>10</v>
      </c>
      <c r="AJ34" s="7">
        <f t="shared" si="9"/>
        <v>4</v>
      </c>
      <c r="AK34" s="28" t="s">
        <v>2662</v>
      </c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6204</v>
      </c>
      <c r="AW34" s="28" t="s">
        <v>2787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2669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7</v>
      </c>
      <c r="BT34" s="28" t="s">
        <v>2709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6">
        <f t="shared" si="5"/>
        <v>90</v>
      </c>
      <c r="CT34" s="7"/>
      <c r="CU34" s="7"/>
    </row>
    <row r="35" spans="1:99" ht="13.5" customHeight="1">
      <c r="A35" s="7">
        <v>23</v>
      </c>
      <c r="B35" s="7">
        <v>391120</v>
      </c>
      <c r="C35" s="7">
        <f t="shared" si="27"/>
        <v>0</v>
      </c>
      <c r="D35" s="28" t="s">
        <v>2255</v>
      </c>
      <c r="E35" s="7">
        <f t="shared" si="0"/>
        <v>0</v>
      </c>
      <c r="F35" s="6"/>
      <c r="G35" s="7">
        <f t="shared" si="1"/>
        <v>26</v>
      </c>
      <c r="H35" s="7" t="s">
        <v>2760</v>
      </c>
      <c r="I35" s="7">
        <f t="shared" si="2"/>
        <v>28</v>
      </c>
      <c r="J35" s="7" t="s">
        <v>2762</v>
      </c>
      <c r="K35" s="7">
        <f t="shared" si="3"/>
        <v>18</v>
      </c>
      <c r="L35" s="7" t="s">
        <v>2766</v>
      </c>
      <c r="M35" s="7">
        <f t="shared" si="4"/>
        <v>18</v>
      </c>
      <c r="N35" s="7" t="s">
        <v>2766</v>
      </c>
      <c r="O35" s="7">
        <v>750</v>
      </c>
      <c r="P35" s="7" t="s">
        <v>2661</v>
      </c>
      <c r="Q35" s="53"/>
      <c r="R35" s="7">
        <v>12</v>
      </c>
      <c r="S35" s="7">
        <v>16</v>
      </c>
      <c r="T35" s="53"/>
      <c r="U35" s="7">
        <v>1300</v>
      </c>
      <c r="V35" s="7">
        <f t="shared" si="28"/>
        <v>2</v>
      </c>
      <c r="W35" s="28" t="s">
        <v>621</v>
      </c>
      <c r="X35" s="7">
        <f t="shared" si="28"/>
        <v>1</v>
      </c>
      <c r="Y35" s="28" t="s">
        <v>2262</v>
      </c>
      <c r="Z35" s="7">
        <f t="shared" si="7"/>
        <v>0</v>
      </c>
      <c r="AA35" s="28" t="s">
        <v>638</v>
      </c>
      <c r="AB35" s="7"/>
      <c r="AC35" s="7"/>
      <c r="AD35" s="7"/>
      <c r="AE35" s="7"/>
      <c r="AF35" s="7">
        <v>0</v>
      </c>
      <c r="AG35" s="7">
        <f t="shared" si="8"/>
        <v>0</v>
      </c>
      <c r="AH35" s="28" t="s">
        <v>2281</v>
      </c>
      <c r="AI35" s="7">
        <v>10</v>
      </c>
      <c r="AJ35" s="7">
        <f t="shared" si="9"/>
        <v>4</v>
      </c>
      <c r="AK35" s="28" t="s">
        <v>2662</v>
      </c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6204</v>
      </c>
      <c r="AW35" s="28" t="s">
        <v>2787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2669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7</v>
      </c>
      <c r="BT35" s="28" t="s">
        <v>2709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6">
        <f t="shared" si="5"/>
        <v>90</v>
      </c>
      <c r="CT35" s="7"/>
      <c r="CU35" s="7"/>
    </row>
    <row r="36" spans="1:99" ht="13.5" customHeight="1">
      <c r="A36" s="7">
        <v>24</v>
      </c>
      <c r="B36" s="7">
        <v>391121</v>
      </c>
      <c r="C36" s="7">
        <f t="shared" si="27"/>
        <v>0</v>
      </c>
      <c r="D36" s="28" t="s">
        <v>2255</v>
      </c>
      <c r="E36" s="7">
        <f t="shared" si="0"/>
        <v>0</v>
      </c>
      <c r="F36" s="6"/>
      <c r="G36" s="7">
        <f t="shared" si="1"/>
        <v>32</v>
      </c>
      <c r="H36" s="7" t="s">
        <v>2761</v>
      </c>
      <c r="I36" s="7">
        <f t="shared" si="2"/>
        <v>30</v>
      </c>
      <c r="J36" s="7" t="s">
        <v>2763</v>
      </c>
      <c r="K36" s="7">
        <f t="shared" si="3"/>
        <v>19</v>
      </c>
      <c r="L36" s="7" t="s">
        <v>2767</v>
      </c>
      <c r="M36" s="7">
        <f t="shared" si="4"/>
        <v>19</v>
      </c>
      <c r="N36" s="7" t="s">
        <v>2767</v>
      </c>
      <c r="O36" s="7">
        <v>750</v>
      </c>
      <c r="P36" s="7" t="s">
        <v>2661</v>
      </c>
      <c r="Q36" s="53"/>
      <c r="R36" s="7">
        <v>12</v>
      </c>
      <c r="S36" s="7">
        <v>16</v>
      </c>
      <c r="T36" s="53"/>
      <c r="U36" s="7">
        <v>1300</v>
      </c>
      <c r="V36" s="7">
        <f t="shared" si="28"/>
        <v>2</v>
      </c>
      <c r="W36" s="28" t="s">
        <v>621</v>
      </c>
      <c r="X36" s="7">
        <f t="shared" si="28"/>
        <v>1</v>
      </c>
      <c r="Y36" s="28" t="s">
        <v>2262</v>
      </c>
      <c r="Z36" s="7">
        <f t="shared" si="7"/>
        <v>0</v>
      </c>
      <c r="AA36" s="28" t="s">
        <v>638</v>
      </c>
      <c r="AB36" s="7"/>
      <c r="AC36" s="7"/>
      <c r="AD36" s="7"/>
      <c r="AE36" s="7"/>
      <c r="AF36" s="7">
        <v>0</v>
      </c>
      <c r="AG36" s="7">
        <f t="shared" si="8"/>
        <v>0</v>
      </c>
      <c r="AH36" s="28" t="s">
        <v>2281</v>
      </c>
      <c r="AI36" s="7">
        <v>10</v>
      </c>
      <c r="AJ36" s="7">
        <f t="shared" si="9"/>
        <v>4</v>
      </c>
      <c r="AK36" s="28" t="s">
        <v>2662</v>
      </c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6204</v>
      </c>
      <c r="AW36" s="28" t="s">
        <v>2787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2669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7</v>
      </c>
      <c r="BT36" s="28" t="s">
        <v>2709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6">
        <f t="shared" si="5"/>
        <v>90</v>
      </c>
      <c r="CT36" s="7"/>
      <c r="CU36" s="7"/>
    </row>
    <row r="37" spans="1:99" ht="13.5" customHeight="1">
      <c r="A37" s="7">
        <v>25</v>
      </c>
      <c r="B37" s="7">
        <v>391122</v>
      </c>
      <c r="C37" s="7">
        <f t="shared" si="27"/>
        <v>0</v>
      </c>
      <c r="D37" s="28" t="s">
        <v>2255</v>
      </c>
      <c r="E37" s="7">
        <f t="shared" si="0"/>
        <v>0</v>
      </c>
      <c r="F37" s="6"/>
      <c r="G37" s="7">
        <f t="shared" si="1"/>
        <v>50</v>
      </c>
      <c r="H37" s="7" t="s">
        <v>2768</v>
      </c>
      <c r="I37" s="7">
        <f t="shared" si="2"/>
        <v>42</v>
      </c>
      <c r="J37" s="7" t="s">
        <v>2769</v>
      </c>
      <c r="K37" s="7">
        <f t="shared" si="3"/>
        <v>20</v>
      </c>
      <c r="L37" s="7" t="s">
        <v>2770</v>
      </c>
      <c r="M37" s="7">
        <f t="shared" si="4"/>
        <v>20</v>
      </c>
      <c r="N37" s="7" t="s">
        <v>2770</v>
      </c>
      <c r="O37" s="7">
        <v>750</v>
      </c>
      <c r="P37" s="7" t="s">
        <v>2661</v>
      </c>
      <c r="Q37" s="53"/>
      <c r="R37" s="7">
        <v>12</v>
      </c>
      <c r="S37" s="7">
        <v>16</v>
      </c>
      <c r="T37" s="53"/>
      <c r="U37" s="7">
        <v>1300</v>
      </c>
      <c r="V37" s="7">
        <f t="shared" si="28"/>
        <v>2</v>
      </c>
      <c r="W37" s="28" t="s">
        <v>621</v>
      </c>
      <c r="X37" s="7">
        <f t="shared" si="28"/>
        <v>1</v>
      </c>
      <c r="Y37" s="28" t="s">
        <v>2262</v>
      </c>
      <c r="Z37" s="7">
        <f t="shared" si="7"/>
        <v>0</v>
      </c>
      <c r="AA37" s="28" t="s">
        <v>638</v>
      </c>
      <c r="AB37" s="7"/>
      <c r="AC37" s="7"/>
      <c r="AD37" s="7"/>
      <c r="AE37" s="7"/>
      <c r="AF37" s="7">
        <v>0</v>
      </c>
      <c r="AG37" s="7">
        <f t="shared" si="8"/>
        <v>0</v>
      </c>
      <c r="AH37" s="28" t="s">
        <v>2281</v>
      </c>
      <c r="AI37" s="7">
        <v>10</v>
      </c>
      <c r="AJ37" s="7">
        <f t="shared" si="9"/>
        <v>4</v>
      </c>
      <c r="AK37" s="28" t="s">
        <v>2662</v>
      </c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6204</v>
      </c>
      <c r="AW37" s="28" t="s">
        <v>2787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2669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6</v>
      </c>
      <c r="BT37" s="28" t="s">
        <v>2665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2771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6">
        <f t="shared" si="5"/>
        <v>75</v>
      </c>
      <c r="CT37" s="7"/>
      <c r="CU37" s="7"/>
    </row>
    <row r="38" spans="1:99" ht="13.5" customHeight="1">
      <c r="A38" s="7">
        <v>26</v>
      </c>
      <c r="B38" s="7">
        <v>391123</v>
      </c>
      <c r="C38" s="7">
        <f t="shared" si="27"/>
        <v>0</v>
      </c>
      <c r="D38" s="28" t="s">
        <v>2255</v>
      </c>
      <c r="E38" s="7">
        <f t="shared" si="0"/>
        <v>0</v>
      </c>
      <c r="F38" s="6"/>
      <c r="G38" s="7">
        <f t="shared" si="1"/>
        <v>50</v>
      </c>
      <c r="H38" s="7" t="s">
        <v>2772</v>
      </c>
      <c r="I38" s="7">
        <f t="shared" si="2"/>
        <v>50</v>
      </c>
      <c r="J38" s="7" t="s">
        <v>2773</v>
      </c>
      <c r="K38" s="7">
        <f t="shared" si="3"/>
        <v>19</v>
      </c>
      <c r="L38" s="7" t="s">
        <v>2774</v>
      </c>
      <c r="M38" s="7">
        <f t="shared" si="4"/>
        <v>20</v>
      </c>
      <c r="N38" s="7" t="s">
        <v>2775</v>
      </c>
      <c r="O38" s="7">
        <v>750</v>
      </c>
      <c r="P38" s="7" t="s">
        <v>2661</v>
      </c>
      <c r="Q38" s="53"/>
      <c r="R38" s="7">
        <v>12</v>
      </c>
      <c r="S38" s="7">
        <v>16</v>
      </c>
      <c r="T38" s="53"/>
      <c r="U38" s="7">
        <v>1300</v>
      </c>
      <c r="V38" s="7">
        <f t="shared" si="28"/>
        <v>2</v>
      </c>
      <c r="W38" s="28" t="s">
        <v>621</v>
      </c>
      <c r="X38" s="7">
        <f t="shared" si="28"/>
        <v>1</v>
      </c>
      <c r="Y38" s="28" t="s">
        <v>2262</v>
      </c>
      <c r="Z38" s="7">
        <f t="shared" si="7"/>
        <v>0</v>
      </c>
      <c r="AA38" s="28" t="s">
        <v>638</v>
      </c>
      <c r="AB38" s="7"/>
      <c r="AC38" s="7"/>
      <c r="AD38" s="7"/>
      <c r="AE38" s="7"/>
      <c r="AF38" s="7">
        <v>0</v>
      </c>
      <c r="AG38" s="7">
        <f t="shared" si="8"/>
        <v>0</v>
      </c>
      <c r="AH38" s="28" t="s">
        <v>2281</v>
      </c>
      <c r="AI38" s="7">
        <v>10</v>
      </c>
      <c r="AJ38" s="7">
        <f t="shared" si="9"/>
        <v>4</v>
      </c>
      <c r="AK38" s="28" t="s">
        <v>2662</v>
      </c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6204</v>
      </c>
      <c r="AW38" s="28" t="s">
        <v>2787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2669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7</v>
      </c>
      <c r="BT38" s="28" t="s">
        <v>2709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2776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6">
        <f t="shared" si="5"/>
        <v>84.000000000000014</v>
      </c>
      <c r="CT38" s="7"/>
      <c r="CU38" s="7"/>
    </row>
    <row r="39" spans="1:99" ht="13.5" customHeight="1">
      <c r="A39" s="7">
        <v>27</v>
      </c>
      <c r="B39" s="7">
        <v>391124</v>
      </c>
      <c r="C39" s="7">
        <f t="shared" si="27"/>
        <v>0</v>
      </c>
      <c r="D39" s="28" t="s">
        <v>2255</v>
      </c>
      <c r="E39" s="7">
        <f t="shared" si="0"/>
        <v>0</v>
      </c>
      <c r="F39" s="6"/>
      <c r="G39" s="7">
        <f t="shared" si="1"/>
        <v>33</v>
      </c>
      <c r="H39" s="7" t="s">
        <v>2777</v>
      </c>
      <c r="I39" s="7">
        <f t="shared" si="2"/>
        <v>48</v>
      </c>
      <c r="J39" s="7" t="s">
        <v>2778</v>
      </c>
      <c r="K39" s="7">
        <f t="shared" si="3"/>
        <v>20</v>
      </c>
      <c r="L39" s="7" t="s">
        <v>2779</v>
      </c>
      <c r="M39" s="7">
        <f t="shared" si="4"/>
        <v>20</v>
      </c>
      <c r="N39" s="7" t="s">
        <v>2779</v>
      </c>
      <c r="O39" s="7">
        <v>750</v>
      </c>
      <c r="P39" s="7" t="s">
        <v>2661</v>
      </c>
      <c r="Q39" s="53"/>
      <c r="R39" s="7">
        <v>12</v>
      </c>
      <c r="S39" s="7">
        <v>16</v>
      </c>
      <c r="T39" s="53"/>
      <c r="U39" s="7">
        <v>1317</v>
      </c>
      <c r="V39" s="7">
        <f t="shared" si="28"/>
        <v>2</v>
      </c>
      <c r="W39" s="28" t="s">
        <v>621</v>
      </c>
      <c r="X39" s="7">
        <f t="shared" si="28"/>
        <v>1</v>
      </c>
      <c r="Y39" s="28" t="s">
        <v>2262</v>
      </c>
      <c r="Z39" s="7">
        <f t="shared" si="7"/>
        <v>0</v>
      </c>
      <c r="AA39" s="28" t="s">
        <v>638</v>
      </c>
      <c r="AB39" s="7"/>
      <c r="AC39" s="7"/>
      <c r="AD39" s="7"/>
      <c r="AE39" s="7"/>
      <c r="AF39" s="7">
        <v>0</v>
      </c>
      <c r="AG39" s="7">
        <f t="shared" si="8"/>
        <v>0</v>
      </c>
      <c r="AH39" s="28" t="s">
        <v>2281</v>
      </c>
      <c r="AI39" s="7">
        <v>10</v>
      </c>
      <c r="AJ39" s="7">
        <f t="shared" si="9"/>
        <v>4</v>
      </c>
      <c r="AK39" s="28" t="s">
        <v>2662</v>
      </c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6204</v>
      </c>
      <c r="AW39" s="28" t="s">
        <v>2787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2669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7</v>
      </c>
      <c r="BT39" s="28" t="s">
        <v>2709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2780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6">
        <f t="shared" si="5"/>
        <v>78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>
        <f t="shared" si="13"/>
        <v>6204</v>
      </c>
      <c r="AW40" s="28" t="s">
        <v>2787</v>
      </c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6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>
        <f t="shared" si="13"/>
        <v>6204</v>
      </c>
      <c r="AW41" s="28" t="s">
        <v>2787</v>
      </c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6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>
        <f t="shared" si="13"/>
        <v>6204</v>
      </c>
      <c r="AW42" s="28" t="s">
        <v>2787</v>
      </c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6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>
        <f t="shared" si="13"/>
        <v>6204</v>
      </c>
      <c r="AW43" s="28" t="s">
        <v>2787</v>
      </c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6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>
        <f t="shared" si="13"/>
        <v>6204</v>
      </c>
      <c r="AW44" s="28" t="s">
        <v>2787</v>
      </c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6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>
        <f t="shared" si="13"/>
        <v>6204</v>
      </c>
      <c r="AW45" s="28" t="s">
        <v>2787</v>
      </c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6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>
        <f t="shared" si="13"/>
        <v>6204</v>
      </c>
      <c r="AW46" s="28" t="s">
        <v>2787</v>
      </c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6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>
        <f t="shared" si="13"/>
        <v>6204</v>
      </c>
      <c r="AW47" s="28" t="s">
        <v>2787</v>
      </c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6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>
        <f t="shared" si="13"/>
        <v>6204</v>
      </c>
      <c r="AW48" s="28" t="s">
        <v>2787</v>
      </c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6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>
        <f t="shared" si="13"/>
        <v>6204</v>
      </c>
      <c r="AW49" s="28" t="s">
        <v>2787</v>
      </c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6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>
        <f t="shared" si="13"/>
        <v>6204</v>
      </c>
      <c r="AW50" s="28" t="s">
        <v>2787</v>
      </c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6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>
        <f t="shared" si="13"/>
        <v>6204</v>
      </c>
      <c r="AW51" s="28" t="s">
        <v>2787</v>
      </c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6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>
        <f t="shared" si="13"/>
        <v>6204</v>
      </c>
      <c r="AW52" s="28" t="s">
        <v>2787</v>
      </c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6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>
        <f t="shared" si="13"/>
        <v>6204</v>
      </c>
      <c r="AW53" s="28" t="s">
        <v>2787</v>
      </c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6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>
        <f t="shared" si="13"/>
        <v>6204</v>
      </c>
      <c r="AW54" s="28" t="s">
        <v>2787</v>
      </c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6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>
        <f t="shared" si="13"/>
        <v>6204</v>
      </c>
      <c r="AW55" s="28" t="s">
        <v>2787</v>
      </c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6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>
        <f t="shared" si="13"/>
        <v>6204</v>
      </c>
      <c r="AW56" s="28" t="s">
        <v>2787</v>
      </c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6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>
        <f t="shared" si="13"/>
        <v>6204</v>
      </c>
      <c r="AW57" s="28" t="s">
        <v>2787</v>
      </c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6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>
        <f t="shared" si="13"/>
        <v>6204</v>
      </c>
      <c r="AW58" s="28" t="s">
        <v>2787</v>
      </c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6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>
        <f t="shared" si="13"/>
        <v>6204</v>
      </c>
      <c r="AW59" s="28" t="s">
        <v>2787</v>
      </c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6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>
        <f t="shared" si="13"/>
        <v>6204</v>
      </c>
      <c r="AW60" s="28" t="s">
        <v>2787</v>
      </c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6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>
        <f t="shared" si="13"/>
        <v>6204</v>
      </c>
      <c r="AW61" s="28" t="s">
        <v>2787</v>
      </c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6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>
        <f t="shared" si="13"/>
        <v>6204</v>
      </c>
      <c r="AW62" s="28" t="s">
        <v>2787</v>
      </c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6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>
        <f t="shared" si="13"/>
        <v>6204</v>
      </c>
      <c r="AW63" s="28" t="s">
        <v>2787</v>
      </c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6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>
        <f t="shared" si="13"/>
        <v>6204</v>
      </c>
      <c r="AW64" s="28" t="s">
        <v>2787</v>
      </c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6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>
        <f t="shared" si="13"/>
        <v>6204</v>
      </c>
      <c r="AW65" s="28" t="s">
        <v>2787</v>
      </c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6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>
        <f t="shared" si="13"/>
        <v>6204</v>
      </c>
      <c r="AW66" s="28" t="s">
        <v>2787</v>
      </c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6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>
        <f t="shared" si="13"/>
        <v>6204</v>
      </c>
      <c r="AW67" s="28" t="s">
        <v>2787</v>
      </c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6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>
        <f t="shared" si="13"/>
        <v>6204</v>
      </c>
      <c r="AW68" s="28" t="s">
        <v>2787</v>
      </c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6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>
        <f t="shared" si="13"/>
        <v>6204</v>
      </c>
      <c r="AW69" s="28" t="s">
        <v>2787</v>
      </c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6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>
        <f t="shared" si="13"/>
        <v>6204</v>
      </c>
      <c r="AW70" s="28" t="s">
        <v>2787</v>
      </c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6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>
        <f t="shared" si="13"/>
        <v>6204</v>
      </c>
      <c r="AW71" s="28" t="s">
        <v>2787</v>
      </c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6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>
        <f t="shared" si="13"/>
        <v>6204</v>
      </c>
      <c r="AW72" s="28" t="s">
        <v>2787</v>
      </c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6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>
        <f t="shared" si="13"/>
        <v>6204</v>
      </c>
      <c r="AW73" s="28" t="s">
        <v>2787</v>
      </c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6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>
        <f t="shared" si="13"/>
        <v>6204</v>
      </c>
      <c r="AW74" s="28" t="s">
        <v>2787</v>
      </c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6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>
        <f t="shared" si="13"/>
        <v>6204</v>
      </c>
      <c r="AW75" s="28" t="s">
        <v>2787</v>
      </c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6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>
        <f t="shared" si="13"/>
        <v>6204</v>
      </c>
      <c r="AW76" s="28" t="s">
        <v>2787</v>
      </c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6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>
        <f t="shared" si="13"/>
        <v>6204</v>
      </c>
      <c r="AW77" s="28" t="s">
        <v>2787</v>
      </c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6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>
        <f t="shared" ref="AV78:AV112" si="45">ABS(LEFT(AW78,10))</f>
        <v>6204</v>
      </c>
      <c r="AW78" s="28" t="s">
        <v>2787</v>
      </c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6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>
        <f t="shared" si="45"/>
        <v>6204</v>
      </c>
      <c r="AW79" s="28" t="s">
        <v>2787</v>
      </c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6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>
        <f t="shared" si="45"/>
        <v>6204</v>
      </c>
      <c r="AW80" s="28" t="s">
        <v>2787</v>
      </c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6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>
        <f t="shared" si="45"/>
        <v>6204</v>
      </c>
      <c r="AW81" s="28" t="s">
        <v>2787</v>
      </c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6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>
        <f t="shared" si="45"/>
        <v>6204</v>
      </c>
      <c r="AW82" s="28" t="s">
        <v>2787</v>
      </c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6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>
        <f t="shared" si="45"/>
        <v>6204</v>
      </c>
      <c r="AW83" s="28" t="s">
        <v>2787</v>
      </c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6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>
        <f t="shared" si="45"/>
        <v>6204</v>
      </c>
      <c r="AW84" s="28" t="s">
        <v>2787</v>
      </c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6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>
        <f t="shared" si="45"/>
        <v>6204</v>
      </c>
      <c r="AW85" s="28" t="s">
        <v>2787</v>
      </c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6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>
        <f t="shared" si="45"/>
        <v>6204</v>
      </c>
      <c r="AW86" s="28" t="s">
        <v>2787</v>
      </c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6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>
        <f t="shared" si="45"/>
        <v>6204</v>
      </c>
      <c r="AW87" s="28" t="s">
        <v>2787</v>
      </c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6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>
        <f t="shared" si="45"/>
        <v>6204</v>
      </c>
      <c r="AW88" s="28" t="s">
        <v>2787</v>
      </c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6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>
        <f t="shared" si="45"/>
        <v>6204</v>
      </c>
      <c r="AW89" s="28" t="s">
        <v>2787</v>
      </c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6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>
        <f t="shared" si="45"/>
        <v>6204</v>
      </c>
      <c r="AW90" s="28" t="s">
        <v>2787</v>
      </c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6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>
        <f t="shared" si="45"/>
        <v>6204</v>
      </c>
      <c r="AW91" s="28" t="s">
        <v>2787</v>
      </c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6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>
        <f t="shared" si="45"/>
        <v>6204</v>
      </c>
      <c r="AW92" s="28" t="s">
        <v>2787</v>
      </c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6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>
        <f t="shared" si="45"/>
        <v>6204</v>
      </c>
      <c r="AW93" s="28" t="s">
        <v>2787</v>
      </c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6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>
        <f t="shared" si="45"/>
        <v>6204</v>
      </c>
      <c r="AW94" s="28" t="s">
        <v>2787</v>
      </c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6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>
        <f t="shared" si="45"/>
        <v>6204</v>
      </c>
      <c r="AW95" s="28" t="s">
        <v>2787</v>
      </c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6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>
        <f t="shared" si="45"/>
        <v>6204</v>
      </c>
      <c r="AW96" s="28" t="s">
        <v>2787</v>
      </c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6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>
        <f t="shared" si="45"/>
        <v>6204</v>
      </c>
      <c r="AW97" s="28" t="s">
        <v>2787</v>
      </c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6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>
        <f t="shared" si="45"/>
        <v>6204</v>
      </c>
      <c r="AW98" s="28" t="s">
        <v>2787</v>
      </c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6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>
        <f t="shared" si="45"/>
        <v>6204</v>
      </c>
      <c r="AW99" s="28" t="s">
        <v>2787</v>
      </c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6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>
        <f t="shared" si="45"/>
        <v>6204</v>
      </c>
      <c r="AW100" s="28" t="s">
        <v>2787</v>
      </c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6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>
        <f t="shared" si="45"/>
        <v>6204</v>
      </c>
      <c r="AW101" s="28" t="s">
        <v>2787</v>
      </c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6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>
        <f t="shared" si="45"/>
        <v>6204</v>
      </c>
      <c r="AW102" s="28" t="s">
        <v>2787</v>
      </c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6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>
        <f t="shared" si="45"/>
        <v>6204</v>
      </c>
      <c r="AW103" s="28" t="s">
        <v>2787</v>
      </c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6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>
        <f t="shared" si="45"/>
        <v>6204</v>
      </c>
      <c r="AW104" s="28" t="s">
        <v>2787</v>
      </c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6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>
        <f t="shared" si="45"/>
        <v>6204</v>
      </c>
      <c r="AW105" s="28" t="s">
        <v>2787</v>
      </c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6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>
        <f t="shared" si="45"/>
        <v>6204</v>
      </c>
      <c r="AW106" s="28" t="s">
        <v>2787</v>
      </c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6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>
        <f t="shared" si="45"/>
        <v>6204</v>
      </c>
      <c r="AW107" s="28" t="s">
        <v>2787</v>
      </c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6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>
        <f t="shared" si="45"/>
        <v>6204</v>
      </c>
      <c r="AW108" s="28" t="s">
        <v>2787</v>
      </c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6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>
        <f t="shared" si="45"/>
        <v>6204</v>
      </c>
      <c r="AW109" s="28" t="s">
        <v>2787</v>
      </c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6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>
        <f t="shared" si="45"/>
        <v>6204</v>
      </c>
      <c r="AW110" s="28" t="s">
        <v>2787</v>
      </c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6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>
        <f t="shared" si="45"/>
        <v>6204</v>
      </c>
      <c r="AW111" s="28" t="s">
        <v>2787</v>
      </c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6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>
        <f t="shared" si="45"/>
        <v>6204</v>
      </c>
      <c r="AW112" s="28" t="s">
        <v>2787</v>
      </c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6">
        <f t="shared" si="37"/>
        <v>0</v>
      </c>
      <c r="CT112" s="7"/>
      <c r="CU112" s="7"/>
    </row>
  </sheetData>
  <autoFilter ref="A12:DP112" xr:uid="{00000000-0009-0000-0000-000002000000}"/>
  <customSheetViews>
    <customSheetView guid="{4A49014B-6EB8-41BC-821C-AA758C89CB00}" scale="80" showPageBreaks="1" showAutoFilter="1" state="hidden"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DP112" xr:uid="{4DF0C504-A6D2-4CD2-9E1B-61EED90BEB93}"/>
    </customSheetView>
  </customSheetViews>
  <phoneticPr fontId="3"/>
  <conditionalFormatting sqref="A10">
    <cfRule type="expression" dxfId="49" priority="11" stopIfTrue="1">
      <formula>"51＜"</formula>
    </cfRule>
    <cfRule type="expression" priority="12" stopIfTrue="1">
      <formula>"51＜"</formula>
    </cfRule>
  </conditionalFormatting>
  <conditionalFormatting sqref="C5 B6:C6">
    <cfRule type="expression" dxfId="48" priority="19" stopIfTrue="1">
      <formula>"51＜"</formula>
    </cfRule>
    <cfRule type="expression" priority="20" stopIfTrue="1">
      <formula>"51＜"</formula>
    </cfRule>
  </conditionalFormatting>
  <conditionalFormatting sqref="E12">
    <cfRule type="expression" dxfId="47" priority="23" stopIfTrue="1">
      <formula>"51＜"</formula>
    </cfRule>
    <cfRule type="expression" priority="24" stopIfTrue="1">
      <formula>"51＜"</formula>
    </cfRule>
  </conditionalFormatting>
  <conditionalFormatting sqref="E10:F10">
    <cfRule type="expression" dxfId="46" priority="1" stopIfTrue="1">
      <formula>"51＜"</formula>
    </cfRule>
    <cfRule type="expression" priority="2" stopIfTrue="1">
      <formula>"51＜"</formula>
    </cfRule>
  </conditionalFormatting>
  <conditionalFormatting sqref="G9:G10 G12:G65349">
    <cfRule type="expression" dxfId="45" priority="35" stopIfTrue="1">
      <formula>"51＜"</formula>
    </cfRule>
    <cfRule type="expression" priority="36" stopIfTrue="1">
      <formula>"51＜"</formula>
    </cfRule>
  </conditionalFormatting>
  <conditionalFormatting sqref="I9:I10">
    <cfRule type="expression" dxfId="44" priority="9" stopIfTrue="1">
      <formula>"51＜"</formula>
    </cfRule>
    <cfRule type="expression" priority="10" stopIfTrue="1">
      <formula>"51＜"</formula>
    </cfRule>
  </conditionalFormatting>
  <conditionalFormatting sqref="I12:I65349">
    <cfRule type="expression" dxfId="43" priority="31" stopIfTrue="1">
      <formula>"51＜"</formula>
    </cfRule>
    <cfRule type="expression" priority="32" stopIfTrue="1">
      <formula>"51＜"</formula>
    </cfRule>
  </conditionalFormatting>
  <conditionalFormatting sqref="K9:K10">
    <cfRule type="expression" dxfId="42" priority="7" stopIfTrue="1">
      <formula>"51＜"</formula>
    </cfRule>
    <cfRule type="expression" priority="8" stopIfTrue="1">
      <formula>"51＜"</formula>
    </cfRule>
  </conditionalFormatting>
  <conditionalFormatting sqref="K12:K65349 M12:M65349">
    <cfRule type="expression" dxfId="41" priority="25" stopIfTrue="1">
      <formula>"51＜"</formula>
    </cfRule>
    <cfRule type="expression" priority="26" stopIfTrue="1">
      <formula>"51＜"</formula>
    </cfRule>
  </conditionalFormatting>
  <conditionalFormatting sqref="M6">
    <cfRule type="expression" dxfId="40" priority="27" stopIfTrue="1">
      <formula>"51＜"</formula>
    </cfRule>
    <cfRule type="expression" priority="28" stopIfTrue="1">
      <formula>"51＜"</formula>
    </cfRule>
  </conditionalFormatting>
  <conditionalFormatting sqref="M9:M10">
    <cfRule type="expression" dxfId="39" priority="5" stopIfTrue="1">
      <formula>"51＜"</formula>
    </cfRule>
    <cfRule type="expression" priority="6" stopIfTrue="1">
      <formula>"51＜"</formula>
    </cfRule>
  </conditionalFormatting>
  <conditionalFormatting sqref="Q10">
    <cfRule type="expression" dxfId="38" priority="15" stopIfTrue="1">
      <formula>"51＜"</formula>
    </cfRule>
    <cfRule type="expression" priority="16" stopIfTrue="1">
      <formula>"51＜"</formula>
    </cfRule>
  </conditionalFormatting>
  <conditionalFormatting sqref="T10">
    <cfRule type="expression" dxfId="37" priority="13" stopIfTrue="1">
      <formula>"51＜"</formula>
    </cfRule>
    <cfRule type="expression" priority="14" stopIfTrue="1">
      <formula>"51＜"</formula>
    </cfRule>
  </conditionalFormatting>
  <dataValidations count="5">
    <dataValidation type="list" allowBlank="1" showInputMessage="1" showErrorMessage="1" sqref="BT13:BT112" xr:uid="{00000000-0002-0000-0200-000000000000}">
      <formula1>飲み口</formula1>
    </dataValidation>
    <dataValidation type="list" allowBlank="1" showInputMessage="1" showErrorMessage="1" sqref="BK13:BK112" xr:uid="{00000000-0002-0000-0200-000001000000}">
      <formula1>国産輸入</formula1>
    </dataValidation>
    <dataValidation type="list" allowBlank="1" showInputMessage="1" showErrorMessage="1" sqref="BI13:BI112" xr:uid="{00000000-0002-0000-0200-000002000000}">
      <formula1>酒税分類</formula1>
    </dataValidation>
    <dataValidation type="list" allowBlank="1" showInputMessage="1" showErrorMessage="1" sqref="CH13:CH112" xr:uid="{00000000-0002-0000-0200-000003000000}">
      <formula1>予備区分3</formula1>
    </dataValidation>
    <dataValidation type="custom" allowBlank="1" showInputMessage="1" showErrorMessage="1" sqref="J18" xr:uid="{00000000-0002-0000-0200-000004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4" r:id="rId5" name="Check Box 152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6" name="Check Box 153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200-000005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200-000006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200-000007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200-000008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200-000009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200-00000A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200-00000B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200-00000C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200-00000D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200-00000E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200-00000F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200-000010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200-000011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200-000012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200-000013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200-000014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200-000015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200-000016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200-000017000000}">
          <x14:formula1>
            <xm:f>MT商品ﾏｽﾀ参照シート!$R$2:$R$295</xm:f>
          </x14:formula1>
          <xm:sqref>AW13:AW112</xm:sqref>
        </x14:dataValidation>
        <x14:dataValidation type="list" allowBlank="1" showInputMessage="1" showErrorMessage="1" xr:uid="{00000000-0002-0000-02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12"/>
  <sheetViews>
    <sheetView zoomScale="80" zoomScaleNormal="80" workbookViewId="0"/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bestFit="1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0" width="7.6640625" style="44" customWidth="1"/>
    <col min="61" max="61" width="10.6640625" style="2" customWidth="1"/>
    <col min="62" max="63" width="5.6640625" style="2" customWidth="1"/>
    <col min="64" max="65" width="11.21875" style="2" customWidth="1"/>
    <col min="66" max="66" width="8.6640625" style="2" customWidth="1"/>
    <col min="67" max="67" width="14.33203125" style="2" bestFit="1" customWidth="1"/>
    <col min="68" max="68" width="8.6640625" style="2" customWidth="1"/>
    <col min="69" max="69" width="22.33203125" style="2" bestFit="1" customWidth="1"/>
    <col min="70" max="70" width="5.6640625" style="2" customWidth="1"/>
    <col min="71" max="71" width="6.6640625" style="44" customWidth="1"/>
    <col min="72" max="72" width="10.6640625" style="2" customWidth="1"/>
    <col min="73" max="73" width="8.6640625" style="2" customWidth="1"/>
    <col min="74" max="74" width="22.109375" style="2" customWidth="1"/>
    <col min="75" max="75" width="5.6640625" style="2" customWidth="1"/>
    <col min="76" max="76" width="10.6640625" style="2" customWidth="1"/>
    <col min="77" max="77" width="5.6640625" style="2" customWidth="1"/>
    <col min="78" max="78" width="10.6640625" style="2" customWidth="1"/>
    <col min="79" max="80" width="15" style="2" customWidth="1"/>
    <col min="81" max="81" width="6.6640625" style="2" customWidth="1"/>
    <col min="82" max="82" width="13.33203125" style="2" customWidth="1"/>
    <col min="83" max="83" width="6.6640625" style="2" customWidth="1"/>
    <col min="84" max="84" width="13.33203125" style="2" customWidth="1"/>
    <col min="85" max="85" width="5.6640625" style="2" customWidth="1"/>
    <col min="86" max="86" width="9.109375" style="2" customWidth="1"/>
    <col min="87" max="87" width="5.6640625" style="2" customWidth="1"/>
    <col min="88" max="88" width="9.109375" style="2" customWidth="1"/>
    <col min="89" max="89" width="12.6640625" style="2" customWidth="1"/>
    <col min="90" max="93" width="5.6640625" style="2" customWidth="1"/>
    <col min="94" max="94" width="10.6640625" style="2" customWidth="1"/>
    <col min="95" max="96" width="5.6640625" style="2" customWidth="1"/>
    <col min="97" max="97" width="10.6640625" style="2" customWidth="1"/>
    <col min="98" max="98" width="20.44140625" style="2" bestFit="1" customWidth="1"/>
    <col min="99" max="99" width="16.109375" style="2" customWidth="1"/>
    <col min="100" max="16384" width="9" style="2"/>
  </cols>
  <sheetData>
    <row r="1" spans="1:99" s="16" customFormat="1">
      <c r="A1" s="2" t="s">
        <v>3402</v>
      </c>
      <c r="B1" s="19"/>
      <c r="C1" s="19"/>
      <c r="D1" s="5"/>
      <c r="E1" s="2"/>
      <c r="F1" s="2" t="s">
        <v>3400</v>
      </c>
      <c r="G1" s="3"/>
      <c r="H1" s="2" t="s">
        <v>3401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44"/>
      <c r="BI1" s="2"/>
      <c r="BJ1" s="2"/>
      <c r="BK1" s="2"/>
      <c r="BL1" s="2"/>
      <c r="BM1" s="2"/>
      <c r="BN1" s="2"/>
      <c r="BO1" s="2"/>
      <c r="BP1" s="2"/>
      <c r="BQ1" s="2"/>
      <c r="BR1" s="2"/>
      <c r="BS1" s="44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</row>
    <row r="2" spans="1:99">
      <c r="A2" s="2" t="s">
        <v>3407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4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4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</row>
    <row r="3" spans="1:99" s="16" customFormat="1">
      <c r="A3" s="2" t="s">
        <v>3406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  <c r="BH3" s="46"/>
      <c r="BS3" s="46"/>
    </row>
    <row r="4" spans="1:99" s="16" customFormat="1">
      <c r="A4" s="2" t="s">
        <v>3404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  <c r="BH4" s="46"/>
      <c r="BS4" s="46"/>
    </row>
    <row r="5" spans="1:99">
      <c r="A5" s="2" t="s">
        <v>3405</v>
      </c>
      <c r="B5" s="2"/>
      <c r="C5" s="135"/>
      <c r="D5" s="129"/>
      <c r="G5" s="130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9">
      <c r="A6" s="2" t="s">
        <v>3408</v>
      </c>
      <c r="B6" s="135"/>
      <c r="C6" s="135"/>
      <c r="D6" s="129"/>
      <c r="G6" s="130"/>
      <c r="M6" s="2"/>
      <c r="P6" s="33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</row>
    <row r="7" spans="1:99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44" t="s">
        <v>472</v>
      </c>
      <c r="BI7" s="2" t="s">
        <v>472</v>
      </c>
      <c r="BJ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44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D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  <c r="CO7" s="2" t="s">
        <v>472</v>
      </c>
      <c r="CP7" s="2" t="s">
        <v>472</v>
      </c>
      <c r="CQ7" s="2" t="s">
        <v>472</v>
      </c>
      <c r="CR7" s="2" t="s">
        <v>472</v>
      </c>
      <c r="CS7" s="2" t="s">
        <v>472</v>
      </c>
      <c r="CT7" s="2" t="s">
        <v>472</v>
      </c>
      <c r="CU7" s="2" t="s">
        <v>472</v>
      </c>
    </row>
    <row r="8" spans="1:99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2246</v>
      </c>
      <c r="BI8" s="121"/>
      <c r="BJ8" s="2" t="s">
        <v>1999</v>
      </c>
      <c r="BK8" s="63"/>
      <c r="BL8" s="2" t="s">
        <v>1999</v>
      </c>
      <c r="BM8" s="2" t="s">
        <v>1999</v>
      </c>
      <c r="BN8" s="2" t="s">
        <v>1999</v>
      </c>
      <c r="BO8" s="63"/>
      <c r="BP8" s="2" t="s">
        <v>1999</v>
      </c>
      <c r="BQ8" s="63"/>
      <c r="BR8" s="2" t="s">
        <v>1999</v>
      </c>
      <c r="BS8" s="2" t="s">
        <v>2246</v>
      </c>
      <c r="BT8" s="63"/>
      <c r="BU8" s="2" t="s">
        <v>1999</v>
      </c>
      <c r="BV8" s="63"/>
      <c r="BW8" s="2" t="s">
        <v>1999</v>
      </c>
      <c r="BX8" s="63"/>
      <c r="BY8" s="2" t="s">
        <v>1999</v>
      </c>
      <c r="BZ8" s="63"/>
      <c r="CA8" s="2" t="s">
        <v>1999</v>
      </c>
      <c r="CB8" s="2" t="s">
        <v>1999</v>
      </c>
      <c r="CC8" s="2" t="s">
        <v>1999</v>
      </c>
      <c r="CD8" s="63"/>
      <c r="CE8" s="2" t="s">
        <v>1999</v>
      </c>
      <c r="CF8" s="63"/>
      <c r="CG8" s="2" t="s">
        <v>1999</v>
      </c>
      <c r="CH8" s="63"/>
      <c r="CI8" s="2" t="s">
        <v>1999</v>
      </c>
      <c r="CJ8" s="63"/>
      <c r="CK8" s="2" t="s">
        <v>1999</v>
      </c>
      <c r="CL8" s="2" t="s">
        <v>1999</v>
      </c>
      <c r="CM8" s="2" t="s">
        <v>1999</v>
      </c>
      <c r="CN8" s="2" t="s">
        <v>1999</v>
      </c>
      <c r="CO8" s="2" t="s">
        <v>1999</v>
      </c>
      <c r="CP8" s="2" t="s">
        <v>1999</v>
      </c>
      <c r="CQ8" s="2" t="s">
        <v>1999</v>
      </c>
      <c r="CR8" s="2" t="s">
        <v>1999</v>
      </c>
      <c r="CS8" s="2" t="s">
        <v>1999</v>
      </c>
      <c r="CT8" s="2" t="s">
        <v>1999</v>
      </c>
      <c r="CU8" s="2" t="s">
        <v>1999</v>
      </c>
    </row>
    <row r="9" spans="1:99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S9" s="2"/>
      <c r="CD9" s="2" t="s">
        <v>476</v>
      </c>
      <c r="CF9" s="2" t="s">
        <v>476</v>
      </c>
      <c r="CG9" s="2" t="s">
        <v>476</v>
      </c>
      <c r="CI9" s="2" t="s">
        <v>476</v>
      </c>
      <c r="CK9" s="2" t="s">
        <v>476</v>
      </c>
      <c r="CL9" s="2" t="s">
        <v>476</v>
      </c>
      <c r="CM9" s="2" t="s">
        <v>477</v>
      </c>
      <c r="CN9" s="2" t="s">
        <v>477</v>
      </c>
      <c r="CO9" s="2" t="s">
        <v>477</v>
      </c>
      <c r="CP9" s="2" t="s">
        <v>477</v>
      </c>
      <c r="CQ9" s="2" t="s">
        <v>477</v>
      </c>
      <c r="CR9" s="2" t="s">
        <v>477</v>
      </c>
      <c r="CS9" s="2" t="s">
        <v>477</v>
      </c>
      <c r="CT9" s="2" t="s">
        <v>477</v>
      </c>
    </row>
    <row r="10" spans="1:99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1899</v>
      </c>
      <c r="BI10" s="55" t="s">
        <v>1902</v>
      </c>
      <c r="BJ10" s="55" t="s">
        <v>1897</v>
      </c>
      <c r="BK10" s="55" t="s">
        <v>1902</v>
      </c>
      <c r="BL10" s="55" t="s">
        <v>1908</v>
      </c>
      <c r="BM10" s="55" t="s">
        <v>1908</v>
      </c>
      <c r="BN10" s="55" t="s">
        <v>1899</v>
      </c>
      <c r="BO10" s="55" t="s">
        <v>1902</v>
      </c>
      <c r="BP10" s="55" t="s">
        <v>1899</v>
      </c>
      <c r="BQ10" s="55" t="s">
        <v>1902</v>
      </c>
      <c r="BR10" s="55" t="s">
        <v>1899</v>
      </c>
      <c r="BS10" s="15" t="s">
        <v>1899</v>
      </c>
      <c r="BT10" s="55" t="s">
        <v>1902</v>
      </c>
      <c r="BU10" s="55" t="s">
        <v>1909</v>
      </c>
      <c r="BV10" s="55" t="s">
        <v>1910</v>
      </c>
      <c r="BW10" s="55" t="s">
        <v>1909</v>
      </c>
      <c r="BX10" s="55" t="s">
        <v>1910</v>
      </c>
      <c r="BY10" s="55" t="s">
        <v>1909</v>
      </c>
      <c r="BZ10" s="55" t="s">
        <v>1910</v>
      </c>
      <c r="CA10" s="55" t="s">
        <v>1911</v>
      </c>
      <c r="CB10" s="55" t="s">
        <v>1911</v>
      </c>
      <c r="CD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1912</v>
      </c>
      <c r="CO10" s="55" t="s">
        <v>1912</v>
      </c>
      <c r="CP10" s="55" t="s">
        <v>1912</v>
      </c>
      <c r="CQ10" s="55" t="s">
        <v>1912</v>
      </c>
      <c r="CR10" s="55" t="s">
        <v>1912</v>
      </c>
      <c r="CS10" s="55" t="s">
        <v>1912</v>
      </c>
      <c r="CT10" s="55" t="s">
        <v>1912</v>
      </c>
      <c r="CU10" s="55" t="s">
        <v>1913</v>
      </c>
    </row>
    <row r="11" spans="1:99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/>
      <c r="BK11" s="50" t="s">
        <v>1683</v>
      </c>
      <c r="BL11" s="50" t="s">
        <v>1683</v>
      </c>
      <c r="BM11" s="50" t="s">
        <v>1683</v>
      </c>
      <c r="BN11" s="50"/>
      <c r="BO11" s="50" t="s">
        <v>1683</v>
      </c>
      <c r="BP11" s="50"/>
      <c r="BQ11" s="50" t="s">
        <v>1683</v>
      </c>
      <c r="BR11" s="50" t="s">
        <v>1683</v>
      </c>
      <c r="BS11" s="50"/>
      <c r="BT11" s="50" t="s">
        <v>1683</v>
      </c>
      <c r="BU11" s="50" t="s">
        <v>1683</v>
      </c>
      <c r="BV11" s="35"/>
      <c r="BW11" s="50"/>
      <c r="BX11" s="50" t="s">
        <v>1683</v>
      </c>
      <c r="BY11" s="50"/>
      <c r="BZ11" s="50" t="s">
        <v>1683</v>
      </c>
      <c r="CA11" s="50" t="s">
        <v>1683</v>
      </c>
      <c r="CB11" s="50" t="s">
        <v>1683</v>
      </c>
      <c r="CC11" s="50"/>
      <c r="CD11" s="50" t="s">
        <v>1683</v>
      </c>
      <c r="CE11" s="50"/>
      <c r="CF11" s="50" t="s">
        <v>1683</v>
      </c>
      <c r="CG11" s="50"/>
      <c r="CH11" s="50" t="s">
        <v>1683</v>
      </c>
      <c r="CI11" s="50"/>
      <c r="CJ11" s="50" t="s">
        <v>1683</v>
      </c>
      <c r="CK11" s="50" t="s">
        <v>1683</v>
      </c>
      <c r="CL11" s="35"/>
      <c r="CM11" s="35"/>
      <c r="CN11" s="50" t="s">
        <v>1683</v>
      </c>
      <c r="CO11" s="50" t="s">
        <v>1683</v>
      </c>
      <c r="CP11" s="50" t="s">
        <v>1683</v>
      </c>
      <c r="CQ11" s="50"/>
      <c r="CR11" s="50"/>
      <c r="CS11" s="50" t="s">
        <v>1683</v>
      </c>
      <c r="CT11" s="50" t="s">
        <v>1683</v>
      </c>
      <c r="CU11" s="50" t="s">
        <v>1683</v>
      </c>
    </row>
    <row r="12" spans="1:99" s="113" customFormat="1" ht="92.4">
      <c r="A12" s="13" t="s">
        <v>1431</v>
      </c>
      <c r="B12" s="13" t="s">
        <v>2242</v>
      </c>
      <c r="C12" s="13" t="s">
        <v>2785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2786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2" t="s">
        <v>2224</v>
      </c>
      <c r="BI12" s="119" t="s">
        <v>2466</v>
      </c>
      <c r="BJ12" s="13" t="s">
        <v>533</v>
      </c>
      <c r="BK12" s="119" t="s">
        <v>2488</v>
      </c>
      <c r="BL12" s="13" t="s">
        <v>2000</v>
      </c>
      <c r="BM12" s="13" t="s">
        <v>2001</v>
      </c>
      <c r="BN12" s="12" t="s">
        <v>2225</v>
      </c>
      <c r="BO12" s="119" t="s">
        <v>2542</v>
      </c>
      <c r="BP12" s="12" t="s">
        <v>2226</v>
      </c>
      <c r="BQ12" s="119" t="s">
        <v>2624</v>
      </c>
      <c r="BR12" s="13" t="s">
        <v>540</v>
      </c>
      <c r="BS12" s="12" t="s">
        <v>2227</v>
      </c>
      <c r="BT12" s="119" t="s">
        <v>2640</v>
      </c>
      <c r="BU12" s="13" t="s">
        <v>543</v>
      </c>
      <c r="BV12" s="13" t="s">
        <v>2</v>
      </c>
      <c r="BW12" s="12" t="s">
        <v>2228</v>
      </c>
      <c r="BX12" s="119" t="s">
        <v>2655</v>
      </c>
      <c r="BY12" s="12" t="s">
        <v>2229</v>
      </c>
      <c r="BZ12" s="119" t="s">
        <v>2656</v>
      </c>
      <c r="CA12" s="13" t="s">
        <v>1398</v>
      </c>
      <c r="CB12" s="13" t="s">
        <v>1399</v>
      </c>
      <c r="CC12" s="13" t="s">
        <v>3388</v>
      </c>
      <c r="CD12" s="27" t="s">
        <v>3388</v>
      </c>
      <c r="CE12" s="13" t="s">
        <v>3389</v>
      </c>
      <c r="CF12" s="27" t="s">
        <v>3389</v>
      </c>
      <c r="CG12" s="12" t="s">
        <v>2673</v>
      </c>
      <c r="CH12" s="119" t="s">
        <v>2673</v>
      </c>
      <c r="CI12" s="12" t="s">
        <v>2812</v>
      </c>
      <c r="CJ12" s="119" t="s">
        <v>2812</v>
      </c>
      <c r="CK12" s="13" t="s">
        <v>3392</v>
      </c>
      <c r="CL12" s="13" t="s">
        <v>564</v>
      </c>
      <c r="CM12" s="13" t="s">
        <v>2821</v>
      </c>
      <c r="CN12" s="13" t="s">
        <v>568</v>
      </c>
      <c r="CO12" s="13" t="s">
        <v>2209</v>
      </c>
      <c r="CP12" s="13" t="s">
        <v>569</v>
      </c>
      <c r="CQ12" s="13" t="s">
        <v>2822</v>
      </c>
      <c r="CR12" s="13" t="s">
        <v>574</v>
      </c>
      <c r="CS12" s="13" t="s">
        <v>2782</v>
      </c>
      <c r="CT12" s="13" t="s">
        <v>2783</v>
      </c>
      <c r="CU12" s="13" t="s">
        <v>585</v>
      </c>
    </row>
    <row r="13" spans="1:99" ht="13.5" customHeight="1">
      <c r="A13" s="7">
        <v>1</v>
      </c>
      <c r="B13" s="7">
        <v>99000</v>
      </c>
      <c r="C13" s="7">
        <f>ABS(LEFT(D13,1))</f>
        <v>0</v>
      </c>
      <c r="D13" s="28" t="s">
        <v>2255</v>
      </c>
      <c r="E13" s="7">
        <f t="shared" ref="E13:E76" si="0">LENB(F13)</f>
        <v>0</v>
      </c>
      <c r="F13" s="7"/>
      <c r="G13" s="7">
        <f t="shared" ref="G13:G76" si="1">LENB(H13)</f>
        <v>11</v>
      </c>
      <c r="H13" s="7" t="s">
        <v>3390</v>
      </c>
      <c r="I13" s="7">
        <f t="shared" ref="I13:I76" si="2">LENB(J13)</f>
        <v>7</v>
      </c>
      <c r="J13" s="7" t="s">
        <v>3391</v>
      </c>
      <c r="K13" s="7">
        <f t="shared" ref="K13:K76" si="3">LENB(L13)</f>
        <v>7</v>
      </c>
      <c r="L13" s="7" t="s">
        <v>3391</v>
      </c>
      <c r="M13" s="7">
        <f t="shared" ref="M13:M76" si="4">LENB(N13)</f>
        <v>7</v>
      </c>
      <c r="N13" s="7" t="s">
        <v>3391</v>
      </c>
      <c r="O13" s="7">
        <v>750</v>
      </c>
      <c r="P13" s="7" t="s">
        <v>2689</v>
      </c>
      <c r="Q13" s="53"/>
      <c r="R13" s="7">
        <v>12</v>
      </c>
      <c r="S13" s="7">
        <v>16</v>
      </c>
      <c r="T13" s="53"/>
      <c r="U13" s="7">
        <v>1300</v>
      </c>
      <c r="V13" s="7">
        <f>ABS(LEFT(W13,2))</f>
        <v>2</v>
      </c>
      <c r="W13" s="28" t="s">
        <v>621</v>
      </c>
      <c r="X13" s="7">
        <f>ABS(LEFT(Y13,2))</f>
        <v>1</v>
      </c>
      <c r="Y13" s="28" t="s">
        <v>2262</v>
      </c>
      <c r="Z13" s="7">
        <f>ABS(LEFT(AA13,1))</f>
        <v>0</v>
      </c>
      <c r="AA13" s="28" t="s">
        <v>638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4</v>
      </c>
      <c r="AK13" s="28" t="s">
        <v>2662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 t="e">
        <f ca="1">[1]!s直送品納品リードタイム(B13)</f>
        <v>#NAME?</v>
      </c>
      <c r="AS13" s="7"/>
      <c r="AT13" s="7"/>
      <c r="AU13" s="7"/>
      <c r="AV13" s="7">
        <f>ABS(LEFT(AW13,10))</f>
        <v>6501</v>
      </c>
      <c r="AW13" s="28" t="s">
        <v>3061</v>
      </c>
      <c r="AX13" s="7">
        <v>0</v>
      </c>
      <c r="AY13" s="7">
        <f>ABS(LEFT(AZ13,4))</f>
        <v>504</v>
      </c>
      <c r="AZ13" s="28" t="s">
        <v>2338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10</v>
      </c>
      <c r="BG13" s="28" t="s">
        <v>2669</v>
      </c>
      <c r="BH13" s="7">
        <f>ABS(LEFT(BI13,4))</f>
        <v>601</v>
      </c>
      <c r="BI13" s="28" t="s">
        <v>2664</v>
      </c>
      <c r="BJ13" s="7">
        <f>ABS(LEFT(BK13,1))</f>
        <v>1</v>
      </c>
      <c r="BK13" s="28" t="s">
        <v>2487</v>
      </c>
      <c r="BL13" s="7">
        <v>15</v>
      </c>
      <c r="BM13" s="7">
        <v>15</v>
      </c>
      <c r="BN13" s="7">
        <f>ABS(LEFT(BO13,5))</f>
        <v>10209</v>
      </c>
      <c r="BO13" s="28" t="s">
        <v>2519</v>
      </c>
      <c r="BP13" s="7">
        <f>ABS(LEFT(BQ13,5))</f>
        <v>20102</v>
      </c>
      <c r="BQ13" s="28" t="s">
        <v>2591</v>
      </c>
      <c r="BR13" s="7">
        <v>0</v>
      </c>
      <c r="BS13" s="7">
        <f>ABS(LEFT(BT13,2))</f>
        <v>1</v>
      </c>
      <c r="BT13" s="28" t="s">
        <v>2690</v>
      </c>
      <c r="BU13" s="7">
        <v>35</v>
      </c>
      <c r="BV13" s="7" t="e">
        <f ca="1">[1]!tメーカー名(BU13)</f>
        <v>#NAME?</v>
      </c>
      <c r="BW13" s="7">
        <f>ABS(LEFT(BX13,1))</f>
        <v>0</v>
      </c>
      <c r="BX13" s="28" t="s">
        <v>2641</v>
      </c>
      <c r="BY13" s="7" t="e">
        <f>ABS(LEFT(BZ13,1))</f>
        <v>#VALUE!</v>
      </c>
      <c r="BZ13" s="28"/>
      <c r="CA13" s="54" t="s">
        <v>2691</v>
      </c>
      <c r="CB13" s="54" t="s">
        <v>2691</v>
      </c>
      <c r="CC13" s="7">
        <f>ABS(LEFT(CD13,1))</f>
        <v>2</v>
      </c>
      <c r="CD13" s="28" t="s">
        <v>2793</v>
      </c>
      <c r="CE13" s="7">
        <f>ABS(LEFT(CF13,1))</f>
        <v>1</v>
      </c>
      <c r="CF13" s="28" t="s">
        <v>2792</v>
      </c>
      <c r="CG13" s="7">
        <f>ABS(LEFT(CH13,1))</f>
        <v>1</v>
      </c>
      <c r="CH13" s="28" t="s">
        <v>2671</v>
      </c>
      <c r="CI13" s="7">
        <f>ABS(LEFT(CJ13,1))</f>
        <v>2</v>
      </c>
      <c r="CJ13" s="28" t="s">
        <v>2814</v>
      </c>
      <c r="CK13" s="7"/>
      <c r="CL13" s="7"/>
      <c r="CM13" s="7"/>
      <c r="CN13" s="7"/>
      <c r="CO13" s="7"/>
      <c r="CP13" s="7"/>
      <c r="CQ13" s="7"/>
      <c r="CR13" s="7"/>
      <c r="CS13" s="126">
        <f t="shared" ref="CS13:CS44" si="5">O13*(BM13/100)*0.8</f>
        <v>90</v>
      </c>
      <c r="CT13" s="7" t="s">
        <v>2784</v>
      </c>
      <c r="CU13" s="7" t="e">
        <f ca="1">[1]!sITFコード(B13)</f>
        <v>#NAME?</v>
      </c>
    </row>
    <row r="14" spans="1:99" ht="13.5" customHeight="1">
      <c r="A14" s="7">
        <v>2</v>
      </c>
      <c r="B14" s="7"/>
      <c r="C14" s="7" t="e">
        <f>ABS(LEFT(D14,1))</f>
        <v>#VALUE!</v>
      </c>
      <c r="D14" s="28"/>
      <c r="E14" s="7">
        <f t="shared" si="0"/>
        <v>0</v>
      </c>
      <c r="F14" s="7"/>
      <c r="G14" s="7">
        <f t="shared" si="1"/>
        <v>0</v>
      </c>
      <c r="H14" s="7"/>
      <c r="I14" s="7">
        <f t="shared" si="2"/>
        <v>0</v>
      </c>
      <c r="J14" s="7"/>
      <c r="K14" s="7">
        <f t="shared" si="3"/>
        <v>0</v>
      </c>
      <c r="L14" s="7"/>
      <c r="M14" s="7">
        <f t="shared" si="4"/>
        <v>0</v>
      </c>
      <c r="N14" s="7"/>
      <c r="O14" s="7"/>
      <c r="P14" s="7"/>
      <c r="Q14" s="53"/>
      <c r="R14" s="7"/>
      <c r="S14" s="7"/>
      <c r="T14" s="53"/>
      <c r="U14" s="7"/>
      <c r="V14" s="7" t="e">
        <f t="shared" ref="V14:X29" si="6">ABS(LEFT(W14,2))</f>
        <v>#VALUE!</v>
      </c>
      <c r="W14" s="28"/>
      <c r="X14" s="7" t="e">
        <f t="shared" si="6"/>
        <v>#VALUE!</v>
      </c>
      <c r="Y14" s="28"/>
      <c r="Z14" s="7" t="e">
        <f t="shared" ref="Z14:Z77" si="7">ABS(LEFT(AA14,1))</f>
        <v>#VALUE!</v>
      </c>
      <c r="AA14" s="28"/>
      <c r="AB14" s="7"/>
      <c r="AC14" s="7"/>
      <c r="AD14" s="7"/>
      <c r="AE14" s="7"/>
      <c r="AF14" s="7">
        <v>0</v>
      </c>
      <c r="AG14" s="7" t="e">
        <f t="shared" ref="AG14:AG77" si="8">ABS(LEFT(AH14,1))</f>
        <v>#VALUE!</v>
      </c>
      <c r="AH14" s="28"/>
      <c r="AI14" s="7"/>
      <c r="AJ14" s="7" t="e">
        <f t="shared" ref="AJ14:AJ77" si="9">ABS(LEFT(AK14,2))</f>
        <v>#VALUE!</v>
      </c>
      <c r="AK14" s="28"/>
      <c r="AL14" s="7">
        <f t="shared" ref="AL14:AL77" si="10">ABS(LEFT(AM14,1))</f>
        <v>2</v>
      </c>
      <c r="AM14" s="28" t="s">
        <v>2295</v>
      </c>
      <c r="AN14" s="7">
        <f t="shared" ref="AN14:AN77" si="11">ABS(LEFT(AO14,1))</f>
        <v>0</v>
      </c>
      <c r="AO14" s="28" t="s">
        <v>2297</v>
      </c>
      <c r="AP14" s="7">
        <f t="shared" ref="AP14:AP77" si="12">ABS(LEFT(AQ14,1))</f>
        <v>2</v>
      </c>
      <c r="AQ14" s="28" t="s">
        <v>2301</v>
      </c>
      <c r="AR14" s="7"/>
      <c r="AS14" s="7"/>
      <c r="AT14" s="7"/>
      <c r="AU14" s="7"/>
      <c r="AV14" s="7">
        <f t="shared" ref="AV14:AV77" si="13">ABS(LEFT(AW14,10))</f>
        <v>6501</v>
      </c>
      <c r="AW14" s="28" t="s">
        <v>3061</v>
      </c>
      <c r="AX14" s="7">
        <v>0</v>
      </c>
      <c r="AY14" s="7">
        <f t="shared" ref="AY14:AY77" si="14">ABS(LEFT(AZ14,4))</f>
        <v>504</v>
      </c>
      <c r="AZ14" s="28" t="s">
        <v>2338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5">ABS(LEFT(BG14,3))</f>
        <v>10</v>
      </c>
      <c r="BG14" s="28" t="s">
        <v>2669</v>
      </c>
      <c r="BH14" s="7">
        <f t="shared" ref="BH14:BH77" si="16">ABS(LEFT(BI14,4))</f>
        <v>601</v>
      </c>
      <c r="BI14" s="28" t="s">
        <v>2664</v>
      </c>
      <c r="BJ14" s="7">
        <f t="shared" ref="BJ14:BJ77" si="17">ABS(LEFT(BK14,1))</f>
        <v>1</v>
      </c>
      <c r="BK14" s="28" t="s">
        <v>2487</v>
      </c>
      <c r="BL14" s="7">
        <v>10</v>
      </c>
      <c r="BM14" s="7">
        <v>15</v>
      </c>
      <c r="BN14" s="7">
        <f t="shared" ref="BN14:BN77" si="18">ABS(LEFT(BO14,5))</f>
        <v>10209</v>
      </c>
      <c r="BO14" s="28" t="s">
        <v>2519</v>
      </c>
      <c r="BP14" s="7">
        <f t="shared" ref="BP14:BP77" si="19">ABS(LEFT(BQ14,5))</f>
        <v>20102</v>
      </c>
      <c r="BQ14" s="28" t="s">
        <v>2591</v>
      </c>
      <c r="BR14" s="7">
        <v>0</v>
      </c>
      <c r="BS14" s="7">
        <f t="shared" ref="BS14:BS77" si="20">ABS(LEFT(BT14,2))</f>
        <v>1</v>
      </c>
      <c r="BT14" s="28" t="s">
        <v>2690</v>
      </c>
      <c r="BU14" s="7">
        <v>35</v>
      </c>
      <c r="BV14" s="7" t="e">
        <f ca="1">[1]!tメーカー名(BU14)</f>
        <v>#NAME?</v>
      </c>
      <c r="BW14" s="7">
        <f t="shared" ref="BW14:BW77" si="21">ABS(LEFT(BX14,1))</f>
        <v>0</v>
      </c>
      <c r="BX14" s="28" t="s">
        <v>2641</v>
      </c>
      <c r="BY14" s="7" t="e">
        <f t="shared" ref="BY14:BY77" si="22">ABS(LEFT(BZ14,1))</f>
        <v>#VALUE!</v>
      </c>
      <c r="BZ14" s="28"/>
      <c r="CA14" s="54" t="s">
        <v>2691</v>
      </c>
      <c r="CB14" s="54" t="s">
        <v>2691</v>
      </c>
      <c r="CC14" s="7" t="e">
        <f t="shared" ref="CC14:CC77" si="23">ABS(LEFT(CD14,1))</f>
        <v>#VALUE!</v>
      </c>
      <c r="CD14" s="28"/>
      <c r="CE14" s="7" t="e">
        <f t="shared" ref="CE14:CE77" si="24">ABS(LEFT(CF14,1))</f>
        <v>#VALUE!</v>
      </c>
      <c r="CF14" s="28"/>
      <c r="CG14" s="7" t="e">
        <f t="shared" ref="CG14:CG77" si="25">ABS(LEFT(CH14,1))</f>
        <v>#VALUE!</v>
      </c>
      <c r="CH14" s="28"/>
      <c r="CI14" s="7" t="e">
        <f t="shared" ref="CI14:CI77" si="26">ABS(LEFT(CJ14,1))</f>
        <v>#VALUE!</v>
      </c>
      <c r="CJ14" s="28"/>
      <c r="CK14" s="7"/>
      <c r="CL14" s="7"/>
      <c r="CM14" s="7"/>
      <c r="CN14" s="7"/>
      <c r="CO14" s="7"/>
      <c r="CP14" s="7"/>
      <c r="CQ14" s="7"/>
      <c r="CR14" s="7"/>
      <c r="CS14" s="126">
        <f t="shared" si="5"/>
        <v>0</v>
      </c>
      <c r="CT14" s="7"/>
      <c r="CU14" s="7"/>
    </row>
    <row r="15" spans="1:99" ht="13.5" customHeight="1">
      <c r="A15" s="7">
        <v>3</v>
      </c>
      <c r="B15" s="7"/>
      <c r="C15" s="7" t="e">
        <f t="shared" ref="C15:C78" si="27">ABS(LEFT(D15,1))</f>
        <v>#VALUE!</v>
      </c>
      <c r="D15" s="28"/>
      <c r="E15" s="7">
        <f t="shared" si="0"/>
        <v>0</v>
      </c>
      <c r="F15" s="7"/>
      <c r="G15" s="7">
        <f t="shared" si="1"/>
        <v>0</v>
      </c>
      <c r="H15" s="7"/>
      <c r="I15" s="7">
        <f t="shared" si="2"/>
        <v>0</v>
      </c>
      <c r="J15" s="7"/>
      <c r="K15" s="7">
        <f t="shared" si="3"/>
        <v>0</v>
      </c>
      <c r="L15" s="7"/>
      <c r="M15" s="7">
        <f t="shared" si="4"/>
        <v>0</v>
      </c>
      <c r="N15" s="7"/>
      <c r="O15" s="7"/>
      <c r="P15" s="7"/>
      <c r="Q15" s="53"/>
      <c r="R15" s="7"/>
      <c r="S15" s="7"/>
      <c r="T15" s="53"/>
      <c r="U15" s="7"/>
      <c r="V15" s="7" t="e">
        <f t="shared" si="6"/>
        <v>#VALUE!</v>
      </c>
      <c r="W15" s="28"/>
      <c r="X15" s="7" t="e">
        <f t="shared" si="6"/>
        <v>#VALUE!</v>
      </c>
      <c r="Y15" s="28"/>
      <c r="Z15" s="7" t="e">
        <f t="shared" si="7"/>
        <v>#VALUE!</v>
      </c>
      <c r="AA15" s="28"/>
      <c r="AB15" s="7"/>
      <c r="AC15" s="7"/>
      <c r="AD15" s="7"/>
      <c r="AE15" s="7"/>
      <c r="AF15" s="7">
        <v>0</v>
      </c>
      <c r="AG15" s="7" t="e">
        <f t="shared" si="8"/>
        <v>#VALUE!</v>
      </c>
      <c r="AH15" s="28"/>
      <c r="AI15" s="7"/>
      <c r="AJ15" s="7" t="e">
        <f t="shared" si="9"/>
        <v>#VALUE!</v>
      </c>
      <c r="AK15" s="28"/>
      <c r="AL15" s="7">
        <f t="shared" si="10"/>
        <v>2</v>
      </c>
      <c r="AM15" s="28" t="s">
        <v>2295</v>
      </c>
      <c r="AN15" s="7">
        <f t="shared" si="11"/>
        <v>0</v>
      </c>
      <c r="AO15" s="28" t="s">
        <v>2297</v>
      </c>
      <c r="AP15" s="7">
        <f t="shared" si="12"/>
        <v>2</v>
      </c>
      <c r="AQ15" s="28" t="s">
        <v>2301</v>
      </c>
      <c r="AR15" s="7"/>
      <c r="AS15" s="7"/>
      <c r="AT15" s="7"/>
      <c r="AU15" s="7"/>
      <c r="AV15" s="7">
        <f t="shared" si="13"/>
        <v>6501</v>
      </c>
      <c r="AW15" s="28" t="s">
        <v>3061</v>
      </c>
      <c r="AX15" s="7">
        <v>0</v>
      </c>
      <c r="AY15" s="7">
        <f t="shared" si="14"/>
        <v>504</v>
      </c>
      <c r="AZ15" s="28" t="s">
        <v>2338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5"/>
        <v>10</v>
      </c>
      <c r="BG15" s="28" t="s">
        <v>2669</v>
      </c>
      <c r="BH15" s="7">
        <f t="shared" si="16"/>
        <v>601</v>
      </c>
      <c r="BI15" s="28" t="s">
        <v>2664</v>
      </c>
      <c r="BJ15" s="7">
        <f t="shared" si="17"/>
        <v>1</v>
      </c>
      <c r="BK15" s="28" t="s">
        <v>2487</v>
      </c>
      <c r="BL15" s="7">
        <v>10</v>
      </c>
      <c r="BM15" s="7">
        <v>15</v>
      </c>
      <c r="BN15" s="7">
        <f t="shared" si="18"/>
        <v>10209</v>
      </c>
      <c r="BO15" s="28" t="s">
        <v>2519</v>
      </c>
      <c r="BP15" s="7">
        <f t="shared" si="19"/>
        <v>20102</v>
      </c>
      <c r="BQ15" s="28" t="s">
        <v>2591</v>
      </c>
      <c r="BR15" s="7">
        <v>0</v>
      </c>
      <c r="BS15" s="7">
        <f t="shared" si="20"/>
        <v>1</v>
      </c>
      <c r="BT15" s="28" t="s">
        <v>2690</v>
      </c>
      <c r="BU15" s="7">
        <v>35</v>
      </c>
      <c r="BV15" s="7" t="e">
        <f ca="1">[1]!tメーカー名(BU15)</f>
        <v>#NAME?</v>
      </c>
      <c r="BW15" s="7">
        <f t="shared" si="21"/>
        <v>0</v>
      </c>
      <c r="BX15" s="28" t="s">
        <v>2641</v>
      </c>
      <c r="BY15" s="7" t="e">
        <f t="shared" si="22"/>
        <v>#VALUE!</v>
      </c>
      <c r="BZ15" s="28"/>
      <c r="CA15" s="54" t="s">
        <v>2691</v>
      </c>
      <c r="CB15" s="54" t="s">
        <v>2691</v>
      </c>
      <c r="CC15" s="7" t="e">
        <f t="shared" si="23"/>
        <v>#VALUE!</v>
      </c>
      <c r="CD15" s="28"/>
      <c r="CE15" s="7" t="e">
        <f t="shared" si="24"/>
        <v>#VALUE!</v>
      </c>
      <c r="CF15" s="28"/>
      <c r="CG15" s="7" t="e">
        <f t="shared" si="25"/>
        <v>#VALUE!</v>
      </c>
      <c r="CH15" s="28"/>
      <c r="CI15" s="7" t="e">
        <f t="shared" si="26"/>
        <v>#VALUE!</v>
      </c>
      <c r="CJ15" s="28"/>
      <c r="CK15" s="7"/>
      <c r="CL15" s="7"/>
      <c r="CM15" s="7"/>
      <c r="CN15" s="7"/>
      <c r="CO15" s="7"/>
      <c r="CP15" s="7"/>
      <c r="CQ15" s="7"/>
      <c r="CR15" s="7"/>
      <c r="CS15" s="126">
        <f t="shared" si="5"/>
        <v>0</v>
      </c>
      <c r="CT15" s="7"/>
      <c r="CU15" s="7"/>
    </row>
    <row r="16" spans="1:99" ht="13.5" customHeight="1">
      <c r="A16" s="7">
        <v>4</v>
      </c>
      <c r="B16" s="7"/>
      <c r="C16" s="7" t="e">
        <f t="shared" si="27"/>
        <v>#VALUE!</v>
      </c>
      <c r="D16" s="28"/>
      <c r="E16" s="7">
        <f t="shared" si="0"/>
        <v>0</v>
      </c>
      <c r="F16" s="7"/>
      <c r="G16" s="7">
        <f t="shared" si="1"/>
        <v>0</v>
      </c>
      <c r="H16" s="7"/>
      <c r="I16" s="7">
        <f t="shared" si="2"/>
        <v>0</v>
      </c>
      <c r="J16" s="7"/>
      <c r="K16" s="7">
        <f t="shared" si="3"/>
        <v>0</v>
      </c>
      <c r="L16" s="7"/>
      <c r="M16" s="7">
        <f t="shared" si="4"/>
        <v>0</v>
      </c>
      <c r="N16" s="7"/>
      <c r="O16" s="7"/>
      <c r="P16" s="7"/>
      <c r="Q16" s="53"/>
      <c r="R16" s="7"/>
      <c r="S16" s="7"/>
      <c r="T16" s="53"/>
      <c r="U16" s="7"/>
      <c r="V16" s="7" t="e">
        <f t="shared" si="6"/>
        <v>#VALUE!</v>
      </c>
      <c r="W16" s="28"/>
      <c r="X16" s="7" t="e">
        <f t="shared" si="6"/>
        <v>#VALUE!</v>
      </c>
      <c r="Y16" s="28"/>
      <c r="Z16" s="7" t="e">
        <f t="shared" si="7"/>
        <v>#VALUE!</v>
      </c>
      <c r="AA16" s="28"/>
      <c r="AB16" s="7"/>
      <c r="AC16" s="7"/>
      <c r="AD16" s="7"/>
      <c r="AE16" s="7"/>
      <c r="AF16" s="7">
        <v>0</v>
      </c>
      <c r="AG16" s="7" t="e">
        <f t="shared" si="8"/>
        <v>#VALUE!</v>
      </c>
      <c r="AH16" s="28"/>
      <c r="AI16" s="7"/>
      <c r="AJ16" s="7" t="e">
        <f t="shared" si="9"/>
        <v>#VALUE!</v>
      </c>
      <c r="AK16" s="28"/>
      <c r="AL16" s="7">
        <f t="shared" si="10"/>
        <v>2</v>
      </c>
      <c r="AM16" s="28" t="s">
        <v>2295</v>
      </c>
      <c r="AN16" s="7">
        <f t="shared" si="11"/>
        <v>0</v>
      </c>
      <c r="AO16" s="28" t="s">
        <v>2297</v>
      </c>
      <c r="AP16" s="7">
        <f t="shared" si="12"/>
        <v>2</v>
      </c>
      <c r="AQ16" s="28" t="s">
        <v>2301</v>
      </c>
      <c r="AR16" s="7"/>
      <c r="AS16" s="7"/>
      <c r="AT16" s="7"/>
      <c r="AU16" s="7"/>
      <c r="AV16" s="7">
        <f t="shared" si="13"/>
        <v>6501</v>
      </c>
      <c r="AW16" s="28" t="s">
        <v>3061</v>
      </c>
      <c r="AX16" s="7">
        <v>0</v>
      </c>
      <c r="AY16" s="7">
        <f t="shared" si="14"/>
        <v>504</v>
      </c>
      <c r="AZ16" s="28" t="s">
        <v>2338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5"/>
        <v>10</v>
      </c>
      <c r="BG16" s="28" t="s">
        <v>2669</v>
      </c>
      <c r="BH16" s="7">
        <f t="shared" si="16"/>
        <v>601</v>
      </c>
      <c r="BI16" s="28" t="s">
        <v>2664</v>
      </c>
      <c r="BJ16" s="7">
        <f t="shared" si="17"/>
        <v>1</v>
      </c>
      <c r="BK16" s="28" t="s">
        <v>2487</v>
      </c>
      <c r="BL16" s="7">
        <v>10</v>
      </c>
      <c r="BM16" s="7">
        <v>15</v>
      </c>
      <c r="BN16" s="7">
        <f t="shared" si="18"/>
        <v>10209</v>
      </c>
      <c r="BO16" s="28" t="s">
        <v>2519</v>
      </c>
      <c r="BP16" s="7">
        <f t="shared" si="19"/>
        <v>20102</v>
      </c>
      <c r="BQ16" s="28" t="s">
        <v>2591</v>
      </c>
      <c r="BR16" s="7">
        <v>0</v>
      </c>
      <c r="BS16" s="7">
        <f t="shared" si="20"/>
        <v>1</v>
      </c>
      <c r="BT16" s="28" t="s">
        <v>2690</v>
      </c>
      <c r="BU16" s="7">
        <v>35</v>
      </c>
      <c r="BV16" s="7" t="e">
        <f ca="1">[1]!tメーカー名(BU16)</f>
        <v>#NAME?</v>
      </c>
      <c r="BW16" s="7">
        <f t="shared" si="21"/>
        <v>0</v>
      </c>
      <c r="BX16" s="28" t="s">
        <v>2641</v>
      </c>
      <c r="BY16" s="7" t="e">
        <f t="shared" si="22"/>
        <v>#VALUE!</v>
      </c>
      <c r="BZ16" s="28"/>
      <c r="CA16" s="54" t="s">
        <v>2691</v>
      </c>
      <c r="CB16" s="54" t="s">
        <v>2691</v>
      </c>
      <c r="CC16" s="7" t="e">
        <f t="shared" si="23"/>
        <v>#VALUE!</v>
      </c>
      <c r="CD16" s="28"/>
      <c r="CE16" s="7" t="e">
        <f t="shared" si="24"/>
        <v>#VALUE!</v>
      </c>
      <c r="CF16" s="28"/>
      <c r="CG16" s="7" t="e">
        <f t="shared" si="25"/>
        <v>#VALUE!</v>
      </c>
      <c r="CH16" s="28"/>
      <c r="CI16" s="7" t="e">
        <f t="shared" si="26"/>
        <v>#VALUE!</v>
      </c>
      <c r="CJ16" s="28"/>
      <c r="CK16" s="7"/>
      <c r="CL16" s="7"/>
      <c r="CM16" s="7"/>
      <c r="CN16" s="7"/>
      <c r="CO16" s="7"/>
      <c r="CP16" s="7"/>
      <c r="CQ16" s="7"/>
      <c r="CR16" s="7"/>
      <c r="CS16" s="126">
        <f t="shared" si="5"/>
        <v>0</v>
      </c>
      <c r="CT16" s="7"/>
      <c r="CU16" s="7"/>
    </row>
    <row r="17" spans="1:99" ht="13.5" customHeight="1">
      <c r="A17" s="7">
        <v>5</v>
      </c>
      <c r="B17" s="7"/>
      <c r="C17" s="7" t="e">
        <f t="shared" si="27"/>
        <v>#VALUE!</v>
      </c>
      <c r="D17" s="28"/>
      <c r="E17" s="7">
        <f t="shared" si="0"/>
        <v>0</v>
      </c>
      <c r="F17" s="7"/>
      <c r="G17" s="7">
        <f t="shared" si="1"/>
        <v>0</v>
      </c>
      <c r="H17" s="7"/>
      <c r="I17" s="7">
        <f t="shared" si="2"/>
        <v>0</v>
      </c>
      <c r="J17" s="7"/>
      <c r="K17" s="7">
        <f t="shared" si="3"/>
        <v>0</v>
      </c>
      <c r="L17" s="7"/>
      <c r="M17" s="7">
        <f t="shared" si="4"/>
        <v>0</v>
      </c>
      <c r="N17" s="7"/>
      <c r="O17" s="7"/>
      <c r="P17" s="7"/>
      <c r="Q17" s="53"/>
      <c r="R17" s="7"/>
      <c r="S17" s="7"/>
      <c r="T17" s="53"/>
      <c r="U17" s="7"/>
      <c r="V17" s="7" t="e">
        <f t="shared" si="6"/>
        <v>#VALUE!</v>
      </c>
      <c r="W17" s="28"/>
      <c r="X17" s="7" t="e">
        <f t="shared" si="6"/>
        <v>#VALUE!</v>
      </c>
      <c r="Y17" s="28"/>
      <c r="Z17" s="7" t="e">
        <f t="shared" si="7"/>
        <v>#VALUE!</v>
      </c>
      <c r="AA17" s="28"/>
      <c r="AB17" s="7"/>
      <c r="AC17" s="7"/>
      <c r="AD17" s="7"/>
      <c r="AE17" s="7"/>
      <c r="AF17" s="7">
        <v>0</v>
      </c>
      <c r="AG17" s="7" t="e">
        <f t="shared" si="8"/>
        <v>#VALUE!</v>
      </c>
      <c r="AH17" s="28"/>
      <c r="AI17" s="7"/>
      <c r="AJ17" s="7" t="e">
        <f t="shared" si="9"/>
        <v>#VALUE!</v>
      </c>
      <c r="AK17" s="28"/>
      <c r="AL17" s="7">
        <f t="shared" si="10"/>
        <v>2</v>
      </c>
      <c r="AM17" s="28" t="s">
        <v>2295</v>
      </c>
      <c r="AN17" s="7">
        <f t="shared" si="11"/>
        <v>0</v>
      </c>
      <c r="AO17" s="28" t="s">
        <v>2297</v>
      </c>
      <c r="AP17" s="7">
        <f t="shared" si="12"/>
        <v>2</v>
      </c>
      <c r="AQ17" s="28" t="s">
        <v>2301</v>
      </c>
      <c r="AR17" s="7"/>
      <c r="AS17" s="7"/>
      <c r="AT17" s="7"/>
      <c r="AU17" s="7"/>
      <c r="AV17" s="7">
        <f t="shared" si="13"/>
        <v>6501</v>
      </c>
      <c r="AW17" s="28" t="s">
        <v>3061</v>
      </c>
      <c r="AX17" s="7">
        <v>0</v>
      </c>
      <c r="AY17" s="7">
        <f t="shared" si="14"/>
        <v>604</v>
      </c>
      <c r="AZ17" s="28" t="s">
        <v>2372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5"/>
        <v>10</v>
      </c>
      <c r="BG17" s="28" t="s">
        <v>2669</v>
      </c>
      <c r="BH17" s="7">
        <f t="shared" si="16"/>
        <v>601</v>
      </c>
      <c r="BI17" s="28" t="s">
        <v>2664</v>
      </c>
      <c r="BJ17" s="7">
        <f t="shared" si="17"/>
        <v>1</v>
      </c>
      <c r="BK17" s="28" t="s">
        <v>2487</v>
      </c>
      <c r="BL17" s="7">
        <v>10</v>
      </c>
      <c r="BM17" s="7">
        <v>15</v>
      </c>
      <c r="BN17" s="7">
        <f t="shared" si="18"/>
        <v>10209</v>
      </c>
      <c r="BO17" s="28" t="s">
        <v>2519</v>
      </c>
      <c r="BP17" s="7">
        <f t="shared" si="19"/>
        <v>20102</v>
      </c>
      <c r="BQ17" s="28" t="s">
        <v>2591</v>
      </c>
      <c r="BR17" s="7">
        <v>0</v>
      </c>
      <c r="BS17" s="7">
        <f t="shared" si="20"/>
        <v>7</v>
      </c>
      <c r="BT17" s="28" t="s">
        <v>2709</v>
      </c>
      <c r="BU17" s="7">
        <v>35</v>
      </c>
      <c r="BV17" s="7" t="e">
        <f ca="1">[1]!tメーカー名(BU17)</f>
        <v>#NAME?</v>
      </c>
      <c r="BW17" s="7">
        <f t="shared" si="21"/>
        <v>0</v>
      </c>
      <c r="BX17" s="28" t="s">
        <v>2641</v>
      </c>
      <c r="BY17" s="7" t="e">
        <f t="shared" si="22"/>
        <v>#VALUE!</v>
      </c>
      <c r="BZ17" s="28"/>
      <c r="CA17" s="54" t="s">
        <v>2666</v>
      </c>
      <c r="CB17" s="54" t="s">
        <v>2666</v>
      </c>
      <c r="CC17" s="7" t="e">
        <f t="shared" si="23"/>
        <v>#VALUE!</v>
      </c>
      <c r="CD17" s="28"/>
      <c r="CE17" s="7" t="e">
        <f t="shared" si="24"/>
        <v>#VALUE!</v>
      </c>
      <c r="CF17" s="28"/>
      <c r="CG17" s="7" t="e">
        <f t="shared" si="25"/>
        <v>#VALUE!</v>
      </c>
      <c r="CH17" s="28"/>
      <c r="CI17" s="7" t="e">
        <f t="shared" si="26"/>
        <v>#VALUE!</v>
      </c>
      <c r="CJ17" s="28"/>
      <c r="CK17" s="7"/>
      <c r="CL17" s="7"/>
      <c r="CM17" s="7"/>
      <c r="CN17" s="7"/>
      <c r="CO17" s="7"/>
      <c r="CP17" s="7"/>
      <c r="CQ17" s="7"/>
      <c r="CR17" s="7"/>
      <c r="CS17" s="126">
        <f t="shared" si="5"/>
        <v>0</v>
      </c>
      <c r="CT17" s="7"/>
      <c r="CU17" s="7"/>
    </row>
    <row r="18" spans="1:99" ht="13.5" customHeight="1">
      <c r="A18" s="7">
        <v>6</v>
      </c>
      <c r="B18" s="7"/>
      <c r="C18" s="7" t="e">
        <f t="shared" si="27"/>
        <v>#VALUE!</v>
      </c>
      <c r="D18" s="28"/>
      <c r="E18" s="7">
        <f t="shared" si="0"/>
        <v>0</v>
      </c>
      <c r="F18" s="7"/>
      <c r="G18" s="7">
        <f t="shared" si="1"/>
        <v>0</v>
      </c>
      <c r="H18" s="7"/>
      <c r="I18" s="7">
        <f t="shared" si="2"/>
        <v>0</v>
      </c>
      <c r="J18" s="125"/>
      <c r="K18" s="7">
        <f t="shared" si="3"/>
        <v>0</v>
      </c>
      <c r="L18" s="7"/>
      <c r="M18" s="7">
        <f t="shared" si="4"/>
        <v>0</v>
      </c>
      <c r="N18" s="7"/>
      <c r="O18" s="7"/>
      <c r="P18" s="7"/>
      <c r="Q18" s="53"/>
      <c r="R18" s="7"/>
      <c r="S18" s="7"/>
      <c r="T18" s="53"/>
      <c r="U18" s="7"/>
      <c r="V18" s="7" t="e">
        <f t="shared" si="6"/>
        <v>#VALUE!</v>
      </c>
      <c r="W18" s="28"/>
      <c r="X18" s="7" t="e">
        <f t="shared" si="6"/>
        <v>#VALUE!</v>
      </c>
      <c r="Y18" s="28"/>
      <c r="Z18" s="7" t="e">
        <f t="shared" si="7"/>
        <v>#VALUE!</v>
      </c>
      <c r="AA18" s="28"/>
      <c r="AB18" s="7"/>
      <c r="AC18" s="7"/>
      <c r="AD18" s="7"/>
      <c r="AE18" s="7"/>
      <c r="AF18" s="7">
        <v>0</v>
      </c>
      <c r="AG18" s="7" t="e">
        <f t="shared" si="8"/>
        <v>#VALUE!</v>
      </c>
      <c r="AH18" s="28"/>
      <c r="AI18" s="7"/>
      <c r="AJ18" s="7" t="e">
        <f t="shared" si="9"/>
        <v>#VALUE!</v>
      </c>
      <c r="AK18" s="28"/>
      <c r="AL18" s="7">
        <f t="shared" si="10"/>
        <v>2</v>
      </c>
      <c r="AM18" s="28" t="s">
        <v>2295</v>
      </c>
      <c r="AN18" s="7">
        <f t="shared" si="11"/>
        <v>0</v>
      </c>
      <c r="AO18" s="28" t="s">
        <v>2297</v>
      </c>
      <c r="AP18" s="7">
        <f t="shared" si="12"/>
        <v>2</v>
      </c>
      <c r="AQ18" s="28" t="s">
        <v>2301</v>
      </c>
      <c r="AR18" s="7"/>
      <c r="AS18" s="7"/>
      <c r="AT18" s="7"/>
      <c r="AU18" s="7"/>
      <c r="AV18" s="7">
        <f t="shared" si="13"/>
        <v>6501</v>
      </c>
      <c r="AW18" s="28" t="s">
        <v>3061</v>
      </c>
      <c r="AX18" s="7">
        <v>0</v>
      </c>
      <c r="AY18" s="7">
        <f t="shared" si="14"/>
        <v>505</v>
      </c>
      <c r="AZ18" s="28" t="s">
        <v>2339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5"/>
        <v>10</v>
      </c>
      <c r="BG18" s="28" t="s">
        <v>2669</v>
      </c>
      <c r="BH18" s="7">
        <f t="shared" si="16"/>
        <v>601</v>
      </c>
      <c r="BI18" s="28" t="s">
        <v>2664</v>
      </c>
      <c r="BJ18" s="7">
        <f t="shared" si="17"/>
        <v>1</v>
      </c>
      <c r="BK18" s="28" t="s">
        <v>2487</v>
      </c>
      <c r="BL18" s="7">
        <v>10</v>
      </c>
      <c r="BM18" s="7">
        <v>15</v>
      </c>
      <c r="BN18" s="7">
        <f t="shared" si="18"/>
        <v>10209</v>
      </c>
      <c r="BO18" s="28" t="s">
        <v>2519</v>
      </c>
      <c r="BP18" s="7">
        <f t="shared" si="19"/>
        <v>20102</v>
      </c>
      <c r="BQ18" s="28" t="s">
        <v>2591</v>
      </c>
      <c r="BR18" s="7">
        <v>0</v>
      </c>
      <c r="BS18" s="7">
        <f t="shared" si="20"/>
        <v>7</v>
      </c>
      <c r="BT18" s="28" t="s">
        <v>2709</v>
      </c>
      <c r="BU18" s="7">
        <v>35</v>
      </c>
      <c r="BV18" s="7" t="e">
        <f ca="1">[1]!tメーカー名(BU18)</f>
        <v>#NAME?</v>
      </c>
      <c r="BW18" s="7">
        <f t="shared" si="21"/>
        <v>0</v>
      </c>
      <c r="BX18" s="28" t="s">
        <v>2641</v>
      </c>
      <c r="BY18" s="7" t="e">
        <f t="shared" si="22"/>
        <v>#VALUE!</v>
      </c>
      <c r="BZ18" s="28"/>
      <c r="CA18" s="54" t="s">
        <v>2666</v>
      </c>
      <c r="CB18" s="54" t="s">
        <v>2666</v>
      </c>
      <c r="CC18" s="7" t="e">
        <f t="shared" si="23"/>
        <v>#VALUE!</v>
      </c>
      <c r="CD18" s="28"/>
      <c r="CE18" s="7" t="e">
        <f t="shared" si="24"/>
        <v>#VALUE!</v>
      </c>
      <c r="CF18" s="28"/>
      <c r="CG18" s="7" t="e">
        <f t="shared" si="25"/>
        <v>#VALUE!</v>
      </c>
      <c r="CH18" s="28"/>
      <c r="CI18" s="7" t="e">
        <f t="shared" si="26"/>
        <v>#VALUE!</v>
      </c>
      <c r="CJ18" s="28"/>
      <c r="CK18" s="7"/>
      <c r="CL18" s="7"/>
      <c r="CM18" s="7"/>
      <c r="CN18" s="7"/>
      <c r="CO18" s="7"/>
      <c r="CP18" s="7"/>
      <c r="CQ18" s="7"/>
      <c r="CR18" s="7"/>
      <c r="CS18" s="126">
        <f t="shared" si="5"/>
        <v>0</v>
      </c>
      <c r="CT18" s="7"/>
      <c r="CU18" s="7"/>
    </row>
    <row r="19" spans="1:99" ht="13.5" customHeight="1">
      <c r="A19" s="7">
        <v>7</v>
      </c>
      <c r="B19" s="7"/>
      <c r="C19" s="7" t="e">
        <f t="shared" si="27"/>
        <v>#VALUE!</v>
      </c>
      <c r="D19" s="28"/>
      <c r="E19" s="7">
        <f t="shared" si="0"/>
        <v>0</v>
      </c>
      <c r="F19" s="7"/>
      <c r="G19" s="7">
        <f t="shared" si="1"/>
        <v>0</v>
      </c>
      <c r="H19" s="7"/>
      <c r="I19" s="7">
        <f t="shared" si="2"/>
        <v>0</v>
      </c>
      <c r="J19" s="7"/>
      <c r="K19" s="7">
        <f t="shared" si="3"/>
        <v>0</v>
      </c>
      <c r="L19" s="7"/>
      <c r="M19" s="7">
        <f t="shared" si="4"/>
        <v>0</v>
      </c>
      <c r="N19" s="7"/>
      <c r="O19" s="7"/>
      <c r="P19" s="7"/>
      <c r="Q19" s="53"/>
      <c r="R19" s="7"/>
      <c r="S19" s="7"/>
      <c r="T19" s="53"/>
      <c r="U19" s="7"/>
      <c r="V19" s="7" t="e">
        <f t="shared" si="6"/>
        <v>#VALUE!</v>
      </c>
      <c r="W19" s="28"/>
      <c r="X19" s="7" t="e">
        <f t="shared" si="6"/>
        <v>#VALUE!</v>
      </c>
      <c r="Y19" s="28"/>
      <c r="Z19" s="7" t="e">
        <f t="shared" si="7"/>
        <v>#VALUE!</v>
      </c>
      <c r="AA19" s="28"/>
      <c r="AB19" s="7"/>
      <c r="AC19" s="7"/>
      <c r="AD19" s="7"/>
      <c r="AE19" s="7"/>
      <c r="AF19" s="7">
        <v>0</v>
      </c>
      <c r="AG19" s="7" t="e">
        <f t="shared" si="8"/>
        <v>#VALUE!</v>
      </c>
      <c r="AH19" s="28"/>
      <c r="AI19" s="7"/>
      <c r="AJ19" s="7" t="e">
        <f t="shared" si="9"/>
        <v>#VALUE!</v>
      </c>
      <c r="AK19" s="28"/>
      <c r="AL19" s="7">
        <f t="shared" si="10"/>
        <v>2</v>
      </c>
      <c r="AM19" s="28" t="s">
        <v>2295</v>
      </c>
      <c r="AN19" s="7">
        <f t="shared" si="11"/>
        <v>0</v>
      </c>
      <c r="AO19" s="28" t="s">
        <v>2297</v>
      </c>
      <c r="AP19" s="7">
        <f t="shared" si="12"/>
        <v>2</v>
      </c>
      <c r="AQ19" s="28" t="s">
        <v>2301</v>
      </c>
      <c r="AR19" s="7"/>
      <c r="AS19" s="7"/>
      <c r="AT19" s="7"/>
      <c r="AU19" s="7"/>
      <c r="AV19" s="7">
        <f t="shared" si="13"/>
        <v>6501</v>
      </c>
      <c r="AW19" s="28" t="s">
        <v>3061</v>
      </c>
      <c r="AX19" s="7">
        <v>0</v>
      </c>
      <c r="AY19" s="7">
        <f t="shared" si="14"/>
        <v>505</v>
      </c>
      <c r="AZ19" s="28" t="s">
        <v>2339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5"/>
        <v>10</v>
      </c>
      <c r="BG19" s="28" t="s">
        <v>2669</v>
      </c>
      <c r="BH19" s="7">
        <f t="shared" si="16"/>
        <v>601</v>
      </c>
      <c r="BI19" s="28" t="s">
        <v>2664</v>
      </c>
      <c r="BJ19" s="7">
        <f t="shared" si="17"/>
        <v>1</v>
      </c>
      <c r="BK19" s="28" t="s">
        <v>2487</v>
      </c>
      <c r="BL19" s="7">
        <v>10</v>
      </c>
      <c r="BM19" s="7">
        <v>15</v>
      </c>
      <c r="BN19" s="7">
        <f t="shared" si="18"/>
        <v>10209</v>
      </c>
      <c r="BO19" s="28" t="s">
        <v>2519</v>
      </c>
      <c r="BP19" s="7">
        <f t="shared" si="19"/>
        <v>20102</v>
      </c>
      <c r="BQ19" s="28" t="s">
        <v>2591</v>
      </c>
      <c r="BR19" s="7">
        <v>0</v>
      </c>
      <c r="BS19" s="7">
        <f t="shared" si="20"/>
        <v>7</v>
      </c>
      <c r="BT19" s="28" t="s">
        <v>2709</v>
      </c>
      <c r="BU19" s="7">
        <v>35</v>
      </c>
      <c r="BV19" s="7" t="e">
        <f ca="1">[1]!tメーカー名(BU19)</f>
        <v>#NAME?</v>
      </c>
      <c r="BW19" s="7">
        <f t="shared" si="21"/>
        <v>0</v>
      </c>
      <c r="BX19" s="28" t="s">
        <v>2641</v>
      </c>
      <c r="BY19" s="7" t="e">
        <f t="shared" si="22"/>
        <v>#VALUE!</v>
      </c>
      <c r="BZ19" s="28"/>
      <c r="CA19" s="54" t="s">
        <v>2666</v>
      </c>
      <c r="CB19" s="54" t="s">
        <v>2666</v>
      </c>
      <c r="CC19" s="7" t="e">
        <f t="shared" si="23"/>
        <v>#VALUE!</v>
      </c>
      <c r="CD19" s="28"/>
      <c r="CE19" s="7" t="e">
        <f t="shared" si="24"/>
        <v>#VALUE!</v>
      </c>
      <c r="CF19" s="28"/>
      <c r="CG19" s="7" t="e">
        <f t="shared" si="25"/>
        <v>#VALUE!</v>
      </c>
      <c r="CH19" s="28"/>
      <c r="CI19" s="7" t="e">
        <f t="shared" si="26"/>
        <v>#VALUE!</v>
      </c>
      <c r="CJ19" s="28"/>
      <c r="CK19" s="7"/>
      <c r="CL19" s="7"/>
      <c r="CM19" s="7"/>
      <c r="CN19" s="7"/>
      <c r="CO19" s="7"/>
      <c r="CP19" s="7"/>
      <c r="CQ19" s="7"/>
      <c r="CR19" s="7"/>
      <c r="CS19" s="126">
        <f t="shared" si="5"/>
        <v>0</v>
      </c>
      <c r="CT19" s="7"/>
      <c r="CU19" s="7"/>
    </row>
    <row r="20" spans="1:99" ht="13.5" customHeight="1">
      <c r="A20" s="7">
        <v>8</v>
      </c>
      <c r="B20" s="7"/>
      <c r="C20" s="7" t="e">
        <f t="shared" si="27"/>
        <v>#VALUE!</v>
      </c>
      <c r="D20" s="28"/>
      <c r="E20" s="7">
        <f t="shared" si="0"/>
        <v>0</v>
      </c>
      <c r="F20" s="7"/>
      <c r="G20" s="7">
        <f t="shared" si="1"/>
        <v>0</v>
      </c>
      <c r="H20" s="7"/>
      <c r="I20" s="7">
        <f t="shared" si="2"/>
        <v>0</v>
      </c>
      <c r="J20" s="7"/>
      <c r="K20" s="7">
        <f t="shared" si="3"/>
        <v>0</v>
      </c>
      <c r="L20" s="7"/>
      <c r="M20" s="7">
        <f t="shared" si="4"/>
        <v>0</v>
      </c>
      <c r="N20" s="7"/>
      <c r="O20" s="7"/>
      <c r="P20" s="7"/>
      <c r="Q20" s="53"/>
      <c r="R20" s="7"/>
      <c r="S20" s="7"/>
      <c r="T20" s="53"/>
      <c r="U20" s="7"/>
      <c r="V20" s="7" t="e">
        <f t="shared" si="6"/>
        <v>#VALUE!</v>
      </c>
      <c r="W20" s="28"/>
      <c r="X20" s="7" t="e">
        <f t="shared" si="6"/>
        <v>#VALUE!</v>
      </c>
      <c r="Y20" s="28"/>
      <c r="Z20" s="7" t="e">
        <f t="shared" si="7"/>
        <v>#VALUE!</v>
      </c>
      <c r="AA20" s="28"/>
      <c r="AB20" s="7"/>
      <c r="AC20" s="7"/>
      <c r="AD20" s="7"/>
      <c r="AE20" s="7"/>
      <c r="AF20" s="7">
        <v>0</v>
      </c>
      <c r="AG20" s="7" t="e">
        <f t="shared" si="8"/>
        <v>#VALUE!</v>
      </c>
      <c r="AH20" s="28"/>
      <c r="AI20" s="7"/>
      <c r="AJ20" s="7" t="e">
        <f t="shared" si="9"/>
        <v>#VALUE!</v>
      </c>
      <c r="AK20" s="28"/>
      <c r="AL20" s="7">
        <f t="shared" si="10"/>
        <v>2</v>
      </c>
      <c r="AM20" s="28" t="s">
        <v>2295</v>
      </c>
      <c r="AN20" s="7">
        <f t="shared" si="11"/>
        <v>0</v>
      </c>
      <c r="AO20" s="28" t="s">
        <v>2297</v>
      </c>
      <c r="AP20" s="7">
        <f t="shared" si="12"/>
        <v>2</v>
      </c>
      <c r="AQ20" s="28" t="s">
        <v>2301</v>
      </c>
      <c r="AR20" s="7"/>
      <c r="AS20" s="7"/>
      <c r="AT20" s="7"/>
      <c r="AU20" s="7"/>
      <c r="AV20" s="7">
        <f t="shared" si="13"/>
        <v>6501</v>
      </c>
      <c r="AW20" s="28" t="s">
        <v>3061</v>
      </c>
      <c r="AX20" s="7">
        <v>0</v>
      </c>
      <c r="AY20" s="7">
        <f t="shared" si="14"/>
        <v>505</v>
      </c>
      <c r="AZ20" s="28" t="s">
        <v>2339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5"/>
        <v>10</v>
      </c>
      <c r="BG20" s="28" t="s">
        <v>2669</v>
      </c>
      <c r="BH20" s="7">
        <f t="shared" si="16"/>
        <v>601</v>
      </c>
      <c r="BI20" s="28" t="s">
        <v>2664</v>
      </c>
      <c r="BJ20" s="7">
        <f t="shared" si="17"/>
        <v>1</v>
      </c>
      <c r="BK20" s="28" t="s">
        <v>2487</v>
      </c>
      <c r="BL20" s="7">
        <v>10</v>
      </c>
      <c r="BM20" s="7">
        <v>15</v>
      </c>
      <c r="BN20" s="7">
        <f t="shared" si="18"/>
        <v>10209</v>
      </c>
      <c r="BO20" s="28" t="s">
        <v>2519</v>
      </c>
      <c r="BP20" s="7">
        <f t="shared" si="19"/>
        <v>20102</v>
      </c>
      <c r="BQ20" s="28" t="s">
        <v>2591</v>
      </c>
      <c r="BR20" s="7">
        <v>0</v>
      </c>
      <c r="BS20" s="7">
        <f t="shared" si="20"/>
        <v>7</v>
      </c>
      <c r="BT20" s="28" t="s">
        <v>2709</v>
      </c>
      <c r="BU20" s="7">
        <v>35</v>
      </c>
      <c r="BV20" s="7" t="e">
        <f ca="1">[1]!tメーカー名(BU20)</f>
        <v>#NAME?</v>
      </c>
      <c r="BW20" s="7">
        <f t="shared" si="21"/>
        <v>0</v>
      </c>
      <c r="BX20" s="28" t="s">
        <v>2641</v>
      </c>
      <c r="BY20" s="7" t="e">
        <f t="shared" si="22"/>
        <v>#VALUE!</v>
      </c>
      <c r="BZ20" s="28"/>
      <c r="CA20" s="54" t="s">
        <v>2666</v>
      </c>
      <c r="CB20" s="54" t="s">
        <v>2666</v>
      </c>
      <c r="CC20" s="7" t="e">
        <f t="shared" si="23"/>
        <v>#VALUE!</v>
      </c>
      <c r="CD20" s="28"/>
      <c r="CE20" s="7" t="e">
        <f t="shared" si="24"/>
        <v>#VALUE!</v>
      </c>
      <c r="CF20" s="28"/>
      <c r="CG20" s="7" t="e">
        <f t="shared" si="25"/>
        <v>#VALUE!</v>
      </c>
      <c r="CH20" s="28"/>
      <c r="CI20" s="7" t="e">
        <f t="shared" si="26"/>
        <v>#VALUE!</v>
      </c>
      <c r="CJ20" s="28"/>
      <c r="CK20" s="7"/>
      <c r="CL20" s="7"/>
      <c r="CM20" s="7"/>
      <c r="CN20" s="7"/>
      <c r="CO20" s="7"/>
      <c r="CP20" s="7"/>
      <c r="CQ20" s="7"/>
      <c r="CR20" s="7"/>
      <c r="CS20" s="126">
        <f t="shared" si="5"/>
        <v>0</v>
      </c>
      <c r="CT20" s="7"/>
      <c r="CU20" s="7"/>
    </row>
    <row r="21" spans="1:99" ht="13.5" customHeight="1">
      <c r="A21" s="7">
        <v>9</v>
      </c>
      <c r="B21" s="7"/>
      <c r="C21" s="7" t="e">
        <f t="shared" si="27"/>
        <v>#VALUE!</v>
      </c>
      <c r="D21" s="28"/>
      <c r="E21" s="7">
        <f t="shared" si="0"/>
        <v>0</v>
      </c>
      <c r="F21" s="7"/>
      <c r="G21" s="7">
        <f t="shared" si="1"/>
        <v>0</v>
      </c>
      <c r="H21" s="7"/>
      <c r="I21" s="7">
        <f t="shared" si="2"/>
        <v>0</v>
      </c>
      <c r="J21" s="7"/>
      <c r="K21" s="7">
        <f t="shared" si="3"/>
        <v>0</v>
      </c>
      <c r="L21" s="7"/>
      <c r="M21" s="7">
        <f t="shared" si="4"/>
        <v>0</v>
      </c>
      <c r="N21" s="7"/>
      <c r="O21" s="7"/>
      <c r="P21" s="7"/>
      <c r="Q21" s="53"/>
      <c r="R21" s="7"/>
      <c r="S21" s="7"/>
      <c r="T21" s="53"/>
      <c r="U21" s="7"/>
      <c r="V21" s="7" t="e">
        <f t="shared" si="6"/>
        <v>#VALUE!</v>
      </c>
      <c r="W21" s="28"/>
      <c r="X21" s="7" t="e">
        <f t="shared" si="6"/>
        <v>#VALUE!</v>
      </c>
      <c r="Y21" s="28"/>
      <c r="Z21" s="7" t="e">
        <f t="shared" si="7"/>
        <v>#VALUE!</v>
      </c>
      <c r="AA21" s="28"/>
      <c r="AB21" s="7"/>
      <c r="AC21" s="7"/>
      <c r="AD21" s="7"/>
      <c r="AE21" s="7"/>
      <c r="AF21" s="7">
        <v>0</v>
      </c>
      <c r="AG21" s="7" t="e">
        <f t="shared" si="8"/>
        <v>#VALUE!</v>
      </c>
      <c r="AH21" s="28"/>
      <c r="AI21" s="7"/>
      <c r="AJ21" s="7" t="e">
        <f t="shared" si="9"/>
        <v>#VALUE!</v>
      </c>
      <c r="AK21" s="28"/>
      <c r="AL21" s="7">
        <f t="shared" si="10"/>
        <v>2</v>
      </c>
      <c r="AM21" s="28" t="s">
        <v>2295</v>
      </c>
      <c r="AN21" s="7">
        <f t="shared" si="11"/>
        <v>0</v>
      </c>
      <c r="AO21" s="28" t="s">
        <v>2297</v>
      </c>
      <c r="AP21" s="7">
        <f t="shared" si="12"/>
        <v>2</v>
      </c>
      <c r="AQ21" s="28" t="s">
        <v>2301</v>
      </c>
      <c r="AR21" s="7"/>
      <c r="AS21" s="7"/>
      <c r="AT21" s="7"/>
      <c r="AU21" s="7"/>
      <c r="AV21" s="7">
        <f t="shared" si="13"/>
        <v>6501</v>
      </c>
      <c r="AW21" s="28" t="s">
        <v>3061</v>
      </c>
      <c r="AX21" s="7">
        <v>0</v>
      </c>
      <c r="AY21" s="7">
        <f t="shared" si="14"/>
        <v>504</v>
      </c>
      <c r="AZ21" s="28" t="s">
        <v>2338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5"/>
        <v>10</v>
      </c>
      <c r="BG21" s="28" t="s">
        <v>2669</v>
      </c>
      <c r="BH21" s="7">
        <f t="shared" si="16"/>
        <v>601</v>
      </c>
      <c r="BI21" s="28" t="s">
        <v>2664</v>
      </c>
      <c r="BJ21" s="7">
        <f t="shared" si="17"/>
        <v>1</v>
      </c>
      <c r="BK21" s="28" t="s">
        <v>2487</v>
      </c>
      <c r="BL21" s="7">
        <v>10</v>
      </c>
      <c r="BM21" s="7">
        <v>15</v>
      </c>
      <c r="BN21" s="7">
        <f t="shared" si="18"/>
        <v>10209</v>
      </c>
      <c r="BO21" s="28" t="s">
        <v>2519</v>
      </c>
      <c r="BP21" s="7">
        <f t="shared" si="19"/>
        <v>20102</v>
      </c>
      <c r="BQ21" s="28" t="s">
        <v>2591</v>
      </c>
      <c r="BR21" s="7">
        <v>0</v>
      </c>
      <c r="BS21" s="7">
        <f t="shared" si="20"/>
        <v>1</v>
      </c>
      <c r="BT21" s="28" t="s">
        <v>2690</v>
      </c>
      <c r="BU21" s="7">
        <v>35</v>
      </c>
      <c r="BV21" s="7" t="e">
        <f ca="1">[1]!tメーカー名(BU21)</f>
        <v>#NAME?</v>
      </c>
      <c r="BW21" s="7">
        <f t="shared" si="21"/>
        <v>0</v>
      </c>
      <c r="BX21" s="28" t="s">
        <v>2641</v>
      </c>
      <c r="BY21" s="7" t="e">
        <f t="shared" si="22"/>
        <v>#VALUE!</v>
      </c>
      <c r="BZ21" s="28"/>
      <c r="CA21" s="54" t="s">
        <v>2666</v>
      </c>
      <c r="CB21" s="54" t="s">
        <v>2666</v>
      </c>
      <c r="CC21" s="7" t="e">
        <f t="shared" si="23"/>
        <v>#VALUE!</v>
      </c>
      <c r="CD21" s="28"/>
      <c r="CE21" s="7" t="e">
        <f t="shared" si="24"/>
        <v>#VALUE!</v>
      </c>
      <c r="CF21" s="28"/>
      <c r="CG21" s="7" t="e">
        <f t="shared" si="25"/>
        <v>#VALUE!</v>
      </c>
      <c r="CH21" s="28"/>
      <c r="CI21" s="7" t="e">
        <f t="shared" si="26"/>
        <v>#VALUE!</v>
      </c>
      <c r="CJ21" s="28"/>
      <c r="CK21" s="7"/>
      <c r="CL21" s="7"/>
      <c r="CM21" s="7"/>
      <c r="CN21" s="7"/>
      <c r="CO21" s="7"/>
      <c r="CP21" s="7"/>
      <c r="CQ21" s="7"/>
      <c r="CR21" s="7"/>
      <c r="CS21" s="126">
        <f t="shared" si="5"/>
        <v>0</v>
      </c>
      <c r="CT21" s="7"/>
      <c r="CU21" s="7"/>
    </row>
    <row r="22" spans="1:99" ht="13.5" customHeight="1">
      <c r="A22" s="7">
        <v>10</v>
      </c>
      <c r="B22" s="7"/>
      <c r="C22" s="7" t="e">
        <f t="shared" si="27"/>
        <v>#VALUE!</v>
      </c>
      <c r="D22" s="28"/>
      <c r="E22" s="7">
        <f t="shared" si="0"/>
        <v>0</v>
      </c>
      <c r="F22" s="7"/>
      <c r="G22" s="7">
        <f t="shared" si="1"/>
        <v>0</v>
      </c>
      <c r="H22" s="7"/>
      <c r="I22" s="7">
        <f t="shared" si="2"/>
        <v>0</v>
      </c>
      <c r="J22" s="7"/>
      <c r="K22" s="7">
        <f t="shared" si="3"/>
        <v>0</v>
      </c>
      <c r="L22" s="7"/>
      <c r="M22" s="7">
        <f t="shared" si="4"/>
        <v>0</v>
      </c>
      <c r="N22" s="7"/>
      <c r="O22" s="7"/>
      <c r="P22" s="7"/>
      <c r="Q22" s="53"/>
      <c r="R22" s="7"/>
      <c r="S22" s="7"/>
      <c r="T22" s="53"/>
      <c r="U22" s="7"/>
      <c r="V22" s="7" t="e">
        <f t="shared" si="6"/>
        <v>#VALUE!</v>
      </c>
      <c r="W22" s="28"/>
      <c r="X22" s="7" t="e">
        <f t="shared" si="6"/>
        <v>#VALUE!</v>
      </c>
      <c r="Y22" s="28"/>
      <c r="Z22" s="7" t="e">
        <f t="shared" si="7"/>
        <v>#VALUE!</v>
      </c>
      <c r="AA22" s="28"/>
      <c r="AB22" s="7"/>
      <c r="AC22" s="7"/>
      <c r="AD22" s="7"/>
      <c r="AE22" s="7"/>
      <c r="AF22" s="7">
        <v>0</v>
      </c>
      <c r="AG22" s="7" t="e">
        <f t="shared" si="8"/>
        <v>#VALUE!</v>
      </c>
      <c r="AH22" s="28"/>
      <c r="AI22" s="7"/>
      <c r="AJ22" s="7" t="e">
        <f t="shared" si="9"/>
        <v>#VALUE!</v>
      </c>
      <c r="AK22" s="28"/>
      <c r="AL22" s="7">
        <f t="shared" si="10"/>
        <v>2</v>
      </c>
      <c r="AM22" s="28" t="s">
        <v>2295</v>
      </c>
      <c r="AN22" s="7">
        <f t="shared" si="11"/>
        <v>0</v>
      </c>
      <c r="AO22" s="28" t="s">
        <v>2297</v>
      </c>
      <c r="AP22" s="7">
        <f t="shared" si="12"/>
        <v>2</v>
      </c>
      <c r="AQ22" s="28" t="s">
        <v>2301</v>
      </c>
      <c r="AR22" s="7"/>
      <c r="AS22" s="7"/>
      <c r="AT22" s="7"/>
      <c r="AU22" s="7"/>
      <c r="AV22" s="7">
        <f t="shared" si="13"/>
        <v>6501</v>
      </c>
      <c r="AW22" s="28" t="s">
        <v>3061</v>
      </c>
      <c r="AX22" s="7">
        <v>0</v>
      </c>
      <c r="AY22" s="7">
        <f t="shared" si="14"/>
        <v>504</v>
      </c>
      <c r="AZ22" s="28" t="s">
        <v>2338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5"/>
        <v>10</v>
      </c>
      <c r="BG22" s="28" t="s">
        <v>2669</v>
      </c>
      <c r="BH22" s="7">
        <f t="shared" si="16"/>
        <v>601</v>
      </c>
      <c r="BI22" s="28" t="s">
        <v>2664</v>
      </c>
      <c r="BJ22" s="7">
        <f t="shared" si="17"/>
        <v>1</v>
      </c>
      <c r="BK22" s="28" t="s">
        <v>2487</v>
      </c>
      <c r="BL22" s="7">
        <v>10</v>
      </c>
      <c r="BM22" s="7">
        <v>15</v>
      </c>
      <c r="BN22" s="7">
        <f t="shared" si="18"/>
        <v>10209</v>
      </c>
      <c r="BO22" s="28" t="s">
        <v>2519</v>
      </c>
      <c r="BP22" s="7">
        <f t="shared" si="19"/>
        <v>20102</v>
      </c>
      <c r="BQ22" s="28" t="s">
        <v>2591</v>
      </c>
      <c r="BR22" s="7">
        <v>0</v>
      </c>
      <c r="BS22" s="7">
        <f t="shared" si="20"/>
        <v>1</v>
      </c>
      <c r="BT22" s="28" t="s">
        <v>2690</v>
      </c>
      <c r="BU22" s="7">
        <v>35</v>
      </c>
      <c r="BV22" s="7" t="e">
        <f ca="1">[1]!tメーカー名(BU22)</f>
        <v>#NAME?</v>
      </c>
      <c r="BW22" s="7">
        <f t="shared" si="21"/>
        <v>0</v>
      </c>
      <c r="BX22" s="28" t="s">
        <v>2641</v>
      </c>
      <c r="BY22" s="7" t="e">
        <f t="shared" si="22"/>
        <v>#VALUE!</v>
      </c>
      <c r="BZ22" s="28"/>
      <c r="CA22" s="54" t="s">
        <v>2666</v>
      </c>
      <c r="CB22" s="54" t="s">
        <v>2666</v>
      </c>
      <c r="CC22" s="7" t="e">
        <f t="shared" si="23"/>
        <v>#VALUE!</v>
      </c>
      <c r="CD22" s="28"/>
      <c r="CE22" s="7" t="e">
        <f t="shared" si="24"/>
        <v>#VALUE!</v>
      </c>
      <c r="CF22" s="28"/>
      <c r="CG22" s="7" t="e">
        <f t="shared" si="25"/>
        <v>#VALUE!</v>
      </c>
      <c r="CH22" s="28"/>
      <c r="CI22" s="7" t="e">
        <f t="shared" si="26"/>
        <v>#VALUE!</v>
      </c>
      <c r="CJ22" s="28"/>
      <c r="CK22" s="7"/>
      <c r="CL22" s="7"/>
      <c r="CM22" s="7"/>
      <c r="CN22" s="7"/>
      <c r="CO22" s="7"/>
      <c r="CP22" s="7"/>
      <c r="CQ22" s="7"/>
      <c r="CR22" s="7"/>
      <c r="CS22" s="126">
        <f t="shared" si="5"/>
        <v>0</v>
      </c>
      <c r="CT22" s="7"/>
      <c r="CU22" s="7"/>
    </row>
    <row r="23" spans="1:99" ht="13.5" customHeight="1">
      <c r="A23" s="7">
        <v>11</v>
      </c>
      <c r="B23" s="7"/>
      <c r="C23" s="7" t="e">
        <f t="shared" si="27"/>
        <v>#VALUE!</v>
      </c>
      <c r="D23" s="28"/>
      <c r="E23" s="7">
        <f t="shared" si="0"/>
        <v>0</v>
      </c>
      <c r="F23" s="7"/>
      <c r="G23" s="7">
        <f t="shared" si="1"/>
        <v>0</v>
      </c>
      <c r="H23" s="7"/>
      <c r="I23" s="7">
        <f t="shared" si="2"/>
        <v>0</v>
      </c>
      <c r="J23" s="7"/>
      <c r="K23" s="7">
        <f t="shared" si="3"/>
        <v>0</v>
      </c>
      <c r="L23" s="7"/>
      <c r="M23" s="7">
        <f t="shared" si="4"/>
        <v>0</v>
      </c>
      <c r="N23" s="7"/>
      <c r="O23" s="7"/>
      <c r="P23" s="7"/>
      <c r="Q23" s="53"/>
      <c r="R23" s="7"/>
      <c r="S23" s="7"/>
      <c r="T23" s="53"/>
      <c r="U23" s="7"/>
      <c r="V23" s="7" t="e">
        <f t="shared" si="6"/>
        <v>#VALUE!</v>
      </c>
      <c r="W23" s="28"/>
      <c r="X23" s="7" t="e">
        <f t="shared" si="6"/>
        <v>#VALUE!</v>
      </c>
      <c r="Y23" s="28"/>
      <c r="Z23" s="7" t="e">
        <f t="shared" si="7"/>
        <v>#VALUE!</v>
      </c>
      <c r="AA23" s="28"/>
      <c r="AB23" s="7"/>
      <c r="AC23" s="7"/>
      <c r="AD23" s="7"/>
      <c r="AE23" s="7"/>
      <c r="AF23" s="7">
        <v>0</v>
      </c>
      <c r="AG23" s="7" t="e">
        <f t="shared" si="8"/>
        <v>#VALUE!</v>
      </c>
      <c r="AH23" s="28"/>
      <c r="AI23" s="7"/>
      <c r="AJ23" s="7" t="e">
        <f t="shared" si="9"/>
        <v>#VALUE!</v>
      </c>
      <c r="AK23" s="28"/>
      <c r="AL23" s="7">
        <f t="shared" si="10"/>
        <v>2</v>
      </c>
      <c r="AM23" s="28" t="s">
        <v>2295</v>
      </c>
      <c r="AN23" s="7">
        <f t="shared" si="11"/>
        <v>0</v>
      </c>
      <c r="AO23" s="28" t="s">
        <v>2297</v>
      </c>
      <c r="AP23" s="7">
        <f t="shared" si="12"/>
        <v>2</v>
      </c>
      <c r="AQ23" s="28" t="s">
        <v>2301</v>
      </c>
      <c r="AR23" s="7"/>
      <c r="AS23" s="7"/>
      <c r="AT23" s="7"/>
      <c r="AU23" s="7"/>
      <c r="AV23" s="7">
        <f t="shared" si="13"/>
        <v>6501</v>
      </c>
      <c r="AW23" s="28" t="s">
        <v>3061</v>
      </c>
      <c r="AX23" s="7">
        <v>0</v>
      </c>
      <c r="AY23" s="7">
        <f t="shared" si="14"/>
        <v>504</v>
      </c>
      <c r="AZ23" s="28" t="s">
        <v>2338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5"/>
        <v>10</v>
      </c>
      <c r="BG23" s="28" t="s">
        <v>2669</v>
      </c>
      <c r="BH23" s="7">
        <f t="shared" si="16"/>
        <v>601</v>
      </c>
      <c r="BI23" s="28" t="s">
        <v>2664</v>
      </c>
      <c r="BJ23" s="7">
        <f t="shared" si="17"/>
        <v>1</v>
      </c>
      <c r="BK23" s="28" t="s">
        <v>2487</v>
      </c>
      <c r="BL23" s="7">
        <v>10</v>
      </c>
      <c r="BM23" s="7">
        <v>15</v>
      </c>
      <c r="BN23" s="7">
        <f t="shared" si="18"/>
        <v>10209</v>
      </c>
      <c r="BO23" s="28" t="s">
        <v>2519</v>
      </c>
      <c r="BP23" s="7">
        <f t="shared" si="19"/>
        <v>20102</v>
      </c>
      <c r="BQ23" s="28" t="s">
        <v>2591</v>
      </c>
      <c r="BR23" s="7">
        <v>0</v>
      </c>
      <c r="BS23" s="7">
        <f t="shared" si="20"/>
        <v>1</v>
      </c>
      <c r="BT23" s="28" t="s">
        <v>2690</v>
      </c>
      <c r="BU23" s="7">
        <v>35</v>
      </c>
      <c r="BV23" s="7" t="e">
        <f ca="1">[1]!tメーカー名(BU23)</f>
        <v>#NAME?</v>
      </c>
      <c r="BW23" s="7">
        <f t="shared" si="21"/>
        <v>0</v>
      </c>
      <c r="BX23" s="28" t="s">
        <v>2641</v>
      </c>
      <c r="BY23" s="7" t="e">
        <f t="shared" si="22"/>
        <v>#VALUE!</v>
      </c>
      <c r="BZ23" s="28"/>
      <c r="CA23" s="54" t="s">
        <v>2666</v>
      </c>
      <c r="CB23" s="54" t="s">
        <v>2666</v>
      </c>
      <c r="CC23" s="7" t="e">
        <f t="shared" si="23"/>
        <v>#VALUE!</v>
      </c>
      <c r="CD23" s="28"/>
      <c r="CE23" s="7" t="e">
        <f t="shared" si="24"/>
        <v>#VALUE!</v>
      </c>
      <c r="CF23" s="28"/>
      <c r="CG23" s="7" t="e">
        <f t="shared" si="25"/>
        <v>#VALUE!</v>
      </c>
      <c r="CH23" s="28"/>
      <c r="CI23" s="7" t="e">
        <f t="shared" si="26"/>
        <v>#VALUE!</v>
      </c>
      <c r="CJ23" s="28"/>
      <c r="CK23" s="7"/>
      <c r="CL23" s="7"/>
      <c r="CM23" s="7"/>
      <c r="CN23" s="7"/>
      <c r="CO23" s="7"/>
      <c r="CP23" s="7"/>
      <c r="CQ23" s="7"/>
      <c r="CR23" s="7"/>
      <c r="CS23" s="126">
        <f t="shared" si="5"/>
        <v>0</v>
      </c>
      <c r="CT23" s="7"/>
      <c r="CU23" s="7"/>
    </row>
    <row r="24" spans="1:99" ht="13.5" customHeight="1">
      <c r="A24" s="7">
        <v>12</v>
      </c>
      <c r="B24" s="7"/>
      <c r="C24" s="7" t="e">
        <f t="shared" si="27"/>
        <v>#VALUE!</v>
      </c>
      <c r="D24" s="28"/>
      <c r="E24" s="7">
        <f t="shared" si="0"/>
        <v>0</v>
      </c>
      <c r="F24" s="7"/>
      <c r="G24" s="7">
        <f t="shared" si="1"/>
        <v>0</v>
      </c>
      <c r="H24" s="7"/>
      <c r="I24" s="7">
        <f t="shared" si="2"/>
        <v>0</v>
      </c>
      <c r="J24" s="7"/>
      <c r="K24" s="7">
        <f t="shared" si="3"/>
        <v>0</v>
      </c>
      <c r="L24" s="7"/>
      <c r="M24" s="7">
        <f t="shared" si="4"/>
        <v>0</v>
      </c>
      <c r="N24" s="7"/>
      <c r="O24" s="7"/>
      <c r="P24" s="7"/>
      <c r="Q24" s="53"/>
      <c r="R24" s="7"/>
      <c r="S24" s="7"/>
      <c r="T24" s="53"/>
      <c r="U24" s="7"/>
      <c r="V24" s="7" t="e">
        <f t="shared" si="6"/>
        <v>#VALUE!</v>
      </c>
      <c r="W24" s="28"/>
      <c r="X24" s="7" t="e">
        <f t="shared" si="6"/>
        <v>#VALUE!</v>
      </c>
      <c r="Y24" s="28"/>
      <c r="Z24" s="7" t="e">
        <f t="shared" si="7"/>
        <v>#VALUE!</v>
      </c>
      <c r="AA24" s="28"/>
      <c r="AB24" s="7"/>
      <c r="AC24" s="7"/>
      <c r="AD24" s="7"/>
      <c r="AE24" s="7"/>
      <c r="AF24" s="7">
        <v>0</v>
      </c>
      <c r="AG24" s="7" t="e">
        <f t="shared" si="8"/>
        <v>#VALUE!</v>
      </c>
      <c r="AH24" s="28"/>
      <c r="AI24" s="7"/>
      <c r="AJ24" s="7" t="e">
        <f t="shared" si="9"/>
        <v>#VALUE!</v>
      </c>
      <c r="AK24" s="28"/>
      <c r="AL24" s="7">
        <f t="shared" si="10"/>
        <v>2</v>
      </c>
      <c r="AM24" s="28" t="s">
        <v>2295</v>
      </c>
      <c r="AN24" s="7">
        <f t="shared" si="11"/>
        <v>0</v>
      </c>
      <c r="AO24" s="28" t="s">
        <v>2297</v>
      </c>
      <c r="AP24" s="7">
        <f t="shared" si="12"/>
        <v>2</v>
      </c>
      <c r="AQ24" s="28" t="s">
        <v>2301</v>
      </c>
      <c r="AR24" s="7"/>
      <c r="AS24" s="7"/>
      <c r="AT24" s="7"/>
      <c r="AU24" s="7"/>
      <c r="AV24" s="7">
        <f t="shared" si="13"/>
        <v>6501</v>
      </c>
      <c r="AW24" s="28" t="s">
        <v>3061</v>
      </c>
      <c r="AX24" s="7">
        <v>0</v>
      </c>
      <c r="AY24" s="7">
        <f t="shared" si="14"/>
        <v>504</v>
      </c>
      <c r="AZ24" s="28" t="s">
        <v>2338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5"/>
        <v>10</v>
      </c>
      <c r="BG24" s="28" t="s">
        <v>2669</v>
      </c>
      <c r="BH24" s="7">
        <f t="shared" si="16"/>
        <v>601</v>
      </c>
      <c r="BI24" s="28" t="s">
        <v>2664</v>
      </c>
      <c r="BJ24" s="7">
        <f t="shared" si="17"/>
        <v>1</v>
      </c>
      <c r="BK24" s="28" t="s">
        <v>2487</v>
      </c>
      <c r="BL24" s="7">
        <v>10</v>
      </c>
      <c r="BM24" s="7">
        <v>15</v>
      </c>
      <c r="BN24" s="7">
        <f t="shared" si="18"/>
        <v>10209</v>
      </c>
      <c r="BO24" s="28" t="s">
        <v>2519</v>
      </c>
      <c r="BP24" s="7">
        <f t="shared" si="19"/>
        <v>20102</v>
      </c>
      <c r="BQ24" s="28" t="s">
        <v>2591</v>
      </c>
      <c r="BR24" s="7">
        <v>0</v>
      </c>
      <c r="BS24" s="7">
        <f t="shared" si="20"/>
        <v>1</v>
      </c>
      <c r="BT24" s="28" t="s">
        <v>2690</v>
      </c>
      <c r="BU24" s="7">
        <v>35</v>
      </c>
      <c r="BV24" s="7" t="e">
        <f ca="1">[1]!tメーカー名(BU24)</f>
        <v>#NAME?</v>
      </c>
      <c r="BW24" s="7">
        <f t="shared" si="21"/>
        <v>0</v>
      </c>
      <c r="BX24" s="28" t="s">
        <v>2641</v>
      </c>
      <c r="BY24" s="7" t="e">
        <f t="shared" si="22"/>
        <v>#VALUE!</v>
      </c>
      <c r="BZ24" s="28"/>
      <c r="CA24" s="54" t="s">
        <v>2666</v>
      </c>
      <c r="CB24" s="54" t="s">
        <v>2666</v>
      </c>
      <c r="CC24" s="7" t="e">
        <f t="shared" si="23"/>
        <v>#VALUE!</v>
      </c>
      <c r="CD24" s="28"/>
      <c r="CE24" s="7" t="e">
        <f t="shared" si="24"/>
        <v>#VALUE!</v>
      </c>
      <c r="CF24" s="28"/>
      <c r="CG24" s="7" t="e">
        <f t="shared" si="25"/>
        <v>#VALUE!</v>
      </c>
      <c r="CH24" s="28"/>
      <c r="CI24" s="7" t="e">
        <f t="shared" si="26"/>
        <v>#VALUE!</v>
      </c>
      <c r="CJ24" s="28"/>
      <c r="CK24" s="7"/>
      <c r="CL24" s="7"/>
      <c r="CM24" s="7"/>
      <c r="CN24" s="7"/>
      <c r="CO24" s="7"/>
      <c r="CP24" s="7"/>
      <c r="CQ24" s="7"/>
      <c r="CR24" s="7"/>
      <c r="CS24" s="126">
        <f t="shared" si="5"/>
        <v>0</v>
      </c>
      <c r="CT24" s="7"/>
      <c r="CU24" s="7"/>
    </row>
    <row r="25" spans="1:99" ht="13.5" customHeight="1">
      <c r="A25" s="7">
        <v>13</v>
      </c>
      <c r="B25" s="7"/>
      <c r="C25" s="7" t="e">
        <f t="shared" si="27"/>
        <v>#VALUE!</v>
      </c>
      <c r="D25" s="28"/>
      <c r="E25" s="7">
        <f t="shared" si="0"/>
        <v>0</v>
      </c>
      <c r="F25" s="7"/>
      <c r="G25" s="7">
        <f t="shared" si="1"/>
        <v>0</v>
      </c>
      <c r="H25" s="7"/>
      <c r="I25" s="7">
        <f t="shared" si="2"/>
        <v>0</v>
      </c>
      <c r="J25" s="7"/>
      <c r="K25" s="7">
        <f t="shared" si="3"/>
        <v>0</v>
      </c>
      <c r="L25" s="7"/>
      <c r="M25" s="7">
        <f t="shared" si="4"/>
        <v>0</v>
      </c>
      <c r="N25" s="7"/>
      <c r="O25" s="7"/>
      <c r="P25" s="7"/>
      <c r="Q25" s="53"/>
      <c r="R25" s="7"/>
      <c r="S25" s="7"/>
      <c r="T25" s="53"/>
      <c r="U25" s="7"/>
      <c r="V25" s="7" t="e">
        <f t="shared" si="6"/>
        <v>#VALUE!</v>
      </c>
      <c r="W25" s="28"/>
      <c r="X25" s="7" t="e">
        <f t="shared" si="6"/>
        <v>#VALUE!</v>
      </c>
      <c r="Y25" s="28"/>
      <c r="Z25" s="7" t="e">
        <f t="shared" si="7"/>
        <v>#VALUE!</v>
      </c>
      <c r="AA25" s="28"/>
      <c r="AB25" s="7"/>
      <c r="AC25" s="7"/>
      <c r="AD25" s="7"/>
      <c r="AE25" s="7"/>
      <c r="AF25" s="7">
        <v>0</v>
      </c>
      <c r="AG25" s="7" t="e">
        <f t="shared" si="8"/>
        <v>#VALUE!</v>
      </c>
      <c r="AH25" s="28"/>
      <c r="AI25" s="7"/>
      <c r="AJ25" s="7" t="e">
        <f t="shared" si="9"/>
        <v>#VALUE!</v>
      </c>
      <c r="AK25" s="28"/>
      <c r="AL25" s="7">
        <f t="shared" si="10"/>
        <v>2</v>
      </c>
      <c r="AM25" s="28" t="s">
        <v>2295</v>
      </c>
      <c r="AN25" s="7">
        <f t="shared" si="11"/>
        <v>0</v>
      </c>
      <c r="AO25" s="28" t="s">
        <v>2297</v>
      </c>
      <c r="AP25" s="7">
        <f t="shared" si="12"/>
        <v>2</v>
      </c>
      <c r="AQ25" s="28" t="s">
        <v>2301</v>
      </c>
      <c r="AR25" s="7"/>
      <c r="AS25" s="7"/>
      <c r="AT25" s="7"/>
      <c r="AU25" s="7"/>
      <c r="AV25" s="7">
        <f t="shared" si="13"/>
        <v>6501</v>
      </c>
      <c r="AW25" s="28" t="s">
        <v>3061</v>
      </c>
      <c r="AX25" s="7">
        <v>0</v>
      </c>
      <c r="AY25" s="7">
        <f t="shared" si="14"/>
        <v>504</v>
      </c>
      <c r="AZ25" s="28" t="s">
        <v>2338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5"/>
        <v>10</v>
      </c>
      <c r="BG25" s="28" t="s">
        <v>2669</v>
      </c>
      <c r="BH25" s="7">
        <f t="shared" si="16"/>
        <v>601</v>
      </c>
      <c r="BI25" s="28" t="s">
        <v>2664</v>
      </c>
      <c r="BJ25" s="7">
        <f t="shared" si="17"/>
        <v>1</v>
      </c>
      <c r="BK25" s="28" t="s">
        <v>2487</v>
      </c>
      <c r="BL25" s="7">
        <v>10</v>
      </c>
      <c r="BM25" s="7">
        <v>15</v>
      </c>
      <c r="BN25" s="7">
        <f t="shared" si="18"/>
        <v>10209</v>
      </c>
      <c r="BO25" s="28" t="s">
        <v>2519</v>
      </c>
      <c r="BP25" s="7">
        <f t="shared" si="19"/>
        <v>20102</v>
      </c>
      <c r="BQ25" s="28" t="s">
        <v>2591</v>
      </c>
      <c r="BR25" s="7">
        <v>0</v>
      </c>
      <c r="BS25" s="7">
        <f t="shared" si="20"/>
        <v>1</v>
      </c>
      <c r="BT25" s="28" t="s">
        <v>2690</v>
      </c>
      <c r="BU25" s="7">
        <v>35</v>
      </c>
      <c r="BV25" s="7" t="e">
        <f ca="1">[1]!tメーカー名(BU25)</f>
        <v>#NAME?</v>
      </c>
      <c r="BW25" s="7">
        <f t="shared" si="21"/>
        <v>0</v>
      </c>
      <c r="BX25" s="28" t="s">
        <v>2641</v>
      </c>
      <c r="BY25" s="7" t="e">
        <f t="shared" si="22"/>
        <v>#VALUE!</v>
      </c>
      <c r="BZ25" s="28"/>
      <c r="CA25" s="54" t="s">
        <v>2666</v>
      </c>
      <c r="CB25" s="54" t="s">
        <v>2666</v>
      </c>
      <c r="CC25" s="7" t="e">
        <f t="shared" si="23"/>
        <v>#VALUE!</v>
      </c>
      <c r="CD25" s="28"/>
      <c r="CE25" s="7" t="e">
        <f t="shared" si="24"/>
        <v>#VALUE!</v>
      </c>
      <c r="CF25" s="28"/>
      <c r="CG25" s="7" t="e">
        <f t="shared" si="25"/>
        <v>#VALUE!</v>
      </c>
      <c r="CH25" s="28"/>
      <c r="CI25" s="7" t="e">
        <f t="shared" si="26"/>
        <v>#VALUE!</v>
      </c>
      <c r="CJ25" s="28"/>
      <c r="CK25" s="7"/>
      <c r="CL25" s="7"/>
      <c r="CM25" s="7"/>
      <c r="CN25" s="7"/>
      <c r="CO25" s="7"/>
      <c r="CP25" s="7"/>
      <c r="CQ25" s="7"/>
      <c r="CR25" s="7"/>
      <c r="CS25" s="126">
        <f t="shared" si="5"/>
        <v>0</v>
      </c>
      <c r="CT25" s="7"/>
      <c r="CU25" s="7"/>
    </row>
    <row r="26" spans="1:99" ht="13.5" customHeight="1">
      <c r="A26" s="7">
        <v>14</v>
      </c>
      <c r="B26" s="7"/>
      <c r="C26" s="7" t="e">
        <f t="shared" si="27"/>
        <v>#VALUE!</v>
      </c>
      <c r="D26" s="28"/>
      <c r="E26" s="7">
        <f t="shared" si="0"/>
        <v>0</v>
      </c>
      <c r="F26" s="7"/>
      <c r="G26" s="7">
        <f t="shared" si="1"/>
        <v>0</v>
      </c>
      <c r="H26" s="7"/>
      <c r="I26" s="7">
        <f t="shared" si="2"/>
        <v>0</v>
      </c>
      <c r="J26" s="7"/>
      <c r="K26" s="7">
        <f t="shared" si="3"/>
        <v>0</v>
      </c>
      <c r="L26" s="7"/>
      <c r="M26" s="7">
        <f t="shared" si="4"/>
        <v>0</v>
      </c>
      <c r="N26" s="7"/>
      <c r="O26" s="7"/>
      <c r="P26" s="7"/>
      <c r="Q26" s="53"/>
      <c r="R26" s="7"/>
      <c r="S26" s="7"/>
      <c r="T26" s="53"/>
      <c r="U26" s="7"/>
      <c r="V26" s="7" t="e">
        <f t="shared" si="6"/>
        <v>#VALUE!</v>
      </c>
      <c r="W26" s="28"/>
      <c r="X26" s="7" t="e">
        <f t="shared" si="6"/>
        <v>#VALUE!</v>
      </c>
      <c r="Y26" s="28"/>
      <c r="Z26" s="7" t="e">
        <f t="shared" si="7"/>
        <v>#VALUE!</v>
      </c>
      <c r="AA26" s="28"/>
      <c r="AB26" s="7"/>
      <c r="AC26" s="7"/>
      <c r="AD26" s="7"/>
      <c r="AE26" s="7"/>
      <c r="AF26" s="7">
        <v>0</v>
      </c>
      <c r="AG26" s="7" t="e">
        <f t="shared" si="8"/>
        <v>#VALUE!</v>
      </c>
      <c r="AH26" s="28"/>
      <c r="AI26" s="7"/>
      <c r="AJ26" s="7" t="e">
        <f t="shared" si="9"/>
        <v>#VALUE!</v>
      </c>
      <c r="AK26" s="28"/>
      <c r="AL26" s="7">
        <f t="shared" si="10"/>
        <v>2</v>
      </c>
      <c r="AM26" s="28" t="s">
        <v>2295</v>
      </c>
      <c r="AN26" s="7">
        <f t="shared" si="11"/>
        <v>0</v>
      </c>
      <c r="AO26" s="28" t="s">
        <v>2297</v>
      </c>
      <c r="AP26" s="7">
        <f t="shared" si="12"/>
        <v>2</v>
      </c>
      <c r="AQ26" s="28" t="s">
        <v>2301</v>
      </c>
      <c r="AR26" s="7"/>
      <c r="AS26" s="7"/>
      <c r="AT26" s="7"/>
      <c r="AU26" s="7"/>
      <c r="AV26" s="7">
        <f t="shared" si="13"/>
        <v>6501</v>
      </c>
      <c r="AW26" s="28" t="s">
        <v>3061</v>
      </c>
      <c r="AX26" s="7">
        <v>0</v>
      </c>
      <c r="AY26" s="7">
        <f t="shared" si="14"/>
        <v>504</v>
      </c>
      <c r="AZ26" s="28" t="s">
        <v>2338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5"/>
        <v>10</v>
      </c>
      <c r="BG26" s="28" t="s">
        <v>2669</v>
      </c>
      <c r="BH26" s="7">
        <f t="shared" si="16"/>
        <v>601</v>
      </c>
      <c r="BI26" s="28" t="s">
        <v>2664</v>
      </c>
      <c r="BJ26" s="7">
        <f t="shared" si="17"/>
        <v>1</v>
      </c>
      <c r="BK26" s="28" t="s">
        <v>2487</v>
      </c>
      <c r="BL26" s="7">
        <v>10</v>
      </c>
      <c r="BM26" s="7">
        <v>15</v>
      </c>
      <c r="BN26" s="7">
        <f t="shared" si="18"/>
        <v>10209</v>
      </c>
      <c r="BO26" s="28" t="s">
        <v>2519</v>
      </c>
      <c r="BP26" s="7">
        <f t="shared" si="19"/>
        <v>20102</v>
      </c>
      <c r="BQ26" s="28" t="s">
        <v>2591</v>
      </c>
      <c r="BR26" s="7">
        <v>0</v>
      </c>
      <c r="BS26" s="7">
        <f t="shared" si="20"/>
        <v>1</v>
      </c>
      <c r="BT26" s="28" t="s">
        <v>2690</v>
      </c>
      <c r="BU26" s="7">
        <v>35</v>
      </c>
      <c r="BV26" s="7" t="e">
        <f ca="1">[1]!tメーカー名(BU26)</f>
        <v>#NAME?</v>
      </c>
      <c r="BW26" s="7">
        <f t="shared" si="21"/>
        <v>0</v>
      </c>
      <c r="BX26" s="28" t="s">
        <v>2641</v>
      </c>
      <c r="BY26" s="7" t="e">
        <f t="shared" si="22"/>
        <v>#VALUE!</v>
      </c>
      <c r="BZ26" s="28"/>
      <c r="CA26" s="54" t="s">
        <v>2666</v>
      </c>
      <c r="CB26" s="54" t="s">
        <v>2666</v>
      </c>
      <c r="CC26" s="7" t="e">
        <f t="shared" si="23"/>
        <v>#VALUE!</v>
      </c>
      <c r="CD26" s="28"/>
      <c r="CE26" s="7" t="e">
        <f t="shared" si="24"/>
        <v>#VALUE!</v>
      </c>
      <c r="CF26" s="28"/>
      <c r="CG26" s="7" t="e">
        <f t="shared" si="25"/>
        <v>#VALUE!</v>
      </c>
      <c r="CH26" s="28"/>
      <c r="CI26" s="7" t="e">
        <f t="shared" si="26"/>
        <v>#VALUE!</v>
      </c>
      <c r="CJ26" s="28"/>
      <c r="CK26" s="7"/>
      <c r="CL26" s="7"/>
      <c r="CM26" s="7"/>
      <c r="CN26" s="7"/>
      <c r="CO26" s="7"/>
      <c r="CP26" s="7"/>
      <c r="CQ26" s="7"/>
      <c r="CR26" s="7"/>
      <c r="CS26" s="126">
        <f t="shared" si="5"/>
        <v>0</v>
      </c>
      <c r="CT26" s="7"/>
      <c r="CU26" s="7"/>
    </row>
    <row r="27" spans="1:99" ht="13.5" customHeight="1">
      <c r="A27" s="7">
        <v>15</v>
      </c>
      <c r="B27" s="7"/>
      <c r="C27" s="7" t="e">
        <f t="shared" si="27"/>
        <v>#VALUE!</v>
      </c>
      <c r="D27" s="28"/>
      <c r="E27" s="7">
        <f t="shared" si="0"/>
        <v>0</v>
      </c>
      <c r="F27" s="7"/>
      <c r="G27" s="7">
        <f t="shared" si="1"/>
        <v>0</v>
      </c>
      <c r="H27" s="7"/>
      <c r="I27" s="7">
        <f t="shared" si="2"/>
        <v>0</v>
      </c>
      <c r="J27" s="7"/>
      <c r="K27" s="7">
        <f t="shared" si="3"/>
        <v>0</v>
      </c>
      <c r="L27" s="7"/>
      <c r="M27" s="7">
        <f t="shared" si="4"/>
        <v>0</v>
      </c>
      <c r="N27" s="7"/>
      <c r="O27" s="7"/>
      <c r="P27" s="7"/>
      <c r="Q27" s="53"/>
      <c r="R27" s="7"/>
      <c r="S27" s="7"/>
      <c r="T27" s="53"/>
      <c r="U27" s="7"/>
      <c r="V27" s="7" t="e">
        <f t="shared" si="6"/>
        <v>#VALUE!</v>
      </c>
      <c r="W27" s="28"/>
      <c r="X27" s="7" t="e">
        <f t="shared" si="6"/>
        <v>#VALUE!</v>
      </c>
      <c r="Y27" s="28"/>
      <c r="Z27" s="7" t="e">
        <f t="shared" si="7"/>
        <v>#VALUE!</v>
      </c>
      <c r="AA27" s="28"/>
      <c r="AB27" s="7"/>
      <c r="AC27" s="7"/>
      <c r="AD27" s="7"/>
      <c r="AE27" s="7"/>
      <c r="AF27" s="7">
        <v>0</v>
      </c>
      <c r="AG27" s="7" t="e">
        <f t="shared" si="8"/>
        <v>#VALUE!</v>
      </c>
      <c r="AH27" s="28"/>
      <c r="AI27" s="7"/>
      <c r="AJ27" s="7" t="e">
        <f t="shared" si="9"/>
        <v>#VALUE!</v>
      </c>
      <c r="AK27" s="28"/>
      <c r="AL27" s="7">
        <f t="shared" si="10"/>
        <v>2</v>
      </c>
      <c r="AM27" s="28" t="s">
        <v>2295</v>
      </c>
      <c r="AN27" s="7">
        <f t="shared" si="11"/>
        <v>0</v>
      </c>
      <c r="AO27" s="28" t="s">
        <v>2297</v>
      </c>
      <c r="AP27" s="7">
        <f t="shared" si="12"/>
        <v>2</v>
      </c>
      <c r="AQ27" s="28" t="s">
        <v>2301</v>
      </c>
      <c r="AR27" s="7"/>
      <c r="AS27" s="7"/>
      <c r="AT27" s="7"/>
      <c r="AU27" s="7"/>
      <c r="AV27" s="7">
        <f t="shared" si="13"/>
        <v>6501</v>
      </c>
      <c r="AW27" s="28" t="s">
        <v>3061</v>
      </c>
      <c r="AX27" s="7">
        <v>0</v>
      </c>
      <c r="AY27" s="7">
        <f t="shared" si="14"/>
        <v>504</v>
      </c>
      <c r="AZ27" s="28" t="s">
        <v>2338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5"/>
        <v>10</v>
      </c>
      <c r="BG27" s="28" t="s">
        <v>2669</v>
      </c>
      <c r="BH27" s="7">
        <f t="shared" si="16"/>
        <v>601</v>
      </c>
      <c r="BI27" s="28" t="s">
        <v>2664</v>
      </c>
      <c r="BJ27" s="7">
        <f t="shared" si="17"/>
        <v>1</v>
      </c>
      <c r="BK27" s="28" t="s">
        <v>2487</v>
      </c>
      <c r="BL27" s="7">
        <v>10</v>
      </c>
      <c r="BM27" s="7">
        <v>15</v>
      </c>
      <c r="BN27" s="7">
        <f t="shared" si="18"/>
        <v>10209</v>
      </c>
      <c r="BO27" s="28" t="s">
        <v>2519</v>
      </c>
      <c r="BP27" s="7">
        <f t="shared" si="19"/>
        <v>20102</v>
      </c>
      <c r="BQ27" s="28" t="s">
        <v>2591</v>
      </c>
      <c r="BR27" s="7">
        <v>0</v>
      </c>
      <c r="BS27" s="7">
        <f t="shared" si="20"/>
        <v>1</v>
      </c>
      <c r="BT27" s="28" t="s">
        <v>2690</v>
      </c>
      <c r="BU27" s="7">
        <v>35</v>
      </c>
      <c r="BV27" s="7" t="e">
        <f ca="1">[1]!tメーカー名(BU27)</f>
        <v>#NAME?</v>
      </c>
      <c r="BW27" s="7">
        <f t="shared" si="21"/>
        <v>0</v>
      </c>
      <c r="BX27" s="28" t="s">
        <v>2641</v>
      </c>
      <c r="BY27" s="7" t="e">
        <f t="shared" si="22"/>
        <v>#VALUE!</v>
      </c>
      <c r="BZ27" s="28"/>
      <c r="CA27" s="54" t="s">
        <v>2666</v>
      </c>
      <c r="CB27" s="54" t="s">
        <v>2666</v>
      </c>
      <c r="CC27" s="7" t="e">
        <f t="shared" si="23"/>
        <v>#VALUE!</v>
      </c>
      <c r="CD27" s="28"/>
      <c r="CE27" s="7" t="e">
        <f t="shared" si="24"/>
        <v>#VALUE!</v>
      </c>
      <c r="CF27" s="28"/>
      <c r="CG27" s="7" t="e">
        <f t="shared" si="25"/>
        <v>#VALUE!</v>
      </c>
      <c r="CH27" s="28"/>
      <c r="CI27" s="7" t="e">
        <f t="shared" si="26"/>
        <v>#VALUE!</v>
      </c>
      <c r="CJ27" s="28"/>
      <c r="CK27" s="7"/>
      <c r="CL27" s="7"/>
      <c r="CM27" s="7"/>
      <c r="CN27" s="7"/>
      <c r="CO27" s="7"/>
      <c r="CP27" s="7"/>
      <c r="CQ27" s="7"/>
      <c r="CR27" s="7"/>
      <c r="CS27" s="126">
        <f t="shared" si="5"/>
        <v>0</v>
      </c>
      <c r="CT27" s="7"/>
      <c r="CU27" s="7"/>
    </row>
    <row r="28" spans="1:99" ht="13.5" customHeight="1">
      <c r="A28" s="7">
        <v>16</v>
      </c>
      <c r="B28" s="7"/>
      <c r="C28" s="7" t="e">
        <f t="shared" si="27"/>
        <v>#VALUE!</v>
      </c>
      <c r="D28" s="28"/>
      <c r="E28" s="7">
        <f t="shared" si="0"/>
        <v>0</v>
      </c>
      <c r="F28" s="7"/>
      <c r="G28" s="7">
        <f t="shared" si="1"/>
        <v>0</v>
      </c>
      <c r="H28" s="7"/>
      <c r="I28" s="7">
        <f t="shared" si="2"/>
        <v>0</v>
      </c>
      <c r="J28" s="7"/>
      <c r="K28" s="7">
        <f t="shared" si="3"/>
        <v>0</v>
      </c>
      <c r="L28" s="7"/>
      <c r="M28" s="7">
        <f t="shared" si="4"/>
        <v>0</v>
      </c>
      <c r="N28" s="7"/>
      <c r="O28" s="7"/>
      <c r="P28" s="7"/>
      <c r="Q28" s="53"/>
      <c r="R28" s="7"/>
      <c r="S28" s="7"/>
      <c r="T28" s="53"/>
      <c r="U28" s="7"/>
      <c r="V28" s="7" t="e">
        <f t="shared" si="6"/>
        <v>#VALUE!</v>
      </c>
      <c r="W28" s="28"/>
      <c r="X28" s="7" t="e">
        <f t="shared" si="6"/>
        <v>#VALUE!</v>
      </c>
      <c r="Y28" s="28"/>
      <c r="Z28" s="7" t="e">
        <f t="shared" si="7"/>
        <v>#VALUE!</v>
      </c>
      <c r="AA28" s="28"/>
      <c r="AB28" s="7"/>
      <c r="AC28" s="7"/>
      <c r="AD28" s="7"/>
      <c r="AE28" s="7"/>
      <c r="AF28" s="7">
        <v>0</v>
      </c>
      <c r="AG28" s="7" t="e">
        <f t="shared" si="8"/>
        <v>#VALUE!</v>
      </c>
      <c r="AH28" s="28"/>
      <c r="AI28" s="7"/>
      <c r="AJ28" s="7" t="e">
        <f t="shared" si="9"/>
        <v>#VALUE!</v>
      </c>
      <c r="AK28" s="28"/>
      <c r="AL28" s="7">
        <f t="shared" si="10"/>
        <v>2</v>
      </c>
      <c r="AM28" s="28" t="s">
        <v>2295</v>
      </c>
      <c r="AN28" s="7">
        <f t="shared" si="11"/>
        <v>0</v>
      </c>
      <c r="AO28" s="28" t="s">
        <v>2297</v>
      </c>
      <c r="AP28" s="7">
        <f t="shared" si="12"/>
        <v>2</v>
      </c>
      <c r="AQ28" s="28" t="s">
        <v>2301</v>
      </c>
      <c r="AR28" s="7"/>
      <c r="AS28" s="7"/>
      <c r="AT28" s="7"/>
      <c r="AU28" s="7"/>
      <c r="AV28" s="7">
        <f t="shared" si="13"/>
        <v>6501</v>
      </c>
      <c r="AW28" s="28" t="s">
        <v>3061</v>
      </c>
      <c r="AX28" s="7">
        <v>0</v>
      </c>
      <c r="AY28" s="7">
        <f t="shared" si="14"/>
        <v>504</v>
      </c>
      <c r="AZ28" s="28" t="s">
        <v>2338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5"/>
        <v>10</v>
      </c>
      <c r="BG28" s="28" t="s">
        <v>2669</v>
      </c>
      <c r="BH28" s="7">
        <f t="shared" si="16"/>
        <v>601</v>
      </c>
      <c r="BI28" s="28" t="s">
        <v>2664</v>
      </c>
      <c r="BJ28" s="7">
        <f t="shared" si="17"/>
        <v>1</v>
      </c>
      <c r="BK28" s="28" t="s">
        <v>2487</v>
      </c>
      <c r="BL28" s="7">
        <v>10</v>
      </c>
      <c r="BM28" s="7">
        <v>15</v>
      </c>
      <c r="BN28" s="7">
        <f t="shared" si="18"/>
        <v>10209</v>
      </c>
      <c r="BO28" s="28" t="s">
        <v>2519</v>
      </c>
      <c r="BP28" s="7">
        <f t="shared" si="19"/>
        <v>20102</v>
      </c>
      <c r="BQ28" s="28" t="s">
        <v>2591</v>
      </c>
      <c r="BR28" s="7">
        <v>0</v>
      </c>
      <c r="BS28" s="7">
        <f t="shared" si="20"/>
        <v>1</v>
      </c>
      <c r="BT28" s="28" t="s">
        <v>2690</v>
      </c>
      <c r="BU28" s="7">
        <v>35</v>
      </c>
      <c r="BV28" s="7" t="e">
        <f ca="1">[1]!tメーカー名(BU28)</f>
        <v>#NAME?</v>
      </c>
      <c r="BW28" s="7">
        <f t="shared" si="21"/>
        <v>0</v>
      </c>
      <c r="BX28" s="28" t="s">
        <v>2641</v>
      </c>
      <c r="BY28" s="7" t="e">
        <f t="shared" si="22"/>
        <v>#VALUE!</v>
      </c>
      <c r="BZ28" s="28"/>
      <c r="CA28" s="54" t="s">
        <v>2666</v>
      </c>
      <c r="CB28" s="54" t="s">
        <v>2666</v>
      </c>
      <c r="CC28" s="7" t="e">
        <f t="shared" si="23"/>
        <v>#VALUE!</v>
      </c>
      <c r="CD28" s="28"/>
      <c r="CE28" s="7" t="e">
        <f t="shared" si="24"/>
        <v>#VALUE!</v>
      </c>
      <c r="CF28" s="28"/>
      <c r="CG28" s="7" t="e">
        <f t="shared" si="25"/>
        <v>#VALUE!</v>
      </c>
      <c r="CH28" s="28"/>
      <c r="CI28" s="7" t="e">
        <f t="shared" si="26"/>
        <v>#VALUE!</v>
      </c>
      <c r="CJ28" s="28"/>
      <c r="CK28" s="7"/>
      <c r="CL28" s="7"/>
      <c r="CM28" s="7"/>
      <c r="CN28" s="7"/>
      <c r="CO28" s="7"/>
      <c r="CP28" s="7"/>
      <c r="CQ28" s="7"/>
      <c r="CR28" s="7"/>
      <c r="CS28" s="126">
        <f t="shared" si="5"/>
        <v>0</v>
      </c>
      <c r="CT28" s="7"/>
      <c r="CU28" s="7"/>
    </row>
    <row r="29" spans="1:99" ht="13.5" customHeight="1">
      <c r="A29" s="7">
        <v>17</v>
      </c>
      <c r="B29" s="7"/>
      <c r="C29" s="7" t="e">
        <f t="shared" si="27"/>
        <v>#VALUE!</v>
      </c>
      <c r="D29" s="28"/>
      <c r="E29" s="7">
        <f t="shared" si="0"/>
        <v>0</v>
      </c>
      <c r="F29" s="7"/>
      <c r="G29" s="7">
        <f t="shared" si="1"/>
        <v>0</v>
      </c>
      <c r="H29" s="7"/>
      <c r="I29" s="7">
        <f t="shared" si="2"/>
        <v>0</v>
      </c>
      <c r="J29" s="7"/>
      <c r="K29" s="7">
        <f t="shared" si="3"/>
        <v>0</v>
      </c>
      <c r="L29" s="7"/>
      <c r="M29" s="7">
        <f t="shared" si="4"/>
        <v>0</v>
      </c>
      <c r="N29" s="7"/>
      <c r="O29" s="7"/>
      <c r="P29" s="7"/>
      <c r="Q29" s="53"/>
      <c r="R29" s="7"/>
      <c r="S29" s="7"/>
      <c r="T29" s="53"/>
      <c r="U29" s="7"/>
      <c r="V29" s="7" t="e">
        <f t="shared" si="6"/>
        <v>#VALUE!</v>
      </c>
      <c r="W29" s="28"/>
      <c r="X29" s="7" t="e">
        <f t="shared" si="6"/>
        <v>#VALUE!</v>
      </c>
      <c r="Y29" s="28"/>
      <c r="Z29" s="7" t="e">
        <f t="shared" si="7"/>
        <v>#VALUE!</v>
      </c>
      <c r="AA29" s="28"/>
      <c r="AB29" s="7"/>
      <c r="AC29" s="7"/>
      <c r="AD29" s="7"/>
      <c r="AE29" s="7"/>
      <c r="AF29" s="7">
        <v>0</v>
      </c>
      <c r="AG29" s="7" t="e">
        <f t="shared" si="8"/>
        <v>#VALUE!</v>
      </c>
      <c r="AH29" s="28"/>
      <c r="AI29" s="7"/>
      <c r="AJ29" s="7" t="e">
        <f t="shared" si="9"/>
        <v>#VALUE!</v>
      </c>
      <c r="AK29" s="28"/>
      <c r="AL29" s="7">
        <f t="shared" si="10"/>
        <v>2</v>
      </c>
      <c r="AM29" s="28" t="s">
        <v>2295</v>
      </c>
      <c r="AN29" s="7">
        <f t="shared" si="11"/>
        <v>0</v>
      </c>
      <c r="AO29" s="28" t="s">
        <v>2297</v>
      </c>
      <c r="AP29" s="7">
        <f t="shared" si="12"/>
        <v>2</v>
      </c>
      <c r="AQ29" s="28" t="s">
        <v>2301</v>
      </c>
      <c r="AR29" s="7"/>
      <c r="AS29" s="7"/>
      <c r="AT29" s="7"/>
      <c r="AU29" s="7"/>
      <c r="AV29" s="7">
        <f t="shared" si="13"/>
        <v>6501</v>
      </c>
      <c r="AW29" s="28" t="s">
        <v>3061</v>
      </c>
      <c r="AX29" s="7">
        <v>0</v>
      </c>
      <c r="AY29" s="7">
        <f t="shared" si="14"/>
        <v>504</v>
      </c>
      <c r="AZ29" s="28" t="s">
        <v>2338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5"/>
        <v>10</v>
      </c>
      <c r="BG29" s="28" t="s">
        <v>2669</v>
      </c>
      <c r="BH29" s="7">
        <f t="shared" si="16"/>
        <v>601</v>
      </c>
      <c r="BI29" s="28" t="s">
        <v>2664</v>
      </c>
      <c r="BJ29" s="7">
        <f t="shared" si="17"/>
        <v>1</v>
      </c>
      <c r="BK29" s="28" t="s">
        <v>2487</v>
      </c>
      <c r="BL29" s="7">
        <v>10</v>
      </c>
      <c r="BM29" s="7">
        <v>15</v>
      </c>
      <c r="BN29" s="7">
        <f t="shared" si="18"/>
        <v>10209</v>
      </c>
      <c r="BO29" s="28" t="s">
        <v>2519</v>
      </c>
      <c r="BP29" s="7">
        <f t="shared" si="19"/>
        <v>20102</v>
      </c>
      <c r="BQ29" s="28" t="s">
        <v>2591</v>
      </c>
      <c r="BR29" s="7">
        <v>0</v>
      </c>
      <c r="BS29" s="7">
        <f t="shared" si="20"/>
        <v>1</v>
      </c>
      <c r="BT29" s="28" t="s">
        <v>2690</v>
      </c>
      <c r="BU29" s="7">
        <v>35</v>
      </c>
      <c r="BV29" s="7" t="e">
        <f ca="1">[1]!tメーカー名(BU29)</f>
        <v>#NAME?</v>
      </c>
      <c r="BW29" s="7">
        <f t="shared" si="21"/>
        <v>0</v>
      </c>
      <c r="BX29" s="28" t="s">
        <v>2641</v>
      </c>
      <c r="BY29" s="7" t="e">
        <f t="shared" si="22"/>
        <v>#VALUE!</v>
      </c>
      <c r="BZ29" s="28"/>
      <c r="CA29" s="54" t="s">
        <v>2666</v>
      </c>
      <c r="CB29" s="54" t="s">
        <v>2666</v>
      </c>
      <c r="CC29" s="7" t="e">
        <f t="shared" si="23"/>
        <v>#VALUE!</v>
      </c>
      <c r="CD29" s="28"/>
      <c r="CE29" s="7" t="e">
        <f t="shared" si="24"/>
        <v>#VALUE!</v>
      </c>
      <c r="CF29" s="28"/>
      <c r="CG29" s="7" t="e">
        <f t="shared" si="25"/>
        <v>#VALUE!</v>
      </c>
      <c r="CH29" s="28"/>
      <c r="CI29" s="7" t="e">
        <f t="shared" si="26"/>
        <v>#VALUE!</v>
      </c>
      <c r="CJ29" s="28"/>
      <c r="CK29" s="7"/>
      <c r="CL29" s="7"/>
      <c r="CM29" s="7"/>
      <c r="CN29" s="7"/>
      <c r="CO29" s="7"/>
      <c r="CP29" s="7"/>
      <c r="CQ29" s="7"/>
      <c r="CR29" s="7"/>
      <c r="CS29" s="126">
        <f t="shared" si="5"/>
        <v>0</v>
      </c>
      <c r="CT29" s="7"/>
      <c r="CU29" s="7"/>
    </row>
    <row r="30" spans="1:99" ht="13.5" customHeight="1">
      <c r="A30" s="7">
        <v>18</v>
      </c>
      <c r="B30" s="7"/>
      <c r="C30" s="7" t="e">
        <f t="shared" si="27"/>
        <v>#VALUE!</v>
      </c>
      <c r="D30" s="28"/>
      <c r="E30" s="7">
        <f t="shared" si="0"/>
        <v>0</v>
      </c>
      <c r="F30" s="7"/>
      <c r="G30" s="7">
        <f t="shared" si="1"/>
        <v>0</v>
      </c>
      <c r="H30" s="7"/>
      <c r="I30" s="7">
        <f t="shared" si="2"/>
        <v>0</v>
      </c>
      <c r="J30" s="7"/>
      <c r="K30" s="7">
        <f t="shared" si="3"/>
        <v>0</v>
      </c>
      <c r="L30" s="7"/>
      <c r="M30" s="7">
        <f t="shared" si="4"/>
        <v>0</v>
      </c>
      <c r="N30" s="7"/>
      <c r="O30" s="7"/>
      <c r="P30" s="7"/>
      <c r="Q30" s="53"/>
      <c r="R30" s="7"/>
      <c r="S30" s="7"/>
      <c r="T30" s="53"/>
      <c r="U30" s="7"/>
      <c r="V30" s="7" t="e">
        <f t="shared" ref="V30:X45" si="28">ABS(LEFT(W30,2))</f>
        <v>#VALUE!</v>
      </c>
      <c r="W30" s="28"/>
      <c r="X30" s="7" t="e">
        <f t="shared" si="28"/>
        <v>#VALUE!</v>
      </c>
      <c r="Y30" s="28"/>
      <c r="Z30" s="7" t="e">
        <f t="shared" si="7"/>
        <v>#VALUE!</v>
      </c>
      <c r="AA30" s="28"/>
      <c r="AB30" s="7"/>
      <c r="AC30" s="7"/>
      <c r="AD30" s="7"/>
      <c r="AE30" s="7"/>
      <c r="AF30" s="7">
        <v>0</v>
      </c>
      <c r="AG30" s="7" t="e">
        <f t="shared" si="8"/>
        <v>#VALUE!</v>
      </c>
      <c r="AH30" s="28"/>
      <c r="AI30" s="7"/>
      <c r="AJ30" s="7" t="e">
        <f t="shared" si="9"/>
        <v>#VALUE!</v>
      </c>
      <c r="AK30" s="28"/>
      <c r="AL30" s="7">
        <f t="shared" si="10"/>
        <v>2</v>
      </c>
      <c r="AM30" s="28" t="s">
        <v>2295</v>
      </c>
      <c r="AN30" s="7">
        <f t="shared" si="11"/>
        <v>0</v>
      </c>
      <c r="AO30" s="28" t="s">
        <v>2297</v>
      </c>
      <c r="AP30" s="7">
        <f t="shared" si="12"/>
        <v>2</v>
      </c>
      <c r="AQ30" s="28" t="s">
        <v>2301</v>
      </c>
      <c r="AR30" s="7"/>
      <c r="AS30" s="7"/>
      <c r="AT30" s="7"/>
      <c r="AU30" s="7"/>
      <c r="AV30" s="7">
        <f t="shared" si="13"/>
        <v>6501</v>
      </c>
      <c r="AW30" s="28" t="s">
        <v>3061</v>
      </c>
      <c r="AX30" s="7">
        <v>0</v>
      </c>
      <c r="AY30" s="7">
        <f t="shared" si="14"/>
        <v>504</v>
      </c>
      <c r="AZ30" s="28" t="s">
        <v>2338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5"/>
        <v>10</v>
      </c>
      <c r="BG30" s="28" t="s">
        <v>2669</v>
      </c>
      <c r="BH30" s="7">
        <f t="shared" si="16"/>
        <v>601</v>
      </c>
      <c r="BI30" s="28" t="s">
        <v>2664</v>
      </c>
      <c r="BJ30" s="7">
        <f t="shared" si="17"/>
        <v>1</v>
      </c>
      <c r="BK30" s="28" t="s">
        <v>2487</v>
      </c>
      <c r="BL30" s="7">
        <v>10</v>
      </c>
      <c r="BM30" s="7">
        <v>15</v>
      </c>
      <c r="BN30" s="7">
        <f t="shared" si="18"/>
        <v>10209</v>
      </c>
      <c r="BO30" s="28" t="s">
        <v>2519</v>
      </c>
      <c r="BP30" s="7">
        <f t="shared" si="19"/>
        <v>20102</v>
      </c>
      <c r="BQ30" s="28" t="s">
        <v>2591</v>
      </c>
      <c r="BR30" s="7">
        <v>0</v>
      </c>
      <c r="BS30" s="7">
        <f t="shared" si="20"/>
        <v>1</v>
      </c>
      <c r="BT30" s="28" t="s">
        <v>2690</v>
      </c>
      <c r="BU30" s="7">
        <v>35</v>
      </c>
      <c r="BV30" s="7" t="e">
        <f ca="1">[1]!tメーカー名(BU30)</f>
        <v>#NAME?</v>
      </c>
      <c r="BW30" s="7">
        <f t="shared" si="21"/>
        <v>0</v>
      </c>
      <c r="BX30" s="28" t="s">
        <v>2641</v>
      </c>
      <c r="BY30" s="7" t="e">
        <f t="shared" si="22"/>
        <v>#VALUE!</v>
      </c>
      <c r="BZ30" s="28"/>
      <c r="CA30" s="54" t="s">
        <v>2666</v>
      </c>
      <c r="CB30" s="54" t="s">
        <v>2666</v>
      </c>
      <c r="CC30" s="7" t="e">
        <f t="shared" si="23"/>
        <v>#VALUE!</v>
      </c>
      <c r="CD30" s="28"/>
      <c r="CE30" s="7" t="e">
        <f t="shared" si="24"/>
        <v>#VALUE!</v>
      </c>
      <c r="CF30" s="28"/>
      <c r="CG30" s="7" t="e">
        <f t="shared" si="25"/>
        <v>#VALUE!</v>
      </c>
      <c r="CH30" s="28"/>
      <c r="CI30" s="7" t="e">
        <f t="shared" si="26"/>
        <v>#VALUE!</v>
      </c>
      <c r="CJ30" s="28"/>
      <c r="CK30" s="7"/>
      <c r="CL30" s="7"/>
      <c r="CM30" s="7"/>
      <c r="CN30" s="7"/>
      <c r="CO30" s="7"/>
      <c r="CP30" s="7"/>
      <c r="CQ30" s="7"/>
      <c r="CR30" s="7"/>
      <c r="CS30" s="126">
        <f t="shared" si="5"/>
        <v>0</v>
      </c>
      <c r="CT30" s="7"/>
      <c r="CU30" s="7"/>
    </row>
    <row r="31" spans="1:99" ht="13.5" customHeight="1">
      <c r="A31" s="7">
        <v>19</v>
      </c>
      <c r="B31" s="7"/>
      <c r="C31" s="7" t="e">
        <f t="shared" si="27"/>
        <v>#VALUE!</v>
      </c>
      <c r="D31" s="28"/>
      <c r="E31" s="7">
        <f t="shared" si="0"/>
        <v>0</v>
      </c>
      <c r="F31" s="7"/>
      <c r="G31" s="7">
        <f t="shared" si="1"/>
        <v>0</v>
      </c>
      <c r="H31" s="7"/>
      <c r="I31" s="7">
        <f t="shared" si="2"/>
        <v>0</v>
      </c>
      <c r="J31" s="7"/>
      <c r="K31" s="7">
        <f t="shared" si="3"/>
        <v>0</v>
      </c>
      <c r="L31" s="7"/>
      <c r="M31" s="7">
        <f t="shared" si="4"/>
        <v>0</v>
      </c>
      <c r="N31" s="7"/>
      <c r="O31" s="7"/>
      <c r="P31" s="7"/>
      <c r="Q31" s="53"/>
      <c r="R31" s="7"/>
      <c r="S31" s="7"/>
      <c r="T31" s="53"/>
      <c r="U31" s="7"/>
      <c r="V31" s="7" t="e">
        <f t="shared" si="28"/>
        <v>#VALUE!</v>
      </c>
      <c r="W31" s="28"/>
      <c r="X31" s="7" t="e">
        <f t="shared" si="28"/>
        <v>#VALUE!</v>
      </c>
      <c r="Y31" s="28"/>
      <c r="Z31" s="7" t="e">
        <f t="shared" si="7"/>
        <v>#VALUE!</v>
      </c>
      <c r="AA31" s="28"/>
      <c r="AB31" s="7"/>
      <c r="AC31" s="7"/>
      <c r="AD31" s="7"/>
      <c r="AE31" s="7"/>
      <c r="AF31" s="7">
        <v>0</v>
      </c>
      <c r="AG31" s="7" t="e">
        <f t="shared" si="8"/>
        <v>#VALUE!</v>
      </c>
      <c r="AH31" s="28"/>
      <c r="AI31" s="7"/>
      <c r="AJ31" s="7" t="e">
        <f t="shared" si="9"/>
        <v>#VALUE!</v>
      </c>
      <c r="AK31" s="28"/>
      <c r="AL31" s="7">
        <f t="shared" si="10"/>
        <v>2</v>
      </c>
      <c r="AM31" s="28" t="s">
        <v>2295</v>
      </c>
      <c r="AN31" s="7">
        <f t="shared" si="11"/>
        <v>0</v>
      </c>
      <c r="AO31" s="28" t="s">
        <v>2297</v>
      </c>
      <c r="AP31" s="7">
        <f t="shared" si="12"/>
        <v>2</v>
      </c>
      <c r="AQ31" s="28" t="s">
        <v>2301</v>
      </c>
      <c r="AR31" s="7"/>
      <c r="AS31" s="7"/>
      <c r="AT31" s="7"/>
      <c r="AU31" s="7"/>
      <c r="AV31" s="7">
        <f t="shared" si="13"/>
        <v>6501</v>
      </c>
      <c r="AW31" s="28" t="s">
        <v>3061</v>
      </c>
      <c r="AX31" s="7">
        <v>0</v>
      </c>
      <c r="AY31" s="7">
        <f t="shared" si="14"/>
        <v>504</v>
      </c>
      <c r="AZ31" s="28" t="s">
        <v>2338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5"/>
        <v>10</v>
      </c>
      <c r="BG31" s="28" t="s">
        <v>2669</v>
      </c>
      <c r="BH31" s="7">
        <f t="shared" si="16"/>
        <v>601</v>
      </c>
      <c r="BI31" s="28" t="s">
        <v>2664</v>
      </c>
      <c r="BJ31" s="7">
        <f t="shared" si="17"/>
        <v>1</v>
      </c>
      <c r="BK31" s="28" t="s">
        <v>2487</v>
      </c>
      <c r="BL31" s="7">
        <v>10</v>
      </c>
      <c r="BM31" s="7">
        <v>15</v>
      </c>
      <c r="BN31" s="7">
        <f t="shared" si="18"/>
        <v>10209</v>
      </c>
      <c r="BO31" s="28" t="s">
        <v>2519</v>
      </c>
      <c r="BP31" s="7">
        <f t="shared" si="19"/>
        <v>20102</v>
      </c>
      <c r="BQ31" s="28" t="s">
        <v>2591</v>
      </c>
      <c r="BR31" s="7">
        <v>0</v>
      </c>
      <c r="BS31" s="7">
        <f t="shared" si="20"/>
        <v>1</v>
      </c>
      <c r="BT31" s="28" t="s">
        <v>2690</v>
      </c>
      <c r="BU31" s="7">
        <v>1648</v>
      </c>
      <c r="BV31" s="7" t="e">
        <f ca="1">[1]!tメーカー名(BU31)</f>
        <v>#NAME?</v>
      </c>
      <c r="BW31" s="7">
        <f t="shared" si="21"/>
        <v>0</v>
      </c>
      <c r="BX31" s="28" t="s">
        <v>2641</v>
      </c>
      <c r="BY31" s="7" t="e">
        <f t="shared" si="22"/>
        <v>#VALUE!</v>
      </c>
      <c r="BZ31" s="28"/>
      <c r="CA31" s="54" t="s">
        <v>2666</v>
      </c>
      <c r="CB31" s="54" t="s">
        <v>2666</v>
      </c>
      <c r="CC31" s="7" t="e">
        <f t="shared" si="23"/>
        <v>#VALUE!</v>
      </c>
      <c r="CD31" s="28"/>
      <c r="CE31" s="7" t="e">
        <f t="shared" si="24"/>
        <v>#VALUE!</v>
      </c>
      <c r="CF31" s="28"/>
      <c r="CG31" s="7" t="e">
        <f t="shared" si="25"/>
        <v>#VALUE!</v>
      </c>
      <c r="CH31" s="28"/>
      <c r="CI31" s="7" t="e">
        <f t="shared" si="26"/>
        <v>#VALUE!</v>
      </c>
      <c r="CJ31" s="28"/>
      <c r="CK31" s="7"/>
      <c r="CL31" s="7"/>
      <c r="CM31" s="7"/>
      <c r="CN31" s="7"/>
      <c r="CO31" s="7"/>
      <c r="CP31" s="7"/>
      <c r="CQ31" s="7"/>
      <c r="CR31" s="7"/>
      <c r="CS31" s="126">
        <f t="shared" si="5"/>
        <v>0</v>
      </c>
      <c r="CT31" s="7"/>
      <c r="CU31" s="7"/>
    </row>
    <row r="32" spans="1:99" ht="13.5" customHeight="1">
      <c r="A32" s="7">
        <v>20</v>
      </c>
      <c r="B32" s="7"/>
      <c r="C32" s="7" t="e">
        <f t="shared" si="27"/>
        <v>#VALUE!</v>
      </c>
      <c r="D32" s="28"/>
      <c r="E32" s="7">
        <f t="shared" si="0"/>
        <v>0</v>
      </c>
      <c r="F32" s="7"/>
      <c r="G32" s="7">
        <f t="shared" si="1"/>
        <v>0</v>
      </c>
      <c r="H32" s="7"/>
      <c r="I32" s="7">
        <f t="shared" si="2"/>
        <v>0</v>
      </c>
      <c r="J32" s="7"/>
      <c r="K32" s="7">
        <f t="shared" si="3"/>
        <v>0</v>
      </c>
      <c r="L32" s="7"/>
      <c r="M32" s="7">
        <f t="shared" si="4"/>
        <v>0</v>
      </c>
      <c r="N32" s="7"/>
      <c r="O32" s="7"/>
      <c r="P32" s="7"/>
      <c r="Q32" s="53"/>
      <c r="R32" s="7"/>
      <c r="S32" s="7"/>
      <c r="T32" s="53"/>
      <c r="U32" s="7"/>
      <c r="V32" s="7" t="e">
        <f t="shared" si="28"/>
        <v>#VALUE!</v>
      </c>
      <c r="W32" s="28"/>
      <c r="X32" s="7" t="e">
        <f t="shared" si="28"/>
        <v>#VALUE!</v>
      </c>
      <c r="Y32" s="28"/>
      <c r="Z32" s="7" t="e">
        <f t="shared" si="7"/>
        <v>#VALUE!</v>
      </c>
      <c r="AA32" s="28"/>
      <c r="AB32" s="7"/>
      <c r="AC32" s="7"/>
      <c r="AD32" s="7"/>
      <c r="AE32" s="7"/>
      <c r="AF32" s="7">
        <v>0</v>
      </c>
      <c r="AG32" s="7" t="e">
        <f t="shared" si="8"/>
        <v>#VALUE!</v>
      </c>
      <c r="AH32" s="28"/>
      <c r="AI32" s="7"/>
      <c r="AJ32" s="7" t="e">
        <f t="shared" si="9"/>
        <v>#VALUE!</v>
      </c>
      <c r="AK32" s="28"/>
      <c r="AL32" s="7">
        <f t="shared" si="10"/>
        <v>2</v>
      </c>
      <c r="AM32" s="28" t="s">
        <v>2295</v>
      </c>
      <c r="AN32" s="7">
        <f t="shared" si="11"/>
        <v>0</v>
      </c>
      <c r="AO32" s="28" t="s">
        <v>2297</v>
      </c>
      <c r="AP32" s="7">
        <f t="shared" si="12"/>
        <v>2</v>
      </c>
      <c r="AQ32" s="28" t="s">
        <v>2301</v>
      </c>
      <c r="AR32" s="7"/>
      <c r="AS32" s="7"/>
      <c r="AT32" s="7"/>
      <c r="AU32" s="7"/>
      <c r="AV32" s="7">
        <f t="shared" si="13"/>
        <v>6501</v>
      </c>
      <c r="AW32" s="28" t="s">
        <v>3061</v>
      </c>
      <c r="AX32" s="7">
        <v>0</v>
      </c>
      <c r="AY32" s="7">
        <f t="shared" si="14"/>
        <v>504</v>
      </c>
      <c r="AZ32" s="28" t="s">
        <v>2338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5"/>
        <v>10</v>
      </c>
      <c r="BG32" s="28" t="s">
        <v>2669</v>
      </c>
      <c r="BH32" s="7">
        <f t="shared" si="16"/>
        <v>601</v>
      </c>
      <c r="BI32" s="28" t="s">
        <v>2664</v>
      </c>
      <c r="BJ32" s="7">
        <f t="shared" si="17"/>
        <v>1</v>
      </c>
      <c r="BK32" s="28" t="s">
        <v>2487</v>
      </c>
      <c r="BL32" s="7">
        <v>10</v>
      </c>
      <c r="BM32" s="7">
        <v>15</v>
      </c>
      <c r="BN32" s="7">
        <f t="shared" si="18"/>
        <v>10209</v>
      </c>
      <c r="BO32" s="28" t="s">
        <v>2519</v>
      </c>
      <c r="BP32" s="7">
        <f t="shared" si="19"/>
        <v>20102</v>
      </c>
      <c r="BQ32" s="28" t="s">
        <v>2591</v>
      </c>
      <c r="BR32" s="7">
        <v>0</v>
      </c>
      <c r="BS32" s="7">
        <f t="shared" si="20"/>
        <v>1</v>
      </c>
      <c r="BT32" s="28" t="s">
        <v>2690</v>
      </c>
      <c r="BU32" s="7">
        <v>1648</v>
      </c>
      <c r="BV32" s="7" t="e">
        <f ca="1">[1]!tメーカー名(BU32)</f>
        <v>#NAME?</v>
      </c>
      <c r="BW32" s="7">
        <f t="shared" si="21"/>
        <v>0</v>
      </c>
      <c r="BX32" s="28" t="s">
        <v>2641</v>
      </c>
      <c r="BY32" s="7" t="e">
        <f t="shared" si="22"/>
        <v>#VALUE!</v>
      </c>
      <c r="BZ32" s="28"/>
      <c r="CA32" s="54" t="s">
        <v>2666</v>
      </c>
      <c r="CB32" s="54" t="s">
        <v>2666</v>
      </c>
      <c r="CC32" s="7" t="e">
        <f t="shared" si="23"/>
        <v>#VALUE!</v>
      </c>
      <c r="CD32" s="28"/>
      <c r="CE32" s="7" t="e">
        <f t="shared" si="24"/>
        <v>#VALUE!</v>
      </c>
      <c r="CF32" s="28"/>
      <c r="CG32" s="7" t="e">
        <f t="shared" si="25"/>
        <v>#VALUE!</v>
      </c>
      <c r="CH32" s="28"/>
      <c r="CI32" s="7" t="e">
        <f t="shared" si="26"/>
        <v>#VALUE!</v>
      </c>
      <c r="CJ32" s="28"/>
      <c r="CK32" s="7"/>
      <c r="CL32" s="7"/>
      <c r="CM32" s="7"/>
      <c r="CN32" s="7"/>
      <c r="CO32" s="7"/>
      <c r="CP32" s="7"/>
      <c r="CQ32" s="7"/>
      <c r="CR32" s="7"/>
      <c r="CS32" s="126">
        <f t="shared" si="5"/>
        <v>0</v>
      </c>
      <c r="CT32" s="7"/>
      <c r="CU32" s="7"/>
    </row>
    <row r="33" spans="1:99" ht="13.5" customHeight="1">
      <c r="A33" s="7">
        <v>21</v>
      </c>
      <c r="B33" s="7"/>
      <c r="C33" s="7" t="e">
        <f t="shared" si="27"/>
        <v>#VALUE!</v>
      </c>
      <c r="D33" s="28"/>
      <c r="E33" s="7">
        <f t="shared" si="0"/>
        <v>0</v>
      </c>
      <c r="F33" s="7"/>
      <c r="G33" s="7">
        <f t="shared" si="1"/>
        <v>0</v>
      </c>
      <c r="H33" s="7"/>
      <c r="I33" s="7">
        <f t="shared" si="2"/>
        <v>0</v>
      </c>
      <c r="J33" s="7"/>
      <c r="K33" s="7">
        <f t="shared" si="3"/>
        <v>0</v>
      </c>
      <c r="L33" s="7"/>
      <c r="M33" s="7">
        <f t="shared" si="4"/>
        <v>0</v>
      </c>
      <c r="N33" s="7"/>
      <c r="O33" s="7"/>
      <c r="P33" s="7"/>
      <c r="Q33" s="53"/>
      <c r="R33" s="7"/>
      <c r="S33" s="7"/>
      <c r="T33" s="53"/>
      <c r="U33" s="7"/>
      <c r="V33" s="7" t="e">
        <f t="shared" si="28"/>
        <v>#VALUE!</v>
      </c>
      <c r="W33" s="28"/>
      <c r="X33" s="7" t="e">
        <f t="shared" si="28"/>
        <v>#VALUE!</v>
      </c>
      <c r="Y33" s="28"/>
      <c r="Z33" s="7" t="e">
        <f t="shared" si="7"/>
        <v>#VALUE!</v>
      </c>
      <c r="AA33" s="28"/>
      <c r="AB33" s="7"/>
      <c r="AC33" s="7"/>
      <c r="AD33" s="7"/>
      <c r="AE33" s="7"/>
      <c r="AF33" s="7">
        <v>0</v>
      </c>
      <c r="AG33" s="7" t="e">
        <f t="shared" si="8"/>
        <v>#VALUE!</v>
      </c>
      <c r="AH33" s="28"/>
      <c r="AI33" s="7"/>
      <c r="AJ33" s="7" t="e">
        <f t="shared" si="9"/>
        <v>#VALUE!</v>
      </c>
      <c r="AK33" s="28"/>
      <c r="AL33" s="7">
        <f t="shared" si="10"/>
        <v>2</v>
      </c>
      <c r="AM33" s="28" t="s">
        <v>2295</v>
      </c>
      <c r="AN33" s="7">
        <f t="shared" si="11"/>
        <v>0</v>
      </c>
      <c r="AO33" s="28" t="s">
        <v>2297</v>
      </c>
      <c r="AP33" s="7">
        <f t="shared" si="12"/>
        <v>2</v>
      </c>
      <c r="AQ33" s="28" t="s">
        <v>2301</v>
      </c>
      <c r="AR33" s="7"/>
      <c r="AS33" s="7"/>
      <c r="AT33" s="7"/>
      <c r="AU33" s="7"/>
      <c r="AV33" s="7">
        <f t="shared" si="13"/>
        <v>6501</v>
      </c>
      <c r="AW33" s="28" t="s">
        <v>3061</v>
      </c>
      <c r="AX33" s="7">
        <v>0</v>
      </c>
      <c r="AY33" s="7">
        <f t="shared" si="14"/>
        <v>604</v>
      </c>
      <c r="AZ33" s="28" t="s">
        <v>2372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5"/>
        <v>10</v>
      </c>
      <c r="BG33" s="28" t="s">
        <v>2669</v>
      </c>
      <c r="BH33" s="7">
        <f t="shared" si="16"/>
        <v>601</v>
      </c>
      <c r="BI33" s="28" t="s">
        <v>2664</v>
      </c>
      <c r="BJ33" s="7">
        <f t="shared" si="17"/>
        <v>1</v>
      </c>
      <c r="BK33" s="28" t="s">
        <v>2487</v>
      </c>
      <c r="BL33" s="7">
        <v>10</v>
      </c>
      <c r="BM33" s="7">
        <v>15</v>
      </c>
      <c r="BN33" s="7">
        <f t="shared" si="18"/>
        <v>10209</v>
      </c>
      <c r="BO33" s="28" t="s">
        <v>2519</v>
      </c>
      <c r="BP33" s="7">
        <f t="shared" si="19"/>
        <v>20102</v>
      </c>
      <c r="BQ33" s="28" t="s">
        <v>2591</v>
      </c>
      <c r="BR33" s="7"/>
      <c r="BS33" s="7">
        <f t="shared" si="20"/>
        <v>7</v>
      </c>
      <c r="BT33" s="28" t="s">
        <v>2709</v>
      </c>
      <c r="BU33" s="7">
        <v>1648</v>
      </c>
      <c r="BV33" s="7" t="e">
        <f ca="1">[1]!tメーカー名(BU33)</f>
        <v>#NAME?</v>
      </c>
      <c r="BW33" s="7">
        <f t="shared" si="21"/>
        <v>0</v>
      </c>
      <c r="BX33" s="28" t="s">
        <v>2641</v>
      </c>
      <c r="BY33" s="7" t="e">
        <f t="shared" si="22"/>
        <v>#VALUE!</v>
      </c>
      <c r="BZ33" s="28"/>
      <c r="CA33" s="54" t="s">
        <v>2666</v>
      </c>
      <c r="CB33" s="54" t="s">
        <v>2666</v>
      </c>
      <c r="CC33" s="7" t="e">
        <f t="shared" si="23"/>
        <v>#VALUE!</v>
      </c>
      <c r="CD33" s="28"/>
      <c r="CE33" s="7" t="e">
        <f t="shared" si="24"/>
        <v>#VALUE!</v>
      </c>
      <c r="CF33" s="28"/>
      <c r="CG33" s="7" t="e">
        <f t="shared" si="25"/>
        <v>#VALUE!</v>
      </c>
      <c r="CH33" s="28"/>
      <c r="CI33" s="7" t="e">
        <f t="shared" si="26"/>
        <v>#VALUE!</v>
      </c>
      <c r="CJ33" s="28"/>
      <c r="CK33" s="7"/>
      <c r="CL33" s="7"/>
      <c r="CM33" s="7"/>
      <c r="CN33" s="7"/>
      <c r="CO33" s="7"/>
      <c r="CP33" s="7"/>
      <c r="CQ33" s="7"/>
      <c r="CR33" s="7"/>
      <c r="CS33" s="126">
        <f t="shared" si="5"/>
        <v>0</v>
      </c>
      <c r="CT33" s="7"/>
      <c r="CU33" s="7"/>
    </row>
    <row r="34" spans="1:99" ht="13.5" customHeight="1">
      <c r="A34" s="7">
        <v>22</v>
      </c>
      <c r="B34" s="7"/>
      <c r="C34" s="7" t="e">
        <f t="shared" si="27"/>
        <v>#VALUE!</v>
      </c>
      <c r="D34" s="28"/>
      <c r="E34" s="7">
        <f t="shared" si="0"/>
        <v>0</v>
      </c>
      <c r="F34" s="7"/>
      <c r="G34" s="7">
        <f t="shared" si="1"/>
        <v>0</v>
      </c>
      <c r="H34" s="7"/>
      <c r="I34" s="7">
        <f t="shared" si="2"/>
        <v>0</v>
      </c>
      <c r="J34" s="7"/>
      <c r="K34" s="7">
        <f t="shared" si="3"/>
        <v>0</v>
      </c>
      <c r="L34" s="7"/>
      <c r="M34" s="7">
        <f t="shared" si="4"/>
        <v>0</v>
      </c>
      <c r="N34" s="7"/>
      <c r="O34" s="7"/>
      <c r="P34" s="7"/>
      <c r="Q34" s="53"/>
      <c r="R34" s="7"/>
      <c r="S34" s="7"/>
      <c r="T34" s="53"/>
      <c r="U34" s="7"/>
      <c r="V34" s="7" t="e">
        <f t="shared" si="28"/>
        <v>#VALUE!</v>
      </c>
      <c r="W34" s="28"/>
      <c r="X34" s="7" t="e">
        <f t="shared" si="28"/>
        <v>#VALUE!</v>
      </c>
      <c r="Y34" s="28"/>
      <c r="Z34" s="7" t="e">
        <f t="shared" si="7"/>
        <v>#VALUE!</v>
      </c>
      <c r="AA34" s="28"/>
      <c r="AB34" s="7"/>
      <c r="AC34" s="7"/>
      <c r="AD34" s="7"/>
      <c r="AE34" s="7"/>
      <c r="AF34" s="7">
        <v>0</v>
      </c>
      <c r="AG34" s="7" t="e">
        <f t="shared" si="8"/>
        <v>#VALUE!</v>
      </c>
      <c r="AH34" s="28"/>
      <c r="AI34" s="7"/>
      <c r="AJ34" s="7" t="e">
        <f t="shared" si="9"/>
        <v>#VALUE!</v>
      </c>
      <c r="AK34" s="28"/>
      <c r="AL34" s="7">
        <f t="shared" si="10"/>
        <v>2</v>
      </c>
      <c r="AM34" s="28" t="s">
        <v>2295</v>
      </c>
      <c r="AN34" s="7">
        <f t="shared" si="11"/>
        <v>0</v>
      </c>
      <c r="AO34" s="28" t="s">
        <v>2297</v>
      </c>
      <c r="AP34" s="7">
        <f t="shared" si="12"/>
        <v>2</v>
      </c>
      <c r="AQ34" s="28" t="s">
        <v>2301</v>
      </c>
      <c r="AR34" s="7"/>
      <c r="AS34" s="7"/>
      <c r="AT34" s="7"/>
      <c r="AU34" s="7"/>
      <c r="AV34" s="7">
        <f t="shared" si="13"/>
        <v>6501</v>
      </c>
      <c r="AW34" s="28" t="s">
        <v>3061</v>
      </c>
      <c r="AX34" s="7">
        <v>0</v>
      </c>
      <c r="AY34" s="7">
        <f t="shared" si="14"/>
        <v>505</v>
      </c>
      <c r="AZ34" s="28" t="s">
        <v>2339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5"/>
        <v>10</v>
      </c>
      <c r="BG34" s="28" t="s">
        <v>2669</v>
      </c>
      <c r="BH34" s="7">
        <f t="shared" si="16"/>
        <v>601</v>
      </c>
      <c r="BI34" s="28" t="s">
        <v>2664</v>
      </c>
      <c r="BJ34" s="7">
        <f t="shared" si="17"/>
        <v>1</v>
      </c>
      <c r="BK34" s="28" t="s">
        <v>2487</v>
      </c>
      <c r="BL34" s="7">
        <v>10</v>
      </c>
      <c r="BM34" s="7">
        <v>15</v>
      </c>
      <c r="BN34" s="7">
        <f t="shared" si="18"/>
        <v>10209</v>
      </c>
      <c r="BO34" s="28" t="s">
        <v>2519</v>
      </c>
      <c r="BP34" s="7">
        <f t="shared" si="19"/>
        <v>20102</v>
      </c>
      <c r="BQ34" s="28" t="s">
        <v>2591</v>
      </c>
      <c r="BR34" s="7"/>
      <c r="BS34" s="7">
        <f t="shared" si="20"/>
        <v>7</v>
      </c>
      <c r="BT34" s="28" t="s">
        <v>2709</v>
      </c>
      <c r="BU34" s="7">
        <v>1648</v>
      </c>
      <c r="BV34" s="7" t="e">
        <f ca="1">[1]!tメーカー名(BU34)</f>
        <v>#NAME?</v>
      </c>
      <c r="BW34" s="7">
        <f t="shared" si="21"/>
        <v>0</v>
      </c>
      <c r="BX34" s="28" t="s">
        <v>2641</v>
      </c>
      <c r="BY34" s="7" t="e">
        <f t="shared" si="22"/>
        <v>#VALUE!</v>
      </c>
      <c r="BZ34" s="28"/>
      <c r="CA34" s="54" t="s">
        <v>2666</v>
      </c>
      <c r="CB34" s="54" t="s">
        <v>2666</v>
      </c>
      <c r="CC34" s="7" t="e">
        <f t="shared" si="23"/>
        <v>#VALUE!</v>
      </c>
      <c r="CD34" s="28"/>
      <c r="CE34" s="7" t="e">
        <f t="shared" si="24"/>
        <v>#VALUE!</v>
      </c>
      <c r="CF34" s="28"/>
      <c r="CG34" s="7" t="e">
        <f t="shared" si="25"/>
        <v>#VALUE!</v>
      </c>
      <c r="CH34" s="28"/>
      <c r="CI34" s="7" t="e">
        <f t="shared" si="26"/>
        <v>#VALUE!</v>
      </c>
      <c r="CJ34" s="28"/>
      <c r="CK34" s="7"/>
      <c r="CL34" s="7"/>
      <c r="CM34" s="7"/>
      <c r="CN34" s="7"/>
      <c r="CO34" s="7"/>
      <c r="CP34" s="7"/>
      <c r="CQ34" s="7"/>
      <c r="CR34" s="7"/>
      <c r="CS34" s="126">
        <f t="shared" si="5"/>
        <v>0</v>
      </c>
      <c r="CT34" s="7"/>
      <c r="CU34" s="7"/>
    </row>
    <row r="35" spans="1:99" ht="13.5" customHeight="1">
      <c r="A35" s="7">
        <v>23</v>
      </c>
      <c r="B35" s="7"/>
      <c r="C35" s="7" t="e">
        <f t="shared" si="27"/>
        <v>#VALUE!</v>
      </c>
      <c r="D35" s="28"/>
      <c r="E35" s="7">
        <f t="shared" si="0"/>
        <v>0</v>
      </c>
      <c r="F35" s="6"/>
      <c r="G35" s="7">
        <f t="shared" si="1"/>
        <v>0</v>
      </c>
      <c r="H35" s="7"/>
      <c r="I35" s="7">
        <f t="shared" si="2"/>
        <v>0</v>
      </c>
      <c r="J35" s="7"/>
      <c r="K35" s="7">
        <f t="shared" si="3"/>
        <v>0</v>
      </c>
      <c r="L35" s="7"/>
      <c r="M35" s="7">
        <f t="shared" si="4"/>
        <v>0</v>
      </c>
      <c r="N35" s="7"/>
      <c r="O35" s="7"/>
      <c r="P35" s="7"/>
      <c r="Q35" s="53"/>
      <c r="R35" s="7"/>
      <c r="S35" s="7"/>
      <c r="T35" s="53"/>
      <c r="U35" s="7"/>
      <c r="V35" s="7" t="e">
        <f t="shared" si="28"/>
        <v>#VALUE!</v>
      </c>
      <c r="W35" s="28"/>
      <c r="X35" s="7" t="e">
        <f t="shared" si="28"/>
        <v>#VALUE!</v>
      </c>
      <c r="Y35" s="28"/>
      <c r="Z35" s="7" t="e">
        <f t="shared" si="7"/>
        <v>#VALUE!</v>
      </c>
      <c r="AA35" s="28"/>
      <c r="AB35" s="7"/>
      <c r="AC35" s="7"/>
      <c r="AD35" s="7"/>
      <c r="AE35" s="7"/>
      <c r="AF35" s="7">
        <v>0</v>
      </c>
      <c r="AG35" s="7" t="e">
        <f t="shared" si="8"/>
        <v>#VALUE!</v>
      </c>
      <c r="AH35" s="28"/>
      <c r="AI35" s="7"/>
      <c r="AJ35" s="7" t="e">
        <f t="shared" si="9"/>
        <v>#VALUE!</v>
      </c>
      <c r="AK35" s="28"/>
      <c r="AL35" s="7">
        <f t="shared" si="10"/>
        <v>2</v>
      </c>
      <c r="AM35" s="28" t="s">
        <v>2295</v>
      </c>
      <c r="AN35" s="7">
        <f t="shared" si="11"/>
        <v>0</v>
      </c>
      <c r="AO35" s="28" t="s">
        <v>2297</v>
      </c>
      <c r="AP35" s="7">
        <f t="shared" si="12"/>
        <v>2</v>
      </c>
      <c r="AQ35" s="28" t="s">
        <v>2301</v>
      </c>
      <c r="AR35" s="7"/>
      <c r="AS35" s="7"/>
      <c r="AT35" s="7"/>
      <c r="AU35" s="7"/>
      <c r="AV35" s="7">
        <f t="shared" si="13"/>
        <v>6501</v>
      </c>
      <c r="AW35" s="28" t="s">
        <v>3061</v>
      </c>
      <c r="AX35" s="7">
        <v>0</v>
      </c>
      <c r="AY35" s="7">
        <f t="shared" si="14"/>
        <v>506</v>
      </c>
      <c r="AZ35" s="28" t="s">
        <v>2340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5"/>
        <v>10</v>
      </c>
      <c r="BG35" s="28" t="s">
        <v>2669</v>
      </c>
      <c r="BH35" s="7">
        <f t="shared" si="16"/>
        <v>601</v>
      </c>
      <c r="BI35" s="28" t="s">
        <v>2664</v>
      </c>
      <c r="BJ35" s="7">
        <f t="shared" si="17"/>
        <v>1</v>
      </c>
      <c r="BK35" s="28" t="s">
        <v>2487</v>
      </c>
      <c r="BL35" s="7">
        <v>10</v>
      </c>
      <c r="BM35" s="7">
        <v>15</v>
      </c>
      <c r="BN35" s="7">
        <f t="shared" si="18"/>
        <v>10209</v>
      </c>
      <c r="BO35" s="28" t="s">
        <v>2519</v>
      </c>
      <c r="BP35" s="7">
        <f t="shared" si="19"/>
        <v>20102</v>
      </c>
      <c r="BQ35" s="28" t="s">
        <v>2591</v>
      </c>
      <c r="BR35" s="7"/>
      <c r="BS35" s="7">
        <f t="shared" si="20"/>
        <v>7</v>
      </c>
      <c r="BT35" s="28" t="s">
        <v>2709</v>
      </c>
      <c r="BU35" s="7">
        <v>1648</v>
      </c>
      <c r="BV35" s="7" t="e">
        <f ca="1">[1]!tメーカー名(BU35)</f>
        <v>#NAME?</v>
      </c>
      <c r="BW35" s="7">
        <f t="shared" si="21"/>
        <v>0</v>
      </c>
      <c r="BX35" s="28" t="s">
        <v>2641</v>
      </c>
      <c r="BY35" s="7" t="e">
        <f t="shared" si="22"/>
        <v>#VALUE!</v>
      </c>
      <c r="BZ35" s="28"/>
      <c r="CA35" s="54" t="s">
        <v>2666</v>
      </c>
      <c r="CB35" s="54" t="s">
        <v>2666</v>
      </c>
      <c r="CC35" s="7" t="e">
        <f t="shared" si="23"/>
        <v>#VALUE!</v>
      </c>
      <c r="CD35" s="28"/>
      <c r="CE35" s="7" t="e">
        <f t="shared" si="24"/>
        <v>#VALUE!</v>
      </c>
      <c r="CF35" s="28"/>
      <c r="CG35" s="7" t="e">
        <f t="shared" si="25"/>
        <v>#VALUE!</v>
      </c>
      <c r="CH35" s="28"/>
      <c r="CI35" s="7" t="e">
        <f t="shared" si="26"/>
        <v>#VALUE!</v>
      </c>
      <c r="CJ35" s="28"/>
      <c r="CK35" s="7"/>
      <c r="CL35" s="7"/>
      <c r="CM35" s="7"/>
      <c r="CN35" s="7"/>
      <c r="CO35" s="7"/>
      <c r="CP35" s="7"/>
      <c r="CQ35" s="7"/>
      <c r="CR35" s="7"/>
      <c r="CS35" s="126">
        <f t="shared" si="5"/>
        <v>0</v>
      </c>
      <c r="CT35" s="7"/>
      <c r="CU35" s="7"/>
    </row>
    <row r="36" spans="1:99" ht="13.5" customHeight="1">
      <c r="A36" s="7">
        <v>24</v>
      </c>
      <c r="B36" s="7"/>
      <c r="C36" s="7" t="e">
        <f t="shared" si="27"/>
        <v>#VALUE!</v>
      </c>
      <c r="D36" s="28"/>
      <c r="E36" s="7">
        <f t="shared" si="0"/>
        <v>0</v>
      </c>
      <c r="F36" s="6"/>
      <c r="G36" s="7">
        <f t="shared" si="1"/>
        <v>0</v>
      </c>
      <c r="H36" s="7"/>
      <c r="I36" s="7">
        <f t="shared" si="2"/>
        <v>0</v>
      </c>
      <c r="J36" s="7"/>
      <c r="K36" s="7">
        <f t="shared" si="3"/>
        <v>0</v>
      </c>
      <c r="L36" s="7"/>
      <c r="M36" s="7">
        <f t="shared" si="4"/>
        <v>0</v>
      </c>
      <c r="N36" s="7"/>
      <c r="O36" s="7"/>
      <c r="P36" s="7"/>
      <c r="Q36" s="53"/>
      <c r="R36" s="7"/>
      <c r="S36" s="7"/>
      <c r="T36" s="53"/>
      <c r="U36" s="7"/>
      <c r="V36" s="7" t="e">
        <f t="shared" si="28"/>
        <v>#VALUE!</v>
      </c>
      <c r="W36" s="28"/>
      <c r="X36" s="7" t="e">
        <f t="shared" si="28"/>
        <v>#VALUE!</v>
      </c>
      <c r="Y36" s="28"/>
      <c r="Z36" s="7" t="e">
        <f t="shared" si="7"/>
        <v>#VALUE!</v>
      </c>
      <c r="AA36" s="28"/>
      <c r="AB36" s="7"/>
      <c r="AC36" s="7"/>
      <c r="AD36" s="7"/>
      <c r="AE36" s="7"/>
      <c r="AF36" s="7">
        <v>0</v>
      </c>
      <c r="AG36" s="7" t="e">
        <f t="shared" si="8"/>
        <v>#VALUE!</v>
      </c>
      <c r="AH36" s="28"/>
      <c r="AI36" s="7"/>
      <c r="AJ36" s="7" t="e">
        <f t="shared" si="9"/>
        <v>#VALUE!</v>
      </c>
      <c r="AK36" s="28"/>
      <c r="AL36" s="7">
        <f t="shared" si="10"/>
        <v>2</v>
      </c>
      <c r="AM36" s="28" t="s">
        <v>2295</v>
      </c>
      <c r="AN36" s="7">
        <f t="shared" si="11"/>
        <v>0</v>
      </c>
      <c r="AO36" s="28" t="s">
        <v>2297</v>
      </c>
      <c r="AP36" s="7">
        <f t="shared" si="12"/>
        <v>2</v>
      </c>
      <c r="AQ36" s="28" t="s">
        <v>2301</v>
      </c>
      <c r="AR36" s="7"/>
      <c r="AS36" s="7"/>
      <c r="AT36" s="7"/>
      <c r="AU36" s="7"/>
      <c r="AV36" s="7">
        <f t="shared" si="13"/>
        <v>6501</v>
      </c>
      <c r="AW36" s="28" t="s">
        <v>3061</v>
      </c>
      <c r="AX36" s="7">
        <v>0</v>
      </c>
      <c r="AY36" s="7">
        <f t="shared" si="14"/>
        <v>504</v>
      </c>
      <c r="AZ36" s="28" t="s">
        <v>2338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5"/>
        <v>10</v>
      </c>
      <c r="BG36" s="28" t="s">
        <v>2669</v>
      </c>
      <c r="BH36" s="7">
        <f t="shared" si="16"/>
        <v>601</v>
      </c>
      <c r="BI36" s="28" t="s">
        <v>2664</v>
      </c>
      <c r="BJ36" s="7">
        <f t="shared" si="17"/>
        <v>1</v>
      </c>
      <c r="BK36" s="28" t="s">
        <v>2487</v>
      </c>
      <c r="BL36" s="7">
        <v>10</v>
      </c>
      <c r="BM36" s="7">
        <v>15</v>
      </c>
      <c r="BN36" s="7">
        <f t="shared" si="18"/>
        <v>10209</v>
      </c>
      <c r="BO36" s="28" t="s">
        <v>2519</v>
      </c>
      <c r="BP36" s="7">
        <f t="shared" si="19"/>
        <v>20102</v>
      </c>
      <c r="BQ36" s="28" t="s">
        <v>2591</v>
      </c>
      <c r="BR36" s="7"/>
      <c r="BS36" s="7">
        <f t="shared" si="20"/>
        <v>7</v>
      </c>
      <c r="BT36" s="28" t="s">
        <v>2709</v>
      </c>
      <c r="BU36" s="7">
        <v>1648</v>
      </c>
      <c r="BV36" s="7" t="e">
        <f ca="1">[1]!tメーカー名(BU36)</f>
        <v>#NAME?</v>
      </c>
      <c r="BW36" s="7">
        <f t="shared" si="21"/>
        <v>0</v>
      </c>
      <c r="BX36" s="28" t="s">
        <v>2641</v>
      </c>
      <c r="BY36" s="7" t="e">
        <f t="shared" si="22"/>
        <v>#VALUE!</v>
      </c>
      <c r="BZ36" s="28"/>
      <c r="CA36" s="54" t="s">
        <v>2666</v>
      </c>
      <c r="CB36" s="54" t="s">
        <v>2666</v>
      </c>
      <c r="CC36" s="7" t="e">
        <f t="shared" si="23"/>
        <v>#VALUE!</v>
      </c>
      <c r="CD36" s="28"/>
      <c r="CE36" s="7" t="e">
        <f t="shared" si="24"/>
        <v>#VALUE!</v>
      </c>
      <c r="CF36" s="28"/>
      <c r="CG36" s="7" t="e">
        <f t="shared" si="25"/>
        <v>#VALUE!</v>
      </c>
      <c r="CH36" s="28"/>
      <c r="CI36" s="7" t="e">
        <f t="shared" si="26"/>
        <v>#VALUE!</v>
      </c>
      <c r="CJ36" s="28"/>
      <c r="CK36" s="7"/>
      <c r="CL36" s="7"/>
      <c r="CM36" s="7"/>
      <c r="CN36" s="7"/>
      <c r="CO36" s="7"/>
      <c r="CP36" s="7"/>
      <c r="CQ36" s="7"/>
      <c r="CR36" s="7"/>
      <c r="CS36" s="126">
        <f t="shared" si="5"/>
        <v>0</v>
      </c>
      <c r="CT36" s="7"/>
      <c r="CU36" s="7"/>
    </row>
    <row r="37" spans="1:99" ht="13.5" customHeight="1">
      <c r="A37" s="7">
        <v>25</v>
      </c>
      <c r="B37" s="7"/>
      <c r="C37" s="7" t="e">
        <f t="shared" si="27"/>
        <v>#VALUE!</v>
      </c>
      <c r="D37" s="28"/>
      <c r="E37" s="7">
        <f t="shared" si="0"/>
        <v>0</v>
      </c>
      <c r="F37" s="6"/>
      <c r="G37" s="7">
        <f t="shared" si="1"/>
        <v>0</v>
      </c>
      <c r="H37" s="7"/>
      <c r="I37" s="7">
        <f t="shared" si="2"/>
        <v>0</v>
      </c>
      <c r="J37" s="7"/>
      <c r="K37" s="7">
        <f t="shared" si="3"/>
        <v>0</v>
      </c>
      <c r="L37" s="7"/>
      <c r="M37" s="7">
        <f t="shared" si="4"/>
        <v>0</v>
      </c>
      <c r="N37" s="7"/>
      <c r="O37" s="7"/>
      <c r="P37" s="7"/>
      <c r="Q37" s="53"/>
      <c r="R37" s="7"/>
      <c r="S37" s="7"/>
      <c r="T37" s="53"/>
      <c r="U37" s="7"/>
      <c r="V37" s="7" t="e">
        <f t="shared" si="28"/>
        <v>#VALUE!</v>
      </c>
      <c r="W37" s="28"/>
      <c r="X37" s="7" t="e">
        <f t="shared" si="28"/>
        <v>#VALUE!</v>
      </c>
      <c r="Y37" s="28"/>
      <c r="Z37" s="7" t="e">
        <f t="shared" si="7"/>
        <v>#VALUE!</v>
      </c>
      <c r="AA37" s="28"/>
      <c r="AB37" s="7"/>
      <c r="AC37" s="7"/>
      <c r="AD37" s="7"/>
      <c r="AE37" s="7"/>
      <c r="AF37" s="7">
        <v>0</v>
      </c>
      <c r="AG37" s="7" t="e">
        <f t="shared" si="8"/>
        <v>#VALUE!</v>
      </c>
      <c r="AH37" s="28"/>
      <c r="AI37" s="7"/>
      <c r="AJ37" s="7" t="e">
        <f t="shared" si="9"/>
        <v>#VALUE!</v>
      </c>
      <c r="AK37" s="28"/>
      <c r="AL37" s="7">
        <f t="shared" si="10"/>
        <v>2</v>
      </c>
      <c r="AM37" s="28" t="s">
        <v>2295</v>
      </c>
      <c r="AN37" s="7">
        <f t="shared" si="11"/>
        <v>0</v>
      </c>
      <c r="AO37" s="28" t="s">
        <v>2297</v>
      </c>
      <c r="AP37" s="7">
        <f t="shared" si="12"/>
        <v>2</v>
      </c>
      <c r="AQ37" s="28" t="s">
        <v>2301</v>
      </c>
      <c r="AR37" s="7"/>
      <c r="AS37" s="7"/>
      <c r="AT37" s="7"/>
      <c r="AU37" s="7"/>
      <c r="AV37" s="7">
        <f t="shared" si="13"/>
        <v>6501</v>
      </c>
      <c r="AW37" s="28" t="s">
        <v>3061</v>
      </c>
      <c r="AX37" s="7">
        <v>0</v>
      </c>
      <c r="AY37" s="7">
        <f t="shared" si="14"/>
        <v>532</v>
      </c>
      <c r="AZ37" s="28" t="s">
        <v>2366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5"/>
        <v>10</v>
      </c>
      <c r="BG37" s="28" t="s">
        <v>2669</v>
      </c>
      <c r="BH37" s="7">
        <f t="shared" si="16"/>
        <v>601</v>
      </c>
      <c r="BI37" s="28" t="s">
        <v>2664</v>
      </c>
      <c r="BJ37" s="7">
        <f t="shared" si="17"/>
        <v>1</v>
      </c>
      <c r="BK37" s="28" t="s">
        <v>2487</v>
      </c>
      <c r="BL37" s="7">
        <v>12.5</v>
      </c>
      <c r="BM37" s="7">
        <v>12.5</v>
      </c>
      <c r="BN37" s="7">
        <f t="shared" si="18"/>
        <v>10202</v>
      </c>
      <c r="BO37" s="28" t="s">
        <v>2512</v>
      </c>
      <c r="BP37" s="7">
        <f t="shared" si="19"/>
        <v>20102</v>
      </c>
      <c r="BQ37" s="28" t="s">
        <v>2591</v>
      </c>
      <c r="BR37" s="7"/>
      <c r="BS37" s="7">
        <f t="shared" si="20"/>
        <v>6</v>
      </c>
      <c r="BT37" s="28" t="s">
        <v>2665</v>
      </c>
      <c r="BU37" s="7">
        <v>14</v>
      </c>
      <c r="BV37" s="7" t="e">
        <f ca="1">[1]!tメーカー名(BU37)</f>
        <v>#NAME?</v>
      </c>
      <c r="BW37" s="7">
        <f t="shared" si="21"/>
        <v>0</v>
      </c>
      <c r="BX37" s="28" t="s">
        <v>2641</v>
      </c>
      <c r="BY37" s="7" t="e">
        <f t="shared" si="22"/>
        <v>#VALUE!</v>
      </c>
      <c r="BZ37" s="28"/>
      <c r="CA37" s="54" t="s">
        <v>2666</v>
      </c>
      <c r="CB37" s="54" t="s">
        <v>2771</v>
      </c>
      <c r="CC37" s="7" t="e">
        <f t="shared" si="23"/>
        <v>#VALUE!</v>
      </c>
      <c r="CD37" s="28"/>
      <c r="CE37" s="7" t="e">
        <f t="shared" si="24"/>
        <v>#VALUE!</v>
      </c>
      <c r="CF37" s="28"/>
      <c r="CG37" s="7" t="e">
        <f t="shared" si="25"/>
        <v>#VALUE!</v>
      </c>
      <c r="CH37" s="28"/>
      <c r="CI37" s="7" t="e">
        <f t="shared" si="26"/>
        <v>#VALUE!</v>
      </c>
      <c r="CJ37" s="28"/>
      <c r="CK37" s="7"/>
      <c r="CL37" s="7"/>
      <c r="CM37" s="7"/>
      <c r="CN37" s="7"/>
      <c r="CO37" s="7"/>
      <c r="CP37" s="7"/>
      <c r="CQ37" s="7"/>
      <c r="CR37" s="7"/>
      <c r="CS37" s="126">
        <f t="shared" si="5"/>
        <v>0</v>
      </c>
      <c r="CT37" s="7"/>
      <c r="CU37" s="7"/>
    </row>
    <row r="38" spans="1:99" ht="13.5" customHeight="1">
      <c r="A38" s="7">
        <v>26</v>
      </c>
      <c r="B38" s="7"/>
      <c r="C38" s="7" t="e">
        <f t="shared" si="27"/>
        <v>#VALUE!</v>
      </c>
      <c r="D38" s="28"/>
      <c r="E38" s="7">
        <f t="shared" si="0"/>
        <v>0</v>
      </c>
      <c r="F38" s="6"/>
      <c r="G38" s="7">
        <f t="shared" si="1"/>
        <v>0</v>
      </c>
      <c r="H38" s="7"/>
      <c r="I38" s="7">
        <f t="shared" si="2"/>
        <v>0</v>
      </c>
      <c r="J38" s="7"/>
      <c r="K38" s="7">
        <f t="shared" si="3"/>
        <v>0</v>
      </c>
      <c r="L38" s="7"/>
      <c r="M38" s="7">
        <f t="shared" si="4"/>
        <v>0</v>
      </c>
      <c r="N38" s="7"/>
      <c r="O38" s="7"/>
      <c r="P38" s="7"/>
      <c r="Q38" s="53"/>
      <c r="R38" s="7"/>
      <c r="S38" s="7"/>
      <c r="T38" s="53"/>
      <c r="U38" s="7"/>
      <c r="V38" s="7" t="e">
        <f t="shared" si="28"/>
        <v>#VALUE!</v>
      </c>
      <c r="W38" s="28"/>
      <c r="X38" s="7" t="e">
        <f t="shared" si="28"/>
        <v>#VALUE!</v>
      </c>
      <c r="Y38" s="28"/>
      <c r="Z38" s="7" t="e">
        <f t="shared" si="7"/>
        <v>#VALUE!</v>
      </c>
      <c r="AA38" s="28"/>
      <c r="AB38" s="7"/>
      <c r="AC38" s="7"/>
      <c r="AD38" s="7"/>
      <c r="AE38" s="7"/>
      <c r="AF38" s="7">
        <v>0</v>
      </c>
      <c r="AG38" s="7" t="e">
        <f t="shared" si="8"/>
        <v>#VALUE!</v>
      </c>
      <c r="AH38" s="28"/>
      <c r="AI38" s="7"/>
      <c r="AJ38" s="7" t="e">
        <f t="shared" si="9"/>
        <v>#VALUE!</v>
      </c>
      <c r="AK38" s="28"/>
      <c r="AL38" s="7">
        <f t="shared" si="10"/>
        <v>2</v>
      </c>
      <c r="AM38" s="28" t="s">
        <v>2295</v>
      </c>
      <c r="AN38" s="7">
        <f t="shared" si="11"/>
        <v>0</v>
      </c>
      <c r="AO38" s="28" t="s">
        <v>2297</v>
      </c>
      <c r="AP38" s="7">
        <f t="shared" si="12"/>
        <v>2</v>
      </c>
      <c r="AQ38" s="28" t="s">
        <v>2301</v>
      </c>
      <c r="AR38" s="7"/>
      <c r="AS38" s="7"/>
      <c r="AT38" s="7"/>
      <c r="AU38" s="7"/>
      <c r="AV38" s="7">
        <f t="shared" si="13"/>
        <v>6501</v>
      </c>
      <c r="AW38" s="28" t="s">
        <v>3061</v>
      </c>
      <c r="AX38" s="7">
        <v>0</v>
      </c>
      <c r="AY38" s="7">
        <f t="shared" si="14"/>
        <v>511</v>
      </c>
      <c r="AZ38" s="28" t="s">
        <v>2345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5"/>
        <v>10</v>
      </c>
      <c r="BG38" s="28" t="s">
        <v>2669</v>
      </c>
      <c r="BH38" s="7">
        <f t="shared" si="16"/>
        <v>601</v>
      </c>
      <c r="BI38" s="28" t="s">
        <v>2664</v>
      </c>
      <c r="BJ38" s="7">
        <f t="shared" si="17"/>
        <v>1</v>
      </c>
      <c r="BK38" s="28" t="s">
        <v>2487</v>
      </c>
      <c r="BL38" s="7">
        <v>14</v>
      </c>
      <c r="BM38" s="7">
        <v>14</v>
      </c>
      <c r="BN38" s="7">
        <f t="shared" si="18"/>
        <v>10210</v>
      </c>
      <c r="BO38" s="28" t="s">
        <v>2520</v>
      </c>
      <c r="BP38" s="7">
        <f t="shared" si="19"/>
        <v>20102</v>
      </c>
      <c r="BQ38" s="28" t="s">
        <v>2591</v>
      </c>
      <c r="BR38" s="7"/>
      <c r="BS38" s="7">
        <f t="shared" si="20"/>
        <v>7</v>
      </c>
      <c r="BT38" s="28" t="s">
        <v>2709</v>
      </c>
      <c r="BU38" s="7">
        <v>14</v>
      </c>
      <c r="BV38" s="7" t="e">
        <f ca="1">[1]!tメーカー名(BU38)</f>
        <v>#NAME?</v>
      </c>
      <c r="BW38" s="7">
        <f t="shared" si="21"/>
        <v>0</v>
      </c>
      <c r="BX38" s="28" t="s">
        <v>2641</v>
      </c>
      <c r="BY38" s="7" t="e">
        <f t="shared" si="22"/>
        <v>#VALUE!</v>
      </c>
      <c r="BZ38" s="28"/>
      <c r="CA38" s="54" t="s">
        <v>2666</v>
      </c>
      <c r="CB38" s="54" t="s">
        <v>2776</v>
      </c>
      <c r="CC38" s="7" t="e">
        <f t="shared" si="23"/>
        <v>#VALUE!</v>
      </c>
      <c r="CD38" s="28"/>
      <c r="CE38" s="7" t="e">
        <f t="shared" si="24"/>
        <v>#VALUE!</v>
      </c>
      <c r="CF38" s="28"/>
      <c r="CG38" s="7" t="e">
        <f t="shared" si="25"/>
        <v>#VALUE!</v>
      </c>
      <c r="CH38" s="28"/>
      <c r="CI38" s="7" t="e">
        <f t="shared" si="26"/>
        <v>#VALUE!</v>
      </c>
      <c r="CJ38" s="28"/>
      <c r="CK38" s="7"/>
      <c r="CL38" s="7"/>
      <c r="CM38" s="7"/>
      <c r="CN38" s="7"/>
      <c r="CO38" s="7"/>
      <c r="CP38" s="7"/>
      <c r="CQ38" s="7"/>
      <c r="CR38" s="7"/>
      <c r="CS38" s="126">
        <f t="shared" si="5"/>
        <v>0</v>
      </c>
      <c r="CT38" s="7"/>
      <c r="CU38" s="7"/>
    </row>
    <row r="39" spans="1:99" ht="13.5" customHeight="1">
      <c r="A39" s="7">
        <v>27</v>
      </c>
      <c r="B39" s="7"/>
      <c r="C39" s="7" t="e">
        <f t="shared" si="27"/>
        <v>#VALUE!</v>
      </c>
      <c r="D39" s="28"/>
      <c r="E39" s="7">
        <f t="shared" si="0"/>
        <v>0</v>
      </c>
      <c r="F39" s="6"/>
      <c r="G39" s="7">
        <f t="shared" si="1"/>
        <v>0</v>
      </c>
      <c r="H39" s="7"/>
      <c r="I39" s="7">
        <f t="shared" si="2"/>
        <v>0</v>
      </c>
      <c r="J39" s="7"/>
      <c r="K39" s="7">
        <f t="shared" si="3"/>
        <v>0</v>
      </c>
      <c r="L39" s="7"/>
      <c r="M39" s="7">
        <f t="shared" si="4"/>
        <v>0</v>
      </c>
      <c r="N39" s="7"/>
      <c r="O39" s="7"/>
      <c r="P39" s="7"/>
      <c r="Q39" s="53"/>
      <c r="R39" s="7"/>
      <c r="S39" s="7"/>
      <c r="T39" s="53"/>
      <c r="U39" s="7"/>
      <c r="V39" s="7" t="e">
        <f t="shared" si="28"/>
        <v>#VALUE!</v>
      </c>
      <c r="W39" s="28"/>
      <c r="X39" s="7" t="e">
        <f t="shared" si="28"/>
        <v>#VALUE!</v>
      </c>
      <c r="Y39" s="28"/>
      <c r="Z39" s="7" t="e">
        <f t="shared" si="7"/>
        <v>#VALUE!</v>
      </c>
      <c r="AA39" s="28"/>
      <c r="AB39" s="7"/>
      <c r="AC39" s="7"/>
      <c r="AD39" s="7"/>
      <c r="AE39" s="7"/>
      <c r="AF39" s="7">
        <v>0</v>
      </c>
      <c r="AG39" s="7" t="e">
        <f t="shared" si="8"/>
        <v>#VALUE!</v>
      </c>
      <c r="AH39" s="28"/>
      <c r="AI39" s="7"/>
      <c r="AJ39" s="7" t="e">
        <f t="shared" si="9"/>
        <v>#VALUE!</v>
      </c>
      <c r="AK39" s="28"/>
      <c r="AL39" s="7">
        <f t="shared" si="10"/>
        <v>2</v>
      </c>
      <c r="AM39" s="28" t="s">
        <v>2295</v>
      </c>
      <c r="AN39" s="7">
        <f t="shared" si="11"/>
        <v>0</v>
      </c>
      <c r="AO39" s="28" t="s">
        <v>2297</v>
      </c>
      <c r="AP39" s="7">
        <f t="shared" si="12"/>
        <v>2</v>
      </c>
      <c r="AQ39" s="28" t="s">
        <v>2301</v>
      </c>
      <c r="AR39" s="7"/>
      <c r="AS39" s="7"/>
      <c r="AT39" s="7"/>
      <c r="AU39" s="7"/>
      <c r="AV39" s="7">
        <f t="shared" si="13"/>
        <v>6501</v>
      </c>
      <c r="AW39" s="28" t="s">
        <v>3061</v>
      </c>
      <c r="AX39" s="7">
        <v>0</v>
      </c>
      <c r="AY39" s="7">
        <f t="shared" si="14"/>
        <v>505</v>
      </c>
      <c r="AZ39" s="28" t="s">
        <v>2339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5"/>
        <v>10</v>
      </c>
      <c r="BG39" s="28" t="s">
        <v>2669</v>
      </c>
      <c r="BH39" s="7">
        <f t="shared" si="16"/>
        <v>601</v>
      </c>
      <c r="BI39" s="28" t="s">
        <v>2664</v>
      </c>
      <c r="BJ39" s="7">
        <f t="shared" si="17"/>
        <v>1</v>
      </c>
      <c r="BK39" s="28" t="s">
        <v>2487</v>
      </c>
      <c r="BL39" s="7">
        <v>13</v>
      </c>
      <c r="BM39" s="7">
        <v>13</v>
      </c>
      <c r="BN39" s="7">
        <f t="shared" si="18"/>
        <v>10209</v>
      </c>
      <c r="BO39" s="28" t="s">
        <v>2519</v>
      </c>
      <c r="BP39" s="7">
        <f t="shared" si="19"/>
        <v>20102</v>
      </c>
      <c r="BQ39" s="28" t="s">
        <v>2591</v>
      </c>
      <c r="BR39" s="7"/>
      <c r="BS39" s="7">
        <f t="shared" si="20"/>
        <v>7</v>
      </c>
      <c r="BT39" s="28" t="s">
        <v>2709</v>
      </c>
      <c r="BU39" s="7">
        <v>260</v>
      </c>
      <c r="BV39" s="7" t="e">
        <f ca="1">[1]!tメーカー名(BU39)</f>
        <v>#NAME?</v>
      </c>
      <c r="BW39" s="7">
        <f t="shared" si="21"/>
        <v>0</v>
      </c>
      <c r="BX39" s="28" t="s">
        <v>2641</v>
      </c>
      <c r="BY39" s="7" t="e">
        <f t="shared" si="22"/>
        <v>#VALUE!</v>
      </c>
      <c r="BZ39" s="28"/>
      <c r="CA39" s="54" t="s">
        <v>2666</v>
      </c>
      <c r="CB39" s="54" t="s">
        <v>2780</v>
      </c>
      <c r="CC39" s="7" t="e">
        <f t="shared" si="23"/>
        <v>#VALUE!</v>
      </c>
      <c r="CD39" s="28"/>
      <c r="CE39" s="7" t="e">
        <f t="shared" si="24"/>
        <v>#VALUE!</v>
      </c>
      <c r="CF39" s="28"/>
      <c r="CG39" s="7" t="e">
        <f t="shared" si="25"/>
        <v>#VALUE!</v>
      </c>
      <c r="CH39" s="28"/>
      <c r="CI39" s="7" t="e">
        <f t="shared" si="26"/>
        <v>#VALUE!</v>
      </c>
      <c r="CJ39" s="28"/>
      <c r="CK39" s="7"/>
      <c r="CL39" s="7"/>
      <c r="CM39" s="7"/>
      <c r="CN39" s="7"/>
      <c r="CO39" s="7"/>
      <c r="CP39" s="7"/>
      <c r="CQ39" s="7"/>
      <c r="CR39" s="7"/>
      <c r="CS39" s="126">
        <f t="shared" si="5"/>
        <v>0</v>
      </c>
      <c r="CT39" s="7"/>
      <c r="CU39" s="7"/>
    </row>
    <row r="40" spans="1:99" ht="13.5" customHeight="1">
      <c r="A40" s="7">
        <v>28</v>
      </c>
      <c r="B40" s="7"/>
      <c r="C40" s="7" t="e">
        <f t="shared" si="27"/>
        <v>#VALUE!</v>
      </c>
      <c r="D40" s="28"/>
      <c r="E40" s="7">
        <f t="shared" si="0"/>
        <v>0</v>
      </c>
      <c r="F40" s="6"/>
      <c r="G40" s="7">
        <f t="shared" si="1"/>
        <v>0</v>
      </c>
      <c r="H40" s="7"/>
      <c r="I40" s="7">
        <f t="shared" si="2"/>
        <v>0</v>
      </c>
      <c r="J40" s="7"/>
      <c r="K40" s="7">
        <f t="shared" si="3"/>
        <v>0</v>
      </c>
      <c r="L40" s="7"/>
      <c r="M40" s="7">
        <f t="shared" si="4"/>
        <v>0</v>
      </c>
      <c r="N40" s="7"/>
      <c r="O40" s="7"/>
      <c r="P40" s="7"/>
      <c r="Q40" s="53"/>
      <c r="R40" s="7"/>
      <c r="S40" s="7"/>
      <c r="T40" s="53"/>
      <c r="U40" s="7"/>
      <c r="V40" s="7" t="e">
        <f t="shared" si="28"/>
        <v>#VALUE!</v>
      </c>
      <c r="W40" s="28"/>
      <c r="X40" s="7" t="e">
        <f t="shared" si="28"/>
        <v>#VALUE!</v>
      </c>
      <c r="Y40" s="28"/>
      <c r="Z40" s="7" t="e">
        <f t="shared" si="7"/>
        <v>#VALUE!</v>
      </c>
      <c r="AA40" s="28"/>
      <c r="AB40" s="7"/>
      <c r="AC40" s="7"/>
      <c r="AD40" s="7"/>
      <c r="AE40" s="7"/>
      <c r="AF40" s="7">
        <v>0</v>
      </c>
      <c r="AG40" s="7" t="e">
        <f t="shared" si="8"/>
        <v>#VALUE!</v>
      </c>
      <c r="AH40" s="28"/>
      <c r="AI40" s="7"/>
      <c r="AJ40" s="7" t="e">
        <f t="shared" si="9"/>
        <v>#VALUE!</v>
      </c>
      <c r="AK40" s="28"/>
      <c r="AL40" s="7" t="e">
        <f t="shared" si="10"/>
        <v>#VALUE!</v>
      </c>
      <c r="AM40" s="28"/>
      <c r="AN40" s="7" t="e">
        <f t="shared" si="11"/>
        <v>#VALUE!</v>
      </c>
      <c r="AO40" s="28"/>
      <c r="AP40" s="7">
        <f t="shared" si="12"/>
        <v>2</v>
      </c>
      <c r="AQ40" s="28" t="s">
        <v>2301</v>
      </c>
      <c r="AR40" s="7"/>
      <c r="AS40" s="7"/>
      <c r="AT40" s="7"/>
      <c r="AU40" s="7"/>
      <c r="AV40" s="7" t="e">
        <f t="shared" si="13"/>
        <v>#VALUE!</v>
      </c>
      <c r="AW40" s="28"/>
      <c r="AX40" s="7">
        <v>0</v>
      </c>
      <c r="AY40" s="7" t="e">
        <f t="shared" si="14"/>
        <v>#VALUE!</v>
      </c>
      <c r="AZ40" s="28"/>
      <c r="BA40" s="7">
        <v>0</v>
      </c>
      <c r="BB40" s="7">
        <v>10</v>
      </c>
      <c r="BC40" s="7">
        <v>0</v>
      </c>
      <c r="BD40" s="7">
        <v>10</v>
      </c>
      <c r="BE40" s="7"/>
      <c r="BF40" s="7" t="e">
        <f t="shared" si="15"/>
        <v>#VALUE!</v>
      </c>
      <c r="BG40" s="28"/>
      <c r="BH40" s="7" t="e">
        <f t="shared" si="16"/>
        <v>#VALUE!</v>
      </c>
      <c r="BI40" s="28"/>
      <c r="BJ40" s="7" t="e">
        <f t="shared" si="17"/>
        <v>#VALUE!</v>
      </c>
      <c r="BK40" s="28"/>
      <c r="BL40" s="7"/>
      <c r="BM40" s="7"/>
      <c r="BN40" s="7" t="e">
        <f t="shared" si="18"/>
        <v>#VALUE!</v>
      </c>
      <c r="BO40" s="28"/>
      <c r="BP40" s="7" t="e">
        <f t="shared" si="19"/>
        <v>#VALUE!</v>
      </c>
      <c r="BQ40" s="28"/>
      <c r="BR40" s="7"/>
      <c r="BS40" s="7" t="e">
        <f t="shared" si="20"/>
        <v>#VALUE!</v>
      </c>
      <c r="BT40" s="28"/>
      <c r="BU40" s="7"/>
      <c r="BV40" s="7" t="e">
        <f ca="1">[1]!tメーカー名(BU40)</f>
        <v>#NAME?</v>
      </c>
      <c r="BW40" s="7" t="e">
        <f t="shared" si="21"/>
        <v>#VALUE!</v>
      </c>
      <c r="BX40" s="28"/>
      <c r="BY40" s="7" t="e">
        <f t="shared" si="22"/>
        <v>#VALUE!</v>
      </c>
      <c r="BZ40" s="28"/>
      <c r="CA40" s="54"/>
      <c r="CB40" s="54"/>
      <c r="CC40" s="7" t="e">
        <f t="shared" si="23"/>
        <v>#VALUE!</v>
      </c>
      <c r="CD40" s="28"/>
      <c r="CE40" s="7" t="e">
        <f t="shared" si="24"/>
        <v>#VALUE!</v>
      </c>
      <c r="CF40" s="28"/>
      <c r="CG40" s="7" t="e">
        <f t="shared" si="25"/>
        <v>#VALUE!</v>
      </c>
      <c r="CH40" s="28"/>
      <c r="CI40" s="7" t="e">
        <f t="shared" si="26"/>
        <v>#VALUE!</v>
      </c>
      <c r="CJ40" s="28"/>
      <c r="CK40" s="7"/>
      <c r="CL40" s="7"/>
      <c r="CM40" s="7"/>
      <c r="CN40" s="7"/>
      <c r="CO40" s="7"/>
      <c r="CP40" s="7"/>
      <c r="CQ40" s="7"/>
      <c r="CR40" s="7"/>
      <c r="CS40" s="126">
        <f t="shared" si="5"/>
        <v>0</v>
      </c>
      <c r="CT40" s="7"/>
      <c r="CU40" s="7"/>
    </row>
    <row r="41" spans="1:99" ht="13.5" customHeight="1">
      <c r="A41" s="7">
        <v>29</v>
      </c>
      <c r="B41" s="7"/>
      <c r="C41" s="7" t="e">
        <f t="shared" si="27"/>
        <v>#VALUE!</v>
      </c>
      <c r="D41" s="28"/>
      <c r="E41" s="7">
        <f t="shared" si="0"/>
        <v>0</v>
      </c>
      <c r="F41" s="7"/>
      <c r="G41" s="7">
        <f t="shared" si="1"/>
        <v>0</v>
      </c>
      <c r="H41" s="7"/>
      <c r="I41" s="7">
        <f t="shared" si="2"/>
        <v>0</v>
      </c>
      <c r="J41" s="7"/>
      <c r="K41" s="7">
        <f t="shared" si="3"/>
        <v>0</v>
      </c>
      <c r="L41" s="7"/>
      <c r="M41" s="7">
        <f t="shared" si="4"/>
        <v>0</v>
      </c>
      <c r="N41" s="7"/>
      <c r="O41" s="7"/>
      <c r="P41" s="7"/>
      <c r="Q41" s="53"/>
      <c r="R41" s="7"/>
      <c r="S41" s="7"/>
      <c r="T41" s="53"/>
      <c r="U41" s="7"/>
      <c r="V41" s="7" t="e">
        <f t="shared" si="28"/>
        <v>#VALUE!</v>
      </c>
      <c r="W41" s="28"/>
      <c r="X41" s="7" t="e">
        <f t="shared" si="28"/>
        <v>#VALUE!</v>
      </c>
      <c r="Y41" s="28"/>
      <c r="Z41" s="7" t="e">
        <f t="shared" si="7"/>
        <v>#VALUE!</v>
      </c>
      <c r="AA41" s="28"/>
      <c r="AB41" s="7"/>
      <c r="AC41" s="7"/>
      <c r="AD41" s="7"/>
      <c r="AE41" s="7"/>
      <c r="AF41" s="7">
        <v>0</v>
      </c>
      <c r="AG41" s="7" t="e">
        <f t="shared" si="8"/>
        <v>#VALUE!</v>
      </c>
      <c r="AH41" s="28"/>
      <c r="AI41" s="7"/>
      <c r="AJ41" s="7" t="e">
        <f t="shared" si="9"/>
        <v>#VALUE!</v>
      </c>
      <c r="AK41" s="28"/>
      <c r="AL41" s="7" t="e">
        <f t="shared" si="10"/>
        <v>#VALUE!</v>
      </c>
      <c r="AM41" s="28"/>
      <c r="AN41" s="7" t="e">
        <f t="shared" si="11"/>
        <v>#VALUE!</v>
      </c>
      <c r="AO41" s="28"/>
      <c r="AP41" s="7">
        <f t="shared" si="12"/>
        <v>2</v>
      </c>
      <c r="AQ41" s="28" t="s">
        <v>2301</v>
      </c>
      <c r="AR41" s="7"/>
      <c r="AS41" s="7"/>
      <c r="AT41" s="7"/>
      <c r="AU41" s="7"/>
      <c r="AV41" s="7" t="e">
        <f t="shared" si="13"/>
        <v>#VALUE!</v>
      </c>
      <c r="AW41" s="28"/>
      <c r="AX41" s="7">
        <v>0</v>
      </c>
      <c r="AY41" s="7" t="e">
        <f t="shared" si="14"/>
        <v>#VALUE!</v>
      </c>
      <c r="AZ41" s="28"/>
      <c r="BA41" s="7">
        <v>0</v>
      </c>
      <c r="BB41" s="7">
        <v>10</v>
      </c>
      <c r="BC41" s="7">
        <v>0</v>
      </c>
      <c r="BD41" s="7">
        <v>10</v>
      </c>
      <c r="BE41" s="7"/>
      <c r="BF41" s="7" t="e">
        <f t="shared" si="15"/>
        <v>#VALUE!</v>
      </c>
      <c r="BG41" s="28"/>
      <c r="BH41" s="7" t="e">
        <f t="shared" si="16"/>
        <v>#VALUE!</v>
      </c>
      <c r="BI41" s="28"/>
      <c r="BJ41" s="7" t="e">
        <f t="shared" si="17"/>
        <v>#VALUE!</v>
      </c>
      <c r="BK41" s="28"/>
      <c r="BL41" s="7"/>
      <c r="BM41" s="7"/>
      <c r="BN41" s="7" t="e">
        <f t="shared" si="18"/>
        <v>#VALUE!</v>
      </c>
      <c r="BO41" s="28"/>
      <c r="BP41" s="7" t="e">
        <f t="shared" si="19"/>
        <v>#VALUE!</v>
      </c>
      <c r="BQ41" s="28"/>
      <c r="BR41" s="7"/>
      <c r="BS41" s="7" t="e">
        <f t="shared" si="20"/>
        <v>#VALUE!</v>
      </c>
      <c r="BT41" s="28"/>
      <c r="BU41" s="7"/>
      <c r="BV41" s="7" t="e">
        <f ca="1">[1]!tメーカー名(BU41)</f>
        <v>#NAME?</v>
      </c>
      <c r="BW41" s="7" t="e">
        <f t="shared" si="21"/>
        <v>#VALUE!</v>
      </c>
      <c r="BX41" s="28"/>
      <c r="BY41" s="7" t="e">
        <f t="shared" si="22"/>
        <v>#VALUE!</v>
      </c>
      <c r="BZ41" s="28"/>
      <c r="CA41" s="54"/>
      <c r="CB41" s="54"/>
      <c r="CC41" s="7" t="e">
        <f t="shared" si="23"/>
        <v>#VALUE!</v>
      </c>
      <c r="CD41" s="28"/>
      <c r="CE41" s="7" t="e">
        <f t="shared" si="24"/>
        <v>#VALUE!</v>
      </c>
      <c r="CF41" s="28"/>
      <c r="CG41" s="7" t="e">
        <f t="shared" si="25"/>
        <v>#VALUE!</v>
      </c>
      <c r="CH41" s="28"/>
      <c r="CI41" s="7" t="e">
        <f t="shared" si="26"/>
        <v>#VALUE!</v>
      </c>
      <c r="CJ41" s="28"/>
      <c r="CK41" s="7"/>
      <c r="CL41" s="7"/>
      <c r="CM41" s="7"/>
      <c r="CN41" s="7"/>
      <c r="CO41" s="7"/>
      <c r="CP41" s="7"/>
      <c r="CQ41" s="7"/>
      <c r="CR41" s="7"/>
      <c r="CS41" s="126">
        <f t="shared" si="5"/>
        <v>0</v>
      </c>
      <c r="CT41" s="7"/>
      <c r="CU41" s="7"/>
    </row>
    <row r="42" spans="1:99" ht="13.5" customHeight="1">
      <c r="A42" s="7">
        <v>30</v>
      </c>
      <c r="B42" s="7"/>
      <c r="C42" s="7" t="e">
        <f t="shared" si="27"/>
        <v>#VALUE!</v>
      </c>
      <c r="D42" s="28"/>
      <c r="E42" s="7">
        <f t="shared" si="0"/>
        <v>0</v>
      </c>
      <c r="F42" s="7"/>
      <c r="G42" s="7">
        <f t="shared" si="1"/>
        <v>0</v>
      </c>
      <c r="H42" s="7"/>
      <c r="I42" s="7">
        <f t="shared" si="2"/>
        <v>0</v>
      </c>
      <c r="J42" s="7"/>
      <c r="K42" s="7">
        <f t="shared" si="3"/>
        <v>0</v>
      </c>
      <c r="L42" s="7"/>
      <c r="M42" s="7">
        <f t="shared" si="4"/>
        <v>0</v>
      </c>
      <c r="N42" s="7"/>
      <c r="O42" s="7"/>
      <c r="P42" s="7"/>
      <c r="Q42" s="53"/>
      <c r="R42" s="7"/>
      <c r="S42" s="7"/>
      <c r="T42" s="53"/>
      <c r="U42" s="7"/>
      <c r="V42" s="7" t="e">
        <f t="shared" si="28"/>
        <v>#VALUE!</v>
      </c>
      <c r="W42" s="28"/>
      <c r="X42" s="7" t="e">
        <f t="shared" si="28"/>
        <v>#VALUE!</v>
      </c>
      <c r="Y42" s="28"/>
      <c r="Z42" s="7" t="e">
        <f t="shared" si="7"/>
        <v>#VALUE!</v>
      </c>
      <c r="AA42" s="28"/>
      <c r="AB42" s="7"/>
      <c r="AC42" s="7"/>
      <c r="AD42" s="7"/>
      <c r="AE42" s="7"/>
      <c r="AF42" s="7">
        <v>0</v>
      </c>
      <c r="AG42" s="7" t="e">
        <f t="shared" si="8"/>
        <v>#VALUE!</v>
      </c>
      <c r="AH42" s="28"/>
      <c r="AI42" s="7"/>
      <c r="AJ42" s="7" t="e">
        <f t="shared" si="9"/>
        <v>#VALUE!</v>
      </c>
      <c r="AK42" s="28"/>
      <c r="AL42" s="7" t="e">
        <f t="shared" si="10"/>
        <v>#VALUE!</v>
      </c>
      <c r="AM42" s="28"/>
      <c r="AN42" s="7" t="e">
        <f t="shared" si="11"/>
        <v>#VALUE!</v>
      </c>
      <c r="AO42" s="28"/>
      <c r="AP42" s="7">
        <f t="shared" si="12"/>
        <v>2</v>
      </c>
      <c r="AQ42" s="28" t="s">
        <v>2301</v>
      </c>
      <c r="AR42" s="7"/>
      <c r="AS42" s="7"/>
      <c r="AT42" s="7"/>
      <c r="AU42" s="7"/>
      <c r="AV42" s="7" t="e">
        <f t="shared" si="13"/>
        <v>#VALUE!</v>
      </c>
      <c r="AW42" s="28"/>
      <c r="AX42" s="7">
        <v>0</v>
      </c>
      <c r="AY42" s="7" t="e">
        <f t="shared" si="14"/>
        <v>#VALUE!</v>
      </c>
      <c r="AZ42" s="28"/>
      <c r="BA42" s="7">
        <v>0</v>
      </c>
      <c r="BB42" s="7">
        <v>10</v>
      </c>
      <c r="BC42" s="7">
        <v>0</v>
      </c>
      <c r="BD42" s="7">
        <v>10</v>
      </c>
      <c r="BE42" s="7"/>
      <c r="BF42" s="7" t="e">
        <f t="shared" si="15"/>
        <v>#VALUE!</v>
      </c>
      <c r="BG42" s="28"/>
      <c r="BH42" s="7" t="e">
        <f t="shared" si="16"/>
        <v>#VALUE!</v>
      </c>
      <c r="BI42" s="28"/>
      <c r="BJ42" s="7" t="e">
        <f t="shared" si="17"/>
        <v>#VALUE!</v>
      </c>
      <c r="BK42" s="28"/>
      <c r="BL42" s="7"/>
      <c r="BM42" s="7"/>
      <c r="BN42" s="7" t="e">
        <f t="shared" si="18"/>
        <v>#VALUE!</v>
      </c>
      <c r="BO42" s="28"/>
      <c r="BP42" s="7" t="e">
        <f t="shared" si="19"/>
        <v>#VALUE!</v>
      </c>
      <c r="BQ42" s="28"/>
      <c r="BR42" s="7"/>
      <c r="BS42" s="7" t="e">
        <f t="shared" si="20"/>
        <v>#VALUE!</v>
      </c>
      <c r="BT42" s="28"/>
      <c r="BU42" s="7"/>
      <c r="BV42" s="7" t="e">
        <f ca="1">[1]!tメーカー名(BU42)</f>
        <v>#NAME?</v>
      </c>
      <c r="BW42" s="7" t="e">
        <f t="shared" si="21"/>
        <v>#VALUE!</v>
      </c>
      <c r="BX42" s="28"/>
      <c r="BY42" s="7" t="e">
        <f t="shared" si="22"/>
        <v>#VALUE!</v>
      </c>
      <c r="BZ42" s="28"/>
      <c r="CA42" s="54"/>
      <c r="CB42" s="54"/>
      <c r="CC42" s="7" t="e">
        <f t="shared" si="23"/>
        <v>#VALUE!</v>
      </c>
      <c r="CD42" s="28"/>
      <c r="CE42" s="7" t="e">
        <f t="shared" si="24"/>
        <v>#VALUE!</v>
      </c>
      <c r="CF42" s="28"/>
      <c r="CG42" s="7" t="e">
        <f t="shared" si="25"/>
        <v>#VALUE!</v>
      </c>
      <c r="CH42" s="28"/>
      <c r="CI42" s="7" t="e">
        <f t="shared" si="26"/>
        <v>#VALUE!</v>
      </c>
      <c r="CJ42" s="28"/>
      <c r="CK42" s="7"/>
      <c r="CL42" s="7"/>
      <c r="CM42" s="7"/>
      <c r="CN42" s="7"/>
      <c r="CO42" s="7"/>
      <c r="CP42" s="7"/>
      <c r="CQ42" s="7"/>
      <c r="CR42" s="7"/>
      <c r="CS42" s="126">
        <f t="shared" si="5"/>
        <v>0</v>
      </c>
      <c r="CT42" s="7"/>
      <c r="CU42" s="7"/>
    </row>
    <row r="43" spans="1:99" ht="13.5" customHeight="1">
      <c r="A43" s="7">
        <v>31</v>
      </c>
      <c r="B43" s="7"/>
      <c r="C43" s="7" t="e">
        <f t="shared" si="27"/>
        <v>#VALUE!</v>
      </c>
      <c r="D43" s="28"/>
      <c r="E43" s="7">
        <f t="shared" si="0"/>
        <v>0</v>
      </c>
      <c r="F43" s="7"/>
      <c r="G43" s="7">
        <f t="shared" si="1"/>
        <v>0</v>
      </c>
      <c r="H43" s="7"/>
      <c r="I43" s="7">
        <f t="shared" si="2"/>
        <v>0</v>
      </c>
      <c r="J43" s="7"/>
      <c r="K43" s="7">
        <f t="shared" si="3"/>
        <v>0</v>
      </c>
      <c r="L43" s="7"/>
      <c r="M43" s="7">
        <f t="shared" si="4"/>
        <v>0</v>
      </c>
      <c r="N43" s="7"/>
      <c r="O43" s="7"/>
      <c r="P43" s="7"/>
      <c r="Q43" s="53"/>
      <c r="R43" s="7"/>
      <c r="S43" s="7"/>
      <c r="T43" s="53"/>
      <c r="U43" s="7"/>
      <c r="V43" s="7" t="e">
        <f t="shared" si="28"/>
        <v>#VALUE!</v>
      </c>
      <c r="W43" s="28"/>
      <c r="X43" s="7" t="e">
        <f t="shared" si="28"/>
        <v>#VALUE!</v>
      </c>
      <c r="Y43" s="28"/>
      <c r="Z43" s="7" t="e">
        <f t="shared" si="7"/>
        <v>#VALUE!</v>
      </c>
      <c r="AA43" s="28"/>
      <c r="AB43" s="7"/>
      <c r="AC43" s="7"/>
      <c r="AD43" s="7"/>
      <c r="AE43" s="7"/>
      <c r="AF43" s="7">
        <v>0</v>
      </c>
      <c r="AG43" s="7" t="e">
        <f t="shared" si="8"/>
        <v>#VALUE!</v>
      </c>
      <c r="AH43" s="28"/>
      <c r="AI43" s="7"/>
      <c r="AJ43" s="7" t="e">
        <f t="shared" si="9"/>
        <v>#VALUE!</v>
      </c>
      <c r="AK43" s="28"/>
      <c r="AL43" s="7" t="e">
        <f t="shared" si="10"/>
        <v>#VALUE!</v>
      </c>
      <c r="AM43" s="28"/>
      <c r="AN43" s="7" t="e">
        <f t="shared" si="11"/>
        <v>#VALUE!</v>
      </c>
      <c r="AO43" s="28"/>
      <c r="AP43" s="7">
        <f t="shared" si="12"/>
        <v>2</v>
      </c>
      <c r="AQ43" s="28" t="s">
        <v>2301</v>
      </c>
      <c r="AR43" s="7"/>
      <c r="AS43" s="7"/>
      <c r="AT43" s="7"/>
      <c r="AU43" s="7"/>
      <c r="AV43" s="7" t="e">
        <f t="shared" si="13"/>
        <v>#VALUE!</v>
      </c>
      <c r="AW43" s="28"/>
      <c r="AX43" s="7">
        <v>0</v>
      </c>
      <c r="AY43" s="7" t="e">
        <f t="shared" si="14"/>
        <v>#VALUE!</v>
      </c>
      <c r="AZ43" s="28"/>
      <c r="BA43" s="7">
        <v>0</v>
      </c>
      <c r="BB43" s="7">
        <v>10</v>
      </c>
      <c r="BC43" s="7">
        <v>0</v>
      </c>
      <c r="BD43" s="7">
        <v>10</v>
      </c>
      <c r="BE43" s="7"/>
      <c r="BF43" s="7" t="e">
        <f t="shared" si="15"/>
        <v>#VALUE!</v>
      </c>
      <c r="BG43" s="28"/>
      <c r="BH43" s="7" t="e">
        <f t="shared" si="16"/>
        <v>#VALUE!</v>
      </c>
      <c r="BI43" s="28"/>
      <c r="BJ43" s="7" t="e">
        <f t="shared" si="17"/>
        <v>#VALUE!</v>
      </c>
      <c r="BK43" s="28"/>
      <c r="BL43" s="7"/>
      <c r="BM43" s="7"/>
      <c r="BN43" s="7" t="e">
        <f t="shared" si="18"/>
        <v>#VALUE!</v>
      </c>
      <c r="BO43" s="28"/>
      <c r="BP43" s="7" t="e">
        <f t="shared" si="19"/>
        <v>#VALUE!</v>
      </c>
      <c r="BQ43" s="28"/>
      <c r="BR43" s="7"/>
      <c r="BS43" s="7" t="e">
        <f t="shared" si="20"/>
        <v>#VALUE!</v>
      </c>
      <c r="BT43" s="28"/>
      <c r="BU43" s="7"/>
      <c r="BV43" s="7" t="e">
        <f ca="1">[1]!tメーカー名(BU43)</f>
        <v>#NAME?</v>
      </c>
      <c r="BW43" s="7" t="e">
        <f t="shared" si="21"/>
        <v>#VALUE!</v>
      </c>
      <c r="BX43" s="28"/>
      <c r="BY43" s="7" t="e">
        <f t="shared" si="22"/>
        <v>#VALUE!</v>
      </c>
      <c r="BZ43" s="28"/>
      <c r="CA43" s="54"/>
      <c r="CB43" s="54"/>
      <c r="CC43" s="7" t="e">
        <f t="shared" si="23"/>
        <v>#VALUE!</v>
      </c>
      <c r="CD43" s="28"/>
      <c r="CE43" s="7" t="e">
        <f t="shared" si="24"/>
        <v>#VALUE!</v>
      </c>
      <c r="CF43" s="28"/>
      <c r="CG43" s="7" t="e">
        <f t="shared" si="25"/>
        <v>#VALUE!</v>
      </c>
      <c r="CH43" s="28"/>
      <c r="CI43" s="7" t="e">
        <f t="shared" si="26"/>
        <v>#VALUE!</v>
      </c>
      <c r="CJ43" s="28"/>
      <c r="CK43" s="7"/>
      <c r="CL43" s="7"/>
      <c r="CM43" s="7"/>
      <c r="CN43" s="7"/>
      <c r="CO43" s="7"/>
      <c r="CP43" s="7"/>
      <c r="CQ43" s="7"/>
      <c r="CR43" s="7"/>
      <c r="CS43" s="126">
        <f t="shared" si="5"/>
        <v>0</v>
      </c>
      <c r="CT43" s="7"/>
      <c r="CU43" s="7"/>
    </row>
    <row r="44" spans="1:99" ht="13.5" customHeight="1">
      <c r="A44" s="7">
        <v>32</v>
      </c>
      <c r="B44" s="7"/>
      <c r="C44" s="7" t="e">
        <f t="shared" si="27"/>
        <v>#VALUE!</v>
      </c>
      <c r="D44" s="28"/>
      <c r="E44" s="7">
        <f t="shared" si="0"/>
        <v>0</v>
      </c>
      <c r="F44" s="7"/>
      <c r="G44" s="7">
        <f t="shared" si="1"/>
        <v>0</v>
      </c>
      <c r="H44" s="7"/>
      <c r="I44" s="7">
        <f t="shared" si="2"/>
        <v>0</v>
      </c>
      <c r="J44" s="7"/>
      <c r="K44" s="7">
        <f t="shared" si="3"/>
        <v>0</v>
      </c>
      <c r="L44" s="7"/>
      <c r="M44" s="7">
        <f t="shared" si="4"/>
        <v>0</v>
      </c>
      <c r="N44" s="7"/>
      <c r="O44" s="7"/>
      <c r="P44" s="7"/>
      <c r="Q44" s="53"/>
      <c r="R44" s="7"/>
      <c r="S44" s="7"/>
      <c r="T44" s="53"/>
      <c r="U44" s="7"/>
      <c r="V44" s="7" t="e">
        <f t="shared" si="28"/>
        <v>#VALUE!</v>
      </c>
      <c r="W44" s="28"/>
      <c r="X44" s="7" t="e">
        <f t="shared" si="28"/>
        <v>#VALUE!</v>
      </c>
      <c r="Y44" s="28"/>
      <c r="Z44" s="7" t="e">
        <f t="shared" si="7"/>
        <v>#VALUE!</v>
      </c>
      <c r="AA44" s="28"/>
      <c r="AB44" s="7"/>
      <c r="AC44" s="7"/>
      <c r="AD44" s="7"/>
      <c r="AE44" s="7"/>
      <c r="AF44" s="7">
        <v>0</v>
      </c>
      <c r="AG44" s="7" t="e">
        <f t="shared" si="8"/>
        <v>#VALUE!</v>
      </c>
      <c r="AH44" s="28"/>
      <c r="AI44" s="7"/>
      <c r="AJ44" s="7" t="e">
        <f t="shared" si="9"/>
        <v>#VALUE!</v>
      </c>
      <c r="AK44" s="28"/>
      <c r="AL44" s="7" t="e">
        <f t="shared" si="10"/>
        <v>#VALUE!</v>
      </c>
      <c r="AM44" s="28"/>
      <c r="AN44" s="7" t="e">
        <f t="shared" si="11"/>
        <v>#VALUE!</v>
      </c>
      <c r="AO44" s="28"/>
      <c r="AP44" s="7">
        <f t="shared" si="12"/>
        <v>2</v>
      </c>
      <c r="AQ44" s="28" t="s">
        <v>2301</v>
      </c>
      <c r="AR44" s="7"/>
      <c r="AS44" s="7"/>
      <c r="AT44" s="7"/>
      <c r="AU44" s="7"/>
      <c r="AV44" s="7" t="e">
        <f t="shared" si="13"/>
        <v>#VALUE!</v>
      </c>
      <c r="AW44" s="28"/>
      <c r="AX44" s="7">
        <v>0</v>
      </c>
      <c r="AY44" s="7" t="e">
        <f t="shared" si="14"/>
        <v>#VALUE!</v>
      </c>
      <c r="AZ44" s="28"/>
      <c r="BA44" s="7">
        <v>0</v>
      </c>
      <c r="BB44" s="7">
        <v>10</v>
      </c>
      <c r="BC44" s="7">
        <v>0</v>
      </c>
      <c r="BD44" s="7">
        <v>10</v>
      </c>
      <c r="BE44" s="7"/>
      <c r="BF44" s="7" t="e">
        <f t="shared" si="15"/>
        <v>#VALUE!</v>
      </c>
      <c r="BG44" s="28"/>
      <c r="BH44" s="7" t="e">
        <f t="shared" si="16"/>
        <v>#VALUE!</v>
      </c>
      <c r="BI44" s="28"/>
      <c r="BJ44" s="7" t="e">
        <f t="shared" si="17"/>
        <v>#VALUE!</v>
      </c>
      <c r="BK44" s="28"/>
      <c r="BL44" s="7"/>
      <c r="BM44" s="7"/>
      <c r="BN44" s="7" t="e">
        <f t="shared" si="18"/>
        <v>#VALUE!</v>
      </c>
      <c r="BO44" s="28"/>
      <c r="BP44" s="7" t="e">
        <f t="shared" si="19"/>
        <v>#VALUE!</v>
      </c>
      <c r="BQ44" s="28"/>
      <c r="BR44" s="7"/>
      <c r="BS44" s="7" t="e">
        <f t="shared" si="20"/>
        <v>#VALUE!</v>
      </c>
      <c r="BT44" s="28"/>
      <c r="BU44" s="7"/>
      <c r="BV44" s="7" t="e">
        <f ca="1">[1]!tメーカー名(BU44)</f>
        <v>#NAME?</v>
      </c>
      <c r="BW44" s="7" t="e">
        <f t="shared" si="21"/>
        <v>#VALUE!</v>
      </c>
      <c r="BX44" s="28"/>
      <c r="BY44" s="7" t="e">
        <f t="shared" si="22"/>
        <v>#VALUE!</v>
      </c>
      <c r="BZ44" s="28"/>
      <c r="CA44" s="54"/>
      <c r="CB44" s="54"/>
      <c r="CC44" s="7" t="e">
        <f t="shared" si="23"/>
        <v>#VALUE!</v>
      </c>
      <c r="CD44" s="28"/>
      <c r="CE44" s="7" t="e">
        <f t="shared" si="24"/>
        <v>#VALUE!</v>
      </c>
      <c r="CF44" s="28"/>
      <c r="CG44" s="7" t="e">
        <f t="shared" si="25"/>
        <v>#VALUE!</v>
      </c>
      <c r="CH44" s="28"/>
      <c r="CI44" s="7" t="e">
        <f t="shared" si="26"/>
        <v>#VALUE!</v>
      </c>
      <c r="CJ44" s="28"/>
      <c r="CK44" s="7"/>
      <c r="CL44" s="7"/>
      <c r="CM44" s="7"/>
      <c r="CN44" s="7"/>
      <c r="CO44" s="7"/>
      <c r="CP44" s="7"/>
      <c r="CQ44" s="7"/>
      <c r="CR44" s="7"/>
      <c r="CS44" s="126">
        <f t="shared" si="5"/>
        <v>0</v>
      </c>
      <c r="CT44" s="7"/>
      <c r="CU44" s="7"/>
    </row>
    <row r="45" spans="1:99" ht="13.5" customHeight="1">
      <c r="A45" s="7">
        <v>33</v>
      </c>
      <c r="B45" s="7"/>
      <c r="C45" s="7" t="e">
        <f t="shared" si="27"/>
        <v>#VALUE!</v>
      </c>
      <c r="D45" s="28"/>
      <c r="E45" s="7">
        <f t="shared" si="0"/>
        <v>0</v>
      </c>
      <c r="F45" s="7"/>
      <c r="G45" s="7">
        <f t="shared" si="1"/>
        <v>0</v>
      </c>
      <c r="H45" s="7"/>
      <c r="I45" s="7">
        <f t="shared" si="2"/>
        <v>0</v>
      </c>
      <c r="J45" s="7"/>
      <c r="K45" s="7">
        <f t="shared" si="3"/>
        <v>0</v>
      </c>
      <c r="L45" s="7"/>
      <c r="M45" s="7">
        <f t="shared" si="4"/>
        <v>0</v>
      </c>
      <c r="N45" s="7"/>
      <c r="O45" s="7"/>
      <c r="P45" s="7"/>
      <c r="Q45" s="53"/>
      <c r="R45" s="7"/>
      <c r="S45" s="7"/>
      <c r="T45" s="53"/>
      <c r="U45" s="7"/>
      <c r="V45" s="7" t="e">
        <f t="shared" si="28"/>
        <v>#VALUE!</v>
      </c>
      <c r="W45" s="28"/>
      <c r="X45" s="7" t="e">
        <f t="shared" si="28"/>
        <v>#VALUE!</v>
      </c>
      <c r="Y45" s="28"/>
      <c r="Z45" s="7" t="e">
        <f t="shared" si="7"/>
        <v>#VALUE!</v>
      </c>
      <c r="AA45" s="28"/>
      <c r="AB45" s="7"/>
      <c r="AC45" s="7"/>
      <c r="AD45" s="7"/>
      <c r="AE45" s="7"/>
      <c r="AF45" s="7">
        <v>0</v>
      </c>
      <c r="AG45" s="7" t="e">
        <f t="shared" si="8"/>
        <v>#VALUE!</v>
      </c>
      <c r="AH45" s="28"/>
      <c r="AI45" s="7"/>
      <c r="AJ45" s="7" t="e">
        <f t="shared" si="9"/>
        <v>#VALUE!</v>
      </c>
      <c r="AK45" s="28"/>
      <c r="AL45" s="7" t="e">
        <f t="shared" si="10"/>
        <v>#VALUE!</v>
      </c>
      <c r="AM45" s="28"/>
      <c r="AN45" s="7" t="e">
        <f t="shared" si="11"/>
        <v>#VALUE!</v>
      </c>
      <c r="AO45" s="28"/>
      <c r="AP45" s="7">
        <f t="shared" si="12"/>
        <v>2</v>
      </c>
      <c r="AQ45" s="28" t="s">
        <v>2301</v>
      </c>
      <c r="AR45" s="7"/>
      <c r="AS45" s="7"/>
      <c r="AT45" s="7"/>
      <c r="AU45" s="7"/>
      <c r="AV45" s="7" t="e">
        <f t="shared" si="13"/>
        <v>#VALUE!</v>
      </c>
      <c r="AW45" s="28"/>
      <c r="AX45" s="7">
        <v>0</v>
      </c>
      <c r="AY45" s="7" t="e">
        <f t="shared" si="14"/>
        <v>#VALUE!</v>
      </c>
      <c r="AZ45" s="28"/>
      <c r="BA45" s="7">
        <v>0</v>
      </c>
      <c r="BB45" s="7">
        <v>10</v>
      </c>
      <c r="BC45" s="7">
        <v>0</v>
      </c>
      <c r="BD45" s="7">
        <v>10</v>
      </c>
      <c r="BE45" s="7"/>
      <c r="BF45" s="7" t="e">
        <f t="shared" si="15"/>
        <v>#VALUE!</v>
      </c>
      <c r="BG45" s="28"/>
      <c r="BH45" s="7" t="e">
        <f t="shared" si="16"/>
        <v>#VALUE!</v>
      </c>
      <c r="BI45" s="28"/>
      <c r="BJ45" s="7" t="e">
        <f t="shared" si="17"/>
        <v>#VALUE!</v>
      </c>
      <c r="BK45" s="28"/>
      <c r="BL45" s="7"/>
      <c r="BM45" s="7"/>
      <c r="BN45" s="7" t="e">
        <f t="shared" si="18"/>
        <v>#VALUE!</v>
      </c>
      <c r="BO45" s="28"/>
      <c r="BP45" s="7" t="e">
        <f t="shared" si="19"/>
        <v>#VALUE!</v>
      </c>
      <c r="BQ45" s="28"/>
      <c r="BR45" s="7"/>
      <c r="BS45" s="7" t="e">
        <f t="shared" si="20"/>
        <v>#VALUE!</v>
      </c>
      <c r="BT45" s="28"/>
      <c r="BU45" s="7"/>
      <c r="BV45" s="7" t="e">
        <f ca="1">[1]!tメーカー名(BU45)</f>
        <v>#NAME?</v>
      </c>
      <c r="BW45" s="7" t="e">
        <f t="shared" si="21"/>
        <v>#VALUE!</v>
      </c>
      <c r="BX45" s="28"/>
      <c r="BY45" s="7" t="e">
        <f t="shared" si="22"/>
        <v>#VALUE!</v>
      </c>
      <c r="BZ45" s="28"/>
      <c r="CA45" s="54"/>
      <c r="CB45" s="54"/>
      <c r="CC45" s="7" t="e">
        <f t="shared" si="23"/>
        <v>#VALUE!</v>
      </c>
      <c r="CD45" s="28"/>
      <c r="CE45" s="7" t="e">
        <f t="shared" si="24"/>
        <v>#VALUE!</v>
      </c>
      <c r="CF45" s="28"/>
      <c r="CG45" s="7" t="e">
        <f t="shared" si="25"/>
        <v>#VALUE!</v>
      </c>
      <c r="CH45" s="28"/>
      <c r="CI45" s="7" t="e">
        <f t="shared" si="26"/>
        <v>#VALUE!</v>
      </c>
      <c r="CJ45" s="28"/>
      <c r="CK45" s="7"/>
      <c r="CL45" s="7"/>
      <c r="CM45" s="7"/>
      <c r="CN45" s="7"/>
      <c r="CO45" s="7"/>
      <c r="CP45" s="7"/>
      <c r="CQ45" s="7"/>
      <c r="CR45" s="7"/>
      <c r="CS45" s="126">
        <f t="shared" ref="CS45:CS76" si="29">O45*(BM45/100)*0.8</f>
        <v>0</v>
      </c>
      <c r="CT45" s="7"/>
      <c r="CU45" s="7"/>
    </row>
    <row r="46" spans="1:99" ht="13.5" customHeight="1">
      <c r="A46" s="7">
        <v>34</v>
      </c>
      <c r="B46" s="7"/>
      <c r="C46" s="7" t="e">
        <f t="shared" si="27"/>
        <v>#VALUE!</v>
      </c>
      <c r="D46" s="28"/>
      <c r="E46" s="7">
        <f t="shared" si="0"/>
        <v>0</v>
      </c>
      <c r="F46" s="7"/>
      <c r="G46" s="7">
        <f t="shared" si="1"/>
        <v>0</v>
      </c>
      <c r="H46" s="7"/>
      <c r="I46" s="7">
        <f t="shared" si="2"/>
        <v>0</v>
      </c>
      <c r="J46" s="7"/>
      <c r="K46" s="7">
        <f t="shared" si="3"/>
        <v>0</v>
      </c>
      <c r="L46" s="7"/>
      <c r="M46" s="7">
        <f t="shared" si="4"/>
        <v>0</v>
      </c>
      <c r="N46" s="7"/>
      <c r="O46" s="7"/>
      <c r="P46" s="7"/>
      <c r="Q46" s="53"/>
      <c r="R46" s="7"/>
      <c r="S46" s="7"/>
      <c r="T46" s="53"/>
      <c r="U46" s="7"/>
      <c r="V46" s="7" t="e">
        <f t="shared" ref="V46:X61" si="30">ABS(LEFT(W46,2))</f>
        <v>#VALUE!</v>
      </c>
      <c r="W46" s="28"/>
      <c r="X46" s="7" t="e">
        <f t="shared" si="30"/>
        <v>#VALUE!</v>
      </c>
      <c r="Y46" s="28"/>
      <c r="Z46" s="7" t="e">
        <f t="shared" si="7"/>
        <v>#VALUE!</v>
      </c>
      <c r="AA46" s="28"/>
      <c r="AB46" s="7"/>
      <c r="AC46" s="7"/>
      <c r="AD46" s="7"/>
      <c r="AE46" s="7"/>
      <c r="AF46" s="7">
        <v>0</v>
      </c>
      <c r="AG46" s="7" t="e">
        <f t="shared" si="8"/>
        <v>#VALUE!</v>
      </c>
      <c r="AH46" s="28"/>
      <c r="AI46" s="7"/>
      <c r="AJ46" s="7" t="e">
        <f t="shared" si="9"/>
        <v>#VALUE!</v>
      </c>
      <c r="AK46" s="28"/>
      <c r="AL46" s="7" t="e">
        <f t="shared" si="10"/>
        <v>#VALUE!</v>
      </c>
      <c r="AM46" s="28"/>
      <c r="AN46" s="7" t="e">
        <f t="shared" si="11"/>
        <v>#VALUE!</v>
      </c>
      <c r="AO46" s="28"/>
      <c r="AP46" s="7">
        <f t="shared" si="12"/>
        <v>2</v>
      </c>
      <c r="AQ46" s="28" t="s">
        <v>2301</v>
      </c>
      <c r="AR46" s="7"/>
      <c r="AS46" s="7"/>
      <c r="AT46" s="7"/>
      <c r="AU46" s="7"/>
      <c r="AV46" s="7" t="e">
        <f t="shared" si="13"/>
        <v>#VALUE!</v>
      </c>
      <c r="AW46" s="28"/>
      <c r="AX46" s="7">
        <v>0</v>
      </c>
      <c r="AY46" s="7" t="e">
        <f t="shared" si="14"/>
        <v>#VALUE!</v>
      </c>
      <c r="AZ46" s="28"/>
      <c r="BA46" s="7">
        <v>0</v>
      </c>
      <c r="BB46" s="7">
        <v>10</v>
      </c>
      <c r="BC46" s="7">
        <v>0</v>
      </c>
      <c r="BD46" s="7">
        <v>10</v>
      </c>
      <c r="BE46" s="7"/>
      <c r="BF46" s="7" t="e">
        <f t="shared" si="15"/>
        <v>#VALUE!</v>
      </c>
      <c r="BG46" s="28"/>
      <c r="BH46" s="7" t="e">
        <f t="shared" si="16"/>
        <v>#VALUE!</v>
      </c>
      <c r="BI46" s="28"/>
      <c r="BJ46" s="7" t="e">
        <f t="shared" si="17"/>
        <v>#VALUE!</v>
      </c>
      <c r="BK46" s="28"/>
      <c r="BL46" s="7"/>
      <c r="BM46" s="7"/>
      <c r="BN46" s="7" t="e">
        <f t="shared" si="18"/>
        <v>#VALUE!</v>
      </c>
      <c r="BO46" s="28"/>
      <c r="BP46" s="7" t="e">
        <f t="shared" si="19"/>
        <v>#VALUE!</v>
      </c>
      <c r="BQ46" s="28"/>
      <c r="BR46" s="7"/>
      <c r="BS46" s="7" t="e">
        <f t="shared" si="20"/>
        <v>#VALUE!</v>
      </c>
      <c r="BT46" s="28"/>
      <c r="BU46" s="7"/>
      <c r="BV46" s="7" t="e">
        <f ca="1">[1]!tメーカー名(BU46)</f>
        <v>#NAME?</v>
      </c>
      <c r="BW46" s="7" t="e">
        <f t="shared" si="21"/>
        <v>#VALUE!</v>
      </c>
      <c r="BX46" s="28"/>
      <c r="BY46" s="7" t="e">
        <f t="shared" si="22"/>
        <v>#VALUE!</v>
      </c>
      <c r="BZ46" s="28"/>
      <c r="CA46" s="54"/>
      <c r="CB46" s="54"/>
      <c r="CC46" s="7" t="e">
        <f t="shared" si="23"/>
        <v>#VALUE!</v>
      </c>
      <c r="CD46" s="28"/>
      <c r="CE46" s="7" t="e">
        <f t="shared" si="24"/>
        <v>#VALUE!</v>
      </c>
      <c r="CF46" s="28"/>
      <c r="CG46" s="7" t="e">
        <f t="shared" si="25"/>
        <v>#VALUE!</v>
      </c>
      <c r="CH46" s="28"/>
      <c r="CI46" s="7" t="e">
        <f t="shared" si="26"/>
        <v>#VALUE!</v>
      </c>
      <c r="CJ46" s="28"/>
      <c r="CK46" s="7"/>
      <c r="CL46" s="7"/>
      <c r="CM46" s="7"/>
      <c r="CN46" s="7"/>
      <c r="CO46" s="7"/>
      <c r="CP46" s="7"/>
      <c r="CQ46" s="7"/>
      <c r="CR46" s="7"/>
      <c r="CS46" s="126">
        <f t="shared" si="29"/>
        <v>0</v>
      </c>
      <c r="CT46" s="7"/>
      <c r="CU46" s="7"/>
    </row>
    <row r="47" spans="1:99" ht="13.5" customHeight="1">
      <c r="A47" s="7">
        <v>35</v>
      </c>
      <c r="B47" s="7"/>
      <c r="C47" s="7" t="e">
        <f t="shared" si="27"/>
        <v>#VALUE!</v>
      </c>
      <c r="D47" s="28"/>
      <c r="E47" s="7">
        <f t="shared" si="0"/>
        <v>0</v>
      </c>
      <c r="F47" s="7"/>
      <c r="G47" s="7">
        <f t="shared" si="1"/>
        <v>0</v>
      </c>
      <c r="H47" s="7"/>
      <c r="I47" s="7">
        <f t="shared" si="2"/>
        <v>0</v>
      </c>
      <c r="J47" s="7"/>
      <c r="K47" s="7">
        <f t="shared" si="3"/>
        <v>0</v>
      </c>
      <c r="L47" s="7"/>
      <c r="M47" s="7">
        <f t="shared" si="4"/>
        <v>0</v>
      </c>
      <c r="N47" s="7"/>
      <c r="O47" s="7"/>
      <c r="P47" s="7"/>
      <c r="Q47" s="53"/>
      <c r="R47" s="7"/>
      <c r="S47" s="7"/>
      <c r="T47" s="53"/>
      <c r="U47" s="7"/>
      <c r="V47" s="7" t="e">
        <f t="shared" si="30"/>
        <v>#VALUE!</v>
      </c>
      <c r="W47" s="28"/>
      <c r="X47" s="7" t="e">
        <f t="shared" si="30"/>
        <v>#VALUE!</v>
      </c>
      <c r="Y47" s="28"/>
      <c r="Z47" s="7" t="e">
        <f t="shared" si="7"/>
        <v>#VALUE!</v>
      </c>
      <c r="AA47" s="28"/>
      <c r="AB47" s="7"/>
      <c r="AC47" s="7"/>
      <c r="AD47" s="7"/>
      <c r="AE47" s="7"/>
      <c r="AF47" s="7">
        <v>0</v>
      </c>
      <c r="AG47" s="7" t="e">
        <f t="shared" si="8"/>
        <v>#VALUE!</v>
      </c>
      <c r="AH47" s="28"/>
      <c r="AI47" s="7"/>
      <c r="AJ47" s="7" t="e">
        <f t="shared" si="9"/>
        <v>#VALUE!</v>
      </c>
      <c r="AK47" s="28"/>
      <c r="AL47" s="7" t="e">
        <f t="shared" si="10"/>
        <v>#VALUE!</v>
      </c>
      <c r="AM47" s="28"/>
      <c r="AN47" s="7" t="e">
        <f t="shared" si="11"/>
        <v>#VALUE!</v>
      </c>
      <c r="AO47" s="28"/>
      <c r="AP47" s="7">
        <f t="shared" si="12"/>
        <v>2</v>
      </c>
      <c r="AQ47" s="28" t="s">
        <v>2301</v>
      </c>
      <c r="AR47" s="7"/>
      <c r="AS47" s="7"/>
      <c r="AT47" s="7"/>
      <c r="AU47" s="7"/>
      <c r="AV47" s="7" t="e">
        <f t="shared" si="13"/>
        <v>#VALUE!</v>
      </c>
      <c r="AW47" s="28"/>
      <c r="AX47" s="7">
        <v>0</v>
      </c>
      <c r="AY47" s="7" t="e">
        <f t="shared" si="14"/>
        <v>#VALUE!</v>
      </c>
      <c r="AZ47" s="28"/>
      <c r="BA47" s="7">
        <v>0</v>
      </c>
      <c r="BB47" s="7">
        <v>10</v>
      </c>
      <c r="BC47" s="7">
        <v>0</v>
      </c>
      <c r="BD47" s="7">
        <v>10</v>
      </c>
      <c r="BE47" s="7"/>
      <c r="BF47" s="7" t="e">
        <f t="shared" si="15"/>
        <v>#VALUE!</v>
      </c>
      <c r="BG47" s="28"/>
      <c r="BH47" s="7" t="e">
        <f t="shared" si="16"/>
        <v>#VALUE!</v>
      </c>
      <c r="BI47" s="28"/>
      <c r="BJ47" s="7" t="e">
        <f t="shared" si="17"/>
        <v>#VALUE!</v>
      </c>
      <c r="BK47" s="28"/>
      <c r="BL47" s="7"/>
      <c r="BM47" s="7"/>
      <c r="BN47" s="7" t="e">
        <f t="shared" si="18"/>
        <v>#VALUE!</v>
      </c>
      <c r="BO47" s="28"/>
      <c r="BP47" s="7" t="e">
        <f t="shared" si="19"/>
        <v>#VALUE!</v>
      </c>
      <c r="BQ47" s="28"/>
      <c r="BR47" s="7"/>
      <c r="BS47" s="7" t="e">
        <f t="shared" si="20"/>
        <v>#VALUE!</v>
      </c>
      <c r="BT47" s="28"/>
      <c r="BU47" s="7"/>
      <c r="BV47" s="7" t="e">
        <f ca="1">[1]!tメーカー名(BU47)</f>
        <v>#NAME?</v>
      </c>
      <c r="BW47" s="7" t="e">
        <f t="shared" si="21"/>
        <v>#VALUE!</v>
      </c>
      <c r="BX47" s="28"/>
      <c r="BY47" s="7" t="e">
        <f t="shared" si="22"/>
        <v>#VALUE!</v>
      </c>
      <c r="BZ47" s="28"/>
      <c r="CA47" s="54"/>
      <c r="CB47" s="54"/>
      <c r="CC47" s="7" t="e">
        <f t="shared" si="23"/>
        <v>#VALUE!</v>
      </c>
      <c r="CD47" s="28"/>
      <c r="CE47" s="7" t="e">
        <f t="shared" si="24"/>
        <v>#VALUE!</v>
      </c>
      <c r="CF47" s="28"/>
      <c r="CG47" s="7" t="e">
        <f t="shared" si="25"/>
        <v>#VALUE!</v>
      </c>
      <c r="CH47" s="28"/>
      <c r="CI47" s="7" t="e">
        <f t="shared" si="26"/>
        <v>#VALUE!</v>
      </c>
      <c r="CJ47" s="28"/>
      <c r="CK47" s="7"/>
      <c r="CL47" s="7"/>
      <c r="CM47" s="7"/>
      <c r="CN47" s="7"/>
      <c r="CO47" s="7"/>
      <c r="CP47" s="7"/>
      <c r="CQ47" s="7"/>
      <c r="CR47" s="7"/>
      <c r="CS47" s="126">
        <f t="shared" si="29"/>
        <v>0</v>
      </c>
      <c r="CT47" s="7"/>
      <c r="CU47" s="7"/>
    </row>
    <row r="48" spans="1:99" ht="13.5" customHeight="1">
      <c r="A48" s="7">
        <v>36</v>
      </c>
      <c r="B48" s="7"/>
      <c r="C48" s="7" t="e">
        <f t="shared" si="27"/>
        <v>#VALUE!</v>
      </c>
      <c r="D48" s="28"/>
      <c r="E48" s="7">
        <f t="shared" si="0"/>
        <v>0</v>
      </c>
      <c r="F48" s="7"/>
      <c r="G48" s="7">
        <f t="shared" si="1"/>
        <v>0</v>
      </c>
      <c r="H48" s="7"/>
      <c r="I48" s="7">
        <f t="shared" si="2"/>
        <v>0</v>
      </c>
      <c r="J48" s="7"/>
      <c r="K48" s="7">
        <f t="shared" si="3"/>
        <v>0</v>
      </c>
      <c r="L48" s="7"/>
      <c r="M48" s="7">
        <f t="shared" si="4"/>
        <v>0</v>
      </c>
      <c r="N48" s="7"/>
      <c r="O48" s="7"/>
      <c r="P48" s="7"/>
      <c r="Q48" s="53"/>
      <c r="R48" s="7"/>
      <c r="S48" s="7"/>
      <c r="T48" s="53"/>
      <c r="U48" s="7"/>
      <c r="V48" s="7" t="e">
        <f t="shared" si="30"/>
        <v>#VALUE!</v>
      </c>
      <c r="W48" s="28"/>
      <c r="X48" s="7" t="e">
        <f t="shared" si="30"/>
        <v>#VALUE!</v>
      </c>
      <c r="Y48" s="28"/>
      <c r="Z48" s="7" t="e">
        <f t="shared" si="7"/>
        <v>#VALUE!</v>
      </c>
      <c r="AA48" s="28"/>
      <c r="AB48" s="7"/>
      <c r="AC48" s="7"/>
      <c r="AD48" s="7"/>
      <c r="AE48" s="7"/>
      <c r="AF48" s="7">
        <v>0</v>
      </c>
      <c r="AG48" s="7" t="e">
        <f t="shared" si="8"/>
        <v>#VALUE!</v>
      </c>
      <c r="AH48" s="28"/>
      <c r="AI48" s="7"/>
      <c r="AJ48" s="7" t="e">
        <f t="shared" si="9"/>
        <v>#VALUE!</v>
      </c>
      <c r="AK48" s="28"/>
      <c r="AL48" s="7" t="e">
        <f t="shared" si="10"/>
        <v>#VALUE!</v>
      </c>
      <c r="AM48" s="28"/>
      <c r="AN48" s="7" t="e">
        <f t="shared" si="11"/>
        <v>#VALUE!</v>
      </c>
      <c r="AO48" s="28"/>
      <c r="AP48" s="7">
        <f t="shared" si="12"/>
        <v>2</v>
      </c>
      <c r="AQ48" s="28" t="s">
        <v>2301</v>
      </c>
      <c r="AR48" s="7"/>
      <c r="AS48" s="7"/>
      <c r="AT48" s="7"/>
      <c r="AU48" s="7"/>
      <c r="AV48" s="7" t="e">
        <f t="shared" si="13"/>
        <v>#VALUE!</v>
      </c>
      <c r="AW48" s="28"/>
      <c r="AX48" s="7">
        <v>0</v>
      </c>
      <c r="AY48" s="7" t="e">
        <f t="shared" si="14"/>
        <v>#VALUE!</v>
      </c>
      <c r="AZ48" s="28"/>
      <c r="BA48" s="7">
        <v>0</v>
      </c>
      <c r="BB48" s="7">
        <v>10</v>
      </c>
      <c r="BC48" s="7">
        <v>0</v>
      </c>
      <c r="BD48" s="7">
        <v>10</v>
      </c>
      <c r="BE48" s="7"/>
      <c r="BF48" s="7" t="e">
        <f t="shared" si="15"/>
        <v>#VALUE!</v>
      </c>
      <c r="BG48" s="28"/>
      <c r="BH48" s="7" t="e">
        <f t="shared" si="16"/>
        <v>#VALUE!</v>
      </c>
      <c r="BI48" s="28"/>
      <c r="BJ48" s="7" t="e">
        <f t="shared" si="17"/>
        <v>#VALUE!</v>
      </c>
      <c r="BK48" s="28"/>
      <c r="BL48" s="7"/>
      <c r="BM48" s="7"/>
      <c r="BN48" s="7" t="e">
        <f t="shared" si="18"/>
        <v>#VALUE!</v>
      </c>
      <c r="BO48" s="28"/>
      <c r="BP48" s="7" t="e">
        <f t="shared" si="19"/>
        <v>#VALUE!</v>
      </c>
      <c r="BQ48" s="28"/>
      <c r="BR48" s="7"/>
      <c r="BS48" s="7" t="e">
        <f t="shared" si="20"/>
        <v>#VALUE!</v>
      </c>
      <c r="BT48" s="28"/>
      <c r="BU48" s="7"/>
      <c r="BV48" s="7" t="e">
        <f ca="1">[1]!tメーカー名(BU48)</f>
        <v>#NAME?</v>
      </c>
      <c r="BW48" s="7" t="e">
        <f t="shared" si="21"/>
        <v>#VALUE!</v>
      </c>
      <c r="BX48" s="28"/>
      <c r="BY48" s="7" t="e">
        <f t="shared" si="22"/>
        <v>#VALUE!</v>
      </c>
      <c r="BZ48" s="28"/>
      <c r="CA48" s="54"/>
      <c r="CB48" s="54"/>
      <c r="CC48" s="7" t="e">
        <f t="shared" si="23"/>
        <v>#VALUE!</v>
      </c>
      <c r="CD48" s="28"/>
      <c r="CE48" s="7" t="e">
        <f t="shared" si="24"/>
        <v>#VALUE!</v>
      </c>
      <c r="CF48" s="28"/>
      <c r="CG48" s="7" t="e">
        <f t="shared" si="25"/>
        <v>#VALUE!</v>
      </c>
      <c r="CH48" s="28"/>
      <c r="CI48" s="7" t="e">
        <f t="shared" si="26"/>
        <v>#VALUE!</v>
      </c>
      <c r="CJ48" s="28"/>
      <c r="CK48" s="7"/>
      <c r="CL48" s="7"/>
      <c r="CM48" s="7"/>
      <c r="CN48" s="7"/>
      <c r="CO48" s="7"/>
      <c r="CP48" s="7"/>
      <c r="CQ48" s="7"/>
      <c r="CR48" s="7"/>
      <c r="CS48" s="126">
        <f t="shared" si="29"/>
        <v>0</v>
      </c>
      <c r="CT48" s="7"/>
      <c r="CU48" s="7"/>
    </row>
    <row r="49" spans="1:99" ht="13.5" customHeight="1">
      <c r="A49" s="7">
        <v>37</v>
      </c>
      <c r="B49" s="7"/>
      <c r="C49" s="7" t="e">
        <f t="shared" si="27"/>
        <v>#VALUE!</v>
      </c>
      <c r="D49" s="28"/>
      <c r="E49" s="7">
        <f t="shared" si="0"/>
        <v>0</v>
      </c>
      <c r="F49" s="7"/>
      <c r="G49" s="7">
        <f t="shared" si="1"/>
        <v>0</v>
      </c>
      <c r="H49" s="7"/>
      <c r="I49" s="7">
        <f t="shared" si="2"/>
        <v>0</v>
      </c>
      <c r="J49" s="7"/>
      <c r="K49" s="7">
        <f t="shared" si="3"/>
        <v>0</v>
      </c>
      <c r="L49" s="7"/>
      <c r="M49" s="7">
        <f t="shared" si="4"/>
        <v>0</v>
      </c>
      <c r="N49" s="7"/>
      <c r="O49" s="7"/>
      <c r="P49" s="7"/>
      <c r="Q49" s="53"/>
      <c r="R49" s="7"/>
      <c r="S49" s="7"/>
      <c r="T49" s="53"/>
      <c r="U49" s="7"/>
      <c r="V49" s="7" t="e">
        <f t="shared" si="30"/>
        <v>#VALUE!</v>
      </c>
      <c r="W49" s="28"/>
      <c r="X49" s="7" t="e">
        <f t="shared" si="30"/>
        <v>#VALUE!</v>
      </c>
      <c r="Y49" s="28"/>
      <c r="Z49" s="7" t="e">
        <f t="shared" si="7"/>
        <v>#VALUE!</v>
      </c>
      <c r="AA49" s="28"/>
      <c r="AB49" s="7"/>
      <c r="AC49" s="7"/>
      <c r="AD49" s="7"/>
      <c r="AE49" s="7"/>
      <c r="AF49" s="7">
        <v>0</v>
      </c>
      <c r="AG49" s="7" t="e">
        <f t="shared" si="8"/>
        <v>#VALUE!</v>
      </c>
      <c r="AH49" s="28"/>
      <c r="AI49" s="7"/>
      <c r="AJ49" s="7" t="e">
        <f t="shared" si="9"/>
        <v>#VALUE!</v>
      </c>
      <c r="AK49" s="28"/>
      <c r="AL49" s="7" t="e">
        <f t="shared" si="10"/>
        <v>#VALUE!</v>
      </c>
      <c r="AM49" s="28"/>
      <c r="AN49" s="7" t="e">
        <f t="shared" si="11"/>
        <v>#VALUE!</v>
      </c>
      <c r="AO49" s="28"/>
      <c r="AP49" s="7">
        <f t="shared" si="12"/>
        <v>2</v>
      </c>
      <c r="AQ49" s="28" t="s">
        <v>2301</v>
      </c>
      <c r="AR49" s="7"/>
      <c r="AS49" s="7"/>
      <c r="AT49" s="7"/>
      <c r="AU49" s="7"/>
      <c r="AV49" s="7" t="e">
        <f t="shared" si="13"/>
        <v>#VALUE!</v>
      </c>
      <c r="AW49" s="28"/>
      <c r="AX49" s="7">
        <v>0</v>
      </c>
      <c r="AY49" s="7" t="e">
        <f t="shared" si="14"/>
        <v>#VALUE!</v>
      </c>
      <c r="AZ49" s="28"/>
      <c r="BA49" s="7">
        <v>0</v>
      </c>
      <c r="BB49" s="7">
        <v>10</v>
      </c>
      <c r="BC49" s="7">
        <v>0</v>
      </c>
      <c r="BD49" s="7">
        <v>10</v>
      </c>
      <c r="BE49" s="7"/>
      <c r="BF49" s="7" t="e">
        <f t="shared" si="15"/>
        <v>#VALUE!</v>
      </c>
      <c r="BG49" s="28"/>
      <c r="BH49" s="7" t="e">
        <f t="shared" si="16"/>
        <v>#VALUE!</v>
      </c>
      <c r="BI49" s="28"/>
      <c r="BJ49" s="7" t="e">
        <f t="shared" si="17"/>
        <v>#VALUE!</v>
      </c>
      <c r="BK49" s="28"/>
      <c r="BL49" s="7"/>
      <c r="BM49" s="7"/>
      <c r="BN49" s="7" t="e">
        <f t="shared" si="18"/>
        <v>#VALUE!</v>
      </c>
      <c r="BO49" s="28"/>
      <c r="BP49" s="7" t="e">
        <f t="shared" si="19"/>
        <v>#VALUE!</v>
      </c>
      <c r="BQ49" s="28"/>
      <c r="BR49" s="7"/>
      <c r="BS49" s="7" t="e">
        <f t="shared" si="20"/>
        <v>#VALUE!</v>
      </c>
      <c r="BT49" s="28"/>
      <c r="BU49" s="7"/>
      <c r="BV49" s="7" t="e">
        <f ca="1">[1]!tメーカー名(BU49)</f>
        <v>#NAME?</v>
      </c>
      <c r="BW49" s="7" t="e">
        <f t="shared" si="21"/>
        <v>#VALUE!</v>
      </c>
      <c r="BX49" s="28"/>
      <c r="BY49" s="7" t="e">
        <f t="shared" si="22"/>
        <v>#VALUE!</v>
      </c>
      <c r="BZ49" s="28"/>
      <c r="CA49" s="54"/>
      <c r="CB49" s="54"/>
      <c r="CC49" s="7" t="e">
        <f t="shared" si="23"/>
        <v>#VALUE!</v>
      </c>
      <c r="CD49" s="28"/>
      <c r="CE49" s="7" t="e">
        <f t="shared" si="24"/>
        <v>#VALUE!</v>
      </c>
      <c r="CF49" s="28"/>
      <c r="CG49" s="7" t="e">
        <f t="shared" si="25"/>
        <v>#VALUE!</v>
      </c>
      <c r="CH49" s="28"/>
      <c r="CI49" s="7" t="e">
        <f t="shared" si="26"/>
        <v>#VALUE!</v>
      </c>
      <c r="CJ49" s="28"/>
      <c r="CK49" s="7"/>
      <c r="CL49" s="7"/>
      <c r="CM49" s="7"/>
      <c r="CN49" s="7"/>
      <c r="CO49" s="7"/>
      <c r="CP49" s="7"/>
      <c r="CQ49" s="7"/>
      <c r="CR49" s="7"/>
      <c r="CS49" s="126">
        <f t="shared" si="29"/>
        <v>0</v>
      </c>
      <c r="CT49" s="7"/>
      <c r="CU49" s="7"/>
    </row>
    <row r="50" spans="1:99" ht="13.5" customHeight="1">
      <c r="A50" s="7">
        <v>38</v>
      </c>
      <c r="B50" s="7"/>
      <c r="C50" s="7" t="e">
        <f t="shared" si="27"/>
        <v>#VALUE!</v>
      </c>
      <c r="D50" s="28"/>
      <c r="E50" s="7">
        <f t="shared" si="0"/>
        <v>0</v>
      </c>
      <c r="F50" s="7"/>
      <c r="G50" s="7">
        <f t="shared" si="1"/>
        <v>0</v>
      </c>
      <c r="H50" s="7"/>
      <c r="I50" s="7">
        <f t="shared" si="2"/>
        <v>0</v>
      </c>
      <c r="J50" s="7"/>
      <c r="K50" s="7">
        <f t="shared" si="3"/>
        <v>0</v>
      </c>
      <c r="L50" s="7"/>
      <c r="M50" s="7">
        <f t="shared" si="4"/>
        <v>0</v>
      </c>
      <c r="N50" s="7"/>
      <c r="O50" s="7"/>
      <c r="P50" s="7"/>
      <c r="Q50" s="53"/>
      <c r="R50" s="7"/>
      <c r="S50" s="7"/>
      <c r="T50" s="53"/>
      <c r="U50" s="7"/>
      <c r="V50" s="7" t="e">
        <f t="shared" si="30"/>
        <v>#VALUE!</v>
      </c>
      <c r="W50" s="28"/>
      <c r="X50" s="7" t="e">
        <f t="shared" si="30"/>
        <v>#VALUE!</v>
      </c>
      <c r="Y50" s="28"/>
      <c r="Z50" s="7" t="e">
        <f t="shared" si="7"/>
        <v>#VALUE!</v>
      </c>
      <c r="AA50" s="28"/>
      <c r="AB50" s="7"/>
      <c r="AC50" s="7"/>
      <c r="AD50" s="7"/>
      <c r="AE50" s="7"/>
      <c r="AF50" s="7">
        <v>0</v>
      </c>
      <c r="AG50" s="7" t="e">
        <f t="shared" si="8"/>
        <v>#VALUE!</v>
      </c>
      <c r="AH50" s="28"/>
      <c r="AI50" s="7"/>
      <c r="AJ50" s="7" t="e">
        <f t="shared" si="9"/>
        <v>#VALUE!</v>
      </c>
      <c r="AK50" s="28"/>
      <c r="AL50" s="7" t="e">
        <f t="shared" si="10"/>
        <v>#VALUE!</v>
      </c>
      <c r="AM50" s="28"/>
      <c r="AN50" s="7" t="e">
        <f t="shared" si="11"/>
        <v>#VALUE!</v>
      </c>
      <c r="AO50" s="28"/>
      <c r="AP50" s="7">
        <f t="shared" si="12"/>
        <v>2</v>
      </c>
      <c r="AQ50" s="28" t="s">
        <v>2301</v>
      </c>
      <c r="AR50" s="7"/>
      <c r="AS50" s="7"/>
      <c r="AT50" s="7"/>
      <c r="AU50" s="7"/>
      <c r="AV50" s="7" t="e">
        <f t="shared" si="13"/>
        <v>#VALUE!</v>
      </c>
      <c r="AW50" s="28"/>
      <c r="AX50" s="7">
        <v>0</v>
      </c>
      <c r="AY50" s="7" t="e">
        <f t="shared" si="14"/>
        <v>#VALUE!</v>
      </c>
      <c r="AZ50" s="28"/>
      <c r="BA50" s="7">
        <v>0</v>
      </c>
      <c r="BB50" s="7">
        <v>10</v>
      </c>
      <c r="BC50" s="7">
        <v>0</v>
      </c>
      <c r="BD50" s="7">
        <v>10</v>
      </c>
      <c r="BE50" s="7"/>
      <c r="BF50" s="7" t="e">
        <f t="shared" si="15"/>
        <v>#VALUE!</v>
      </c>
      <c r="BG50" s="28"/>
      <c r="BH50" s="7" t="e">
        <f t="shared" si="16"/>
        <v>#VALUE!</v>
      </c>
      <c r="BI50" s="28"/>
      <c r="BJ50" s="7" t="e">
        <f t="shared" si="17"/>
        <v>#VALUE!</v>
      </c>
      <c r="BK50" s="28"/>
      <c r="BL50" s="7"/>
      <c r="BM50" s="7"/>
      <c r="BN50" s="7" t="e">
        <f t="shared" si="18"/>
        <v>#VALUE!</v>
      </c>
      <c r="BO50" s="28"/>
      <c r="BP50" s="7" t="e">
        <f t="shared" si="19"/>
        <v>#VALUE!</v>
      </c>
      <c r="BQ50" s="28"/>
      <c r="BR50" s="7"/>
      <c r="BS50" s="7" t="e">
        <f t="shared" si="20"/>
        <v>#VALUE!</v>
      </c>
      <c r="BT50" s="28"/>
      <c r="BU50" s="7"/>
      <c r="BV50" s="7" t="e">
        <f ca="1">[1]!tメーカー名(BU50)</f>
        <v>#NAME?</v>
      </c>
      <c r="BW50" s="7" t="e">
        <f t="shared" si="21"/>
        <v>#VALUE!</v>
      </c>
      <c r="BX50" s="28"/>
      <c r="BY50" s="7" t="e">
        <f t="shared" si="22"/>
        <v>#VALUE!</v>
      </c>
      <c r="BZ50" s="28"/>
      <c r="CA50" s="54"/>
      <c r="CB50" s="54"/>
      <c r="CC50" s="7" t="e">
        <f t="shared" si="23"/>
        <v>#VALUE!</v>
      </c>
      <c r="CD50" s="28"/>
      <c r="CE50" s="7" t="e">
        <f t="shared" si="24"/>
        <v>#VALUE!</v>
      </c>
      <c r="CF50" s="28"/>
      <c r="CG50" s="7" t="e">
        <f t="shared" si="25"/>
        <v>#VALUE!</v>
      </c>
      <c r="CH50" s="28"/>
      <c r="CI50" s="7" t="e">
        <f t="shared" si="26"/>
        <v>#VALUE!</v>
      </c>
      <c r="CJ50" s="28"/>
      <c r="CK50" s="7"/>
      <c r="CL50" s="7"/>
      <c r="CM50" s="7"/>
      <c r="CN50" s="7"/>
      <c r="CO50" s="7"/>
      <c r="CP50" s="7"/>
      <c r="CQ50" s="7"/>
      <c r="CR50" s="7"/>
      <c r="CS50" s="126">
        <f t="shared" si="29"/>
        <v>0</v>
      </c>
      <c r="CT50" s="7"/>
      <c r="CU50" s="7"/>
    </row>
    <row r="51" spans="1:99" ht="13.5" customHeight="1">
      <c r="A51" s="7">
        <v>39</v>
      </c>
      <c r="B51" s="7"/>
      <c r="C51" s="7" t="e">
        <f t="shared" si="27"/>
        <v>#VALUE!</v>
      </c>
      <c r="D51" s="28"/>
      <c r="E51" s="7">
        <f t="shared" si="0"/>
        <v>0</v>
      </c>
      <c r="F51" s="7"/>
      <c r="G51" s="7">
        <f t="shared" si="1"/>
        <v>0</v>
      </c>
      <c r="H51" s="7"/>
      <c r="I51" s="7">
        <f t="shared" si="2"/>
        <v>0</v>
      </c>
      <c r="J51" s="7"/>
      <c r="K51" s="7">
        <f t="shared" si="3"/>
        <v>0</v>
      </c>
      <c r="L51" s="7"/>
      <c r="M51" s="7">
        <f t="shared" si="4"/>
        <v>0</v>
      </c>
      <c r="N51" s="7"/>
      <c r="O51" s="7"/>
      <c r="P51" s="7"/>
      <c r="Q51" s="53"/>
      <c r="R51" s="7"/>
      <c r="S51" s="7"/>
      <c r="T51" s="53"/>
      <c r="U51" s="7"/>
      <c r="V51" s="7" t="e">
        <f t="shared" si="30"/>
        <v>#VALUE!</v>
      </c>
      <c r="W51" s="28"/>
      <c r="X51" s="7" t="e">
        <f t="shared" si="30"/>
        <v>#VALUE!</v>
      </c>
      <c r="Y51" s="28"/>
      <c r="Z51" s="7" t="e">
        <f t="shared" si="7"/>
        <v>#VALUE!</v>
      </c>
      <c r="AA51" s="28"/>
      <c r="AB51" s="7"/>
      <c r="AC51" s="7"/>
      <c r="AD51" s="7"/>
      <c r="AE51" s="7"/>
      <c r="AF51" s="7">
        <v>0</v>
      </c>
      <c r="AG51" s="7" t="e">
        <f t="shared" si="8"/>
        <v>#VALUE!</v>
      </c>
      <c r="AH51" s="28"/>
      <c r="AI51" s="7"/>
      <c r="AJ51" s="7" t="e">
        <f t="shared" si="9"/>
        <v>#VALUE!</v>
      </c>
      <c r="AK51" s="28"/>
      <c r="AL51" s="7" t="e">
        <f t="shared" si="10"/>
        <v>#VALUE!</v>
      </c>
      <c r="AM51" s="28"/>
      <c r="AN51" s="7" t="e">
        <f t="shared" si="11"/>
        <v>#VALUE!</v>
      </c>
      <c r="AO51" s="28"/>
      <c r="AP51" s="7">
        <f t="shared" si="12"/>
        <v>2</v>
      </c>
      <c r="AQ51" s="28" t="s">
        <v>2301</v>
      </c>
      <c r="AR51" s="7"/>
      <c r="AS51" s="7"/>
      <c r="AT51" s="7"/>
      <c r="AU51" s="7"/>
      <c r="AV51" s="7" t="e">
        <f t="shared" si="13"/>
        <v>#VALUE!</v>
      </c>
      <c r="AW51" s="28"/>
      <c r="AX51" s="7">
        <v>0</v>
      </c>
      <c r="AY51" s="7" t="e">
        <f t="shared" si="14"/>
        <v>#VALUE!</v>
      </c>
      <c r="AZ51" s="28"/>
      <c r="BA51" s="7">
        <v>0</v>
      </c>
      <c r="BB51" s="7">
        <v>10</v>
      </c>
      <c r="BC51" s="7">
        <v>0</v>
      </c>
      <c r="BD51" s="7">
        <v>10</v>
      </c>
      <c r="BE51" s="7"/>
      <c r="BF51" s="7" t="e">
        <f t="shared" si="15"/>
        <v>#VALUE!</v>
      </c>
      <c r="BG51" s="28"/>
      <c r="BH51" s="7" t="e">
        <f t="shared" si="16"/>
        <v>#VALUE!</v>
      </c>
      <c r="BI51" s="28"/>
      <c r="BJ51" s="7" t="e">
        <f t="shared" si="17"/>
        <v>#VALUE!</v>
      </c>
      <c r="BK51" s="28"/>
      <c r="BL51" s="7"/>
      <c r="BM51" s="7"/>
      <c r="BN51" s="7" t="e">
        <f t="shared" si="18"/>
        <v>#VALUE!</v>
      </c>
      <c r="BO51" s="28"/>
      <c r="BP51" s="7" t="e">
        <f t="shared" si="19"/>
        <v>#VALUE!</v>
      </c>
      <c r="BQ51" s="28"/>
      <c r="BR51" s="7"/>
      <c r="BS51" s="7" t="e">
        <f t="shared" si="20"/>
        <v>#VALUE!</v>
      </c>
      <c r="BT51" s="28"/>
      <c r="BU51" s="7"/>
      <c r="BV51" s="7" t="e">
        <f ca="1">[1]!tメーカー名(BU51)</f>
        <v>#NAME?</v>
      </c>
      <c r="BW51" s="7" t="e">
        <f t="shared" si="21"/>
        <v>#VALUE!</v>
      </c>
      <c r="BX51" s="28"/>
      <c r="BY51" s="7" t="e">
        <f t="shared" si="22"/>
        <v>#VALUE!</v>
      </c>
      <c r="BZ51" s="28"/>
      <c r="CA51" s="54"/>
      <c r="CB51" s="54"/>
      <c r="CC51" s="7" t="e">
        <f t="shared" si="23"/>
        <v>#VALUE!</v>
      </c>
      <c r="CD51" s="28"/>
      <c r="CE51" s="7" t="e">
        <f t="shared" si="24"/>
        <v>#VALUE!</v>
      </c>
      <c r="CF51" s="28"/>
      <c r="CG51" s="7" t="e">
        <f t="shared" si="25"/>
        <v>#VALUE!</v>
      </c>
      <c r="CH51" s="28"/>
      <c r="CI51" s="7" t="e">
        <f t="shared" si="26"/>
        <v>#VALUE!</v>
      </c>
      <c r="CJ51" s="28"/>
      <c r="CK51" s="7"/>
      <c r="CL51" s="7"/>
      <c r="CM51" s="7"/>
      <c r="CN51" s="7"/>
      <c r="CO51" s="7"/>
      <c r="CP51" s="7"/>
      <c r="CQ51" s="7"/>
      <c r="CR51" s="7"/>
      <c r="CS51" s="126">
        <f t="shared" si="29"/>
        <v>0</v>
      </c>
      <c r="CT51" s="7"/>
      <c r="CU51" s="7"/>
    </row>
    <row r="52" spans="1:99" ht="13.5" customHeight="1">
      <c r="A52" s="7">
        <v>40</v>
      </c>
      <c r="B52" s="7"/>
      <c r="C52" s="7" t="e">
        <f t="shared" si="27"/>
        <v>#VALUE!</v>
      </c>
      <c r="D52" s="28"/>
      <c r="E52" s="7">
        <f t="shared" si="0"/>
        <v>0</v>
      </c>
      <c r="F52" s="7"/>
      <c r="G52" s="7">
        <f t="shared" si="1"/>
        <v>0</v>
      </c>
      <c r="H52" s="7"/>
      <c r="I52" s="7">
        <f t="shared" si="2"/>
        <v>0</v>
      </c>
      <c r="J52" s="7"/>
      <c r="K52" s="7">
        <f t="shared" si="3"/>
        <v>0</v>
      </c>
      <c r="L52" s="7"/>
      <c r="M52" s="7">
        <f t="shared" si="4"/>
        <v>0</v>
      </c>
      <c r="N52" s="7"/>
      <c r="O52" s="7"/>
      <c r="P52" s="7"/>
      <c r="Q52" s="53"/>
      <c r="R52" s="7"/>
      <c r="S52" s="7"/>
      <c r="T52" s="53"/>
      <c r="U52" s="7"/>
      <c r="V52" s="7" t="e">
        <f t="shared" si="30"/>
        <v>#VALUE!</v>
      </c>
      <c r="W52" s="28"/>
      <c r="X52" s="7" t="e">
        <f t="shared" si="30"/>
        <v>#VALUE!</v>
      </c>
      <c r="Y52" s="28"/>
      <c r="Z52" s="7" t="e">
        <f t="shared" si="7"/>
        <v>#VALUE!</v>
      </c>
      <c r="AA52" s="28"/>
      <c r="AB52" s="7"/>
      <c r="AC52" s="7"/>
      <c r="AD52" s="7"/>
      <c r="AE52" s="7"/>
      <c r="AF52" s="7">
        <v>0</v>
      </c>
      <c r="AG52" s="7" t="e">
        <f t="shared" si="8"/>
        <v>#VALUE!</v>
      </c>
      <c r="AH52" s="28"/>
      <c r="AI52" s="7"/>
      <c r="AJ52" s="7" t="e">
        <f t="shared" si="9"/>
        <v>#VALUE!</v>
      </c>
      <c r="AK52" s="28"/>
      <c r="AL52" s="7" t="e">
        <f t="shared" si="10"/>
        <v>#VALUE!</v>
      </c>
      <c r="AM52" s="28"/>
      <c r="AN52" s="7" t="e">
        <f t="shared" si="11"/>
        <v>#VALUE!</v>
      </c>
      <c r="AO52" s="28"/>
      <c r="AP52" s="7">
        <f t="shared" si="12"/>
        <v>2</v>
      </c>
      <c r="AQ52" s="28" t="s">
        <v>2301</v>
      </c>
      <c r="AR52" s="7"/>
      <c r="AS52" s="7"/>
      <c r="AT52" s="7"/>
      <c r="AU52" s="7"/>
      <c r="AV52" s="7" t="e">
        <f t="shared" si="13"/>
        <v>#VALUE!</v>
      </c>
      <c r="AW52" s="28"/>
      <c r="AX52" s="7">
        <v>0</v>
      </c>
      <c r="AY52" s="7" t="e">
        <f t="shared" si="14"/>
        <v>#VALUE!</v>
      </c>
      <c r="AZ52" s="28"/>
      <c r="BA52" s="7">
        <v>0</v>
      </c>
      <c r="BB52" s="7">
        <v>10</v>
      </c>
      <c r="BC52" s="7">
        <v>0</v>
      </c>
      <c r="BD52" s="7">
        <v>10</v>
      </c>
      <c r="BE52" s="7"/>
      <c r="BF52" s="7" t="e">
        <f t="shared" si="15"/>
        <v>#VALUE!</v>
      </c>
      <c r="BG52" s="28"/>
      <c r="BH52" s="7" t="e">
        <f t="shared" si="16"/>
        <v>#VALUE!</v>
      </c>
      <c r="BI52" s="28"/>
      <c r="BJ52" s="7" t="e">
        <f t="shared" si="17"/>
        <v>#VALUE!</v>
      </c>
      <c r="BK52" s="28"/>
      <c r="BL52" s="7"/>
      <c r="BM52" s="7"/>
      <c r="BN52" s="7" t="e">
        <f t="shared" si="18"/>
        <v>#VALUE!</v>
      </c>
      <c r="BO52" s="28"/>
      <c r="BP52" s="7" t="e">
        <f t="shared" si="19"/>
        <v>#VALUE!</v>
      </c>
      <c r="BQ52" s="28"/>
      <c r="BR52" s="7"/>
      <c r="BS52" s="7" t="e">
        <f t="shared" si="20"/>
        <v>#VALUE!</v>
      </c>
      <c r="BT52" s="28"/>
      <c r="BU52" s="7"/>
      <c r="BV52" s="7" t="e">
        <f ca="1">[1]!tメーカー名(BU52)</f>
        <v>#NAME?</v>
      </c>
      <c r="BW52" s="7" t="e">
        <f t="shared" si="21"/>
        <v>#VALUE!</v>
      </c>
      <c r="BX52" s="28"/>
      <c r="BY52" s="7" t="e">
        <f t="shared" si="22"/>
        <v>#VALUE!</v>
      </c>
      <c r="BZ52" s="28"/>
      <c r="CA52" s="54"/>
      <c r="CB52" s="54"/>
      <c r="CC52" s="7" t="e">
        <f t="shared" si="23"/>
        <v>#VALUE!</v>
      </c>
      <c r="CD52" s="28"/>
      <c r="CE52" s="7" t="e">
        <f t="shared" si="24"/>
        <v>#VALUE!</v>
      </c>
      <c r="CF52" s="28"/>
      <c r="CG52" s="7" t="e">
        <f t="shared" si="25"/>
        <v>#VALUE!</v>
      </c>
      <c r="CH52" s="28"/>
      <c r="CI52" s="7" t="e">
        <f t="shared" si="26"/>
        <v>#VALUE!</v>
      </c>
      <c r="CJ52" s="28"/>
      <c r="CK52" s="7"/>
      <c r="CL52" s="7"/>
      <c r="CM52" s="7"/>
      <c r="CN52" s="7"/>
      <c r="CO52" s="7"/>
      <c r="CP52" s="7"/>
      <c r="CQ52" s="7"/>
      <c r="CR52" s="7"/>
      <c r="CS52" s="126">
        <f t="shared" si="29"/>
        <v>0</v>
      </c>
      <c r="CT52" s="7"/>
      <c r="CU52" s="7"/>
    </row>
    <row r="53" spans="1:99" ht="13.5" customHeight="1">
      <c r="A53" s="7">
        <v>41</v>
      </c>
      <c r="B53" s="7"/>
      <c r="C53" s="7" t="e">
        <f t="shared" si="27"/>
        <v>#VALUE!</v>
      </c>
      <c r="D53" s="28"/>
      <c r="E53" s="7">
        <f t="shared" si="0"/>
        <v>0</v>
      </c>
      <c r="F53" s="7"/>
      <c r="G53" s="7">
        <f t="shared" si="1"/>
        <v>0</v>
      </c>
      <c r="H53" s="7"/>
      <c r="I53" s="7">
        <f t="shared" si="2"/>
        <v>0</v>
      </c>
      <c r="J53" s="7"/>
      <c r="K53" s="7">
        <f t="shared" si="3"/>
        <v>0</v>
      </c>
      <c r="L53" s="7"/>
      <c r="M53" s="7">
        <f t="shared" si="4"/>
        <v>0</v>
      </c>
      <c r="N53" s="7"/>
      <c r="O53" s="7"/>
      <c r="P53" s="7"/>
      <c r="Q53" s="53"/>
      <c r="R53" s="7"/>
      <c r="S53" s="7"/>
      <c r="T53" s="53"/>
      <c r="U53" s="7"/>
      <c r="V53" s="7" t="e">
        <f t="shared" si="30"/>
        <v>#VALUE!</v>
      </c>
      <c r="W53" s="28"/>
      <c r="X53" s="7" t="e">
        <f t="shared" si="30"/>
        <v>#VALUE!</v>
      </c>
      <c r="Y53" s="28"/>
      <c r="Z53" s="7" t="e">
        <f t="shared" si="7"/>
        <v>#VALUE!</v>
      </c>
      <c r="AA53" s="28"/>
      <c r="AB53" s="7"/>
      <c r="AC53" s="7"/>
      <c r="AD53" s="7"/>
      <c r="AE53" s="7"/>
      <c r="AF53" s="7">
        <v>0</v>
      </c>
      <c r="AG53" s="7" t="e">
        <f t="shared" si="8"/>
        <v>#VALUE!</v>
      </c>
      <c r="AH53" s="28"/>
      <c r="AI53" s="7"/>
      <c r="AJ53" s="7" t="e">
        <f t="shared" si="9"/>
        <v>#VALUE!</v>
      </c>
      <c r="AK53" s="28"/>
      <c r="AL53" s="7" t="e">
        <f t="shared" si="10"/>
        <v>#VALUE!</v>
      </c>
      <c r="AM53" s="28"/>
      <c r="AN53" s="7" t="e">
        <f t="shared" si="11"/>
        <v>#VALUE!</v>
      </c>
      <c r="AO53" s="28"/>
      <c r="AP53" s="7">
        <f t="shared" si="12"/>
        <v>2</v>
      </c>
      <c r="AQ53" s="28" t="s">
        <v>2301</v>
      </c>
      <c r="AR53" s="7"/>
      <c r="AS53" s="7"/>
      <c r="AT53" s="7"/>
      <c r="AU53" s="7"/>
      <c r="AV53" s="7" t="e">
        <f t="shared" si="13"/>
        <v>#VALUE!</v>
      </c>
      <c r="AW53" s="28"/>
      <c r="AX53" s="7">
        <v>0</v>
      </c>
      <c r="AY53" s="7" t="e">
        <f t="shared" si="14"/>
        <v>#VALUE!</v>
      </c>
      <c r="AZ53" s="28"/>
      <c r="BA53" s="7">
        <v>0</v>
      </c>
      <c r="BB53" s="7">
        <v>10</v>
      </c>
      <c r="BC53" s="7">
        <v>0</v>
      </c>
      <c r="BD53" s="7">
        <v>10</v>
      </c>
      <c r="BE53" s="7"/>
      <c r="BF53" s="7" t="e">
        <f t="shared" si="15"/>
        <v>#VALUE!</v>
      </c>
      <c r="BG53" s="28"/>
      <c r="BH53" s="7" t="e">
        <f t="shared" si="16"/>
        <v>#VALUE!</v>
      </c>
      <c r="BI53" s="28"/>
      <c r="BJ53" s="7" t="e">
        <f t="shared" si="17"/>
        <v>#VALUE!</v>
      </c>
      <c r="BK53" s="28"/>
      <c r="BL53" s="7"/>
      <c r="BM53" s="7"/>
      <c r="BN53" s="7" t="e">
        <f t="shared" si="18"/>
        <v>#VALUE!</v>
      </c>
      <c r="BO53" s="28"/>
      <c r="BP53" s="7" t="e">
        <f t="shared" si="19"/>
        <v>#VALUE!</v>
      </c>
      <c r="BQ53" s="28"/>
      <c r="BR53" s="7"/>
      <c r="BS53" s="7" t="e">
        <f t="shared" si="20"/>
        <v>#VALUE!</v>
      </c>
      <c r="BT53" s="28"/>
      <c r="BU53" s="7"/>
      <c r="BV53" s="7" t="e">
        <f ca="1">[1]!tメーカー名(BU53)</f>
        <v>#NAME?</v>
      </c>
      <c r="BW53" s="7" t="e">
        <f t="shared" si="21"/>
        <v>#VALUE!</v>
      </c>
      <c r="BX53" s="28"/>
      <c r="BY53" s="7" t="e">
        <f t="shared" si="22"/>
        <v>#VALUE!</v>
      </c>
      <c r="BZ53" s="28"/>
      <c r="CA53" s="54"/>
      <c r="CB53" s="54"/>
      <c r="CC53" s="7" t="e">
        <f t="shared" si="23"/>
        <v>#VALUE!</v>
      </c>
      <c r="CD53" s="28"/>
      <c r="CE53" s="7" t="e">
        <f t="shared" si="24"/>
        <v>#VALUE!</v>
      </c>
      <c r="CF53" s="28"/>
      <c r="CG53" s="7" t="e">
        <f t="shared" si="25"/>
        <v>#VALUE!</v>
      </c>
      <c r="CH53" s="28"/>
      <c r="CI53" s="7" t="e">
        <f t="shared" si="26"/>
        <v>#VALUE!</v>
      </c>
      <c r="CJ53" s="28"/>
      <c r="CK53" s="7"/>
      <c r="CL53" s="7"/>
      <c r="CM53" s="7"/>
      <c r="CN53" s="7"/>
      <c r="CO53" s="7"/>
      <c r="CP53" s="7"/>
      <c r="CQ53" s="7"/>
      <c r="CR53" s="7"/>
      <c r="CS53" s="126">
        <f t="shared" si="29"/>
        <v>0</v>
      </c>
      <c r="CT53" s="7"/>
      <c r="CU53" s="7"/>
    </row>
    <row r="54" spans="1:99" ht="13.5" customHeight="1">
      <c r="A54" s="7">
        <v>42</v>
      </c>
      <c r="B54" s="7"/>
      <c r="C54" s="7" t="e">
        <f t="shared" si="27"/>
        <v>#VALUE!</v>
      </c>
      <c r="D54" s="28"/>
      <c r="E54" s="7">
        <f t="shared" si="0"/>
        <v>0</v>
      </c>
      <c r="F54" s="7"/>
      <c r="G54" s="7">
        <f t="shared" si="1"/>
        <v>0</v>
      </c>
      <c r="H54" s="7"/>
      <c r="I54" s="7">
        <f t="shared" si="2"/>
        <v>0</v>
      </c>
      <c r="J54" s="7"/>
      <c r="K54" s="7">
        <f t="shared" si="3"/>
        <v>0</v>
      </c>
      <c r="L54" s="7"/>
      <c r="M54" s="7">
        <f t="shared" si="4"/>
        <v>0</v>
      </c>
      <c r="N54" s="7"/>
      <c r="O54" s="7"/>
      <c r="P54" s="7"/>
      <c r="Q54" s="53"/>
      <c r="R54" s="7"/>
      <c r="S54" s="7"/>
      <c r="T54" s="53"/>
      <c r="U54" s="7"/>
      <c r="V54" s="7" t="e">
        <f t="shared" si="30"/>
        <v>#VALUE!</v>
      </c>
      <c r="W54" s="28"/>
      <c r="X54" s="7" t="e">
        <f t="shared" si="30"/>
        <v>#VALUE!</v>
      </c>
      <c r="Y54" s="28"/>
      <c r="Z54" s="7" t="e">
        <f t="shared" si="7"/>
        <v>#VALUE!</v>
      </c>
      <c r="AA54" s="28"/>
      <c r="AB54" s="7"/>
      <c r="AC54" s="7"/>
      <c r="AD54" s="7"/>
      <c r="AE54" s="7"/>
      <c r="AF54" s="7">
        <v>0</v>
      </c>
      <c r="AG54" s="7" t="e">
        <f t="shared" si="8"/>
        <v>#VALUE!</v>
      </c>
      <c r="AH54" s="28"/>
      <c r="AI54" s="7"/>
      <c r="AJ54" s="7" t="e">
        <f t="shared" si="9"/>
        <v>#VALUE!</v>
      </c>
      <c r="AK54" s="28"/>
      <c r="AL54" s="7" t="e">
        <f t="shared" si="10"/>
        <v>#VALUE!</v>
      </c>
      <c r="AM54" s="28"/>
      <c r="AN54" s="7" t="e">
        <f t="shared" si="11"/>
        <v>#VALUE!</v>
      </c>
      <c r="AO54" s="28"/>
      <c r="AP54" s="7">
        <f t="shared" si="12"/>
        <v>2</v>
      </c>
      <c r="AQ54" s="28" t="s">
        <v>2301</v>
      </c>
      <c r="AR54" s="7"/>
      <c r="AS54" s="7"/>
      <c r="AT54" s="7"/>
      <c r="AU54" s="7"/>
      <c r="AV54" s="7" t="e">
        <f t="shared" si="13"/>
        <v>#VALUE!</v>
      </c>
      <c r="AW54" s="28"/>
      <c r="AX54" s="7">
        <v>0</v>
      </c>
      <c r="AY54" s="7" t="e">
        <f t="shared" si="14"/>
        <v>#VALUE!</v>
      </c>
      <c r="AZ54" s="28"/>
      <c r="BA54" s="7">
        <v>0</v>
      </c>
      <c r="BB54" s="7">
        <v>10</v>
      </c>
      <c r="BC54" s="7">
        <v>0</v>
      </c>
      <c r="BD54" s="7">
        <v>10</v>
      </c>
      <c r="BE54" s="7"/>
      <c r="BF54" s="7" t="e">
        <f t="shared" si="15"/>
        <v>#VALUE!</v>
      </c>
      <c r="BG54" s="28"/>
      <c r="BH54" s="7" t="e">
        <f t="shared" si="16"/>
        <v>#VALUE!</v>
      </c>
      <c r="BI54" s="28"/>
      <c r="BJ54" s="7" t="e">
        <f t="shared" si="17"/>
        <v>#VALUE!</v>
      </c>
      <c r="BK54" s="28"/>
      <c r="BL54" s="7"/>
      <c r="BM54" s="7"/>
      <c r="BN54" s="7" t="e">
        <f t="shared" si="18"/>
        <v>#VALUE!</v>
      </c>
      <c r="BO54" s="28"/>
      <c r="BP54" s="7" t="e">
        <f t="shared" si="19"/>
        <v>#VALUE!</v>
      </c>
      <c r="BQ54" s="28"/>
      <c r="BR54" s="7"/>
      <c r="BS54" s="7" t="e">
        <f t="shared" si="20"/>
        <v>#VALUE!</v>
      </c>
      <c r="BT54" s="28"/>
      <c r="BU54" s="7"/>
      <c r="BV54" s="7" t="e">
        <f ca="1">[1]!tメーカー名(BU54)</f>
        <v>#NAME?</v>
      </c>
      <c r="BW54" s="7" t="e">
        <f t="shared" si="21"/>
        <v>#VALUE!</v>
      </c>
      <c r="BX54" s="28"/>
      <c r="BY54" s="7" t="e">
        <f t="shared" si="22"/>
        <v>#VALUE!</v>
      </c>
      <c r="BZ54" s="28"/>
      <c r="CA54" s="54"/>
      <c r="CB54" s="54"/>
      <c r="CC54" s="7" t="e">
        <f t="shared" si="23"/>
        <v>#VALUE!</v>
      </c>
      <c r="CD54" s="28"/>
      <c r="CE54" s="7" t="e">
        <f t="shared" si="24"/>
        <v>#VALUE!</v>
      </c>
      <c r="CF54" s="28"/>
      <c r="CG54" s="7" t="e">
        <f t="shared" si="25"/>
        <v>#VALUE!</v>
      </c>
      <c r="CH54" s="28"/>
      <c r="CI54" s="7" t="e">
        <f t="shared" si="26"/>
        <v>#VALUE!</v>
      </c>
      <c r="CJ54" s="28"/>
      <c r="CK54" s="7"/>
      <c r="CL54" s="7"/>
      <c r="CM54" s="7"/>
      <c r="CN54" s="7"/>
      <c r="CO54" s="7"/>
      <c r="CP54" s="7"/>
      <c r="CQ54" s="7"/>
      <c r="CR54" s="7"/>
      <c r="CS54" s="126">
        <f t="shared" si="29"/>
        <v>0</v>
      </c>
      <c r="CT54" s="7"/>
      <c r="CU54" s="7"/>
    </row>
    <row r="55" spans="1:99" ht="13.5" customHeight="1">
      <c r="A55" s="7">
        <v>43</v>
      </c>
      <c r="B55" s="7"/>
      <c r="C55" s="7" t="e">
        <f t="shared" si="27"/>
        <v>#VALUE!</v>
      </c>
      <c r="D55" s="28"/>
      <c r="E55" s="7">
        <f t="shared" si="0"/>
        <v>0</v>
      </c>
      <c r="F55" s="7"/>
      <c r="G55" s="7">
        <f t="shared" si="1"/>
        <v>0</v>
      </c>
      <c r="H55" s="7"/>
      <c r="I55" s="7">
        <f t="shared" si="2"/>
        <v>0</v>
      </c>
      <c r="J55" s="7"/>
      <c r="K55" s="7">
        <f t="shared" si="3"/>
        <v>0</v>
      </c>
      <c r="L55" s="7"/>
      <c r="M55" s="7">
        <f t="shared" si="4"/>
        <v>0</v>
      </c>
      <c r="N55" s="7"/>
      <c r="O55" s="7"/>
      <c r="P55" s="7"/>
      <c r="Q55" s="53"/>
      <c r="R55" s="7"/>
      <c r="S55" s="7"/>
      <c r="T55" s="53"/>
      <c r="U55" s="7"/>
      <c r="V55" s="7" t="e">
        <f t="shared" si="30"/>
        <v>#VALUE!</v>
      </c>
      <c r="W55" s="28"/>
      <c r="X55" s="7" t="e">
        <f t="shared" si="30"/>
        <v>#VALUE!</v>
      </c>
      <c r="Y55" s="28"/>
      <c r="Z55" s="7" t="e">
        <f t="shared" si="7"/>
        <v>#VALUE!</v>
      </c>
      <c r="AA55" s="28"/>
      <c r="AB55" s="7"/>
      <c r="AC55" s="7"/>
      <c r="AD55" s="7"/>
      <c r="AE55" s="7"/>
      <c r="AF55" s="7">
        <v>0</v>
      </c>
      <c r="AG55" s="7" t="e">
        <f t="shared" si="8"/>
        <v>#VALUE!</v>
      </c>
      <c r="AH55" s="28"/>
      <c r="AI55" s="7"/>
      <c r="AJ55" s="7" t="e">
        <f t="shared" si="9"/>
        <v>#VALUE!</v>
      </c>
      <c r="AK55" s="28"/>
      <c r="AL55" s="7" t="e">
        <f t="shared" si="10"/>
        <v>#VALUE!</v>
      </c>
      <c r="AM55" s="28"/>
      <c r="AN55" s="7" t="e">
        <f t="shared" si="11"/>
        <v>#VALUE!</v>
      </c>
      <c r="AO55" s="28"/>
      <c r="AP55" s="7">
        <f t="shared" si="12"/>
        <v>2</v>
      </c>
      <c r="AQ55" s="28" t="s">
        <v>2301</v>
      </c>
      <c r="AR55" s="7"/>
      <c r="AS55" s="7"/>
      <c r="AT55" s="7"/>
      <c r="AU55" s="7"/>
      <c r="AV55" s="7" t="e">
        <f t="shared" si="13"/>
        <v>#VALUE!</v>
      </c>
      <c r="AW55" s="28"/>
      <c r="AX55" s="7">
        <v>0</v>
      </c>
      <c r="AY55" s="7" t="e">
        <f t="shared" si="14"/>
        <v>#VALUE!</v>
      </c>
      <c r="AZ55" s="28"/>
      <c r="BA55" s="7">
        <v>0</v>
      </c>
      <c r="BB55" s="7">
        <v>10</v>
      </c>
      <c r="BC55" s="7">
        <v>0</v>
      </c>
      <c r="BD55" s="7">
        <v>10</v>
      </c>
      <c r="BE55" s="7"/>
      <c r="BF55" s="7" t="e">
        <f t="shared" si="15"/>
        <v>#VALUE!</v>
      </c>
      <c r="BG55" s="28"/>
      <c r="BH55" s="7" t="e">
        <f t="shared" si="16"/>
        <v>#VALUE!</v>
      </c>
      <c r="BI55" s="28"/>
      <c r="BJ55" s="7" t="e">
        <f t="shared" si="17"/>
        <v>#VALUE!</v>
      </c>
      <c r="BK55" s="28"/>
      <c r="BL55" s="7"/>
      <c r="BM55" s="7"/>
      <c r="BN55" s="7" t="e">
        <f t="shared" si="18"/>
        <v>#VALUE!</v>
      </c>
      <c r="BO55" s="28"/>
      <c r="BP55" s="7" t="e">
        <f t="shared" si="19"/>
        <v>#VALUE!</v>
      </c>
      <c r="BQ55" s="28"/>
      <c r="BR55" s="7"/>
      <c r="BS55" s="7" t="e">
        <f t="shared" si="20"/>
        <v>#VALUE!</v>
      </c>
      <c r="BT55" s="28"/>
      <c r="BU55" s="7"/>
      <c r="BV55" s="7" t="e">
        <f ca="1">[1]!tメーカー名(BU55)</f>
        <v>#NAME?</v>
      </c>
      <c r="BW55" s="7" t="e">
        <f t="shared" si="21"/>
        <v>#VALUE!</v>
      </c>
      <c r="BX55" s="28"/>
      <c r="BY55" s="7" t="e">
        <f t="shared" si="22"/>
        <v>#VALUE!</v>
      </c>
      <c r="BZ55" s="28"/>
      <c r="CA55" s="54"/>
      <c r="CB55" s="54"/>
      <c r="CC55" s="7" t="e">
        <f t="shared" si="23"/>
        <v>#VALUE!</v>
      </c>
      <c r="CD55" s="28"/>
      <c r="CE55" s="7" t="e">
        <f t="shared" si="24"/>
        <v>#VALUE!</v>
      </c>
      <c r="CF55" s="28"/>
      <c r="CG55" s="7" t="e">
        <f t="shared" si="25"/>
        <v>#VALUE!</v>
      </c>
      <c r="CH55" s="28"/>
      <c r="CI55" s="7" t="e">
        <f t="shared" si="26"/>
        <v>#VALUE!</v>
      </c>
      <c r="CJ55" s="28"/>
      <c r="CK55" s="7"/>
      <c r="CL55" s="7"/>
      <c r="CM55" s="7"/>
      <c r="CN55" s="7"/>
      <c r="CO55" s="7"/>
      <c r="CP55" s="7"/>
      <c r="CQ55" s="7"/>
      <c r="CR55" s="7"/>
      <c r="CS55" s="126">
        <f t="shared" si="29"/>
        <v>0</v>
      </c>
      <c r="CT55" s="7"/>
      <c r="CU55" s="7"/>
    </row>
    <row r="56" spans="1:99" ht="13.5" customHeight="1">
      <c r="A56" s="7">
        <v>44</v>
      </c>
      <c r="B56" s="7"/>
      <c r="C56" s="7" t="e">
        <f t="shared" si="27"/>
        <v>#VALUE!</v>
      </c>
      <c r="D56" s="28"/>
      <c r="E56" s="7">
        <f t="shared" si="0"/>
        <v>0</v>
      </c>
      <c r="F56" s="7"/>
      <c r="G56" s="7">
        <f t="shared" si="1"/>
        <v>0</v>
      </c>
      <c r="H56" s="7"/>
      <c r="I56" s="7">
        <f t="shared" si="2"/>
        <v>0</v>
      </c>
      <c r="J56" s="7"/>
      <c r="K56" s="7">
        <f t="shared" si="3"/>
        <v>0</v>
      </c>
      <c r="L56" s="7"/>
      <c r="M56" s="7">
        <f t="shared" si="4"/>
        <v>0</v>
      </c>
      <c r="N56" s="7"/>
      <c r="O56" s="7"/>
      <c r="P56" s="7"/>
      <c r="Q56" s="53"/>
      <c r="R56" s="7"/>
      <c r="S56" s="7"/>
      <c r="T56" s="53"/>
      <c r="U56" s="7"/>
      <c r="V56" s="7" t="e">
        <f t="shared" si="30"/>
        <v>#VALUE!</v>
      </c>
      <c r="W56" s="28"/>
      <c r="X56" s="7" t="e">
        <f t="shared" si="30"/>
        <v>#VALUE!</v>
      </c>
      <c r="Y56" s="28"/>
      <c r="Z56" s="7" t="e">
        <f t="shared" si="7"/>
        <v>#VALUE!</v>
      </c>
      <c r="AA56" s="28"/>
      <c r="AB56" s="7"/>
      <c r="AC56" s="7"/>
      <c r="AD56" s="7"/>
      <c r="AE56" s="7"/>
      <c r="AF56" s="7">
        <v>0</v>
      </c>
      <c r="AG56" s="7" t="e">
        <f t="shared" si="8"/>
        <v>#VALUE!</v>
      </c>
      <c r="AH56" s="28"/>
      <c r="AI56" s="7"/>
      <c r="AJ56" s="7" t="e">
        <f t="shared" si="9"/>
        <v>#VALUE!</v>
      </c>
      <c r="AK56" s="28"/>
      <c r="AL56" s="7" t="e">
        <f t="shared" si="10"/>
        <v>#VALUE!</v>
      </c>
      <c r="AM56" s="28"/>
      <c r="AN56" s="7" t="e">
        <f t="shared" si="11"/>
        <v>#VALUE!</v>
      </c>
      <c r="AO56" s="28"/>
      <c r="AP56" s="7">
        <f t="shared" si="12"/>
        <v>2</v>
      </c>
      <c r="AQ56" s="28" t="s">
        <v>2301</v>
      </c>
      <c r="AR56" s="7"/>
      <c r="AS56" s="7"/>
      <c r="AT56" s="7"/>
      <c r="AU56" s="7"/>
      <c r="AV56" s="7" t="e">
        <f t="shared" si="13"/>
        <v>#VALUE!</v>
      </c>
      <c r="AW56" s="28"/>
      <c r="AX56" s="7">
        <v>0</v>
      </c>
      <c r="AY56" s="7" t="e">
        <f t="shared" si="14"/>
        <v>#VALUE!</v>
      </c>
      <c r="AZ56" s="28"/>
      <c r="BA56" s="7">
        <v>0</v>
      </c>
      <c r="BB56" s="7">
        <v>10</v>
      </c>
      <c r="BC56" s="7">
        <v>0</v>
      </c>
      <c r="BD56" s="7">
        <v>10</v>
      </c>
      <c r="BE56" s="7"/>
      <c r="BF56" s="7" t="e">
        <f t="shared" si="15"/>
        <v>#VALUE!</v>
      </c>
      <c r="BG56" s="28"/>
      <c r="BH56" s="7" t="e">
        <f t="shared" si="16"/>
        <v>#VALUE!</v>
      </c>
      <c r="BI56" s="28"/>
      <c r="BJ56" s="7" t="e">
        <f t="shared" si="17"/>
        <v>#VALUE!</v>
      </c>
      <c r="BK56" s="28"/>
      <c r="BL56" s="7"/>
      <c r="BM56" s="7"/>
      <c r="BN56" s="7" t="e">
        <f t="shared" si="18"/>
        <v>#VALUE!</v>
      </c>
      <c r="BO56" s="28"/>
      <c r="BP56" s="7" t="e">
        <f t="shared" si="19"/>
        <v>#VALUE!</v>
      </c>
      <c r="BQ56" s="28"/>
      <c r="BR56" s="7"/>
      <c r="BS56" s="7" t="e">
        <f t="shared" si="20"/>
        <v>#VALUE!</v>
      </c>
      <c r="BT56" s="28"/>
      <c r="BU56" s="7"/>
      <c r="BV56" s="7" t="e">
        <f ca="1">[1]!tメーカー名(BU56)</f>
        <v>#NAME?</v>
      </c>
      <c r="BW56" s="7" t="e">
        <f t="shared" si="21"/>
        <v>#VALUE!</v>
      </c>
      <c r="BX56" s="28"/>
      <c r="BY56" s="7" t="e">
        <f t="shared" si="22"/>
        <v>#VALUE!</v>
      </c>
      <c r="BZ56" s="28"/>
      <c r="CA56" s="54"/>
      <c r="CB56" s="54"/>
      <c r="CC56" s="7" t="e">
        <f t="shared" si="23"/>
        <v>#VALUE!</v>
      </c>
      <c r="CD56" s="28"/>
      <c r="CE56" s="7" t="e">
        <f t="shared" si="24"/>
        <v>#VALUE!</v>
      </c>
      <c r="CF56" s="28"/>
      <c r="CG56" s="7" t="e">
        <f t="shared" si="25"/>
        <v>#VALUE!</v>
      </c>
      <c r="CH56" s="28"/>
      <c r="CI56" s="7" t="e">
        <f t="shared" si="26"/>
        <v>#VALUE!</v>
      </c>
      <c r="CJ56" s="28"/>
      <c r="CK56" s="7"/>
      <c r="CL56" s="7"/>
      <c r="CM56" s="7"/>
      <c r="CN56" s="7"/>
      <c r="CO56" s="7"/>
      <c r="CP56" s="7"/>
      <c r="CQ56" s="7"/>
      <c r="CR56" s="7"/>
      <c r="CS56" s="126">
        <f t="shared" si="29"/>
        <v>0</v>
      </c>
      <c r="CT56" s="7"/>
      <c r="CU56" s="7"/>
    </row>
    <row r="57" spans="1:99" ht="13.5" customHeight="1">
      <c r="A57" s="7">
        <v>45</v>
      </c>
      <c r="B57" s="7"/>
      <c r="C57" s="7" t="e">
        <f t="shared" si="27"/>
        <v>#VALUE!</v>
      </c>
      <c r="D57" s="28"/>
      <c r="E57" s="7">
        <f t="shared" si="0"/>
        <v>0</v>
      </c>
      <c r="F57" s="7"/>
      <c r="G57" s="7">
        <f t="shared" si="1"/>
        <v>0</v>
      </c>
      <c r="H57" s="7"/>
      <c r="I57" s="7">
        <f t="shared" si="2"/>
        <v>0</v>
      </c>
      <c r="J57" s="7"/>
      <c r="K57" s="7">
        <f t="shared" si="3"/>
        <v>0</v>
      </c>
      <c r="L57" s="7"/>
      <c r="M57" s="7">
        <f t="shared" si="4"/>
        <v>0</v>
      </c>
      <c r="N57" s="7"/>
      <c r="O57" s="7"/>
      <c r="P57" s="7"/>
      <c r="Q57" s="53"/>
      <c r="R57" s="7"/>
      <c r="S57" s="7"/>
      <c r="T57" s="53"/>
      <c r="U57" s="7"/>
      <c r="V57" s="7" t="e">
        <f t="shared" si="30"/>
        <v>#VALUE!</v>
      </c>
      <c r="W57" s="28"/>
      <c r="X57" s="7" t="e">
        <f t="shared" si="30"/>
        <v>#VALUE!</v>
      </c>
      <c r="Y57" s="28"/>
      <c r="Z57" s="7" t="e">
        <f t="shared" si="7"/>
        <v>#VALUE!</v>
      </c>
      <c r="AA57" s="28"/>
      <c r="AB57" s="7"/>
      <c r="AC57" s="7"/>
      <c r="AD57" s="7"/>
      <c r="AE57" s="7"/>
      <c r="AF57" s="7">
        <v>0</v>
      </c>
      <c r="AG57" s="7" t="e">
        <f t="shared" si="8"/>
        <v>#VALUE!</v>
      </c>
      <c r="AH57" s="28"/>
      <c r="AI57" s="7"/>
      <c r="AJ57" s="7" t="e">
        <f t="shared" si="9"/>
        <v>#VALUE!</v>
      </c>
      <c r="AK57" s="28"/>
      <c r="AL57" s="7" t="e">
        <f t="shared" si="10"/>
        <v>#VALUE!</v>
      </c>
      <c r="AM57" s="28"/>
      <c r="AN57" s="7" t="e">
        <f t="shared" si="11"/>
        <v>#VALUE!</v>
      </c>
      <c r="AO57" s="28"/>
      <c r="AP57" s="7">
        <f t="shared" si="12"/>
        <v>2</v>
      </c>
      <c r="AQ57" s="28" t="s">
        <v>2301</v>
      </c>
      <c r="AR57" s="7"/>
      <c r="AS57" s="7"/>
      <c r="AT57" s="7"/>
      <c r="AU57" s="7"/>
      <c r="AV57" s="7" t="e">
        <f t="shared" si="13"/>
        <v>#VALUE!</v>
      </c>
      <c r="AW57" s="28"/>
      <c r="AX57" s="7">
        <v>0</v>
      </c>
      <c r="AY57" s="7" t="e">
        <f t="shared" si="14"/>
        <v>#VALUE!</v>
      </c>
      <c r="AZ57" s="28"/>
      <c r="BA57" s="7">
        <v>0</v>
      </c>
      <c r="BB57" s="7">
        <v>10</v>
      </c>
      <c r="BC57" s="7">
        <v>0</v>
      </c>
      <c r="BD57" s="7">
        <v>10</v>
      </c>
      <c r="BE57" s="7"/>
      <c r="BF57" s="7" t="e">
        <f t="shared" si="15"/>
        <v>#VALUE!</v>
      </c>
      <c r="BG57" s="28"/>
      <c r="BH57" s="7" t="e">
        <f t="shared" si="16"/>
        <v>#VALUE!</v>
      </c>
      <c r="BI57" s="28"/>
      <c r="BJ57" s="7" t="e">
        <f t="shared" si="17"/>
        <v>#VALUE!</v>
      </c>
      <c r="BK57" s="28"/>
      <c r="BL57" s="7"/>
      <c r="BM57" s="7"/>
      <c r="BN57" s="7" t="e">
        <f t="shared" si="18"/>
        <v>#VALUE!</v>
      </c>
      <c r="BO57" s="28"/>
      <c r="BP57" s="7" t="e">
        <f t="shared" si="19"/>
        <v>#VALUE!</v>
      </c>
      <c r="BQ57" s="28"/>
      <c r="BR57" s="7"/>
      <c r="BS57" s="7" t="e">
        <f t="shared" si="20"/>
        <v>#VALUE!</v>
      </c>
      <c r="BT57" s="28"/>
      <c r="BU57" s="7"/>
      <c r="BV57" s="7" t="e">
        <f ca="1">[1]!tメーカー名(BU57)</f>
        <v>#NAME?</v>
      </c>
      <c r="BW57" s="7" t="e">
        <f t="shared" si="21"/>
        <v>#VALUE!</v>
      </c>
      <c r="BX57" s="28"/>
      <c r="BY57" s="7" t="e">
        <f t="shared" si="22"/>
        <v>#VALUE!</v>
      </c>
      <c r="BZ57" s="28"/>
      <c r="CA57" s="54"/>
      <c r="CB57" s="54"/>
      <c r="CC57" s="7" t="e">
        <f t="shared" si="23"/>
        <v>#VALUE!</v>
      </c>
      <c r="CD57" s="28"/>
      <c r="CE57" s="7" t="e">
        <f t="shared" si="24"/>
        <v>#VALUE!</v>
      </c>
      <c r="CF57" s="28"/>
      <c r="CG57" s="7" t="e">
        <f t="shared" si="25"/>
        <v>#VALUE!</v>
      </c>
      <c r="CH57" s="28"/>
      <c r="CI57" s="7" t="e">
        <f t="shared" si="26"/>
        <v>#VALUE!</v>
      </c>
      <c r="CJ57" s="28"/>
      <c r="CK57" s="7"/>
      <c r="CL57" s="7"/>
      <c r="CM57" s="7"/>
      <c r="CN57" s="7"/>
      <c r="CO57" s="7"/>
      <c r="CP57" s="7"/>
      <c r="CQ57" s="7"/>
      <c r="CR57" s="7"/>
      <c r="CS57" s="126">
        <f t="shared" si="29"/>
        <v>0</v>
      </c>
      <c r="CT57" s="7"/>
      <c r="CU57" s="7"/>
    </row>
    <row r="58" spans="1:99">
      <c r="A58" s="7">
        <v>46</v>
      </c>
      <c r="B58" s="7"/>
      <c r="C58" s="7" t="e">
        <f t="shared" si="27"/>
        <v>#VALUE!</v>
      </c>
      <c r="D58" s="28"/>
      <c r="E58" s="7">
        <f t="shared" si="0"/>
        <v>0</v>
      </c>
      <c r="F58" s="7"/>
      <c r="G58" s="7">
        <f t="shared" si="1"/>
        <v>0</v>
      </c>
      <c r="H58" s="7"/>
      <c r="I58" s="7">
        <f t="shared" si="2"/>
        <v>0</v>
      </c>
      <c r="J58" s="7"/>
      <c r="K58" s="7">
        <f t="shared" si="3"/>
        <v>0</v>
      </c>
      <c r="L58" s="7"/>
      <c r="M58" s="7">
        <f t="shared" si="4"/>
        <v>0</v>
      </c>
      <c r="N58" s="7"/>
      <c r="O58" s="7"/>
      <c r="P58" s="7"/>
      <c r="Q58" s="53"/>
      <c r="R58" s="7"/>
      <c r="S58" s="7"/>
      <c r="T58" s="53"/>
      <c r="U58" s="7"/>
      <c r="V58" s="7" t="e">
        <f t="shared" si="30"/>
        <v>#VALUE!</v>
      </c>
      <c r="W58" s="28"/>
      <c r="X58" s="7" t="e">
        <f t="shared" si="30"/>
        <v>#VALUE!</v>
      </c>
      <c r="Y58" s="28"/>
      <c r="Z58" s="7" t="e">
        <f t="shared" si="7"/>
        <v>#VALUE!</v>
      </c>
      <c r="AA58" s="28"/>
      <c r="AB58" s="7"/>
      <c r="AC58" s="7"/>
      <c r="AD58" s="7"/>
      <c r="AE58" s="7"/>
      <c r="AF58" s="7">
        <v>0</v>
      </c>
      <c r="AG58" s="7" t="e">
        <f t="shared" si="8"/>
        <v>#VALUE!</v>
      </c>
      <c r="AH58" s="28"/>
      <c r="AI58" s="7"/>
      <c r="AJ58" s="7" t="e">
        <f t="shared" si="9"/>
        <v>#VALUE!</v>
      </c>
      <c r="AK58" s="28"/>
      <c r="AL58" s="7" t="e">
        <f t="shared" si="10"/>
        <v>#VALUE!</v>
      </c>
      <c r="AM58" s="28"/>
      <c r="AN58" s="7" t="e">
        <f t="shared" si="11"/>
        <v>#VALUE!</v>
      </c>
      <c r="AO58" s="28"/>
      <c r="AP58" s="7">
        <f t="shared" si="12"/>
        <v>2</v>
      </c>
      <c r="AQ58" s="28" t="s">
        <v>2301</v>
      </c>
      <c r="AR58" s="7"/>
      <c r="AS58" s="7"/>
      <c r="AT58" s="7"/>
      <c r="AU58" s="7"/>
      <c r="AV58" s="7" t="e">
        <f t="shared" si="13"/>
        <v>#VALUE!</v>
      </c>
      <c r="AW58" s="28"/>
      <c r="AX58" s="7">
        <v>0</v>
      </c>
      <c r="AY58" s="7" t="e">
        <f t="shared" si="14"/>
        <v>#VALUE!</v>
      </c>
      <c r="AZ58" s="28"/>
      <c r="BA58" s="7">
        <v>0</v>
      </c>
      <c r="BB58" s="7">
        <v>10</v>
      </c>
      <c r="BC58" s="7">
        <v>0</v>
      </c>
      <c r="BD58" s="7">
        <v>10</v>
      </c>
      <c r="BE58" s="7"/>
      <c r="BF58" s="7" t="e">
        <f t="shared" si="15"/>
        <v>#VALUE!</v>
      </c>
      <c r="BG58" s="28"/>
      <c r="BH58" s="7" t="e">
        <f t="shared" si="16"/>
        <v>#VALUE!</v>
      </c>
      <c r="BI58" s="28"/>
      <c r="BJ58" s="7" t="e">
        <f t="shared" si="17"/>
        <v>#VALUE!</v>
      </c>
      <c r="BK58" s="28"/>
      <c r="BL58" s="7"/>
      <c r="BM58" s="7"/>
      <c r="BN58" s="7" t="e">
        <f t="shared" si="18"/>
        <v>#VALUE!</v>
      </c>
      <c r="BO58" s="28"/>
      <c r="BP58" s="7" t="e">
        <f t="shared" si="19"/>
        <v>#VALUE!</v>
      </c>
      <c r="BQ58" s="28"/>
      <c r="BR58" s="7"/>
      <c r="BS58" s="7" t="e">
        <f t="shared" si="20"/>
        <v>#VALUE!</v>
      </c>
      <c r="BT58" s="28"/>
      <c r="BU58" s="7"/>
      <c r="BV58" s="7" t="e">
        <f ca="1">[1]!tメーカー名(BU58)</f>
        <v>#NAME?</v>
      </c>
      <c r="BW58" s="7" t="e">
        <f t="shared" si="21"/>
        <v>#VALUE!</v>
      </c>
      <c r="BX58" s="28"/>
      <c r="BY58" s="7" t="e">
        <f t="shared" si="22"/>
        <v>#VALUE!</v>
      </c>
      <c r="BZ58" s="28"/>
      <c r="CA58" s="54"/>
      <c r="CB58" s="54"/>
      <c r="CC58" s="7" t="e">
        <f t="shared" si="23"/>
        <v>#VALUE!</v>
      </c>
      <c r="CD58" s="28"/>
      <c r="CE58" s="7" t="e">
        <f t="shared" si="24"/>
        <v>#VALUE!</v>
      </c>
      <c r="CF58" s="28"/>
      <c r="CG58" s="7" t="e">
        <f t="shared" si="25"/>
        <v>#VALUE!</v>
      </c>
      <c r="CH58" s="28"/>
      <c r="CI58" s="7" t="e">
        <f t="shared" si="26"/>
        <v>#VALUE!</v>
      </c>
      <c r="CJ58" s="28"/>
      <c r="CK58" s="7"/>
      <c r="CL58" s="7"/>
      <c r="CM58" s="7"/>
      <c r="CN58" s="7"/>
      <c r="CO58" s="7"/>
      <c r="CP58" s="7"/>
      <c r="CQ58" s="7"/>
      <c r="CR58" s="7"/>
      <c r="CS58" s="126">
        <f t="shared" si="29"/>
        <v>0</v>
      </c>
      <c r="CT58" s="7"/>
      <c r="CU58" s="7"/>
    </row>
    <row r="59" spans="1:99">
      <c r="A59" s="7">
        <v>47</v>
      </c>
      <c r="B59" s="7"/>
      <c r="C59" s="7" t="e">
        <f t="shared" si="27"/>
        <v>#VALUE!</v>
      </c>
      <c r="D59" s="28"/>
      <c r="E59" s="7">
        <f t="shared" si="0"/>
        <v>0</v>
      </c>
      <c r="F59" s="7"/>
      <c r="G59" s="7">
        <f t="shared" si="1"/>
        <v>0</v>
      </c>
      <c r="H59" s="7"/>
      <c r="I59" s="7">
        <f t="shared" si="2"/>
        <v>0</v>
      </c>
      <c r="J59" s="7"/>
      <c r="K59" s="7">
        <f t="shared" si="3"/>
        <v>0</v>
      </c>
      <c r="L59" s="7"/>
      <c r="M59" s="7">
        <f t="shared" si="4"/>
        <v>0</v>
      </c>
      <c r="N59" s="7"/>
      <c r="O59" s="7"/>
      <c r="P59" s="7"/>
      <c r="Q59" s="53"/>
      <c r="R59" s="7"/>
      <c r="S59" s="7"/>
      <c r="T59" s="53"/>
      <c r="U59" s="7"/>
      <c r="V59" s="7" t="e">
        <f t="shared" si="30"/>
        <v>#VALUE!</v>
      </c>
      <c r="W59" s="28"/>
      <c r="X59" s="7" t="e">
        <f t="shared" si="30"/>
        <v>#VALUE!</v>
      </c>
      <c r="Y59" s="28"/>
      <c r="Z59" s="7" t="e">
        <f t="shared" si="7"/>
        <v>#VALUE!</v>
      </c>
      <c r="AA59" s="28"/>
      <c r="AB59" s="7"/>
      <c r="AC59" s="7"/>
      <c r="AD59" s="7"/>
      <c r="AE59" s="7"/>
      <c r="AF59" s="7">
        <v>0</v>
      </c>
      <c r="AG59" s="7" t="e">
        <f t="shared" si="8"/>
        <v>#VALUE!</v>
      </c>
      <c r="AH59" s="28"/>
      <c r="AI59" s="7"/>
      <c r="AJ59" s="7" t="e">
        <f t="shared" si="9"/>
        <v>#VALUE!</v>
      </c>
      <c r="AK59" s="28"/>
      <c r="AL59" s="7" t="e">
        <f t="shared" si="10"/>
        <v>#VALUE!</v>
      </c>
      <c r="AM59" s="28"/>
      <c r="AN59" s="7" t="e">
        <f t="shared" si="11"/>
        <v>#VALUE!</v>
      </c>
      <c r="AO59" s="28"/>
      <c r="AP59" s="7">
        <f t="shared" si="12"/>
        <v>2</v>
      </c>
      <c r="AQ59" s="28" t="s">
        <v>2301</v>
      </c>
      <c r="AR59" s="7"/>
      <c r="AS59" s="7"/>
      <c r="AT59" s="7"/>
      <c r="AU59" s="7"/>
      <c r="AV59" s="7" t="e">
        <f t="shared" si="13"/>
        <v>#VALUE!</v>
      </c>
      <c r="AW59" s="28"/>
      <c r="AX59" s="7">
        <v>0</v>
      </c>
      <c r="AY59" s="7" t="e">
        <f t="shared" si="14"/>
        <v>#VALUE!</v>
      </c>
      <c r="AZ59" s="28"/>
      <c r="BA59" s="7">
        <v>0</v>
      </c>
      <c r="BB59" s="7">
        <v>10</v>
      </c>
      <c r="BC59" s="7">
        <v>0</v>
      </c>
      <c r="BD59" s="7">
        <v>10</v>
      </c>
      <c r="BE59" s="7"/>
      <c r="BF59" s="7" t="e">
        <f t="shared" si="15"/>
        <v>#VALUE!</v>
      </c>
      <c r="BG59" s="28"/>
      <c r="BH59" s="7" t="e">
        <f t="shared" si="16"/>
        <v>#VALUE!</v>
      </c>
      <c r="BI59" s="28"/>
      <c r="BJ59" s="7" t="e">
        <f t="shared" si="17"/>
        <v>#VALUE!</v>
      </c>
      <c r="BK59" s="28"/>
      <c r="BL59" s="7"/>
      <c r="BM59" s="7"/>
      <c r="BN59" s="7" t="e">
        <f t="shared" si="18"/>
        <v>#VALUE!</v>
      </c>
      <c r="BO59" s="28"/>
      <c r="BP59" s="7" t="e">
        <f t="shared" si="19"/>
        <v>#VALUE!</v>
      </c>
      <c r="BQ59" s="28"/>
      <c r="BR59" s="7"/>
      <c r="BS59" s="7" t="e">
        <f t="shared" si="20"/>
        <v>#VALUE!</v>
      </c>
      <c r="BT59" s="28"/>
      <c r="BU59" s="7"/>
      <c r="BV59" s="7" t="e">
        <f ca="1">[1]!tメーカー名(BU59)</f>
        <v>#NAME?</v>
      </c>
      <c r="BW59" s="7" t="e">
        <f t="shared" si="21"/>
        <v>#VALUE!</v>
      </c>
      <c r="BX59" s="28"/>
      <c r="BY59" s="7" t="e">
        <f t="shared" si="22"/>
        <v>#VALUE!</v>
      </c>
      <c r="BZ59" s="28"/>
      <c r="CA59" s="54"/>
      <c r="CB59" s="54"/>
      <c r="CC59" s="7" t="e">
        <f t="shared" si="23"/>
        <v>#VALUE!</v>
      </c>
      <c r="CD59" s="28"/>
      <c r="CE59" s="7" t="e">
        <f t="shared" si="24"/>
        <v>#VALUE!</v>
      </c>
      <c r="CF59" s="28"/>
      <c r="CG59" s="7" t="e">
        <f t="shared" si="25"/>
        <v>#VALUE!</v>
      </c>
      <c r="CH59" s="28"/>
      <c r="CI59" s="7" t="e">
        <f t="shared" si="26"/>
        <v>#VALUE!</v>
      </c>
      <c r="CJ59" s="28"/>
      <c r="CK59" s="7"/>
      <c r="CL59" s="7"/>
      <c r="CM59" s="7"/>
      <c r="CN59" s="7"/>
      <c r="CO59" s="7"/>
      <c r="CP59" s="7"/>
      <c r="CQ59" s="7"/>
      <c r="CR59" s="7"/>
      <c r="CS59" s="126">
        <f t="shared" si="29"/>
        <v>0</v>
      </c>
      <c r="CT59" s="7"/>
      <c r="CU59" s="7"/>
    </row>
    <row r="60" spans="1:99">
      <c r="A60" s="7">
        <v>48</v>
      </c>
      <c r="B60" s="7"/>
      <c r="C60" s="7" t="e">
        <f t="shared" si="27"/>
        <v>#VALUE!</v>
      </c>
      <c r="D60" s="28"/>
      <c r="E60" s="7">
        <f t="shared" si="0"/>
        <v>0</v>
      </c>
      <c r="F60" s="7"/>
      <c r="G60" s="7">
        <f t="shared" si="1"/>
        <v>0</v>
      </c>
      <c r="H60" s="7"/>
      <c r="I60" s="7">
        <f t="shared" si="2"/>
        <v>0</v>
      </c>
      <c r="J60" s="7"/>
      <c r="K60" s="7">
        <f t="shared" si="3"/>
        <v>0</v>
      </c>
      <c r="L60" s="7"/>
      <c r="M60" s="7">
        <f t="shared" si="4"/>
        <v>0</v>
      </c>
      <c r="N60" s="7"/>
      <c r="O60" s="7"/>
      <c r="P60" s="7"/>
      <c r="Q60" s="53"/>
      <c r="R60" s="7"/>
      <c r="S60" s="7"/>
      <c r="T60" s="53"/>
      <c r="U60" s="7"/>
      <c r="V60" s="7" t="e">
        <f t="shared" si="30"/>
        <v>#VALUE!</v>
      </c>
      <c r="W60" s="28"/>
      <c r="X60" s="7" t="e">
        <f t="shared" si="30"/>
        <v>#VALUE!</v>
      </c>
      <c r="Y60" s="28"/>
      <c r="Z60" s="7" t="e">
        <f t="shared" si="7"/>
        <v>#VALUE!</v>
      </c>
      <c r="AA60" s="28"/>
      <c r="AB60" s="7"/>
      <c r="AC60" s="7"/>
      <c r="AD60" s="7"/>
      <c r="AE60" s="7"/>
      <c r="AF60" s="7">
        <v>0</v>
      </c>
      <c r="AG60" s="7" t="e">
        <f t="shared" si="8"/>
        <v>#VALUE!</v>
      </c>
      <c r="AH60" s="28"/>
      <c r="AI60" s="7"/>
      <c r="AJ60" s="7" t="e">
        <f t="shared" si="9"/>
        <v>#VALUE!</v>
      </c>
      <c r="AK60" s="28"/>
      <c r="AL60" s="7" t="e">
        <f t="shared" si="10"/>
        <v>#VALUE!</v>
      </c>
      <c r="AM60" s="28"/>
      <c r="AN60" s="7" t="e">
        <f t="shared" si="11"/>
        <v>#VALUE!</v>
      </c>
      <c r="AO60" s="28"/>
      <c r="AP60" s="7">
        <f t="shared" si="12"/>
        <v>2</v>
      </c>
      <c r="AQ60" s="28" t="s">
        <v>2301</v>
      </c>
      <c r="AR60" s="7"/>
      <c r="AS60" s="7"/>
      <c r="AT60" s="7"/>
      <c r="AU60" s="7"/>
      <c r="AV60" s="7" t="e">
        <f t="shared" si="13"/>
        <v>#VALUE!</v>
      </c>
      <c r="AW60" s="28"/>
      <c r="AX60" s="7">
        <v>0</v>
      </c>
      <c r="AY60" s="7" t="e">
        <f t="shared" si="14"/>
        <v>#VALUE!</v>
      </c>
      <c r="AZ60" s="28"/>
      <c r="BA60" s="7">
        <v>0</v>
      </c>
      <c r="BB60" s="7">
        <v>10</v>
      </c>
      <c r="BC60" s="7">
        <v>0</v>
      </c>
      <c r="BD60" s="7">
        <v>10</v>
      </c>
      <c r="BE60" s="7"/>
      <c r="BF60" s="7" t="e">
        <f t="shared" si="15"/>
        <v>#VALUE!</v>
      </c>
      <c r="BG60" s="28"/>
      <c r="BH60" s="7" t="e">
        <f t="shared" si="16"/>
        <v>#VALUE!</v>
      </c>
      <c r="BI60" s="28"/>
      <c r="BJ60" s="7" t="e">
        <f t="shared" si="17"/>
        <v>#VALUE!</v>
      </c>
      <c r="BK60" s="28"/>
      <c r="BL60" s="7"/>
      <c r="BM60" s="7"/>
      <c r="BN60" s="7" t="e">
        <f t="shared" si="18"/>
        <v>#VALUE!</v>
      </c>
      <c r="BO60" s="28"/>
      <c r="BP60" s="7" t="e">
        <f t="shared" si="19"/>
        <v>#VALUE!</v>
      </c>
      <c r="BQ60" s="28"/>
      <c r="BR60" s="7"/>
      <c r="BS60" s="7" t="e">
        <f t="shared" si="20"/>
        <v>#VALUE!</v>
      </c>
      <c r="BT60" s="28"/>
      <c r="BU60" s="7"/>
      <c r="BV60" s="7" t="e">
        <f ca="1">[1]!tメーカー名(BU60)</f>
        <v>#NAME?</v>
      </c>
      <c r="BW60" s="7" t="e">
        <f t="shared" si="21"/>
        <v>#VALUE!</v>
      </c>
      <c r="BX60" s="28"/>
      <c r="BY60" s="7" t="e">
        <f t="shared" si="22"/>
        <v>#VALUE!</v>
      </c>
      <c r="BZ60" s="28"/>
      <c r="CA60" s="54"/>
      <c r="CB60" s="54"/>
      <c r="CC60" s="7" t="e">
        <f t="shared" si="23"/>
        <v>#VALUE!</v>
      </c>
      <c r="CD60" s="28"/>
      <c r="CE60" s="7" t="e">
        <f t="shared" si="24"/>
        <v>#VALUE!</v>
      </c>
      <c r="CF60" s="28"/>
      <c r="CG60" s="7" t="e">
        <f t="shared" si="25"/>
        <v>#VALUE!</v>
      </c>
      <c r="CH60" s="28"/>
      <c r="CI60" s="7" t="e">
        <f t="shared" si="26"/>
        <v>#VALUE!</v>
      </c>
      <c r="CJ60" s="28"/>
      <c r="CK60" s="7"/>
      <c r="CL60" s="7"/>
      <c r="CM60" s="7"/>
      <c r="CN60" s="7"/>
      <c r="CO60" s="7"/>
      <c r="CP60" s="7"/>
      <c r="CQ60" s="7"/>
      <c r="CR60" s="7"/>
      <c r="CS60" s="126">
        <f t="shared" si="29"/>
        <v>0</v>
      </c>
      <c r="CT60" s="7"/>
      <c r="CU60" s="7"/>
    </row>
    <row r="61" spans="1:99">
      <c r="A61" s="7">
        <v>49</v>
      </c>
      <c r="B61" s="7"/>
      <c r="C61" s="7" t="e">
        <f t="shared" si="27"/>
        <v>#VALUE!</v>
      </c>
      <c r="D61" s="28"/>
      <c r="E61" s="7">
        <f t="shared" si="0"/>
        <v>0</v>
      </c>
      <c r="F61" s="7"/>
      <c r="G61" s="7">
        <f t="shared" si="1"/>
        <v>0</v>
      </c>
      <c r="H61" s="7"/>
      <c r="I61" s="7">
        <f t="shared" si="2"/>
        <v>0</v>
      </c>
      <c r="J61" s="7"/>
      <c r="K61" s="7">
        <f t="shared" si="3"/>
        <v>0</v>
      </c>
      <c r="L61" s="7"/>
      <c r="M61" s="7">
        <f t="shared" si="4"/>
        <v>0</v>
      </c>
      <c r="N61" s="7"/>
      <c r="O61" s="7"/>
      <c r="P61" s="7"/>
      <c r="Q61" s="53"/>
      <c r="R61" s="7"/>
      <c r="S61" s="7"/>
      <c r="T61" s="53"/>
      <c r="U61" s="7"/>
      <c r="V61" s="7" t="e">
        <f t="shared" si="30"/>
        <v>#VALUE!</v>
      </c>
      <c r="W61" s="28"/>
      <c r="X61" s="7" t="e">
        <f t="shared" si="30"/>
        <v>#VALUE!</v>
      </c>
      <c r="Y61" s="28"/>
      <c r="Z61" s="7" t="e">
        <f t="shared" si="7"/>
        <v>#VALUE!</v>
      </c>
      <c r="AA61" s="28"/>
      <c r="AB61" s="7"/>
      <c r="AC61" s="7"/>
      <c r="AD61" s="7"/>
      <c r="AE61" s="7"/>
      <c r="AF61" s="7">
        <v>0</v>
      </c>
      <c r="AG61" s="7" t="e">
        <f t="shared" si="8"/>
        <v>#VALUE!</v>
      </c>
      <c r="AH61" s="28"/>
      <c r="AI61" s="7"/>
      <c r="AJ61" s="7" t="e">
        <f t="shared" si="9"/>
        <v>#VALUE!</v>
      </c>
      <c r="AK61" s="28"/>
      <c r="AL61" s="7" t="e">
        <f t="shared" si="10"/>
        <v>#VALUE!</v>
      </c>
      <c r="AM61" s="28"/>
      <c r="AN61" s="7" t="e">
        <f t="shared" si="11"/>
        <v>#VALUE!</v>
      </c>
      <c r="AO61" s="28"/>
      <c r="AP61" s="7">
        <f t="shared" si="12"/>
        <v>2</v>
      </c>
      <c r="AQ61" s="28" t="s">
        <v>2301</v>
      </c>
      <c r="AR61" s="7"/>
      <c r="AS61" s="7"/>
      <c r="AT61" s="7"/>
      <c r="AU61" s="7"/>
      <c r="AV61" s="7" t="e">
        <f t="shared" si="13"/>
        <v>#VALUE!</v>
      </c>
      <c r="AW61" s="28"/>
      <c r="AX61" s="7">
        <v>0</v>
      </c>
      <c r="AY61" s="7" t="e">
        <f t="shared" si="14"/>
        <v>#VALUE!</v>
      </c>
      <c r="AZ61" s="28"/>
      <c r="BA61" s="7">
        <v>0</v>
      </c>
      <c r="BB61" s="7">
        <v>10</v>
      </c>
      <c r="BC61" s="7">
        <v>0</v>
      </c>
      <c r="BD61" s="7">
        <v>10</v>
      </c>
      <c r="BE61" s="7"/>
      <c r="BF61" s="7" t="e">
        <f t="shared" si="15"/>
        <v>#VALUE!</v>
      </c>
      <c r="BG61" s="28"/>
      <c r="BH61" s="7" t="e">
        <f t="shared" si="16"/>
        <v>#VALUE!</v>
      </c>
      <c r="BI61" s="28"/>
      <c r="BJ61" s="7" t="e">
        <f t="shared" si="17"/>
        <v>#VALUE!</v>
      </c>
      <c r="BK61" s="28"/>
      <c r="BL61" s="7"/>
      <c r="BM61" s="7"/>
      <c r="BN61" s="7" t="e">
        <f t="shared" si="18"/>
        <v>#VALUE!</v>
      </c>
      <c r="BO61" s="28"/>
      <c r="BP61" s="7" t="e">
        <f t="shared" si="19"/>
        <v>#VALUE!</v>
      </c>
      <c r="BQ61" s="28"/>
      <c r="BR61" s="7"/>
      <c r="BS61" s="7" t="e">
        <f t="shared" si="20"/>
        <v>#VALUE!</v>
      </c>
      <c r="BT61" s="28"/>
      <c r="BU61" s="7"/>
      <c r="BV61" s="7" t="e">
        <f ca="1">[1]!tメーカー名(BU61)</f>
        <v>#NAME?</v>
      </c>
      <c r="BW61" s="7" t="e">
        <f t="shared" si="21"/>
        <v>#VALUE!</v>
      </c>
      <c r="BX61" s="28"/>
      <c r="BY61" s="7" t="e">
        <f t="shared" si="22"/>
        <v>#VALUE!</v>
      </c>
      <c r="BZ61" s="28"/>
      <c r="CA61" s="54"/>
      <c r="CB61" s="54"/>
      <c r="CC61" s="7" t="e">
        <f t="shared" si="23"/>
        <v>#VALUE!</v>
      </c>
      <c r="CD61" s="28"/>
      <c r="CE61" s="7" t="e">
        <f t="shared" si="24"/>
        <v>#VALUE!</v>
      </c>
      <c r="CF61" s="28"/>
      <c r="CG61" s="7" t="e">
        <f t="shared" si="25"/>
        <v>#VALUE!</v>
      </c>
      <c r="CH61" s="28"/>
      <c r="CI61" s="7" t="e">
        <f t="shared" si="26"/>
        <v>#VALUE!</v>
      </c>
      <c r="CJ61" s="28"/>
      <c r="CK61" s="7"/>
      <c r="CL61" s="7"/>
      <c r="CM61" s="7"/>
      <c r="CN61" s="7"/>
      <c r="CO61" s="7"/>
      <c r="CP61" s="7"/>
      <c r="CQ61" s="7"/>
      <c r="CR61" s="7"/>
      <c r="CS61" s="126">
        <f t="shared" si="29"/>
        <v>0</v>
      </c>
      <c r="CT61" s="7"/>
      <c r="CU61" s="7"/>
    </row>
    <row r="62" spans="1:99">
      <c r="A62" s="7">
        <v>50</v>
      </c>
      <c r="B62" s="7"/>
      <c r="C62" s="7" t="e">
        <f t="shared" si="27"/>
        <v>#VALUE!</v>
      </c>
      <c r="D62" s="28"/>
      <c r="E62" s="7">
        <f t="shared" si="0"/>
        <v>0</v>
      </c>
      <c r="F62" s="7"/>
      <c r="G62" s="7">
        <f t="shared" si="1"/>
        <v>0</v>
      </c>
      <c r="H62" s="7"/>
      <c r="I62" s="7">
        <f t="shared" si="2"/>
        <v>0</v>
      </c>
      <c r="J62" s="7"/>
      <c r="K62" s="7">
        <f t="shared" si="3"/>
        <v>0</v>
      </c>
      <c r="L62" s="7"/>
      <c r="M62" s="7">
        <f t="shared" si="4"/>
        <v>0</v>
      </c>
      <c r="N62" s="7"/>
      <c r="O62" s="7"/>
      <c r="P62" s="7"/>
      <c r="Q62" s="53"/>
      <c r="R62" s="7"/>
      <c r="S62" s="7"/>
      <c r="T62" s="53"/>
      <c r="U62" s="7"/>
      <c r="V62" s="7" t="e">
        <f t="shared" ref="V62:X77" si="31">ABS(LEFT(W62,2))</f>
        <v>#VALUE!</v>
      </c>
      <c r="W62" s="28"/>
      <c r="X62" s="7" t="e">
        <f t="shared" si="31"/>
        <v>#VALUE!</v>
      </c>
      <c r="Y62" s="28"/>
      <c r="Z62" s="7" t="e">
        <f t="shared" si="7"/>
        <v>#VALUE!</v>
      </c>
      <c r="AA62" s="28"/>
      <c r="AB62" s="7"/>
      <c r="AC62" s="7"/>
      <c r="AD62" s="7"/>
      <c r="AE62" s="7"/>
      <c r="AF62" s="7">
        <v>0</v>
      </c>
      <c r="AG62" s="7" t="e">
        <f t="shared" si="8"/>
        <v>#VALUE!</v>
      </c>
      <c r="AH62" s="28"/>
      <c r="AI62" s="7"/>
      <c r="AJ62" s="7" t="e">
        <f t="shared" si="9"/>
        <v>#VALUE!</v>
      </c>
      <c r="AK62" s="28"/>
      <c r="AL62" s="7" t="e">
        <f t="shared" si="10"/>
        <v>#VALUE!</v>
      </c>
      <c r="AM62" s="28"/>
      <c r="AN62" s="7" t="e">
        <f t="shared" si="11"/>
        <v>#VALUE!</v>
      </c>
      <c r="AO62" s="28"/>
      <c r="AP62" s="7">
        <f t="shared" si="12"/>
        <v>2</v>
      </c>
      <c r="AQ62" s="28" t="s">
        <v>2301</v>
      </c>
      <c r="AR62" s="7"/>
      <c r="AS62" s="7"/>
      <c r="AT62" s="7"/>
      <c r="AU62" s="7"/>
      <c r="AV62" s="7" t="e">
        <f t="shared" si="13"/>
        <v>#VALUE!</v>
      </c>
      <c r="AW62" s="28"/>
      <c r="AX62" s="7">
        <v>0</v>
      </c>
      <c r="AY62" s="7" t="e">
        <f t="shared" si="14"/>
        <v>#VALUE!</v>
      </c>
      <c r="AZ62" s="28"/>
      <c r="BA62" s="7">
        <v>0</v>
      </c>
      <c r="BB62" s="7">
        <v>10</v>
      </c>
      <c r="BC62" s="7">
        <v>0</v>
      </c>
      <c r="BD62" s="7">
        <v>10</v>
      </c>
      <c r="BE62" s="7"/>
      <c r="BF62" s="7" t="e">
        <f t="shared" si="15"/>
        <v>#VALUE!</v>
      </c>
      <c r="BG62" s="28"/>
      <c r="BH62" s="7" t="e">
        <f t="shared" si="16"/>
        <v>#VALUE!</v>
      </c>
      <c r="BI62" s="28"/>
      <c r="BJ62" s="7" t="e">
        <f t="shared" si="17"/>
        <v>#VALUE!</v>
      </c>
      <c r="BK62" s="28"/>
      <c r="BL62" s="7"/>
      <c r="BM62" s="7"/>
      <c r="BN62" s="7" t="e">
        <f t="shared" si="18"/>
        <v>#VALUE!</v>
      </c>
      <c r="BO62" s="28"/>
      <c r="BP62" s="7" t="e">
        <f t="shared" si="19"/>
        <v>#VALUE!</v>
      </c>
      <c r="BQ62" s="28"/>
      <c r="BR62" s="7"/>
      <c r="BS62" s="7" t="e">
        <f t="shared" si="20"/>
        <v>#VALUE!</v>
      </c>
      <c r="BT62" s="28"/>
      <c r="BU62" s="7"/>
      <c r="BV62" s="7" t="e">
        <f ca="1">[1]!tメーカー名(BU62)</f>
        <v>#NAME?</v>
      </c>
      <c r="BW62" s="7" t="e">
        <f t="shared" si="21"/>
        <v>#VALUE!</v>
      </c>
      <c r="BX62" s="28"/>
      <c r="BY62" s="7" t="e">
        <f t="shared" si="22"/>
        <v>#VALUE!</v>
      </c>
      <c r="BZ62" s="28"/>
      <c r="CA62" s="54"/>
      <c r="CB62" s="54"/>
      <c r="CC62" s="7" t="e">
        <f t="shared" si="23"/>
        <v>#VALUE!</v>
      </c>
      <c r="CD62" s="28"/>
      <c r="CE62" s="7" t="e">
        <f t="shared" si="24"/>
        <v>#VALUE!</v>
      </c>
      <c r="CF62" s="28"/>
      <c r="CG62" s="7" t="e">
        <f t="shared" si="25"/>
        <v>#VALUE!</v>
      </c>
      <c r="CH62" s="28"/>
      <c r="CI62" s="7" t="e">
        <f t="shared" si="26"/>
        <v>#VALUE!</v>
      </c>
      <c r="CJ62" s="28"/>
      <c r="CK62" s="7"/>
      <c r="CL62" s="7"/>
      <c r="CM62" s="7"/>
      <c r="CN62" s="7"/>
      <c r="CO62" s="7"/>
      <c r="CP62" s="7"/>
      <c r="CQ62" s="7"/>
      <c r="CR62" s="7"/>
      <c r="CS62" s="126">
        <f t="shared" si="29"/>
        <v>0</v>
      </c>
      <c r="CT62" s="7"/>
      <c r="CU62" s="7"/>
    </row>
    <row r="63" spans="1:99">
      <c r="A63" s="7">
        <v>51</v>
      </c>
      <c r="B63" s="7"/>
      <c r="C63" s="7" t="e">
        <f t="shared" si="27"/>
        <v>#VALUE!</v>
      </c>
      <c r="D63" s="28"/>
      <c r="E63" s="7">
        <f t="shared" si="0"/>
        <v>0</v>
      </c>
      <c r="F63" s="7"/>
      <c r="G63" s="7">
        <f t="shared" si="1"/>
        <v>0</v>
      </c>
      <c r="H63" s="7"/>
      <c r="I63" s="7">
        <f t="shared" si="2"/>
        <v>0</v>
      </c>
      <c r="J63" s="7"/>
      <c r="K63" s="7">
        <f t="shared" si="3"/>
        <v>0</v>
      </c>
      <c r="L63" s="7"/>
      <c r="M63" s="7">
        <f t="shared" si="4"/>
        <v>0</v>
      </c>
      <c r="N63" s="7"/>
      <c r="O63" s="7"/>
      <c r="P63" s="7"/>
      <c r="Q63" s="53"/>
      <c r="R63" s="7"/>
      <c r="S63" s="7"/>
      <c r="T63" s="53"/>
      <c r="U63" s="7"/>
      <c r="V63" s="7" t="e">
        <f t="shared" si="31"/>
        <v>#VALUE!</v>
      </c>
      <c r="W63" s="28"/>
      <c r="X63" s="7" t="e">
        <f t="shared" si="31"/>
        <v>#VALUE!</v>
      </c>
      <c r="Y63" s="28"/>
      <c r="Z63" s="7" t="e">
        <f t="shared" si="7"/>
        <v>#VALUE!</v>
      </c>
      <c r="AA63" s="28"/>
      <c r="AB63" s="7"/>
      <c r="AC63" s="7"/>
      <c r="AD63" s="7"/>
      <c r="AE63" s="7"/>
      <c r="AF63" s="7">
        <v>0</v>
      </c>
      <c r="AG63" s="7" t="e">
        <f t="shared" si="8"/>
        <v>#VALUE!</v>
      </c>
      <c r="AH63" s="28"/>
      <c r="AI63" s="7"/>
      <c r="AJ63" s="7" t="e">
        <f t="shared" si="9"/>
        <v>#VALUE!</v>
      </c>
      <c r="AK63" s="28"/>
      <c r="AL63" s="7" t="e">
        <f t="shared" si="10"/>
        <v>#VALUE!</v>
      </c>
      <c r="AM63" s="28"/>
      <c r="AN63" s="7" t="e">
        <f t="shared" si="11"/>
        <v>#VALUE!</v>
      </c>
      <c r="AO63" s="28"/>
      <c r="AP63" s="7">
        <f t="shared" si="12"/>
        <v>2</v>
      </c>
      <c r="AQ63" s="28" t="s">
        <v>2301</v>
      </c>
      <c r="AR63" s="7"/>
      <c r="AS63" s="7"/>
      <c r="AT63" s="7"/>
      <c r="AU63" s="7"/>
      <c r="AV63" s="7" t="e">
        <f t="shared" si="13"/>
        <v>#VALUE!</v>
      </c>
      <c r="AW63" s="28"/>
      <c r="AX63" s="7">
        <v>0</v>
      </c>
      <c r="AY63" s="7" t="e">
        <f t="shared" si="14"/>
        <v>#VALUE!</v>
      </c>
      <c r="AZ63" s="28"/>
      <c r="BA63" s="7">
        <v>0</v>
      </c>
      <c r="BB63" s="7">
        <v>10</v>
      </c>
      <c r="BC63" s="7">
        <v>0</v>
      </c>
      <c r="BD63" s="7">
        <v>10</v>
      </c>
      <c r="BE63" s="7"/>
      <c r="BF63" s="7" t="e">
        <f t="shared" si="15"/>
        <v>#VALUE!</v>
      </c>
      <c r="BG63" s="28"/>
      <c r="BH63" s="7" t="e">
        <f t="shared" si="16"/>
        <v>#VALUE!</v>
      </c>
      <c r="BI63" s="28"/>
      <c r="BJ63" s="7" t="e">
        <f t="shared" si="17"/>
        <v>#VALUE!</v>
      </c>
      <c r="BK63" s="28"/>
      <c r="BL63" s="7"/>
      <c r="BM63" s="7"/>
      <c r="BN63" s="7" t="e">
        <f t="shared" si="18"/>
        <v>#VALUE!</v>
      </c>
      <c r="BO63" s="28"/>
      <c r="BP63" s="7" t="e">
        <f t="shared" si="19"/>
        <v>#VALUE!</v>
      </c>
      <c r="BQ63" s="28"/>
      <c r="BR63" s="7"/>
      <c r="BS63" s="7" t="e">
        <f t="shared" si="20"/>
        <v>#VALUE!</v>
      </c>
      <c r="BT63" s="28"/>
      <c r="BU63" s="7"/>
      <c r="BV63" s="7" t="e">
        <f ca="1">[1]!tメーカー名(BU63)</f>
        <v>#NAME?</v>
      </c>
      <c r="BW63" s="7" t="e">
        <f t="shared" si="21"/>
        <v>#VALUE!</v>
      </c>
      <c r="BX63" s="28"/>
      <c r="BY63" s="7" t="e">
        <f t="shared" si="22"/>
        <v>#VALUE!</v>
      </c>
      <c r="BZ63" s="28"/>
      <c r="CA63" s="54"/>
      <c r="CB63" s="54"/>
      <c r="CC63" s="7" t="e">
        <f t="shared" si="23"/>
        <v>#VALUE!</v>
      </c>
      <c r="CD63" s="28"/>
      <c r="CE63" s="7" t="e">
        <f t="shared" si="24"/>
        <v>#VALUE!</v>
      </c>
      <c r="CF63" s="28"/>
      <c r="CG63" s="7" t="e">
        <f t="shared" si="25"/>
        <v>#VALUE!</v>
      </c>
      <c r="CH63" s="28"/>
      <c r="CI63" s="7" t="e">
        <f t="shared" si="26"/>
        <v>#VALUE!</v>
      </c>
      <c r="CJ63" s="28"/>
      <c r="CK63" s="7"/>
      <c r="CL63" s="7"/>
      <c r="CM63" s="7"/>
      <c r="CN63" s="7"/>
      <c r="CO63" s="7"/>
      <c r="CP63" s="7"/>
      <c r="CQ63" s="7"/>
      <c r="CR63" s="7"/>
      <c r="CS63" s="126">
        <f t="shared" si="29"/>
        <v>0</v>
      </c>
      <c r="CT63" s="7"/>
      <c r="CU63" s="7"/>
    </row>
    <row r="64" spans="1:99">
      <c r="A64" s="7">
        <v>52</v>
      </c>
      <c r="B64" s="7"/>
      <c r="C64" s="7" t="e">
        <f t="shared" si="27"/>
        <v>#VALUE!</v>
      </c>
      <c r="D64" s="28"/>
      <c r="E64" s="7">
        <f t="shared" si="0"/>
        <v>0</v>
      </c>
      <c r="F64" s="7"/>
      <c r="G64" s="7">
        <f t="shared" si="1"/>
        <v>0</v>
      </c>
      <c r="H64" s="7"/>
      <c r="I64" s="7">
        <f t="shared" si="2"/>
        <v>0</v>
      </c>
      <c r="J64" s="7"/>
      <c r="K64" s="7">
        <f t="shared" si="3"/>
        <v>0</v>
      </c>
      <c r="L64" s="7"/>
      <c r="M64" s="7">
        <f t="shared" si="4"/>
        <v>0</v>
      </c>
      <c r="N64" s="7"/>
      <c r="O64" s="7"/>
      <c r="P64" s="7"/>
      <c r="Q64" s="53"/>
      <c r="R64" s="7"/>
      <c r="S64" s="7"/>
      <c r="T64" s="53"/>
      <c r="U64" s="7"/>
      <c r="V64" s="7" t="e">
        <f t="shared" si="31"/>
        <v>#VALUE!</v>
      </c>
      <c r="W64" s="28"/>
      <c r="X64" s="7" t="e">
        <f t="shared" si="31"/>
        <v>#VALUE!</v>
      </c>
      <c r="Y64" s="28"/>
      <c r="Z64" s="7" t="e">
        <f t="shared" si="7"/>
        <v>#VALUE!</v>
      </c>
      <c r="AA64" s="28"/>
      <c r="AB64" s="7"/>
      <c r="AC64" s="7"/>
      <c r="AD64" s="7"/>
      <c r="AE64" s="7"/>
      <c r="AF64" s="7">
        <v>0</v>
      </c>
      <c r="AG64" s="7" t="e">
        <f t="shared" si="8"/>
        <v>#VALUE!</v>
      </c>
      <c r="AH64" s="28"/>
      <c r="AI64" s="7"/>
      <c r="AJ64" s="7" t="e">
        <f t="shared" si="9"/>
        <v>#VALUE!</v>
      </c>
      <c r="AK64" s="28"/>
      <c r="AL64" s="7" t="e">
        <f t="shared" si="10"/>
        <v>#VALUE!</v>
      </c>
      <c r="AM64" s="28"/>
      <c r="AN64" s="7" t="e">
        <f t="shared" si="11"/>
        <v>#VALUE!</v>
      </c>
      <c r="AO64" s="28"/>
      <c r="AP64" s="7">
        <f t="shared" si="12"/>
        <v>2</v>
      </c>
      <c r="AQ64" s="28" t="s">
        <v>2301</v>
      </c>
      <c r="AR64" s="7"/>
      <c r="AS64" s="7"/>
      <c r="AT64" s="7"/>
      <c r="AU64" s="7"/>
      <c r="AV64" s="7" t="e">
        <f t="shared" si="13"/>
        <v>#VALUE!</v>
      </c>
      <c r="AW64" s="28"/>
      <c r="AX64" s="7">
        <v>0</v>
      </c>
      <c r="AY64" s="7" t="e">
        <f t="shared" si="14"/>
        <v>#VALUE!</v>
      </c>
      <c r="AZ64" s="28"/>
      <c r="BA64" s="7">
        <v>0</v>
      </c>
      <c r="BB64" s="7">
        <v>10</v>
      </c>
      <c r="BC64" s="7">
        <v>0</v>
      </c>
      <c r="BD64" s="7">
        <v>10</v>
      </c>
      <c r="BE64" s="7"/>
      <c r="BF64" s="7" t="e">
        <f t="shared" si="15"/>
        <v>#VALUE!</v>
      </c>
      <c r="BG64" s="28"/>
      <c r="BH64" s="7" t="e">
        <f t="shared" si="16"/>
        <v>#VALUE!</v>
      </c>
      <c r="BI64" s="28"/>
      <c r="BJ64" s="7" t="e">
        <f t="shared" si="17"/>
        <v>#VALUE!</v>
      </c>
      <c r="BK64" s="28"/>
      <c r="BL64" s="7"/>
      <c r="BM64" s="7"/>
      <c r="BN64" s="7" t="e">
        <f t="shared" si="18"/>
        <v>#VALUE!</v>
      </c>
      <c r="BO64" s="28"/>
      <c r="BP64" s="7" t="e">
        <f t="shared" si="19"/>
        <v>#VALUE!</v>
      </c>
      <c r="BQ64" s="28"/>
      <c r="BR64" s="7"/>
      <c r="BS64" s="7" t="e">
        <f t="shared" si="20"/>
        <v>#VALUE!</v>
      </c>
      <c r="BT64" s="28"/>
      <c r="BU64" s="7"/>
      <c r="BV64" s="7" t="e">
        <f ca="1">[1]!tメーカー名(BU64)</f>
        <v>#NAME?</v>
      </c>
      <c r="BW64" s="7" t="e">
        <f t="shared" si="21"/>
        <v>#VALUE!</v>
      </c>
      <c r="BX64" s="28"/>
      <c r="BY64" s="7" t="e">
        <f t="shared" si="22"/>
        <v>#VALUE!</v>
      </c>
      <c r="BZ64" s="28"/>
      <c r="CA64" s="54"/>
      <c r="CB64" s="54"/>
      <c r="CC64" s="7" t="e">
        <f t="shared" si="23"/>
        <v>#VALUE!</v>
      </c>
      <c r="CD64" s="28"/>
      <c r="CE64" s="7" t="e">
        <f t="shared" si="24"/>
        <v>#VALUE!</v>
      </c>
      <c r="CF64" s="28"/>
      <c r="CG64" s="7" t="e">
        <f t="shared" si="25"/>
        <v>#VALUE!</v>
      </c>
      <c r="CH64" s="28"/>
      <c r="CI64" s="7" t="e">
        <f t="shared" si="26"/>
        <v>#VALUE!</v>
      </c>
      <c r="CJ64" s="28"/>
      <c r="CK64" s="7"/>
      <c r="CL64" s="7"/>
      <c r="CM64" s="7"/>
      <c r="CN64" s="7"/>
      <c r="CO64" s="7"/>
      <c r="CP64" s="7"/>
      <c r="CQ64" s="7"/>
      <c r="CR64" s="7"/>
      <c r="CS64" s="126">
        <f t="shared" si="29"/>
        <v>0</v>
      </c>
      <c r="CT64" s="7"/>
      <c r="CU64" s="7"/>
    </row>
    <row r="65" spans="1:99">
      <c r="A65" s="7">
        <v>53</v>
      </c>
      <c r="B65" s="7"/>
      <c r="C65" s="7" t="e">
        <f t="shared" si="27"/>
        <v>#VALUE!</v>
      </c>
      <c r="D65" s="28"/>
      <c r="E65" s="7">
        <f t="shared" si="0"/>
        <v>0</v>
      </c>
      <c r="F65" s="7"/>
      <c r="G65" s="7">
        <f t="shared" si="1"/>
        <v>0</v>
      </c>
      <c r="H65" s="7"/>
      <c r="I65" s="7">
        <f t="shared" si="2"/>
        <v>0</v>
      </c>
      <c r="J65" s="7"/>
      <c r="K65" s="7">
        <f t="shared" si="3"/>
        <v>0</v>
      </c>
      <c r="L65" s="7"/>
      <c r="M65" s="7">
        <f t="shared" si="4"/>
        <v>0</v>
      </c>
      <c r="N65" s="7"/>
      <c r="O65" s="7"/>
      <c r="P65" s="7"/>
      <c r="Q65" s="53"/>
      <c r="R65" s="7"/>
      <c r="S65" s="7"/>
      <c r="T65" s="53"/>
      <c r="U65" s="7"/>
      <c r="V65" s="7" t="e">
        <f t="shared" si="31"/>
        <v>#VALUE!</v>
      </c>
      <c r="W65" s="28"/>
      <c r="X65" s="7" t="e">
        <f t="shared" si="31"/>
        <v>#VALUE!</v>
      </c>
      <c r="Y65" s="28"/>
      <c r="Z65" s="7" t="e">
        <f t="shared" si="7"/>
        <v>#VALUE!</v>
      </c>
      <c r="AA65" s="28"/>
      <c r="AB65" s="7"/>
      <c r="AC65" s="7"/>
      <c r="AD65" s="7"/>
      <c r="AE65" s="7"/>
      <c r="AF65" s="7">
        <v>0</v>
      </c>
      <c r="AG65" s="7" t="e">
        <f t="shared" si="8"/>
        <v>#VALUE!</v>
      </c>
      <c r="AH65" s="28"/>
      <c r="AI65" s="7"/>
      <c r="AJ65" s="7" t="e">
        <f t="shared" si="9"/>
        <v>#VALUE!</v>
      </c>
      <c r="AK65" s="28"/>
      <c r="AL65" s="7" t="e">
        <f t="shared" si="10"/>
        <v>#VALUE!</v>
      </c>
      <c r="AM65" s="28"/>
      <c r="AN65" s="7" t="e">
        <f t="shared" si="11"/>
        <v>#VALUE!</v>
      </c>
      <c r="AO65" s="28"/>
      <c r="AP65" s="7">
        <f t="shared" si="12"/>
        <v>2</v>
      </c>
      <c r="AQ65" s="28" t="s">
        <v>2301</v>
      </c>
      <c r="AR65" s="7"/>
      <c r="AS65" s="7"/>
      <c r="AT65" s="7"/>
      <c r="AU65" s="7"/>
      <c r="AV65" s="7" t="e">
        <f t="shared" si="13"/>
        <v>#VALUE!</v>
      </c>
      <c r="AW65" s="28"/>
      <c r="AX65" s="7">
        <v>0</v>
      </c>
      <c r="AY65" s="7" t="e">
        <f t="shared" si="14"/>
        <v>#VALUE!</v>
      </c>
      <c r="AZ65" s="28"/>
      <c r="BA65" s="7">
        <v>0</v>
      </c>
      <c r="BB65" s="7">
        <v>10</v>
      </c>
      <c r="BC65" s="7">
        <v>0</v>
      </c>
      <c r="BD65" s="7">
        <v>10</v>
      </c>
      <c r="BE65" s="7"/>
      <c r="BF65" s="7" t="e">
        <f t="shared" si="15"/>
        <v>#VALUE!</v>
      </c>
      <c r="BG65" s="28"/>
      <c r="BH65" s="7" t="e">
        <f t="shared" si="16"/>
        <v>#VALUE!</v>
      </c>
      <c r="BI65" s="28"/>
      <c r="BJ65" s="7" t="e">
        <f t="shared" si="17"/>
        <v>#VALUE!</v>
      </c>
      <c r="BK65" s="28"/>
      <c r="BL65" s="7"/>
      <c r="BM65" s="7"/>
      <c r="BN65" s="7" t="e">
        <f t="shared" si="18"/>
        <v>#VALUE!</v>
      </c>
      <c r="BO65" s="28"/>
      <c r="BP65" s="7" t="e">
        <f t="shared" si="19"/>
        <v>#VALUE!</v>
      </c>
      <c r="BQ65" s="28"/>
      <c r="BR65" s="7"/>
      <c r="BS65" s="7" t="e">
        <f t="shared" si="20"/>
        <v>#VALUE!</v>
      </c>
      <c r="BT65" s="28"/>
      <c r="BU65" s="7"/>
      <c r="BV65" s="7" t="e">
        <f ca="1">[1]!tメーカー名(BU65)</f>
        <v>#NAME?</v>
      </c>
      <c r="BW65" s="7" t="e">
        <f t="shared" si="21"/>
        <v>#VALUE!</v>
      </c>
      <c r="BX65" s="28"/>
      <c r="BY65" s="7" t="e">
        <f t="shared" si="22"/>
        <v>#VALUE!</v>
      </c>
      <c r="BZ65" s="28"/>
      <c r="CA65" s="54"/>
      <c r="CB65" s="54"/>
      <c r="CC65" s="7" t="e">
        <f t="shared" si="23"/>
        <v>#VALUE!</v>
      </c>
      <c r="CD65" s="28"/>
      <c r="CE65" s="7" t="e">
        <f t="shared" si="24"/>
        <v>#VALUE!</v>
      </c>
      <c r="CF65" s="28"/>
      <c r="CG65" s="7" t="e">
        <f t="shared" si="25"/>
        <v>#VALUE!</v>
      </c>
      <c r="CH65" s="28"/>
      <c r="CI65" s="7" t="e">
        <f t="shared" si="26"/>
        <v>#VALUE!</v>
      </c>
      <c r="CJ65" s="28"/>
      <c r="CK65" s="7"/>
      <c r="CL65" s="7"/>
      <c r="CM65" s="7"/>
      <c r="CN65" s="7"/>
      <c r="CO65" s="7"/>
      <c r="CP65" s="7"/>
      <c r="CQ65" s="7"/>
      <c r="CR65" s="7"/>
      <c r="CS65" s="126">
        <f t="shared" si="29"/>
        <v>0</v>
      </c>
      <c r="CT65" s="7"/>
      <c r="CU65" s="7"/>
    </row>
    <row r="66" spans="1:99">
      <c r="A66" s="7">
        <v>54</v>
      </c>
      <c r="B66" s="7"/>
      <c r="C66" s="7" t="e">
        <f t="shared" si="27"/>
        <v>#VALUE!</v>
      </c>
      <c r="D66" s="28"/>
      <c r="E66" s="7">
        <f t="shared" si="0"/>
        <v>0</v>
      </c>
      <c r="F66" s="7"/>
      <c r="G66" s="7">
        <f t="shared" si="1"/>
        <v>0</v>
      </c>
      <c r="H66" s="7"/>
      <c r="I66" s="7">
        <f t="shared" si="2"/>
        <v>0</v>
      </c>
      <c r="J66" s="7"/>
      <c r="K66" s="7">
        <f t="shared" si="3"/>
        <v>0</v>
      </c>
      <c r="L66" s="7"/>
      <c r="M66" s="7">
        <f t="shared" si="4"/>
        <v>0</v>
      </c>
      <c r="N66" s="7"/>
      <c r="O66" s="7"/>
      <c r="P66" s="7"/>
      <c r="Q66" s="53"/>
      <c r="R66" s="7"/>
      <c r="S66" s="7"/>
      <c r="T66" s="53"/>
      <c r="U66" s="7"/>
      <c r="V66" s="7" t="e">
        <f t="shared" si="31"/>
        <v>#VALUE!</v>
      </c>
      <c r="W66" s="28"/>
      <c r="X66" s="7" t="e">
        <f t="shared" si="31"/>
        <v>#VALUE!</v>
      </c>
      <c r="Y66" s="28"/>
      <c r="Z66" s="7" t="e">
        <f t="shared" si="7"/>
        <v>#VALUE!</v>
      </c>
      <c r="AA66" s="28"/>
      <c r="AB66" s="7"/>
      <c r="AC66" s="7"/>
      <c r="AD66" s="7"/>
      <c r="AE66" s="7"/>
      <c r="AF66" s="7">
        <v>0</v>
      </c>
      <c r="AG66" s="7" t="e">
        <f t="shared" si="8"/>
        <v>#VALUE!</v>
      </c>
      <c r="AH66" s="28"/>
      <c r="AI66" s="7"/>
      <c r="AJ66" s="7" t="e">
        <f t="shared" si="9"/>
        <v>#VALUE!</v>
      </c>
      <c r="AK66" s="28"/>
      <c r="AL66" s="7" t="e">
        <f t="shared" si="10"/>
        <v>#VALUE!</v>
      </c>
      <c r="AM66" s="28"/>
      <c r="AN66" s="7" t="e">
        <f t="shared" si="11"/>
        <v>#VALUE!</v>
      </c>
      <c r="AO66" s="28"/>
      <c r="AP66" s="7">
        <f t="shared" si="12"/>
        <v>2</v>
      </c>
      <c r="AQ66" s="28" t="s">
        <v>2301</v>
      </c>
      <c r="AR66" s="7"/>
      <c r="AS66" s="7"/>
      <c r="AT66" s="7"/>
      <c r="AU66" s="7"/>
      <c r="AV66" s="7" t="e">
        <f t="shared" si="13"/>
        <v>#VALUE!</v>
      </c>
      <c r="AW66" s="28"/>
      <c r="AX66" s="7">
        <v>0</v>
      </c>
      <c r="AY66" s="7" t="e">
        <f t="shared" si="14"/>
        <v>#VALUE!</v>
      </c>
      <c r="AZ66" s="28"/>
      <c r="BA66" s="7">
        <v>0</v>
      </c>
      <c r="BB66" s="7">
        <v>10</v>
      </c>
      <c r="BC66" s="7">
        <v>0</v>
      </c>
      <c r="BD66" s="7">
        <v>10</v>
      </c>
      <c r="BE66" s="7"/>
      <c r="BF66" s="7" t="e">
        <f t="shared" si="15"/>
        <v>#VALUE!</v>
      </c>
      <c r="BG66" s="28"/>
      <c r="BH66" s="7" t="e">
        <f t="shared" si="16"/>
        <v>#VALUE!</v>
      </c>
      <c r="BI66" s="28"/>
      <c r="BJ66" s="7" t="e">
        <f t="shared" si="17"/>
        <v>#VALUE!</v>
      </c>
      <c r="BK66" s="28"/>
      <c r="BL66" s="7"/>
      <c r="BM66" s="7"/>
      <c r="BN66" s="7" t="e">
        <f t="shared" si="18"/>
        <v>#VALUE!</v>
      </c>
      <c r="BO66" s="28"/>
      <c r="BP66" s="7" t="e">
        <f t="shared" si="19"/>
        <v>#VALUE!</v>
      </c>
      <c r="BQ66" s="28"/>
      <c r="BR66" s="7"/>
      <c r="BS66" s="7" t="e">
        <f t="shared" si="20"/>
        <v>#VALUE!</v>
      </c>
      <c r="BT66" s="28"/>
      <c r="BU66" s="7"/>
      <c r="BV66" s="7" t="e">
        <f ca="1">[1]!tメーカー名(BU66)</f>
        <v>#NAME?</v>
      </c>
      <c r="BW66" s="7" t="e">
        <f t="shared" si="21"/>
        <v>#VALUE!</v>
      </c>
      <c r="BX66" s="28"/>
      <c r="BY66" s="7" t="e">
        <f t="shared" si="22"/>
        <v>#VALUE!</v>
      </c>
      <c r="BZ66" s="28"/>
      <c r="CA66" s="54"/>
      <c r="CB66" s="54"/>
      <c r="CC66" s="7" t="e">
        <f t="shared" si="23"/>
        <v>#VALUE!</v>
      </c>
      <c r="CD66" s="28"/>
      <c r="CE66" s="7" t="e">
        <f t="shared" si="24"/>
        <v>#VALUE!</v>
      </c>
      <c r="CF66" s="28"/>
      <c r="CG66" s="7" t="e">
        <f t="shared" si="25"/>
        <v>#VALUE!</v>
      </c>
      <c r="CH66" s="28"/>
      <c r="CI66" s="7" t="e">
        <f t="shared" si="26"/>
        <v>#VALUE!</v>
      </c>
      <c r="CJ66" s="28"/>
      <c r="CK66" s="7"/>
      <c r="CL66" s="7"/>
      <c r="CM66" s="7"/>
      <c r="CN66" s="7"/>
      <c r="CO66" s="7"/>
      <c r="CP66" s="7"/>
      <c r="CQ66" s="7"/>
      <c r="CR66" s="7"/>
      <c r="CS66" s="126">
        <f t="shared" si="29"/>
        <v>0</v>
      </c>
      <c r="CT66" s="7"/>
      <c r="CU66" s="7"/>
    </row>
    <row r="67" spans="1:99">
      <c r="A67" s="7">
        <v>55</v>
      </c>
      <c r="B67" s="7"/>
      <c r="C67" s="7" t="e">
        <f t="shared" si="27"/>
        <v>#VALUE!</v>
      </c>
      <c r="D67" s="28"/>
      <c r="E67" s="7">
        <f t="shared" si="0"/>
        <v>0</v>
      </c>
      <c r="F67" s="7"/>
      <c r="G67" s="7">
        <f t="shared" si="1"/>
        <v>0</v>
      </c>
      <c r="H67" s="7"/>
      <c r="I67" s="7">
        <f t="shared" si="2"/>
        <v>0</v>
      </c>
      <c r="J67" s="7"/>
      <c r="K67" s="7">
        <f t="shared" si="3"/>
        <v>0</v>
      </c>
      <c r="L67" s="7"/>
      <c r="M67" s="7">
        <f t="shared" si="4"/>
        <v>0</v>
      </c>
      <c r="N67" s="7"/>
      <c r="O67" s="7"/>
      <c r="P67" s="7"/>
      <c r="Q67" s="53"/>
      <c r="R67" s="7"/>
      <c r="S67" s="7"/>
      <c r="T67" s="53"/>
      <c r="U67" s="7"/>
      <c r="V67" s="7" t="e">
        <f t="shared" si="31"/>
        <v>#VALUE!</v>
      </c>
      <c r="W67" s="28"/>
      <c r="X67" s="7" t="e">
        <f t="shared" si="31"/>
        <v>#VALUE!</v>
      </c>
      <c r="Y67" s="28"/>
      <c r="Z67" s="7" t="e">
        <f t="shared" si="7"/>
        <v>#VALUE!</v>
      </c>
      <c r="AA67" s="28"/>
      <c r="AB67" s="7"/>
      <c r="AC67" s="7"/>
      <c r="AD67" s="7"/>
      <c r="AE67" s="7"/>
      <c r="AF67" s="7">
        <v>0</v>
      </c>
      <c r="AG67" s="7" t="e">
        <f t="shared" si="8"/>
        <v>#VALUE!</v>
      </c>
      <c r="AH67" s="28"/>
      <c r="AI67" s="7"/>
      <c r="AJ67" s="7" t="e">
        <f t="shared" si="9"/>
        <v>#VALUE!</v>
      </c>
      <c r="AK67" s="28"/>
      <c r="AL67" s="7" t="e">
        <f t="shared" si="10"/>
        <v>#VALUE!</v>
      </c>
      <c r="AM67" s="28"/>
      <c r="AN67" s="7" t="e">
        <f t="shared" si="11"/>
        <v>#VALUE!</v>
      </c>
      <c r="AO67" s="28"/>
      <c r="AP67" s="7">
        <f t="shared" si="12"/>
        <v>2</v>
      </c>
      <c r="AQ67" s="28" t="s">
        <v>2301</v>
      </c>
      <c r="AR67" s="7"/>
      <c r="AS67" s="7"/>
      <c r="AT67" s="7"/>
      <c r="AU67" s="7"/>
      <c r="AV67" s="7" t="e">
        <f t="shared" si="13"/>
        <v>#VALUE!</v>
      </c>
      <c r="AW67" s="28"/>
      <c r="AX67" s="7">
        <v>0</v>
      </c>
      <c r="AY67" s="7" t="e">
        <f t="shared" si="14"/>
        <v>#VALUE!</v>
      </c>
      <c r="AZ67" s="28"/>
      <c r="BA67" s="7">
        <v>0</v>
      </c>
      <c r="BB67" s="7">
        <v>10</v>
      </c>
      <c r="BC67" s="7">
        <v>0</v>
      </c>
      <c r="BD67" s="7">
        <v>10</v>
      </c>
      <c r="BE67" s="7"/>
      <c r="BF67" s="7" t="e">
        <f t="shared" si="15"/>
        <v>#VALUE!</v>
      </c>
      <c r="BG67" s="28"/>
      <c r="BH67" s="7" t="e">
        <f t="shared" si="16"/>
        <v>#VALUE!</v>
      </c>
      <c r="BI67" s="28"/>
      <c r="BJ67" s="7" t="e">
        <f t="shared" si="17"/>
        <v>#VALUE!</v>
      </c>
      <c r="BK67" s="28"/>
      <c r="BL67" s="7"/>
      <c r="BM67" s="7"/>
      <c r="BN67" s="7" t="e">
        <f t="shared" si="18"/>
        <v>#VALUE!</v>
      </c>
      <c r="BO67" s="28"/>
      <c r="BP67" s="7" t="e">
        <f t="shared" si="19"/>
        <v>#VALUE!</v>
      </c>
      <c r="BQ67" s="28"/>
      <c r="BR67" s="7"/>
      <c r="BS67" s="7" t="e">
        <f t="shared" si="20"/>
        <v>#VALUE!</v>
      </c>
      <c r="BT67" s="28"/>
      <c r="BU67" s="7"/>
      <c r="BV67" s="7" t="e">
        <f ca="1">[1]!tメーカー名(BU67)</f>
        <v>#NAME?</v>
      </c>
      <c r="BW67" s="7" t="e">
        <f t="shared" si="21"/>
        <v>#VALUE!</v>
      </c>
      <c r="BX67" s="28"/>
      <c r="BY67" s="7" t="e">
        <f t="shared" si="22"/>
        <v>#VALUE!</v>
      </c>
      <c r="BZ67" s="28"/>
      <c r="CA67" s="54"/>
      <c r="CB67" s="54"/>
      <c r="CC67" s="7" t="e">
        <f t="shared" si="23"/>
        <v>#VALUE!</v>
      </c>
      <c r="CD67" s="28"/>
      <c r="CE67" s="7" t="e">
        <f t="shared" si="24"/>
        <v>#VALUE!</v>
      </c>
      <c r="CF67" s="28"/>
      <c r="CG67" s="7" t="e">
        <f t="shared" si="25"/>
        <v>#VALUE!</v>
      </c>
      <c r="CH67" s="28"/>
      <c r="CI67" s="7" t="e">
        <f t="shared" si="26"/>
        <v>#VALUE!</v>
      </c>
      <c r="CJ67" s="28"/>
      <c r="CK67" s="7"/>
      <c r="CL67" s="7"/>
      <c r="CM67" s="7"/>
      <c r="CN67" s="7"/>
      <c r="CO67" s="7"/>
      <c r="CP67" s="7"/>
      <c r="CQ67" s="7"/>
      <c r="CR67" s="7"/>
      <c r="CS67" s="126">
        <f t="shared" si="29"/>
        <v>0</v>
      </c>
      <c r="CT67" s="7"/>
      <c r="CU67" s="7"/>
    </row>
    <row r="68" spans="1:99">
      <c r="A68" s="7">
        <v>56</v>
      </c>
      <c r="B68" s="7"/>
      <c r="C68" s="7" t="e">
        <f t="shared" si="27"/>
        <v>#VALUE!</v>
      </c>
      <c r="D68" s="28"/>
      <c r="E68" s="7">
        <f t="shared" si="0"/>
        <v>0</v>
      </c>
      <c r="F68" s="7"/>
      <c r="G68" s="7">
        <f t="shared" si="1"/>
        <v>0</v>
      </c>
      <c r="H68" s="7"/>
      <c r="I68" s="7">
        <f t="shared" si="2"/>
        <v>0</v>
      </c>
      <c r="J68" s="7"/>
      <c r="K68" s="7">
        <f t="shared" si="3"/>
        <v>0</v>
      </c>
      <c r="L68" s="7"/>
      <c r="M68" s="7">
        <f t="shared" si="4"/>
        <v>0</v>
      </c>
      <c r="N68" s="7"/>
      <c r="O68" s="7"/>
      <c r="P68" s="7"/>
      <c r="Q68" s="53"/>
      <c r="R68" s="7"/>
      <c r="S68" s="7"/>
      <c r="T68" s="53"/>
      <c r="U68" s="7"/>
      <c r="V68" s="7" t="e">
        <f t="shared" si="31"/>
        <v>#VALUE!</v>
      </c>
      <c r="W68" s="28"/>
      <c r="X68" s="7" t="e">
        <f t="shared" si="31"/>
        <v>#VALUE!</v>
      </c>
      <c r="Y68" s="28"/>
      <c r="Z68" s="7" t="e">
        <f t="shared" si="7"/>
        <v>#VALUE!</v>
      </c>
      <c r="AA68" s="28"/>
      <c r="AB68" s="7"/>
      <c r="AC68" s="7"/>
      <c r="AD68" s="7"/>
      <c r="AE68" s="7"/>
      <c r="AF68" s="7">
        <v>0</v>
      </c>
      <c r="AG68" s="7" t="e">
        <f t="shared" si="8"/>
        <v>#VALUE!</v>
      </c>
      <c r="AH68" s="28"/>
      <c r="AI68" s="7"/>
      <c r="AJ68" s="7" t="e">
        <f t="shared" si="9"/>
        <v>#VALUE!</v>
      </c>
      <c r="AK68" s="28"/>
      <c r="AL68" s="7" t="e">
        <f t="shared" si="10"/>
        <v>#VALUE!</v>
      </c>
      <c r="AM68" s="28"/>
      <c r="AN68" s="7" t="e">
        <f t="shared" si="11"/>
        <v>#VALUE!</v>
      </c>
      <c r="AO68" s="28"/>
      <c r="AP68" s="7">
        <f t="shared" si="12"/>
        <v>2</v>
      </c>
      <c r="AQ68" s="28" t="s">
        <v>2301</v>
      </c>
      <c r="AR68" s="7"/>
      <c r="AS68" s="7"/>
      <c r="AT68" s="7"/>
      <c r="AU68" s="7"/>
      <c r="AV68" s="7" t="e">
        <f t="shared" si="13"/>
        <v>#VALUE!</v>
      </c>
      <c r="AW68" s="28"/>
      <c r="AX68" s="7">
        <v>0</v>
      </c>
      <c r="AY68" s="7" t="e">
        <f t="shared" si="14"/>
        <v>#VALUE!</v>
      </c>
      <c r="AZ68" s="28"/>
      <c r="BA68" s="7">
        <v>0</v>
      </c>
      <c r="BB68" s="7">
        <v>10</v>
      </c>
      <c r="BC68" s="7">
        <v>0</v>
      </c>
      <c r="BD68" s="7">
        <v>10</v>
      </c>
      <c r="BE68" s="7"/>
      <c r="BF68" s="7" t="e">
        <f t="shared" si="15"/>
        <v>#VALUE!</v>
      </c>
      <c r="BG68" s="28"/>
      <c r="BH68" s="7" t="e">
        <f t="shared" si="16"/>
        <v>#VALUE!</v>
      </c>
      <c r="BI68" s="28"/>
      <c r="BJ68" s="7" t="e">
        <f t="shared" si="17"/>
        <v>#VALUE!</v>
      </c>
      <c r="BK68" s="28"/>
      <c r="BL68" s="7"/>
      <c r="BM68" s="7"/>
      <c r="BN68" s="7" t="e">
        <f t="shared" si="18"/>
        <v>#VALUE!</v>
      </c>
      <c r="BO68" s="28"/>
      <c r="BP68" s="7" t="e">
        <f t="shared" si="19"/>
        <v>#VALUE!</v>
      </c>
      <c r="BQ68" s="28"/>
      <c r="BR68" s="7"/>
      <c r="BS68" s="7" t="e">
        <f t="shared" si="20"/>
        <v>#VALUE!</v>
      </c>
      <c r="BT68" s="28"/>
      <c r="BU68" s="7"/>
      <c r="BV68" s="7" t="e">
        <f ca="1">[1]!tメーカー名(BU68)</f>
        <v>#NAME?</v>
      </c>
      <c r="BW68" s="7" t="e">
        <f t="shared" si="21"/>
        <v>#VALUE!</v>
      </c>
      <c r="BX68" s="28"/>
      <c r="BY68" s="7" t="e">
        <f t="shared" si="22"/>
        <v>#VALUE!</v>
      </c>
      <c r="BZ68" s="28"/>
      <c r="CA68" s="54"/>
      <c r="CB68" s="54"/>
      <c r="CC68" s="7" t="e">
        <f t="shared" si="23"/>
        <v>#VALUE!</v>
      </c>
      <c r="CD68" s="28"/>
      <c r="CE68" s="7" t="e">
        <f t="shared" si="24"/>
        <v>#VALUE!</v>
      </c>
      <c r="CF68" s="28"/>
      <c r="CG68" s="7" t="e">
        <f t="shared" si="25"/>
        <v>#VALUE!</v>
      </c>
      <c r="CH68" s="28"/>
      <c r="CI68" s="7" t="e">
        <f t="shared" si="26"/>
        <v>#VALUE!</v>
      </c>
      <c r="CJ68" s="28"/>
      <c r="CK68" s="7"/>
      <c r="CL68" s="7"/>
      <c r="CM68" s="7"/>
      <c r="CN68" s="7"/>
      <c r="CO68" s="7"/>
      <c r="CP68" s="7"/>
      <c r="CQ68" s="7"/>
      <c r="CR68" s="7"/>
      <c r="CS68" s="126">
        <f t="shared" si="29"/>
        <v>0</v>
      </c>
      <c r="CT68" s="7"/>
      <c r="CU68" s="7"/>
    </row>
    <row r="69" spans="1:99">
      <c r="A69" s="7">
        <v>57</v>
      </c>
      <c r="B69" s="7"/>
      <c r="C69" s="7" t="e">
        <f t="shared" si="27"/>
        <v>#VALUE!</v>
      </c>
      <c r="D69" s="28"/>
      <c r="E69" s="7">
        <f t="shared" si="0"/>
        <v>0</v>
      </c>
      <c r="F69" s="7"/>
      <c r="G69" s="7">
        <f t="shared" si="1"/>
        <v>0</v>
      </c>
      <c r="H69" s="7"/>
      <c r="I69" s="7">
        <f t="shared" si="2"/>
        <v>0</v>
      </c>
      <c r="J69" s="7"/>
      <c r="K69" s="7">
        <f t="shared" si="3"/>
        <v>0</v>
      </c>
      <c r="L69" s="7"/>
      <c r="M69" s="7">
        <f t="shared" si="4"/>
        <v>0</v>
      </c>
      <c r="N69" s="7"/>
      <c r="O69" s="7"/>
      <c r="P69" s="7"/>
      <c r="Q69" s="53"/>
      <c r="R69" s="7"/>
      <c r="S69" s="7"/>
      <c r="T69" s="53"/>
      <c r="U69" s="7"/>
      <c r="V69" s="7" t="e">
        <f t="shared" si="31"/>
        <v>#VALUE!</v>
      </c>
      <c r="W69" s="28"/>
      <c r="X69" s="7" t="e">
        <f t="shared" si="31"/>
        <v>#VALUE!</v>
      </c>
      <c r="Y69" s="28"/>
      <c r="Z69" s="7" t="e">
        <f t="shared" si="7"/>
        <v>#VALUE!</v>
      </c>
      <c r="AA69" s="28"/>
      <c r="AB69" s="7"/>
      <c r="AC69" s="7"/>
      <c r="AD69" s="7"/>
      <c r="AE69" s="7"/>
      <c r="AF69" s="7">
        <v>0</v>
      </c>
      <c r="AG69" s="7" t="e">
        <f t="shared" si="8"/>
        <v>#VALUE!</v>
      </c>
      <c r="AH69" s="28"/>
      <c r="AI69" s="7"/>
      <c r="AJ69" s="7" t="e">
        <f t="shared" si="9"/>
        <v>#VALUE!</v>
      </c>
      <c r="AK69" s="28"/>
      <c r="AL69" s="7" t="e">
        <f t="shared" si="10"/>
        <v>#VALUE!</v>
      </c>
      <c r="AM69" s="28"/>
      <c r="AN69" s="7" t="e">
        <f t="shared" si="11"/>
        <v>#VALUE!</v>
      </c>
      <c r="AO69" s="28"/>
      <c r="AP69" s="7">
        <f t="shared" si="12"/>
        <v>2</v>
      </c>
      <c r="AQ69" s="28" t="s">
        <v>2301</v>
      </c>
      <c r="AR69" s="7"/>
      <c r="AS69" s="7"/>
      <c r="AT69" s="7"/>
      <c r="AU69" s="7"/>
      <c r="AV69" s="7" t="e">
        <f t="shared" si="13"/>
        <v>#VALUE!</v>
      </c>
      <c r="AW69" s="28"/>
      <c r="AX69" s="7">
        <v>0</v>
      </c>
      <c r="AY69" s="7" t="e">
        <f t="shared" si="14"/>
        <v>#VALUE!</v>
      </c>
      <c r="AZ69" s="28"/>
      <c r="BA69" s="7">
        <v>0</v>
      </c>
      <c r="BB69" s="7">
        <v>10</v>
      </c>
      <c r="BC69" s="7">
        <v>0</v>
      </c>
      <c r="BD69" s="7">
        <v>10</v>
      </c>
      <c r="BE69" s="7"/>
      <c r="BF69" s="7" t="e">
        <f t="shared" si="15"/>
        <v>#VALUE!</v>
      </c>
      <c r="BG69" s="28"/>
      <c r="BH69" s="7" t="e">
        <f t="shared" si="16"/>
        <v>#VALUE!</v>
      </c>
      <c r="BI69" s="28"/>
      <c r="BJ69" s="7" t="e">
        <f t="shared" si="17"/>
        <v>#VALUE!</v>
      </c>
      <c r="BK69" s="28"/>
      <c r="BL69" s="7"/>
      <c r="BM69" s="7"/>
      <c r="BN69" s="7" t="e">
        <f t="shared" si="18"/>
        <v>#VALUE!</v>
      </c>
      <c r="BO69" s="28"/>
      <c r="BP69" s="7" t="e">
        <f t="shared" si="19"/>
        <v>#VALUE!</v>
      </c>
      <c r="BQ69" s="28"/>
      <c r="BR69" s="7"/>
      <c r="BS69" s="7" t="e">
        <f t="shared" si="20"/>
        <v>#VALUE!</v>
      </c>
      <c r="BT69" s="28"/>
      <c r="BU69" s="7"/>
      <c r="BV69" s="7" t="e">
        <f ca="1">[1]!tメーカー名(BU69)</f>
        <v>#NAME?</v>
      </c>
      <c r="BW69" s="7" t="e">
        <f t="shared" si="21"/>
        <v>#VALUE!</v>
      </c>
      <c r="BX69" s="28"/>
      <c r="BY69" s="7" t="e">
        <f t="shared" si="22"/>
        <v>#VALUE!</v>
      </c>
      <c r="BZ69" s="28"/>
      <c r="CA69" s="54"/>
      <c r="CB69" s="54"/>
      <c r="CC69" s="7" t="e">
        <f t="shared" si="23"/>
        <v>#VALUE!</v>
      </c>
      <c r="CD69" s="28"/>
      <c r="CE69" s="7" t="e">
        <f t="shared" si="24"/>
        <v>#VALUE!</v>
      </c>
      <c r="CF69" s="28"/>
      <c r="CG69" s="7" t="e">
        <f t="shared" si="25"/>
        <v>#VALUE!</v>
      </c>
      <c r="CH69" s="28"/>
      <c r="CI69" s="7" t="e">
        <f t="shared" si="26"/>
        <v>#VALUE!</v>
      </c>
      <c r="CJ69" s="28"/>
      <c r="CK69" s="7"/>
      <c r="CL69" s="7"/>
      <c r="CM69" s="7"/>
      <c r="CN69" s="7"/>
      <c r="CO69" s="7"/>
      <c r="CP69" s="7"/>
      <c r="CQ69" s="7"/>
      <c r="CR69" s="7"/>
      <c r="CS69" s="126">
        <f t="shared" si="29"/>
        <v>0</v>
      </c>
      <c r="CT69" s="7"/>
      <c r="CU69" s="7"/>
    </row>
    <row r="70" spans="1:99">
      <c r="A70" s="7">
        <v>58</v>
      </c>
      <c r="B70" s="7"/>
      <c r="C70" s="7" t="e">
        <f t="shared" si="27"/>
        <v>#VALUE!</v>
      </c>
      <c r="D70" s="28"/>
      <c r="E70" s="7">
        <f t="shared" si="0"/>
        <v>0</v>
      </c>
      <c r="F70" s="7"/>
      <c r="G70" s="7">
        <f t="shared" si="1"/>
        <v>0</v>
      </c>
      <c r="H70" s="7"/>
      <c r="I70" s="7">
        <f t="shared" si="2"/>
        <v>0</v>
      </c>
      <c r="J70" s="7"/>
      <c r="K70" s="7">
        <f t="shared" si="3"/>
        <v>0</v>
      </c>
      <c r="L70" s="7"/>
      <c r="M70" s="7">
        <f t="shared" si="4"/>
        <v>0</v>
      </c>
      <c r="N70" s="7"/>
      <c r="O70" s="7"/>
      <c r="P70" s="7"/>
      <c r="Q70" s="53"/>
      <c r="R70" s="7"/>
      <c r="S70" s="7"/>
      <c r="T70" s="53"/>
      <c r="U70" s="7"/>
      <c r="V70" s="7" t="e">
        <f t="shared" si="31"/>
        <v>#VALUE!</v>
      </c>
      <c r="W70" s="28"/>
      <c r="X70" s="7" t="e">
        <f t="shared" si="31"/>
        <v>#VALUE!</v>
      </c>
      <c r="Y70" s="28"/>
      <c r="Z70" s="7" t="e">
        <f t="shared" si="7"/>
        <v>#VALUE!</v>
      </c>
      <c r="AA70" s="28"/>
      <c r="AB70" s="7"/>
      <c r="AC70" s="7"/>
      <c r="AD70" s="7"/>
      <c r="AE70" s="7"/>
      <c r="AF70" s="7">
        <v>0</v>
      </c>
      <c r="AG70" s="7" t="e">
        <f t="shared" si="8"/>
        <v>#VALUE!</v>
      </c>
      <c r="AH70" s="28"/>
      <c r="AI70" s="7"/>
      <c r="AJ70" s="7" t="e">
        <f t="shared" si="9"/>
        <v>#VALUE!</v>
      </c>
      <c r="AK70" s="28"/>
      <c r="AL70" s="7" t="e">
        <f t="shared" si="10"/>
        <v>#VALUE!</v>
      </c>
      <c r="AM70" s="28"/>
      <c r="AN70" s="7" t="e">
        <f t="shared" si="11"/>
        <v>#VALUE!</v>
      </c>
      <c r="AO70" s="28"/>
      <c r="AP70" s="7">
        <f t="shared" si="12"/>
        <v>2</v>
      </c>
      <c r="AQ70" s="28" t="s">
        <v>2301</v>
      </c>
      <c r="AR70" s="7"/>
      <c r="AS70" s="7"/>
      <c r="AT70" s="7"/>
      <c r="AU70" s="7"/>
      <c r="AV70" s="7" t="e">
        <f t="shared" si="13"/>
        <v>#VALUE!</v>
      </c>
      <c r="AW70" s="28"/>
      <c r="AX70" s="7">
        <v>0</v>
      </c>
      <c r="AY70" s="7" t="e">
        <f t="shared" si="14"/>
        <v>#VALUE!</v>
      </c>
      <c r="AZ70" s="28"/>
      <c r="BA70" s="7">
        <v>0</v>
      </c>
      <c r="BB70" s="7">
        <v>10</v>
      </c>
      <c r="BC70" s="7">
        <v>0</v>
      </c>
      <c r="BD70" s="7">
        <v>10</v>
      </c>
      <c r="BE70" s="7"/>
      <c r="BF70" s="7" t="e">
        <f t="shared" si="15"/>
        <v>#VALUE!</v>
      </c>
      <c r="BG70" s="28"/>
      <c r="BH70" s="7" t="e">
        <f t="shared" si="16"/>
        <v>#VALUE!</v>
      </c>
      <c r="BI70" s="28"/>
      <c r="BJ70" s="7" t="e">
        <f t="shared" si="17"/>
        <v>#VALUE!</v>
      </c>
      <c r="BK70" s="28"/>
      <c r="BL70" s="7"/>
      <c r="BM70" s="7"/>
      <c r="BN70" s="7" t="e">
        <f t="shared" si="18"/>
        <v>#VALUE!</v>
      </c>
      <c r="BO70" s="28"/>
      <c r="BP70" s="7" t="e">
        <f t="shared" si="19"/>
        <v>#VALUE!</v>
      </c>
      <c r="BQ70" s="28"/>
      <c r="BR70" s="7"/>
      <c r="BS70" s="7" t="e">
        <f t="shared" si="20"/>
        <v>#VALUE!</v>
      </c>
      <c r="BT70" s="28"/>
      <c r="BU70" s="7"/>
      <c r="BV70" s="7" t="e">
        <f ca="1">[1]!tメーカー名(BU70)</f>
        <v>#NAME?</v>
      </c>
      <c r="BW70" s="7" t="e">
        <f t="shared" si="21"/>
        <v>#VALUE!</v>
      </c>
      <c r="BX70" s="28"/>
      <c r="BY70" s="7" t="e">
        <f t="shared" si="22"/>
        <v>#VALUE!</v>
      </c>
      <c r="BZ70" s="28"/>
      <c r="CA70" s="54"/>
      <c r="CB70" s="54"/>
      <c r="CC70" s="7" t="e">
        <f t="shared" si="23"/>
        <v>#VALUE!</v>
      </c>
      <c r="CD70" s="28"/>
      <c r="CE70" s="7" t="e">
        <f t="shared" si="24"/>
        <v>#VALUE!</v>
      </c>
      <c r="CF70" s="28"/>
      <c r="CG70" s="7" t="e">
        <f t="shared" si="25"/>
        <v>#VALUE!</v>
      </c>
      <c r="CH70" s="28"/>
      <c r="CI70" s="7" t="e">
        <f t="shared" si="26"/>
        <v>#VALUE!</v>
      </c>
      <c r="CJ70" s="28"/>
      <c r="CK70" s="7"/>
      <c r="CL70" s="7"/>
      <c r="CM70" s="7"/>
      <c r="CN70" s="7"/>
      <c r="CO70" s="7"/>
      <c r="CP70" s="7"/>
      <c r="CQ70" s="7"/>
      <c r="CR70" s="7"/>
      <c r="CS70" s="126">
        <f t="shared" si="29"/>
        <v>0</v>
      </c>
      <c r="CT70" s="7"/>
      <c r="CU70" s="7"/>
    </row>
    <row r="71" spans="1:99">
      <c r="A71" s="7">
        <v>59</v>
      </c>
      <c r="B71" s="7"/>
      <c r="C71" s="7" t="e">
        <f t="shared" si="27"/>
        <v>#VALUE!</v>
      </c>
      <c r="D71" s="28"/>
      <c r="E71" s="7">
        <f t="shared" si="0"/>
        <v>0</v>
      </c>
      <c r="F71" s="7"/>
      <c r="G71" s="7">
        <f t="shared" si="1"/>
        <v>0</v>
      </c>
      <c r="H71" s="7"/>
      <c r="I71" s="7">
        <f t="shared" si="2"/>
        <v>0</v>
      </c>
      <c r="J71" s="7"/>
      <c r="K71" s="7">
        <f t="shared" si="3"/>
        <v>0</v>
      </c>
      <c r="L71" s="7"/>
      <c r="M71" s="7">
        <f t="shared" si="4"/>
        <v>0</v>
      </c>
      <c r="N71" s="7"/>
      <c r="O71" s="7"/>
      <c r="P71" s="7"/>
      <c r="Q71" s="53"/>
      <c r="R71" s="7"/>
      <c r="S71" s="7"/>
      <c r="T71" s="53"/>
      <c r="U71" s="7"/>
      <c r="V71" s="7" t="e">
        <f t="shared" si="31"/>
        <v>#VALUE!</v>
      </c>
      <c r="W71" s="28"/>
      <c r="X71" s="7" t="e">
        <f t="shared" si="31"/>
        <v>#VALUE!</v>
      </c>
      <c r="Y71" s="28"/>
      <c r="Z71" s="7" t="e">
        <f t="shared" si="7"/>
        <v>#VALUE!</v>
      </c>
      <c r="AA71" s="28"/>
      <c r="AB71" s="7"/>
      <c r="AC71" s="7"/>
      <c r="AD71" s="7"/>
      <c r="AE71" s="7"/>
      <c r="AF71" s="7">
        <v>0</v>
      </c>
      <c r="AG71" s="7" t="e">
        <f t="shared" si="8"/>
        <v>#VALUE!</v>
      </c>
      <c r="AH71" s="28"/>
      <c r="AI71" s="7"/>
      <c r="AJ71" s="7" t="e">
        <f t="shared" si="9"/>
        <v>#VALUE!</v>
      </c>
      <c r="AK71" s="28"/>
      <c r="AL71" s="7" t="e">
        <f t="shared" si="10"/>
        <v>#VALUE!</v>
      </c>
      <c r="AM71" s="28"/>
      <c r="AN71" s="7" t="e">
        <f t="shared" si="11"/>
        <v>#VALUE!</v>
      </c>
      <c r="AO71" s="28"/>
      <c r="AP71" s="7">
        <f t="shared" si="12"/>
        <v>2</v>
      </c>
      <c r="AQ71" s="28" t="s">
        <v>2301</v>
      </c>
      <c r="AR71" s="7"/>
      <c r="AS71" s="7"/>
      <c r="AT71" s="7"/>
      <c r="AU71" s="7"/>
      <c r="AV71" s="7" t="e">
        <f t="shared" si="13"/>
        <v>#VALUE!</v>
      </c>
      <c r="AW71" s="28"/>
      <c r="AX71" s="7">
        <v>0</v>
      </c>
      <c r="AY71" s="7" t="e">
        <f t="shared" si="14"/>
        <v>#VALUE!</v>
      </c>
      <c r="AZ71" s="28"/>
      <c r="BA71" s="7">
        <v>0</v>
      </c>
      <c r="BB71" s="7">
        <v>10</v>
      </c>
      <c r="BC71" s="7">
        <v>0</v>
      </c>
      <c r="BD71" s="7">
        <v>10</v>
      </c>
      <c r="BE71" s="7"/>
      <c r="BF71" s="7" t="e">
        <f t="shared" si="15"/>
        <v>#VALUE!</v>
      </c>
      <c r="BG71" s="28"/>
      <c r="BH71" s="7" t="e">
        <f t="shared" si="16"/>
        <v>#VALUE!</v>
      </c>
      <c r="BI71" s="28"/>
      <c r="BJ71" s="7" t="e">
        <f t="shared" si="17"/>
        <v>#VALUE!</v>
      </c>
      <c r="BK71" s="28"/>
      <c r="BL71" s="7"/>
      <c r="BM71" s="7"/>
      <c r="BN71" s="7" t="e">
        <f t="shared" si="18"/>
        <v>#VALUE!</v>
      </c>
      <c r="BO71" s="28"/>
      <c r="BP71" s="7" t="e">
        <f t="shared" si="19"/>
        <v>#VALUE!</v>
      </c>
      <c r="BQ71" s="28"/>
      <c r="BR71" s="7"/>
      <c r="BS71" s="7" t="e">
        <f t="shared" si="20"/>
        <v>#VALUE!</v>
      </c>
      <c r="BT71" s="28"/>
      <c r="BU71" s="7"/>
      <c r="BV71" s="7" t="e">
        <f ca="1">[1]!tメーカー名(BU71)</f>
        <v>#NAME?</v>
      </c>
      <c r="BW71" s="7" t="e">
        <f t="shared" si="21"/>
        <v>#VALUE!</v>
      </c>
      <c r="BX71" s="28"/>
      <c r="BY71" s="7" t="e">
        <f t="shared" si="22"/>
        <v>#VALUE!</v>
      </c>
      <c r="BZ71" s="28"/>
      <c r="CA71" s="54"/>
      <c r="CB71" s="54"/>
      <c r="CC71" s="7" t="e">
        <f t="shared" si="23"/>
        <v>#VALUE!</v>
      </c>
      <c r="CD71" s="28"/>
      <c r="CE71" s="7" t="e">
        <f t="shared" si="24"/>
        <v>#VALUE!</v>
      </c>
      <c r="CF71" s="28"/>
      <c r="CG71" s="7" t="e">
        <f t="shared" si="25"/>
        <v>#VALUE!</v>
      </c>
      <c r="CH71" s="28"/>
      <c r="CI71" s="7" t="e">
        <f t="shared" si="26"/>
        <v>#VALUE!</v>
      </c>
      <c r="CJ71" s="28"/>
      <c r="CK71" s="7"/>
      <c r="CL71" s="7"/>
      <c r="CM71" s="7"/>
      <c r="CN71" s="7"/>
      <c r="CO71" s="7"/>
      <c r="CP71" s="7"/>
      <c r="CQ71" s="7"/>
      <c r="CR71" s="7"/>
      <c r="CS71" s="126">
        <f t="shared" si="29"/>
        <v>0</v>
      </c>
      <c r="CT71" s="7"/>
      <c r="CU71" s="7"/>
    </row>
    <row r="72" spans="1:99">
      <c r="A72" s="7">
        <v>60</v>
      </c>
      <c r="B72" s="7"/>
      <c r="C72" s="7" t="e">
        <f t="shared" si="27"/>
        <v>#VALUE!</v>
      </c>
      <c r="D72" s="28"/>
      <c r="E72" s="7">
        <f t="shared" si="0"/>
        <v>0</v>
      </c>
      <c r="F72" s="9"/>
      <c r="G72" s="7">
        <f t="shared" si="1"/>
        <v>0</v>
      </c>
      <c r="H72" s="7"/>
      <c r="I72" s="7">
        <f t="shared" si="2"/>
        <v>0</v>
      </c>
      <c r="J72" s="7"/>
      <c r="K72" s="7">
        <f t="shared" si="3"/>
        <v>0</v>
      </c>
      <c r="L72" s="7"/>
      <c r="M72" s="7">
        <f t="shared" si="4"/>
        <v>0</v>
      </c>
      <c r="N72" s="7"/>
      <c r="O72" s="7"/>
      <c r="P72" s="7"/>
      <c r="Q72" s="53"/>
      <c r="R72" s="7"/>
      <c r="S72" s="7"/>
      <c r="T72" s="53"/>
      <c r="U72" s="7"/>
      <c r="V72" s="7" t="e">
        <f t="shared" si="31"/>
        <v>#VALUE!</v>
      </c>
      <c r="W72" s="28"/>
      <c r="X72" s="7" t="e">
        <f t="shared" si="31"/>
        <v>#VALUE!</v>
      </c>
      <c r="Y72" s="28"/>
      <c r="Z72" s="7" t="e">
        <f t="shared" si="7"/>
        <v>#VALUE!</v>
      </c>
      <c r="AA72" s="28"/>
      <c r="AB72" s="7"/>
      <c r="AC72" s="7"/>
      <c r="AD72" s="7"/>
      <c r="AE72" s="7"/>
      <c r="AF72" s="7">
        <v>0</v>
      </c>
      <c r="AG72" s="7" t="e">
        <f t="shared" si="8"/>
        <v>#VALUE!</v>
      </c>
      <c r="AH72" s="28"/>
      <c r="AI72" s="7"/>
      <c r="AJ72" s="7" t="e">
        <f t="shared" si="9"/>
        <v>#VALUE!</v>
      </c>
      <c r="AK72" s="28"/>
      <c r="AL72" s="7" t="e">
        <f t="shared" si="10"/>
        <v>#VALUE!</v>
      </c>
      <c r="AM72" s="28"/>
      <c r="AN72" s="7" t="e">
        <f t="shared" si="11"/>
        <v>#VALUE!</v>
      </c>
      <c r="AO72" s="28"/>
      <c r="AP72" s="7">
        <f t="shared" si="12"/>
        <v>2</v>
      </c>
      <c r="AQ72" s="28" t="s">
        <v>2301</v>
      </c>
      <c r="AR72" s="7"/>
      <c r="AS72" s="7"/>
      <c r="AT72" s="7"/>
      <c r="AU72" s="7"/>
      <c r="AV72" s="7" t="e">
        <f t="shared" si="13"/>
        <v>#VALUE!</v>
      </c>
      <c r="AW72" s="28"/>
      <c r="AX72" s="7">
        <v>0</v>
      </c>
      <c r="AY72" s="7" t="e">
        <f t="shared" si="14"/>
        <v>#VALUE!</v>
      </c>
      <c r="AZ72" s="28"/>
      <c r="BA72" s="7">
        <v>0</v>
      </c>
      <c r="BB72" s="7">
        <v>10</v>
      </c>
      <c r="BC72" s="7">
        <v>0</v>
      </c>
      <c r="BD72" s="7">
        <v>10</v>
      </c>
      <c r="BE72" s="7"/>
      <c r="BF72" s="7" t="e">
        <f t="shared" si="15"/>
        <v>#VALUE!</v>
      </c>
      <c r="BG72" s="28"/>
      <c r="BH72" s="7" t="e">
        <f t="shared" si="16"/>
        <v>#VALUE!</v>
      </c>
      <c r="BI72" s="28"/>
      <c r="BJ72" s="7" t="e">
        <f t="shared" si="17"/>
        <v>#VALUE!</v>
      </c>
      <c r="BK72" s="28"/>
      <c r="BL72" s="7"/>
      <c r="BM72" s="7"/>
      <c r="BN72" s="7" t="e">
        <f t="shared" si="18"/>
        <v>#VALUE!</v>
      </c>
      <c r="BO72" s="28"/>
      <c r="BP72" s="7" t="e">
        <f t="shared" si="19"/>
        <v>#VALUE!</v>
      </c>
      <c r="BQ72" s="28"/>
      <c r="BR72" s="7"/>
      <c r="BS72" s="7" t="e">
        <f t="shared" si="20"/>
        <v>#VALUE!</v>
      </c>
      <c r="BT72" s="28"/>
      <c r="BU72" s="7"/>
      <c r="BV72" s="7" t="e">
        <f ca="1">[1]!tメーカー名(BU72)</f>
        <v>#NAME?</v>
      </c>
      <c r="BW72" s="7" t="e">
        <f t="shared" si="21"/>
        <v>#VALUE!</v>
      </c>
      <c r="BX72" s="28"/>
      <c r="BY72" s="7" t="e">
        <f t="shared" si="22"/>
        <v>#VALUE!</v>
      </c>
      <c r="BZ72" s="28"/>
      <c r="CA72" s="54"/>
      <c r="CB72" s="54"/>
      <c r="CC72" s="7" t="e">
        <f t="shared" si="23"/>
        <v>#VALUE!</v>
      </c>
      <c r="CD72" s="28"/>
      <c r="CE72" s="7" t="e">
        <f t="shared" si="24"/>
        <v>#VALUE!</v>
      </c>
      <c r="CF72" s="28"/>
      <c r="CG72" s="7" t="e">
        <f t="shared" si="25"/>
        <v>#VALUE!</v>
      </c>
      <c r="CH72" s="28"/>
      <c r="CI72" s="7" t="e">
        <f t="shared" si="26"/>
        <v>#VALUE!</v>
      </c>
      <c r="CJ72" s="28"/>
      <c r="CK72" s="7"/>
      <c r="CL72" s="7"/>
      <c r="CM72" s="7"/>
      <c r="CN72" s="7"/>
      <c r="CO72" s="7"/>
      <c r="CP72" s="7"/>
      <c r="CQ72" s="7"/>
      <c r="CR72" s="7"/>
      <c r="CS72" s="126">
        <f t="shared" si="29"/>
        <v>0</v>
      </c>
      <c r="CT72" s="7"/>
      <c r="CU72" s="7"/>
    </row>
    <row r="73" spans="1:99">
      <c r="A73" s="7">
        <v>61</v>
      </c>
      <c r="B73" s="7"/>
      <c r="C73" s="7" t="e">
        <f t="shared" si="27"/>
        <v>#VALUE!</v>
      </c>
      <c r="D73" s="28"/>
      <c r="E73" s="7">
        <f t="shared" si="0"/>
        <v>0</v>
      </c>
      <c r="F73" s="7"/>
      <c r="G73" s="7">
        <f t="shared" si="1"/>
        <v>0</v>
      </c>
      <c r="H73" s="7"/>
      <c r="I73" s="7">
        <f t="shared" si="2"/>
        <v>0</v>
      </c>
      <c r="J73" s="7"/>
      <c r="K73" s="7">
        <f t="shared" si="3"/>
        <v>0</v>
      </c>
      <c r="L73" s="7"/>
      <c r="M73" s="7">
        <f t="shared" si="4"/>
        <v>0</v>
      </c>
      <c r="N73" s="7"/>
      <c r="O73" s="7"/>
      <c r="P73" s="7"/>
      <c r="Q73" s="53"/>
      <c r="R73" s="7"/>
      <c r="S73" s="7"/>
      <c r="T73" s="53"/>
      <c r="U73" s="7"/>
      <c r="V73" s="7" t="e">
        <f t="shared" si="31"/>
        <v>#VALUE!</v>
      </c>
      <c r="W73" s="28"/>
      <c r="X73" s="7" t="e">
        <f t="shared" si="31"/>
        <v>#VALUE!</v>
      </c>
      <c r="Y73" s="28"/>
      <c r="Z73" s="7" t="e">
        <f t="shared" si="7"/>
        <v>#VALUE!</v>
      </c>
      <c r="AA73" s="28"/>
      <c r="AB73" s="7"/>
      <c r="AC73" s="7"/>
      <c r="AD73" s="7"/>
      <c r="AE73" s="7"/>
      <c r="AF73" s="7">
        <v>0</v>
      </c>
      <c r="AG73" s="7" t="e">
        <f t="shared" si="8"/>
        <v>#VALUE!</v>
      </c>
      <c r="AH73" s="28"/>
      <c r="AI73" s="7"/>
      <c r="AJ73" s="7" t="e">
        <f t="shared" si="9"/>
        <v>#VALUE!</v>
      </c>
      <c r="AK73" s="28"/>
      <c r="AL73" s="7" t="e">
        <f t="shared" si="10"/>
        <v>#VALUE!</v>
      </c>
      <c r="AM73" s="28"/>
      <c r="AN73" s="7" t="e">
        <f t="shared" si="11"/>
        <v>#VALUE!</v>
      </c>
      <c r="AO73" s="28"/>
      <c r="AP73" s="7">
        <f t="shared" si="12"/>
        <v>2</v>
      </c>
      <c r="AQ73" s="28" t="s">
        <v>2301</v>
      </c>
      <c r="AR73" s="7"/>
      <c r="AS73" s="7"/>
      <c r="AT73" s="7"/>
      <c r="AU73" s="7"/>
      <c r="AV73" s="7" t="e">
        <f t="shared" si="13"/>
        <v>#VALUE!</v>
      </c>
      <c r="AW73" s="28"/>
      <c r="AX73" s="7">
        <v>0</v>
      </c>
      <c r="AY73" s="7" t="e">
        <f t="shared" si="14"/>
        <v>#VALUE!</v>
      </c>
      <c r="AZ73" s="28"/>
      <c r="BA73" s="7">
        <v>0</v>
      </c>
      <c r="BB73" s="7">
        <v>10</v>
      </c>
      <c r="BC73" s="7">
        <v>0</v>
      </c>
      <c r="BD73" s="7">
        <v>10</v>
      </c>
      <c r="BE73" s="7"/>
      <c r="BF73" s="7" t="e">
        <f t="shared" si="15"/>
        <v>#VALUE!</v>
      </c>
      <c r="BG73" s="28"/>
      <c r="BH73" s="7" t="e">
        <f t="shared" si="16"/>
        <v>#VALUE!</v>
      </c>
      <c r="BI73" s="28"/>
      <c r="BJ73" s="7" t="e">
        <f t="shared" si="17"/>
        <v>#VALUE!</v>
      </c>
      <c r="BK73" s="28"/>
      <c r="BL73" s="7"/>
      <c r="BM73" s="7"/>
      <c r="BN73" s="7" t="e">
        <f t="shared" si="18"/>
        <v>#VALUE!</v>
      </c>
      <c r="BO73" s="28"/>
      <c r="BP73" s="7" t="e">
        <f t="shared" si="19"/>
        <v>#VALUE!</v>
      </c>
      <c r="BQ73" s="28"/>
      <c r="BR73" s="7"/>
      <c r="BS73" s="7" t="e">
        <f t="shared" si="20"/>
        <v>#VALUE!</v>
      </c>
      <c r="BT73" s="28"/>
      <c r="BU73" s="7"/>
      <c r="BV73" s="7" t="e">
        <f ca="1">[1]!tメーカー名(BU73)</f>
        <v>#NAME?</v>
      </c>
      <c r="BW73" s="7" t="e">
        <f t="shared" si="21"/>
        <v>#VALUE!</v>
      </c>
      <c r="BX73" s="28"/>
      <c r="BY73" s="7" t="e">
        <f t="shared" si="22"/>
        <v>#VALUE!</v>
      </c>
      <c r="BZ73" s="28"/>
      <c r="CA73" s="54"/>
      <c r="CB73" s="54"/>
      <c r="CC73" s="7" t="e">
        <f t="shared" si="23"/>
        <v>#VALUE!</v>
      </c>
      <c r="CD73" s="28"/>
      <c r="CE73" s="7" t="e">
        <f t="shared" si="24"/>
        <v>#VALUE!</v>
      </c>
      <c r="CF73" s="28"/>
      <c r="CG73" s="7" t="e">
        <f t="shared" si="25"/>
        <v>#VALUE!</v>
      </c>
      <c r="CH73" s="28"/>
      <c r="CI73" s="7" t="e">
        <f t="shared" si="26"/>
        <v>#VALUE!</v>
      </c>
      <c r="CJ73" s="28"/>
      <c r="CK73" s="7"/>
      <c r="CL73" s="7"/>
      <c r="CM73" s="7"/>
      <c r="CN73" s="7"/>
      <c r="CO73" s="7"/>
      <c r="CP73" s="7"/>
      <c r="CQ73" s="7"/>
      <c r="CR73" s="7"/>
      <c r="CS73" s="126">
        <f t="shared" si="29"/>
        <v>0</v>
      </c>
      <c r="CT73" s="7"/>
      <c r="CU73" s="7"/>
    </row>
    <row r="74" spans="1:99">
      <c r="A74" s="7">
        <v>62</v>
      </c>
      <c r="B74" s="7"/>
      <c r="C74" s="7" t="e">
        <f t="shared" si="27"/>
        <v>#VALUE!</v>
      </c>
      <c r="D74" s="28"/>
      <c r="E74" s="7">
        <f t="shared" si="0"/>
        <v>0</v>
      </c>
      <c r="F74" s="7"/>
      <c r="G74" s="7">
        <f t="shared" si="1"/>
        <v>0</v>
      </c>
      <c r="H74" s="7"/>
      <c r="I74" s="7">
        <f t="shared" si="2"/>
        <v>0</v>
      </c>
      <c r="J74" s="7"/>
      <c r="K74" s="7">
        <f t="shared" si="3"/>
        <v>0</v>
      </c>
      <c r="L74" s="7"/>
      <c r="M74" s="7">
        <f t="shared" si="4"/>
        <v>0</v>
      </c>
      <c r="N74" s="7"/>
      <c r="O74" s="7"/>
      <c r="P74" s="7"/>
      <c r="Q74" s="53"/>
      <c r="R74" s="7"/>
      <c r="S74" s="7"/>
      <c r="T74" s="53"/>
      <c r="U74" s="7"/>
      <c r="V74" s="7" t="e">
        <f t="shared" si="31"/>
        <v>#VALUE!</v>
      </c>
      <c r="W74" s="28"/>
      <c r="X74" s="7" t="e">
        <f t="shared" si="31"/>
        <v>#VALUE!</v>
      </c>
      <c r="Y74" s="28"/>
      <c r="Z74" s="7" t="e">
        <f t="shared" si="7"/>
        <v>#VALUE!</v>
      </c>
      <c r="AA74" s="28"/>
      <c r="AB74" s="7"/>
      <c r="AC74" s="7"/>
      <c r="AD74" s="7"/>
      <c r="AE74" s="7"/>
      <c r="AF74" s="7">
        <v>0</v>
      </c>
      <c r="AG74" s="7" t="e">
        <f t="shared" si="8"/>
        <v>#VALUE!</v>
      </c>
      <c r="AH74" s="28"/>
      <c r="AI74" s="7"/>
      <c r="AJ74" s="7" t="e">
        <f t="shared" si="9"/>
        <v>#VALUE!</v>
      </c>
      <c r="AK74" s="28"/>
      <c r="AL74" s="7" t="e">
        <f t="shared" si="10"/>
        <v>#VALUE!</v>
      </c>
      <c r="AM74" s="28"/>
      <c r="AN74" s="7" t="e">
        <f t="shared" si="11"/>
        <v>#VALUE!</v>
      </c>
      <c r="AO74" s="28"/>
      <c r="AP74" s="7">
        <f t="shared" si="12"/>
        <v>2</v>
      </c>
      <c r="AQ74" s="28" t="s">
        <v>2301</v>
      </c>
      <c r="AR74" s="7"/>
      <c r="AS74" s="7"/>
      <c r="AT74" s="7"/>
      <c r="AU74" s="7"/>
      <c r="AV74" s="7" t="e">
        <f t="shared" si="13"/>
        <v>#VALUE!</v>
      </c>
      <c r="AW74" s="28"/>
      <c r="AX74" s="7">
        <v>0</v>
      </c>
      <c r="AY74" s="7" t="e">
        <f t="shared" si="14"/>
        <v>#VALUE!</v>
      </c>
      <c r="AZ74" s="28"/>
      <c r="BA74" s="7">
        <v>0</v>
      </c>
      <c r="BB74" s="7">
        <v>10</v>
      </c>
      <c r="BC74" s="7">
        <v>0</v>
      </c>
      <c r="BD74" s="7">
        <v>10</v>
      </c>
      <c r="BE74" s="7"/>
      <c r="BF74" s="7" t="e">
        <f t="shared" si="15"/>
        <v>#VALUE!</v>
      </c>
      <c r="BG74" s="28"/>
      <c r="BH74" s="7" t="e">
        <f t="shared" si="16"/>
        <v>#VALUE!</v>
      </c>
      <c r="BI74" s="28"/>
      <c r="BJ74" s="7" t="e">
        <f t="shared" si="17"/>
        <v>#VALUE!</v>
      </c>
      <c r="BK74" s="28"/>
      <c r="BL74" s="7"/>
      <c r="BM74" s="7"/>
      <c r="BN74" s="7" t="e">
        <f t="shared" si="18"/>
        <v>#VALUE!</v>
      </c>
      <c r="BO74" s="28"/>
      <c r="BP74" s="7" t="e">
        <f t="shared" si="19"/>
        <v>#VALUE!</v>
      </c>
      <c r="BQ74" s="28"/>
      <c r="BR74" s="7"/>
      <c r="BS74" s="7" t="e">
        <f t="shared" si="20"/>
        <v>#VALUE!</v>
      </c>
      <c r="BT74" s="28"/>
      <c r="BU74" s="7"/>
      <c r="BV74" s="7" t="e">
        <f ca="1">[1]!tメーカー名(BU74)</f>
        <v>#NAME?</v>
      </c>
      <c r="BW74" s="7" t="e">
        <f t="shared" si="21"/>
        <v>#VALUE!</v>
      </c>
      <c r="BX74" s="28"/>
      <c r="BY74" s="7" t="e">
        <f t="shared" si="22"/>
        <v>#VALUE!</v>
      </c>
      <c r="BZ74" s="28"/>
      <c r="CA74" s="54"/>
      <c r="CB74" s="54"/>
      <c r="CC74" s="7" t="e">
        <f t="shared" si="23"/>
        <v>#VALUE!</v>
      </c>
      <c r="CD74" s="28"/>
      <c r="CE74" s="7" t="e">
        <f t="shared" si="24"/>
        <v>#VALUE!</v>
      </c>
      <c r="CF74" s="28"/>
      <c r="CG74" s="7" t="e">
        <f t="shared" si="25"/>
        <v>#VALUE!</v>
      </c>
      <c r="CH74" s="28"/>
      <c r="CI74" s="7" t="e">
        <f t="shared" si="26"/>
        <v>#VALUE!</v>
      </c>
      <c r="CJ74" s="28"/>
      <c r="CK74" s="7"/>
      <c r="CL74" s="7"/>
      <c r="CM74" s="7"/>
      <c r="CN74" s="7"/>
      <c r="CO74" s="7"/>
      <c r="CP74" s="7"/>
      <c r="CQ74" s="7"/>
      <c r="CR74" s="7"/>
      <c r="CS74" s="126">
        <f t="shared" si="29"/>
        <v>0</v>
      </c>
      <c r="CT74" s="7"/>
      <c r="CU74" s="7"/>
    </row>
    <row r="75" spans="1:99">
      <c r="A75" s="7">
        <v>63</v>
      </c>
      <c r="B75" s="7"/>
      <c r="C75" s="7" t="e">
        <f t="shared" si="27"/>
        <v>#VALUE!</v>
      </c>
      <c r="D75" s="28"/>
      <c r="E75" s="7">
        <f t="shared" si="0"/>
        <v>0</v>
      </c>
      <c r="F75" s="7"/>
      <c r="G75" s="7">
        <f t="shared" si="1"/>
        <v>0</v>
      </c>
      <c r="H75" s="7"/>
      <c r="I75" s="7">
        <f t="shared" si="2"/>
        <v>0</v>
      </c>
      <c r="J75" s="7"/>
      <c r="K75" s="7">
        <f t="shared" si="3"/>
        <v>0</v>
      </c>
      <c r="L75" s="7"/>
      <c r="M75" s="7">
        <f t="shared" si="4"/>
        <v>0</v>
      </c>
      <c r="N75" s="7"/>
      <c r="O75" s="7"/>
      <c r="P75" s="7"/>
      <c r="Q75" s="53"/>
      <c r="R75" s="7"/>
      <c r="S75" s="7"/>
      <c r="T75" s="53"/>
      <c r="U75" s="7"/>
      <c r="V75" s="7" t="e">
        <f t="shared" si="31"/>
        <v>#VALUE!</v>
      </c>
      <c r="W75" s="28"/>
      <c r="X75" s="7" t="e">
        <f t="shared" si="31"/>
        <v>#VALUE!</v>
      </c>
      <c r="Y75" s="28"/>
      <c r="Z75" s="7" t="e">
        <f t="shared" si="7"/>
        <v>#VALUE!</v>
      </c>
      <c r="AA75" s="28"/>
      <c r="AB75" s="7"/>
      <c r="AC75" s="7"/>
      <c r="AD75" s="7"/>
      <c r="AE75" s="7"/>
      <c r="AF75" s="7">
        <v>0</v>
      </c>
      <c r="AG75" s="7" t="e">
        <f t="shared" si="8"/>
        <v>#VALUE!</v>
      </c>
      <c r="AH75" s="28"/>
      <c r="AI75" s="7"/>
      <c r="AJ75" s="7" t="e">
        <f t="shared" si="9"/>
        <v>#VALUE!</v>
      </c>
      <c r="AK75" s="28"/>
      <c r="AL75" s="7" t="e">
        <f t="shared" si="10"/>
        <v>#VALUE!</v>
      </c>
      <c r="AM75" s="28"/>
      <c r="AN75" s="7" t="e">
        <f t="shared" si="11"/>
        <v>#VALUE!</v>
      </c>
      <c r="AO75" s="28"/>
      <c r="AP75" s="7">
        <f t="shared" si="12"/>
        <v>2</v>
      </c>
      <c r="AQ75" s="28" t="s">
        <v>2301</v>
      </c>
      <c r="AR75" s="7"/>
      <c r="AS75" s="7"/>
      <c r="AT75" s="7"/>
      <c r="AU75" s="7"/>
      <c r="AV75" s="7" t="e">
        <f t="shared" si="13"/>
        <v>#VALUE!</v>
      </c>
      <c r="AW75" s="28"/>
      <c r="AX75" s="7">
        <v>0</v>
      </c>
      <c r="AY75" s="7" t="e">
        <f t="shared" si="14"/>
        <v>#VALUE!</v>
      </c>
      <c r="AZ75" s="28"/>
      <c r="BA75" s="7">
        <v>0</v>
      </c>
      <c r="BB75" s="7">
        <v>10</v>
      </c>
      <c r="BC75" s="7">
        <v>0</v>
      </c>
      <c r="BD75" s="7">
        <v>10</v>
      </c>
      <c r="BE75" s="7"/>
      <c r="BF75" s="7" t="e">
        <f t="shared" si="15"/>
        <v>#VALUE!</v>
      </c>
      <c r="BG75" s="28"/>
      <c r="BH75" s="7" t="e">
        <f t="shared" si="16"/>
        <v>#VALUE!</v>
      </c>
      <c r="BI75" s="28"/>
      <c r="BJ75" s="7" t="e">
        <f t="shared" si="17"/>
        <v>#VALUE!</v>
      </c>
      <c r="BK75" s="28"/>
      <c r="BL75" s="7"/>
      <c r="BM75" s="7"/>
      <c r="BN75" s="7" t="e">
        <f t="shared" si="18"/>
        <v>#VALUE!</v>
      </c>
      <c r="BO75" s="28"/>
      <c r="BP75" s="7" t="e">
        <f t="shared" si="19"/>
        <v>#VALUE!</v>
      </c>
      <c r="BQ75" s="28"/>
      <c r="BR75" s="7"/>
      <c r="BS75" s="7" t="e">
        <f t="shared" si="20"/>
        <v>#VALUE!</v>
      </c>
      <c r="BT75" s="28"/>
      <c r="BU75" s="7"/>
      <c r="BV75" s="7" t="e">
        <f ca="1">[1]!tメーカー名(BU75)</f>
        <v>#NAME?</v>
      </c>
      <c r="BW75" s="7" t="e">
        <f t="shared" si="21"/>
        <v>#VALUE!</v>
      </c>
      <c r="BX75" s="28"/>
      <c r="BY75" s="7" t="e">
        <f t="shared" si="22"/>
        <v>#VALUE!</v>
      </c>
      <c r="BZ75" s="28"/>
      <c r="CA75" s="54"/>
      <c r="CB75" s="54"/>
      <c r="CC75" s="7" t="e">
        <f t="shared" si="23"/>
        <v>#VALUE!</v>
      </c>
      <c r="CD75" s="28"/>
      <c r="CE75" s="7" t="e">
        <f t="shared" si="24"/>
        <v>#VALUE!</v>
      </c>
      <c r="CF75" s="28"/>
      <c r="CG75" s="7" t="e">
        <f t="shared" si="25"/>
        <v>#VALUE!</v>
      </c>
      <c r="CH75" s="28"/>
      <c r="CI75" s="7" t="e">
        <f t="shared" si="26"/>
        <v>#VALUE!</v>
      </c>
      <c r="CJ75" s="28"/>
      <c r="CK75" s="7"/>
      <c r="CL75" s="7"/>
      <c r="CM75" s="7"/>
      <c r="CN75" s="7"/>
      <c r="CO75" s="7"/>
      <c r="CP75" s="7"/>
      <c r="CQ75" s="7"/>
      <c r="CR75" s="7"/>
      <c r="CS75" s="126">
        <f t="shared" si="29"/>
        <v>0</v>
      </c>
      <c r="CT75" s="7"/>
      <c r="CU75" s="7"/>
    </row>
    <row r="76" spans="1:99">
      <c r="A76" s="7">
        <v>64</v>
      </c>
      <c r="B76" s="7"/>
      <c r="C76" s="7" t="e">
        <f t="shared" si="27"/>
        <v>#VALUE!</v>
      </c>
      <c r="D76" s="28"/>
      <c r="E76" s="7">
        <f t="shared" si="0"/>
        <v>0</v>
      </c>
      <c r="F76" s="7"/>
      <c r="G76" s="7">
        <f t="shared" si="1"/>
        <v>0</v>
      </c>
      <c r="H76" s="7"/>
      <c r="I76" s="7">
        <f t="shared" si="2"/>
        <v>0</v>
      </c>
      <c r="J76" s="7"/>
      <c r="K76" s="7">
        <f t="shared" si="3"/>
        <v>0</v>
      </c>
      <c r="L76" s="7"/>
      <c r="M76" s="7">
        <f t="shared" si="4"/>
        <v>0</v>
      </c>
      <c r="N76" s="7"/>
      <c r="O76" s="7"/>
      <c r="P76" s="7"/>
      <c r="Q76" s="53"/>
      <c r="R76" s="7"/>
      <c r="S76" s="7"/>
      <c r="T76" s="53"/>
      <c r="U76" s="7"/>
      <c r="V76" s="7" t="e">
        <f t="shared" si="31"/>
        <v>#VALUE!</v>
      </c>
      <c r="W76" s="28"/>
      <c r="X76" s="7" t="e">
        <f t="shared" si="31"/>
        <v>#VALUE!</v>
      </c>
      <c r="Y76" s="28"/>
      <c r="Z76" s="7" t="e">
        <f t="shared" si="7"/>
        <v>#VALUE!</v>
      </c>
      <c r="AA76" s="28"/>
      <c r="AB76" s="7"/>
      <c r="AC76" s="7"/>
      <c r="AD76" s="7"/>
      <c r="AE76" s="7"/>
      <c r="AF76" s="7">
        <v>0</v>
      </c>
      <c r="AG76" s="7" t="e">
        <f t="shared" si="8"/>
        <v>#VALUE!</v>
      </c>
      <c r="AH76" s="28"/>
      <c r="AI76" s="7"/>
      <c r="AJ76" s="7" t="e">
        <f t="shared" si="9"/>
        <v>#VALUE!</v>
      </c>
      <c r="AK76" s="28"/>
      <c r="AL76" s="7" t="e">
        <f t="shared" si="10"/>
        <v>#VALUE!</v>
      </c>
      <c r="AM76" s="28"/>
      <c r="AN76" s="7" t="e">
        <f t="shared" si="11"/>
        <v>#VALUE!</v>
      </c>
      <c r="AO76" s="28"/>
      <c r="AP76" s="7">
        <f t="shared" si="12"/>
        <v>2</v>
      </c>
      <c r="AQ76" s="28" t="s">
        <v>2301</v>
      </c>
      <c r="AR76" s="7"/>
      <c r="AS76" s="7"/>
      <c r="AT76" s="7"/>
      <c r="AU76" s="7"/>
      <c r="AV76" s="7" t="e">
        <f t="shared" si="13"/>
        <v>#VALUE!</v>
      </c>
      <c r="AW76" s="28"/>
      <c r="AX76" s="7">
        <v>0</v>
      </c>
      <c r="AY76" s="7" t="e">
        <f t="shared" si="14"/>
        <v>#VALUE!</v>
      </c>
      <c r="AZ76" s="28"/>
      <c r="BA76" s="7">
        <v>0</v>
      </c>
      <c r="BB76" s="7">
        <v>10</v>
      </c>
      <c r="BC76" s="7">
        <v>0</v>
      </c>
      <c r="BD76" s="7">
        <v>10</v>
      </c>
      <c r="BE76" s="7"/>
      <c r="BF76" s="7" t="e">
        <f t="shared" si="15"/>
        <v>#VALUE!</v>
      </c>
      <c r="BG76" s="28"/>
      <c r="BH76" s="7" t="e">
        <f t="shared" si="16"/>
        <v>#VALUE!</v>
      </c>
      <c r="BI76" s="28"/>
      <c r="BJ76" s="7" t="e">
        <f t="shared" si="17"/>
        <v>#VALUE!</v>
      </c>
      <c r="BK76" s="28"/>
      <c r="BL76" s="7"/>
      <c r="BM76" s="7"/>
      <c r="BN76" s="7" t="e">
        <f t="shared" si="18"/>
        <v>#VALUE!</v>
      </c>
      <c r="BO76" s="28"/>
      <c r="BP76" s="7" t="e">
        <f t="shared" si="19"/>
        <v>#VALUE!</v>
      </c>
      <c r="BQ76" s="28"/>
      <c r="BR76" s="7"/>
      <c r="BS76" s="7" t="e">
        <f t="shared" si="20"/>
        <v>#VALUE!</v>
      </c>
      <c r="BT76" s="28"/>
      <c r="BU76" s="7"/>
      <c r="BV76" s="7" t="e">
        <f ca="1">[1]!tメーカー名(BU76)</f>
        <v>#NAME?</v>
      </c>
      <c r="BW76" s="7" t="e">
        <f t="shared" si="21"/>
        <v>#VALUE!</v>
      </c>
      <c r="BX76" s="28"/>
      <c r="BY76" s="7" t="e">
        <f t="shared" si="22"/>
        <v>#VALUE!</v>
      </c>
      <c r="BZ76" s="28"/>
      <c r="CA76" s="54"/>
      <c r="CB76" s="54"/>
      <c r="CC76" s="7" t="e">
        <f t="shared" si="23"/>
        <v>#VALUE!</v>
      </c>
      <c r="CD76" s="28"/>
      <c r="CE76" s="7" t="e">
        <f t="shared" si="24"/>
        <v>#VALUE!</v>
      </c>
      <c r="CF76" s="28"/>
      <c r="CG76" s="7" t="e">
        <f t="shared" si="25"/>
        <v>#VALUE!</v>
      </c>
      <c r="CH76" s="28"/>
      <c r="CI76" s="7" t="e">
        <f t="shared" si="26"/>
        <v>#VALUE!</v>
      </c>
      <c r="CJ76" s="28"/>
      <c r="CK76" s="7"/>
      <c r="CL76" s="7"/>
      <c r="CM76" s="7"/>
      <c r="CN76" s="7"/>
      <c r="CO76" s="7"/>
      <c r="CP76" s="7"/>
      <c r="CQ76" s="7"/>
      <c r="CR76" s="7"/>
      <c r="CS76" s="126">
        <f t="shared" si="29"/>
        <v>0</v>
      </c>
      <c r="CT76" s="7"/>
      <c r="CU76" s="7"/>
    </row>
    <row r="77" spans="1:99">
      <c r="A77" s="7">
        <v>65</v>
      </c>
      <c r="B77" s="7"/>
      <c r="C77" s="7" t="e">
        <f t="shared" si="27"/>
        <v>#VALUE!</v>
      </c>
      <c r="D77" s="28"/>
      <c r="E77" s="7">
        <f t="shared" ref="E77:E112" si="32">LENB(F77)</f>
        <v>0</v>
      </c>
      <c r="F77" s="7"/>
      <c r="G77" s="7">
        <f t="shared" ref="G77:G112" si="33">LENB(H77)</f>
        <v>0</v>
      </c>
      <c r="H77" s="7"/>
      <c r="I77" s="7">
        <f t="shared" ref="I77:I112" si="34">LENB(J77)</f>
        <v>0</v>
      </c>
      <c r="J77" s="7"/>
      <c r="K77" s="7">
        <f t="shared" ref="K77:K112" si="35">LENB(L77)</f>
        <v>0</v>
      </c>
      <c r="L77" s="7"/>
      <c r="M77" s="7">
        <f t="shared" ref="M77:M112" si="36">LENB(N77)</f>
        <v>0</v>
      </c>
      <c r="N77" s="7"/>
      <c r="O77" s="7"/>
      <c r="P77" s="7"/>
      <c r="Q77" s="53"/>
      <c r="R77" s="7"/>
      <c r="S77" s="7"/>
      <c r="T77" s="53"/>
      <c r="U77" s="7"/>
      <c r="V77" s="7" t="e">
        <f t="shared" si="31"/>
        <v>#VALUE!</v>
      </c>
      <c r="W77" s="28"/>
      <c r="X77" s="7" t="e">
        <f t="shared" si="31"/>
        <v>#VALUE!</v>
      </c>
      <c r="Y77" s="28"/>
      <c r="Z77" s="7" t="e">
        <f t="shared" si="7"/>
        <v>#VALUE!</v>
      </c>
      <c r="AA77" s="28"/>
      <c r="AB77" s="7"/>
      <c r="AC77" s="7"/>
      <c r="AD77" s="7"/>
      <c r="AE77" s="7"/>
      <c r="AF77" s="7">
        <v>0</v>
      </c>
      <c r="AG77" s="7" t="e">
        <f t="shared" si="8"/>
        <v>#VALUE!</v>
      </c>
      <c r="AH77" s="28"/>
      <c r="AI77" s="7"/>
      <c r="AJ77" s="7" t="e">
        <f t="shared" si="9"/>
        <v>#VALUE!</v>
      </c>
      <c r="AK77" s="28"/>
      <c r="AL77" s="7" t="e">
        <f t="shared" si="10"/>
        <v>#VALUE!</v>
      </c>
      <c r="AM77" s="28"/>
      <c r="AN77" s="7" t="e">
        <f t="shared" si="11"/>
        <v>#VALUE!</v>
      </c>
      <c r="AO77" s="28"/>
      <c r="AP77" s="7">
        <f t="shared" si="12"/>
        <v>2</v>
      </c>
      <c r="AQ77" s="28" t="s">
        <v>2301</v>
      </c>
      <c r="AR77" s="7"/>
      <c r="AS77" s="7"/>
      <c r="AT77" s="7"/>
      <c r="AU77" s="7"/>
      <c r="AV77" s="7" t="e">
        <f t="shared" si="13"/>
        <v>#VALUE!</v>
      </c>
      <c r="AW77" s="28"/>
      <c r="AX77" s="7">
        <v>0</v>
      </c>
      <c r="AY77" s="7" t="e">
        <f t="shared" si="14"/>
        <v>#VALUE!</v>
      </c>
      <c r="AZ77" s="28"/>
      <c r="BA77" s="7">
        <v>0</v>
      </c>
      <c r="BB77" s="7">
        <v>10</v>
      </c>
      <c r="BC77" s="7">
        <v>0</v>
      </c>
      <c r="BD77" s="7">
        <v>10</v>
      </c>
      <c r="BE77" s="7"/>
      <c r="BF77" s="7" t="e">
        <f t="shared" si="15"/>
        <v>#VALUE!</v>
      </c>
      <c r="BG77" s="28"/>
      <c r="BH77" s="7" t="e">
        <f t="shared" si="16"/>
        <v>#VALUE!</v>
      </c>
      <c r="BI77" s="28"/>
      <c r="BJ77" s="7" t="e">
        <f t="shared" si="17"/>
        <v>#VALUE!</v>
      </c>
      <c r="BK77" s="28"/>
      <c r="BL77" s="7"/>
      <c r="BM77" s="7"/>
      <c r="BN77" s="7" t="e">
        <f t="shared" si="18"/>
        <v>#VALUE!</v>
      </c>
      <c r="BO77" s="28"/>
      <c r="BP77" s="7" t="e">
        <f t="shared" si="19"/>
        <v>#VALUE!</v>
      </c>
      <c r="BQ77" s="28"/>
      <c r="BR77" s="7"/>
      <c r="BS77" s="7" t="e">
        <f t="shared" si="20"/>
        <v>#VALUE!</v>
      </c>
      <c r="BT77" s="28"/>
      <c r="BU77" s="7"/>
      <c r="BV77" s="7" t="e">
        <f ca="1">[1]!tメーカー名(BU77)</f>
        <v>#NAME?</v>
      </c>
      <c r="BW77" s="7" t="e">
        <f t="shared" si="21"/>
        <v>#VALUE!</v>
      </c>
      <c r="BX77" s="28"/>
      <c r="BY77" s="7" t="e">
        <f t="shared" si="22"/>
        <v>#VALUE!</v>
      </c>
      <c r="BZ77" s="28"/>
      <c r="CA77" s="54"/>
      <c r="CB77" s="54"/>
      <c r="CC77" s="7" t="e">
        <f t="shared" si="23"/>
        <v>#VALUE!</v>
      </c>
      <c r="CD77" s="28"/>
      <c r="CE77" s="7" t="e">
        <f t="shared" si="24"/>
        <v>#VALUE!</v>
      </c>
      <c r="CF77" s="28"/>
      <c r="CG77" s="7" t="e">
        <f t="shared" si="25"/>
        <v>#VALUE!</v>
      </c>
      <c r="CH77" s="28"/>
      <c r="CI77" s="7" t="e">
        <f t="shared" si="26"/>
        <v>#VALUE!</v>
      </c>
      <c r="CJ77" s="28"/>
      <c r="CK77" s="7"/>
      <c r="CL77" s="7"/>
      <c r="CM77" s="7"/>
      <c r="CN77" s="7"/>
      <c r="CO77" s="7"/>
      <c r="CP77" s="7"/>
      <c r="CQ77" s="7"/>
      <c r="CR77" s="7"/>
      <c r="CS77" s="126">
        <f t="shared" ref="CS77:CS112" si="37">O77*(BM77/100)*0.8</f>
        <v>0</v>
      </c>
      <c r="CT77" s="7"/>
      <c r="CU77" s="7"/>
    </row>
    <row r="78" spans="1:99">
      <c r="A78" s="7">
        <v>66</v>
      </c>
      <c r="B78" s="7"/>
      <c r="C78" s="7" t="e">
        <f t="shared" si="27"/>
        <v>#VALUE!</v>
      </c>
      <c r="D78" s="28"/>
      <c r="E78" s="7">
        <f t="shared" si="32"/>
        <v>0</v>
      </c>
      <c r="F78" s="7"/>
      <c r="G78" s="7">
        <f t="shared" si="33"/>
        <v>0</v>
      </c>
      <c r="H78" s="7"/>
      <c r="I78" s="7">
        <f t="shared" si="34"/>
        <v>0</v>
      </c>
      <c r="J78" s="7"/>
      <c r="K78" s="7">
        <f t="shared" si="35"/>
        <v>0</v>
      </c>
      <c r="L78" s="7"/>
      <c r="M78" s="7">
        <f t="shared" si="36"/>
        <v>0</v>
      </c>
      <c r="N78" s="7"/>
      <c r="O78" s="7"/>
      <c r="P78" s="7"/>
      <c r="Q78" s="53"/>
      <c r="R78" s="7"/>
      <c r="S78" s="7"/>
      <c r="T78" s="53"/>
      <c r="U78" s="7"/>
      <c r="V78" s="7" t="e">
        <f t="shared" ref="V78:X93" si="38">ABS(LEFT(W78,2))</f>
        <v>#VALUE!</v>
      </c>
      <c r="W78" s="28"/>
      <c r="X78" s="7" t="e">
        <f t="shared" si="38"/>
        <v>#VALUE!</v>
      </c>
      <c r="Y78" s="28"/>
      <c r="Z78" s="7" t="e">
        <f t="shared" ref="Z78:Z112" si="39">ABS(LEFT(AA78,1))</f>
        <v>#VALUE!</v>
      </c>
      <c r="AA78" s="28"/>
      <c r="AB78" s="7"/>
      <c r="AC78" s="7"/>
      <c r="AD78" s="7"/>
      <c r="AE78" s="7"/>
      <c r="AF78" s="7">
        <v>0</v>
      </c>
      <c r="AG78" s="7" t="e">
        <f t="shared" ref="AG78:AG112" si="40">ABS(LEFT(AH78,1))</f>
        <v>#VALUE!</v>
      </c>
      <c r="AH78" s="28"/>
      <c r="AI78" s="7"/>
      <c r="AJ78" s="7" t="e">
        <f t="shared" ref="AJ78:AJ112" si="41">ABS(LEFT(AK78,2))</f>
        <v>#VALUE!</v>
      </c>
      <c r="AK78" s="28"/>
      <c r="AL78" s="7" t="e">
        <f t="shared" ref="AL78:AL112" si="42">ABS(LEFT(AM78,1))</f>
        <v>#VALUE!</v>
      </c>
      <c r="AM78" s="28"/>
      <c r="AN78" s="7" t="e">
        <f t="shared" ref="AN78:AN112" si="43">ABS(LEFT(AO78,1))</f>
        <v>#VALUE!</v>
      </c>
      <c r="AO78" s="28"/>
      <c r="AP78" s="7">
        <f t="shared" ref="AP78:AP112" si="44">ABS(LEFT(AQ78,1))</f>
        <v>2</v>
      </c>
      <c r="AQ78" s="28" t="s">
        <v>2301</v>
      </c>
      <c r="AR78" s="7"/>
      <c r="AS78" s="7"/>
      <c r="AT78" s="7"/>
      <c r="AU78" s="7"/>
      <c r="AV78" s="7" t="e">
        <f t="shared" ref="AV78:AV112" si="45">ABS(LEFT(AW78,10))</f>
        <v>#VALUE!</v>
      </c>
      <c r="AW78" s="28"/>
      <c r="AX78" s="7">
        <v>0</v>
      </c>
      <c r="AY78" s="7" t="e">
        <f t="shared" ref="AY78:AY112" si="46">ABS(LEFT(AZ78,4))</f>
        <v>#VALUE!</v>
      </c>
      <c r="AZ78" s="28"/>
      <c r="BA78" s="7">
        <v>0</v>
      </c>
      <c r="BB78" s="7">
        <v>10</v>
      </c>
      <c r="BC78" s="7">
        <v>0</v>
      </c>
      <c r="BD78" s="7">
        <v>10</v>
      </c>
      <c r="BE78" s="7"/>
      <c r="BF78" s="7" t="e">
        <f t="shared" ref="BF78:BF112" si="47">ABS(LEFT(BG78,3))</f>
        <v>#VALUE!</v>
      </c>
      <c r="BG78" s="28"/>
      <c r="BH78" s="7" t="e">
        <f t="shared" ref="BH78:BH112" si="48">ABS(LEFT(BI78,4))</f>
        <v>#VALUE!</v>
      </c>
      <c r="BI78" s="28"/>
      <c r="BJ78" s="7" t="e">
        <f t="shared" ref="BJ78:BJ112" si="49">ABS(LEFT(BK78,1))</f>
        <v>#VALUE!</v>
      </c>
      <c r="BK78" s="28"/>
      <c r="BL78" s="7"/>
      <c r="BM78" s="7"/>
      <c r="BN78" s="7" t="e">
        <f t="shared" ref="BN78:BN112" si="50">ABS(LEFT(BO78,5))</f>
        <v>#VALUE!</v>
      </c>
      <c r="BO78" s="28"/>
      <c r="BP78" s="7" t="e">
        <f t="shared" ref="BP78:BP112" si="51">ABS(LEFT(BQ78,5))</f>
        <v>#VALUE!</v>
      </c>
      <c r="BQ78" s="28"/>
      <c r="BR78" s="7"/>
      <c r="BS78" s="7" t="e">
        <f t="shared" ref="BS78:BS112" si="52">ABS(LEFT(BT78,2))</f>
        <v>#VALUE!</v>
      </c>
      <c r="BT78" s="28"/>
      <c r="BU78" s="7"/>
      <c r="BV78" s="7" t="e">
        <f ca="1">[1]!tメーカー名(BU78)</f>
        <v>#NAME?</v>
      </c>
      <c r="BW78" s="7" t="e">
        <f t="shared" ref="BW78:BW112" si="53">ABS(LEFT(BX78,1))</f>
        <v>#VALUE!</v>
      </c>
      <c r="BX78" s="28"/>
      <c r="BY78" s="7" t="e">
        <f t="shared" ref="BY78:BY112" si="54">ABS(LEFT(BZ78,1))</f>
        <v>#VALUE!</v>
      </c>
      <c r="BZ78" s="28"/>
      <c r="CA78" s="54"/>
      <c r="CB78" s="54"/>
      <c r="CC78" s="7" t="e">
        <f t="shared" ref="CC78:CC112" si="55">ABS(LEFT(CD78,1))</f>
        <v>#VALUE!</v>
      </c>
      <c r="CD78" s="28"/>
      <c r="CE78" s="7" t="e">
        <f t="shared" ref="CE78:CE112" si="56">ABS(LEFT(CF78,1))</f>
        <v>#VALUE!</v>
      </c>
      <c r="CF78" s="28"/>
      <c r="CG78" s="7" t="e">
        <f t="shared" ref="CG78:CG112" si="57">ABS(LEFT(CH78,1))</f>
        <v>#VALUE!</v>
      </c>
      <c r="CH78" s="28"/>
      <c r="CI78" s="7" t="e">
        <f t="shared" ref="CI78:CI112" si="58">ABS(LEFT(CJ78,1))</f>
        <v>#VALUE!</v>
      </c>
      <c r="CJ78" s="28"/>
      <c r="CK78" s="7"/>
      <c r="CL78" s="7"/>
      <c r="CM78" s="7"/>
      <c r="CN78" s="7"/>
      <c r="CO78" s="7"/>
      <c r="CP78" s="7"/>
      <c r="CQ78" s="7"/>
      <c r="CR78" s="7"/>
      <c r="CS78" s="126">
        <f t="shared" si="37"/>
        <v>0</v>
      </c>
      <c r="CT78" s="7"/>
      <c r="CU78" s="7"/>
    </row>
    <row r="79" spans="1:99">
      <c r="A79" s="7">
        <v>67</v>
      </c>
      <c r="B79" s="7"/>
      <c r="C79" s="7" t="e">
        <f t="shared" ref="C79:C112" si="59">ABS(LEFT(D79,1))</f>
        <v>#VALUE!</v>
      </c>
      <c r="D79" s="28"/>
      <c r="E79" s="7">
        <f t="shared" si="32"/>
        <v>0</v>
      </c>
      <c r="F79" s="7"/>
      <c r="G79" s="7">
        <f t="shared" si="33"/>
        <v>0</v>
      </c>
      <c r="H79" s="7"/>
      <c r="I79" s="7">
        <f t="shared" si="34"/>
        <v>0</v>
      </c>
      <c r="J79" s="7"/>
      <c r="K79" s="7">
        <f t="shared" si="35"/>
        <v>0</v>
      </c>
      <c r="L79" s="7"/>
      <c r="M79" s="7">
        <f t="shared" si="36"/>
        <v>0</v>
      </c>
      <c r="N79" s="7"/>
      <c r="O79" s="7"/>
      <c r="P79" s="7"/>
      <c r="Q79" s="53"/>
      <c r="R79" s="7"/>
      <c r="S79" s="7"/>
      <c r="T79" s="53"/>
      <c r="U79" s="7"/>
      <c r="V79" s="7" t="e">
        <f t="shared" si="38"/>
        <v>#VALUE!</v>
      </c>
      <c r="W79" s="28"/>
      <c r="X79" s="7" t="e">
        <f t="shared" si="38"/>
        <v>#VALUE!</v>
      </c>
      <c r="Y79" s="28"/>
      <c r="Z79" s="7" t="e">
        <f t="shared" si="39"/>
        <v>#VALUE!</v>
      </c>
      <c r="AA79" s="28"/>
      <c r="AB79" s="7"/>
      <c r="AC79" s="7"/>
      <c r="AD79" s="7"/>
      <c r="AE79" s="7"/>
      <c r="AF79" s="7">
        <v>0</v>
      </c>
      <c r="AG79" s="7" t="e">
        <f t="shared" si="40"/>
        <v>#VALUE!</v>
      </c>
      <c r="AH79" s="28"/>
      <c r="AI79" s="7"/>
      <c r="AJ79" s="7" t="e">
        <f t="shared" si="41"/>
        <v>#VALUE!</v>
      </c>
      <c r="AK79" s="28"/>
      <c r="AL79" s="7" t="e">
        <f t="shared" si="42"/>
        <v>#VALUE!</v>
      </c>
      <c r="AM79" s="28"/>
      <c r="AN79" s="7" t="e">
        <f t="shared" si="43"/>
        <v>#VALUE!</v>
      </c>
      <c r="AO79" s="28"/>
      <c r="AP79" s="7">
        <f t="shared" si="44"/>
        <v>2</v>
      </c>
      <c r="AQ79" s="28" t="s">
        <v>2301</v>
      </c>
      <c r="AR79" s="7"/>
      <c r="AS79" s="7"/>
      <c r="AT79" s="7"/>
      <c r="AU79" s="7"/>
      <c r="AV79" s="7" t="e">
        <f t="shared" si="45"/>
        <v>#VALUE!</v>
      </c>
      <c r="AW79" s="28"/>
      <c r="AX79" s="7">
        <v>0</v>
      </c>
      <c r="AY79" s="7" t="e">
        <f t="shared" si="46"/>
        <v>#VALUE!</v>
      </c>
      <c r="AZ79" s="28"/>
      <c r="BA79" s="7">
        <v>0</v>
      </c>
      <c r="BB79" s="7">
        <v>10</v>
      </c>
      <c r="BC79" s="7">
        <v>0</v>
      </c>
      <c r="BD79" s="7">
        <v>10</v>
      </c>
      <c r="BE79" s="7"/>
      <c r="BF79" s="7" t="e">
        <f t="shared" si="47"/>
        <v>#VALUE!</v>
      </c>
      <c r="BG79" s="28"/>
      <c r="BH79" s="7" t="e">
        <f t="shared" si="48"/>
        <v>#VALUE!</v>
      </c>
      <c r="BI79" s="28"/>
      <c r="BJ79" s="7" t="e">
        <f t="shared" si="49"/>
        <v>#VALUE!</v>
      </c>
      <c r="BK79" s="28"/>
      <c r="BL79" s="7"/>
      <c r="BM79" s="7"/>
      <c r="BN79" s="7" t="e">
        <f t="shared" si="50"/>
        <v>#VALUE!</v>
      </c>
      <c r="BO79" s="28"/>
      <c r="BP79" s="7" t="e">
        <f t="shared" si="51"/>
        <v>#VALUE!</v>
      </c>
      <c r="BQ79" s="28"/>
      <c r="BR79" s="7"/>
      <c r="BS79" s="7" t="e">
        <f t="shared" si="52"/>
        <v>#VALUE!</v>
      </c>
      <c r="BT79" s="28"/>
      <c r="BU79" s="7"/>
      <c r="BV79" s="7" t="e">
        <f ca="1">[1]!tメーカー名(BU79)</f>
        <v>#NAME?</v>
      </c>
      <c r="BW79" s="7" t="e">
        <f t="shared" si="53"/>
        <v>#VALUE!</v>
      </c>
      <c r="BX79" s="28"/>
      <c r="BY79" s="7" t="e">
        <f t="shared" si="54"/>
        <v>#VALUE!</v>
      </c>
      <c r="BZ79" s="28"/>
      <c r="CA79" s="54"/>
      <c r="CB79" s="54"/>
      <c r="CC79" s="7" t="e">
        <f t="shared" si="55"/>
        <v>#VALUE!</v>
      </c>
      <c r="CD79" s="28"/>
      <c r="CE79" s="7" t="e">
        <f t="shared" si="56"/>
        <v>#VALUE!</v>
      </c>
      <c r="CF79" s="28"/>
      <c r="CG79" s="7" t="e">
        <f t="shared" si="57"/>
        <v>#VALUE!</v>
      </c>
      <c r="CH79" s="28"/>
      <c r="CI79" s="7" t="e">
        <f t="shared" si="58"/>
        <v>#VALUE!</v>
      </c>
      <c r="CJ79" s="28"/>
      <c r="CK79" s="7"/>
      <c r="CL79" s="7"/>
      <c r="CM79" s="7"/>
      <c r="CN79" s="7"/>
      <c r="CO79" s="7"/>
      <c r="CP79" s="7"/>
      <c r="CQ79" s="7"/>
      <c r="CR79" s="7"/>
      <c r="CS79" s="126">
        <f t="shared" si="37"/>
        <v>0</v>
      </c>
      <c r="CT79" s="7"/>
      <c r="CU79" s="7"/>
    </row>
    <row r="80" spans="1:99">
      <c r="A80" s="7">
        <v>68</v>
      </c>
      <c r="B80" s="7"/>
      <c r="C80" s="7" t="e">
        <f t="shared" si="59"/>
        <v>#VALUE!</v>
      </c>
      <c r="D80" s="28"/>
      <c r="E80" s="7">
        <f t="shared" si="32"/>
        <v>0</v>
      </c>
      <c r="F80" s="7"/>
      <c r="G80" s="7">
        <f t="shared" si="33"/>
        <v>0</v>
      </c>
      <c r="H80" s="7"/>
      <c r="I80" s="7">
        <f t="shared" si="34"/>
        <v>0</v>
      </c>
      <c r="J80" s="7"/>
      <c r="K80" s="7">
        <f t="shared" si="35"/>
        <v>0</v>
      </c>
      <c r="L80" s="7"/>
      <c r="M80" s="7">
        <f t="shared" si="36"/>
        <v>0</v>
      </c>
      <c r="N80" s="7"/>
      <c r="O80" s="7"/>
      <c r="P80" s="7"/>
      <c r="Q80" s="53"/>
      <c r="R80" s="7"/>
      <c r="S80" s="7"/>
      <c r="T80" s="53"/>
      <c r="U80" s="7"/>
      <c r="V80" s="7" t="e">
        <f t="shared" si="38"/>
        <v>#VALUE!</v>
      </c>
      <c r="W80" s="28"/>
      <c r="X80" s="7" t="e">
        <f t="shared" si="38"/>
        <v>#VALUE!</v>
      </c>
      <c r="Y80" s="28"/>
      <c r="Z80" s="7" t="e">
        <f t="shared" si="39"/>
        <v>#VALUE!</v>
      </c>
      <c r="AA80" s="28"/>
      <c r="AB80" s="7"/>
      <c r="AC80" s="7"/>
      <c r="AD80" s="7"/>
      <c r="AE80" s="7"/>
      <c r="AF80" s="7">
        <v>0</v>
      </c>
      <c r="AG80" s="7" t="e">
        <f t="shared" si="40"/>
        <v>#VALUE!</v>
      </c>
      <c r="AH80" s="28"/>
      <c r="AI80" s="7"/>
      <c r="AJ80" s="7" t="e">
        <f t="shared" si="41"/>
        <v>#VALUE!</v>
      </c>
      <c r="AK80" s="28"/>
      <c r="AL80" s="7" t="e">
        <f t="shared" si="42"/>
        <v>#VALUE!</v>
      </c>
      <c r="AM80" s="28"/>
      <c r="AN80" s="7" t="e">
        <f t="shared" si="43"/>
        <v>#VALUE!</v>
      </c>
      <c r="AO80" s="28"/>
      <c r="AP80" s="7">
        <f t="shared" si="44"/>
        <v>2</v>
      </c>
      <c r="AQ80" s="28" t="s">
        <v>2301</v>
      </c>
      <c r="AR80" s="7"/>
      <c r="AS80" s="7"/>
      <c r="AT80" s="7"/>
      <c r="AU80" s="7"/>
      <c r="AV80" s="7" t="e">
        <f t="shared" si="45"/>
        <v>#VALUE!</v>
      </c>
      <c r="AW80" s="28"/>
      <c r="AX80" s="7">
        <v>0</v>
      </c>
      <c r="AY80" s="7" t="e">
        <f t="shared" si="46"/>
        <v>#VALUE!</v>
      </c>
      <c r="AZ80" s="28"/>
      <c r="BA80" s="7">
        <v>0</v>
      </c>
      <c r="BB80" s="7">
        <v>10</v>
      </c>
      <c r="BC80" s="7">
        <v>0</v>
      </c>
      <c r="BD80" s="7">
        <v>10</v>
      </c>
      <c r="BE80" s="7"/>
      <c r="BF80" s="7" t="e">
        <f t="shared" si="47"/>
        <v>#VALUE!</v>
      </c>
      <c r="BG80" s="28"/>
      <c r="BH80" s="7" t="e">
        <f t="shared" si="48"/>
        <v>#VALUE!</v>
      </c>
      <c r="BI80" s="28"/>
      <c r="BJ80" s="7" t="e">
        <f t="shared" si="49"/>
        <v>#VALUE!</v>
      </c>
      <c r="BK80" s="28"/>
      <c r="BL80" s="7"/>
      <c r="BM80" s="7"/>
      <c r="BN80" s="7" t="e">
        <f t="shared" si="50"/>
        <v>#VALUE!</v>
      </c>
      <c r="BO80" s="28"/>
      <c r="BP80" s="7" t="e">
        <f t="shared" si="51"/>
        <v>#VALUE!</v>
      </c>
      <c r="BQ80" s="28"/>
      <c r="BR80" s="7"/>
      <c r="BS80" s="7" t="e">
        <f t="shared" si="52"/>
        <v>#VALUE!</v>
      </c>
      <c r="BT80" s="28"/>
      <c r="BU80" s="7"/>
      <c r="BV80" s="7" t="e">
        <f ca="1">[1]!tメーカー名(BU80)</f>
        <v>#NAME?</v>
      </c>
      <c r="BW80" s="7" t="e">
        <f t="shared" si="53"/>
        <v>#VALUE!</v>
      </c>
      <c r="BX80" s="28"/>
      <c r="BY80" s="7" t="e">
        <f t="shared" si="54"/>
        <v>#VALUE!</v>
      </c>
      <c r="BZ80" s="28"/>
      <c r="CA80" s="54"/>
      <c r="CB80" s="54"/>
      <c r="CC80" s="7" t="e">
        <f t="shared" si="55"/>
        <v>#VALUE!</v>
      </c>
      <c r="CD80" s="28"/>
      <c r="CE80" s="7" t="e">
        <f t="shared" si="56"/>
        <v>#VALUE!</v>
      </c>
      <c r="CF80" s="28"/>
      <c r="CG80" s="7" t="e">
        <f t="shared" si="57"/>
        <v>#VALUE!</v>
      </c>
      <c r="CH80" s="28"/>
      <c r="CI80" s="7" t="e">
        <f t="shared" si="58"/>
        <v>#VALUE!</v>
      </c>
      <c r="CJ80" s="28"/>
      <c r="CK80" s="7"/>
      <c r="CL80" s="7"/>
      <c r="CM80" s="7"/>
      <c r="CN80" s="7"/>
      <c r="CO80" s="7"/>
      <c r="CP80" s="7"/>
      <c r="CQ80" s="7"/>
      <c r="CR80" s="7"/>
      <c r="CS80" s="126">
        <f t="shared" si="37"/>
        <v>0</v>
      </c>
      <c r="CT80" s="7"/>
      <c r="CU80" s="7"/>
    </row>
    <row r="81" spans="1:99">
      <c r="A81" s="7">
        <v>69</v>
      </c>
      <c r="B81" s="7"/>
      <c r="C81" s="7" t="e">
        <f t="shared" si="59"/>
        <v>#VALUE!</v>
      </c>
      <c r="D81" s="28"/>
      <c r="E81" s="7">
        <f t="shared" si="32"/>
        <v>0</v>
      </c>
      <c r="F81" s="7"/>
      <c r="G81" s="7">
        <f t="shared" si="33"/>
        <v>0</v>
      </c>
      <c r="H81" s="7"/>
      <c r="I81" s="7">
        <f t="shared" si="34"/>
        <v>0</v>
      </c>
      <c r="J81" s="7"/>
      <c r="K81" s="7">
        <f t="shared" si="35"/>
        <v>0</v>
      </c>
      <c r="L81" s="7"/>
      <c r="M81" s="7">
        <f t="shared" si="36"/>
        <v>0</v>
      </c>
      <c r="N81" s="7"/>
      <c r="O81" s="7"/>
      <c r="P81" s="7"/>
      <c r="Q81" s="53"/>
      <c r="R81" s="7"/>
      <c r="S81" s="7"/>
      <c r="T81" s="53"/>
      <c r="U81" s="7"/>
      <c r="V81" s="7" t="e">
        <f t="shared" si="38"/>
        <v>#VALUE!</v>
      </c>
      <c r="W81" s="28"/>
      <c r="X81" s="7" t="e">
        <f t="shared" si="38"/>
        <v>#VALUE!</v>
      </c>
      <c r="Y81" s="28"/>
      <c r="Z81" s="7" t="e">
        <f t="shared" si="39"/>
        <v>#VALUE!</v>
      </c>
      <c r="AA81" s="28"/>
      <c r="AB81" s="7"/>
      <c r="AC81" s="7"/>
      <c r="AD81" s="7"/>
      <c r="AE81" s="7"/>
      <c r="AF81" s="7">
        <v>0</v>
      </c>
      <c r="AG81" s="7" t="e">
        <f t="shared" si="40"/>
        <v>#VALUE!</v>
      </c>
      <c r="AH81" s="28"/>
      <c r="AI81" s="7"/>
      <c r="AJ81" s="7" t="e">
        <f t="shared" si="41"/>
        <v>#VALUE!</v>
      </c>
      <c r="AK81" s="28"/>
      <c r="AL81" s="7" t="e">
        <f t="shared" si="42"/>
        <v>#VALUE!</v>
      </c>
      <c r="AM81" s="28"/>
      <c r="AN81" s="7" t="e">
        <f t="shared" si="43"/>
        <v>#VALUE!</v>
      </c>
      <c r="AO81" s="28"/>
      <c r="AP81" s="7">
        <f t="shared" si="44"/>
        <v>2</v>
      </c>
      <c r="AQ81" s="28" t="s">
        <v>2301</v>
      </c>
      <c r="AR81" s="7"/>
      <c r="AS81" s="7"/>
      <c r="AT81" s="7"/>
      <c r="AU81" s="7"/>
      <c r="AV81" s="7" t="e">
        <f t="shared" si="45"/>
        <v>#VALUE!</v>
      </c>
      <c r="AW81" s="28"/>
      <c r="AX81" s="7">
        <v>0</v>
      </c>
      <c r="AY81" s="7" t="e">
        <f t="shared" si="46"/>
        <v>#VALUE!</v>
      </c>
      <c r="AZ81" s="28"/>
      <c r="BA81" s="7">
        <v>0</v>
      </c>
      <c r="BB81" s="7">
        <v>10</v>
      </c>
      <c r="BC81" s="7">
        <v>0</v>
      </c>
      <c r="BD81" s="7">
        <v>10</v>
      </c>
      <c r="BE81" s="7"/>
      <c r="BF81" s="7" t="e">
        <f t="shared" si="47"/>
        <v>#VALUE!</v>
      </c>
      <c r="BG81" s="28"/>
      <c r="BH81" s="7" t="e">
        <f t="shared" si="48"/>
        <v>#VALUE!</v>
      </c>
      <c r="BI81" s="28"/>
      <c r="BJ81" s="7" t="e">
        <f t="shared" si="49"/>
        <v>#VALUE!</v>
      </c>
      <c r="BK81" s="28"/>
      <c r="BL81" s="7"/>
      <c r="BM81" s="7"/>
      <c r="BN81" s="7" t="e">
        <f t="shared" si="50"/>
        <v>#VALUE!</v>
      </c>
      <c r="BO81" s="28"/>
      <c r="BP81" s="7" t="e">
        <f t="shared" si="51"/>
        <v>#VALUE!</v>
      </c>
      <c r="BQ81" s="28"/>
      <c r="BR81" s="7"/>
      <c r="BS81" s="7" t="e">
        <f t="shared" si="52"/>
        <v>#VALUE!</v>
      </c>
      <c r="BT81" s="28"/>
      <c r="BU81" s="7"/>
      <c r="BV81" s="7" t="e">
        <f ca="1">[1]!tメーカー名(BU81)</f>
        <v>#NAME?</v>
      </c>
      <c r="BW81" s="7" t="e">
        <f t="shared" si="53"/>
        <v>#VALUE!</v>
      </c>
      <c r="BX81" s="28"/>
      <c r="BY81" s="7" t="e">
        <f t="shared" si="54"/>
        <v>#VALUE!</v>
      </c>
      <c r="BZ81" s="28"/>
      <c r="CA81" s="54"/>
      <c r="CB81" s="54"/>
      <c r="CC81" s="7" t="e">
        <f t="shared" si="55"/>
        <v>#VALUE!</v>
      </c>
      <c r="CD81" s="28"/>
      <c r="CE81" s="7" t="e">
        <f t="shared" si="56"/>
        <v>#VALUE!</v>
      </c>
      <c r="CF81" s="28"/>
      <c r="CG81" s="7" t="e">
        <f t="shared" si="57"/>
        <v>#VALUE!</v>
      </c>
      <c r="CH81" s="28"/>
      <c r="CI81" s="7" t="e">
        <f t="shared" si="58"/>
        <v>#VALUE!</v>
      </c>
      <c r="CJ81" s="28"/>
      <c r="CK81" s="7"/>
      <c r="CL81" s="7"/>
      <c r="CM81" s="7"/>
      <c r="CN81" s="7"/>
      <c r="CO81" s="7"/>
      <c r="CP81" s="7"/>
      <c r="CQ81" s="7"/>
      <c r="CR81" s="7"/>
      <c r="CS81" s="126">
        <f t="shared" si="37"/>
        <v>0</v>
      </c>
      <c r="CT81" s="7"/>
      <c r="CU81" s="7"/>
    </row>
    <row r="82" spans="1:99">
      <c r="A82" s="7">
        <v>70</v>
      </c>
      <c r="B82" s="7"/>
      <c r="C82" s="7" t="e">
        <f t="shared" si="59"/>
        <v>#VALUE!</v>
      </c>
      <c r="D82" s="28"/>
      <c r="E82" s="7">
        <f t="shared" si="32"/>
        <v>0</v>
      </c>
      <c r="F82" s="7"/>
      <c r="G82" s="7">
        <f t="shared" si="33"/>
        <v>0</v>
      </c>
      <c r="H82" s="7"/>
      <c r="I82" s="7">
        <f t="shared" si="34"/>
        <v>0</v>
      </c>
      <c r="J82" s="7"/>
      <c r="K82" s="7">
        <f t="shared" si="35"/>
        <v>0</v>
      </c>
      <c r="L82" s="7"/>
      <c r="M82" s="7">
        <f t="shared" si="36"/>
        <v>0</v>
      </c>
      <c r="N82" s="7"/>
      <c r="O82" s="7"/>
      <c r="P82" s="7"/>
      <c r="Q82" s="53"/>
      <c r="R82" s="7"/>
      <c r="S82" s="7"/>
      <c r="T82" s="53"/>
      <c r="U82" s="7"/>
      <c r="V82" s="7" t="e">
        <f t="shared" si="38"/>
        <v>#VALUE!</v>
      </c>
      <c r="W82" s="28"/>
      <c r="X82" s="7" t="e">
        <f t="shared" si="38"/>
        <v>#VALUE!</v>
      </c>
      <c r="Y82" s="28"/>
      <c r="Z82" s="7" t="e">
        <f t="shared" si="39"/>
        <v>#VALUE!</v>
      </c>
      <c r="AA82" s="28"/>
      <c r="AB82" s="7"/>
      <c r="AC82" s="7"/>
      <c r="AD82" s="7"/>
      <c r="AE82" s="7"/>
      <c r="AF82" s="7">
        <v>0</v>
      </c>
      <c r="AG82" s="7" t="e">
        <f t="shared" si="40"/>
        <v>#VALUE!</v>
      </c>
      <c r="AH82" s="28"/>
      <c r="AI82" s="7"/>
      <c r="AJ82" s="7" t="e">
        <f t="shared" si="41"/>
        <v>#VALUE!</v>
      </c>
      <c r="AK82" s="28"/>
      <c r="AL82" s="7" t="e">
        <f t="shared" si="42"/>
        <v>#VALUE!</v>
      </c>
      <c r="AM82" s="28"/>
      <c r="AN82" s="7" t="e">
        <f t="shared" si="43"/>
        <v>#VALUE!</v>
      </c>
      <c r="AO82" s="28"/>
      <c r="AP82" s="7">
        <f t="shared" si="44"/>
        <v>2</v>
      </c>
      <c r="AQ82" s="28" t="s">
        <v>2301</v>
      </c>
      <c r="AR82" s="7"/>
      <c r="AS82" s="7"/>
      <c r="AT82" s="7"/>
      <c r="AU82" s="7"/>
      <c r="AV82" s="7" t="e">
        <f t="shared" si="45"/>
        <v>#VALUE!</v>
      </c>
      <c r="AW82" s="28"/>
      <c r="AX82" s="7">
        <v>0</v>
      </c>
      <c r="AY82" s="7" t="e">
        <f t="shared" si="46"/>
        <v>#VALUE!</v>
      </c>
      <c r="AZ82" s="28"/>
      <c r="BA82" s="7">
        <v>0</v>
      </c>
      <c r="BB82" s="7">
        <v>10</v>
      </c>
      <c r="BC82" s="7">
        <v>0</v>
      </c>
      <c r="BD82" s="7">
        <v>10</v>
      </c>
      <c r="BE82" s="7"/>
      <c r="BF82" s="7" t="e">
        <f t="shared" si="47"/>
        <v>#VALUE!</v>
      </c>
      <c r="BG82" s="28"/>
      <c r="BH82" s="7" t="e">
        <f t="shared" si="48"/>
        <v>#VALUE!</v>
      </c>
      <c r="BI82" s="28"/>
      <c r="BJ82" s="7" t="e">
        <f t="shared" si="49"/>
        <v>#VALUE!</v>
      </c>
      <c r="BK82" s="28"/>
      <c r="BL82" s="7"/>
      <c r="BM82" s="7"/>
      <c r="BN82" s="7" t="e">
        <f t="shared" si="50"/>
        <v>#VALUE!</v>
      </c>
      <c r="BO82" s="28"/>
      <c r="BP82" s="7" t="e">
        <f t="shared" si="51"/>
        <v>#VALUE!</v>
      </c>
      <c r="BQ82" s="28"/>
      <c r="BR82" s="7"/>
      <c r="BS82" s="7" t="e">
        <f t="shared" si="52"/>
        <v>#VALUE!</v>
      </c>
      <c r="BT82" s="28"/>
      <c r="BU82" s="7"/>
      <c r="BV82" s="7" t="e">
        <f ca="1">[1]!tメーカー名(BU82)</f>
        <v>#NAME?</v>
      </c>
      <c r="BW82" s="7" t="e">
        <f t="shared" si="53"/>
        <v>#VALUE!</v>
      </c>
      <c r="BX82" s="28"/>
      <c r="BY82" s="7" t="e">
        <f t="shared" si="54"/>
        <v>#VALUE!</v>
      </c>
      <c r="BZ82" s="28"/>
      <c r="CA82" s="54"/>
      <c r="CB82" s="54"/>
      <c r="CC82" s="7" t="e">
        <f t="shared" si="55"/>
        <v>#VALUE!</v>
      </c>
      <c r="CD82" s="28"/>
      <c r="CE82" s="7" t="e">
        <f t="shared" si="56"/>
        <v>#VALUE!</v>
      </c>
      <c r="CF82" s="28"/>
      <c r="CG82" s="7" t="e">
        <f t="shared" si="57"/>
        <v>#VALUE!</v>
      </c>
      <c r="CH82" s="28"/>
      <c r="CI82" s="7" t="e">
        <f t="shared" si="58"/>
        <v>#VALUE!</v>
      </c>
      <c r="CJ82" s="28"/>
      <c r="CK82" s="7"/>
      <c r="CL82" s="7"/>
      <c r="CM82" s="7"/>
      <c r="CN82" s="7"/>
      <c r="CO82" s="7"/>
      <c r="CP82" s="7"/>
      <c r="CQ82" s="7"/>
      <c r="CR82" s="7"/>
      <c r="CS82" s="126">
        <f t="shared" si="37"/>
        <v>0</v>
      </c>
      <c r="CT82" s="7"/>
      <c r="CU82" s="7"/>
    </row>
    <row r="83" spans="1:99">
      <c r="A83" s="7">
        <v>71</v>
      </c>
      <c r="B83" s="7"/>
      <c r="C83" s="7" t="e">
        <f t="shared" si="59"/>
        <v>#VALUE!</v>
      </c>
      <c r="D83" s="28"/>
      <c r="E83" s="7">
        <f t="shared" si="32"/>
        <v>0</v>
      </c>
      <c r="F83" s="7"/>
      <c r="G83" s="7">
        <f t="shared" si="33"/>
        <v>0</v>
      </c>
      <c r="H83" s="7"/>
      <c r="I83" s="7">
        <f t="shared" si="34"/>
        <v>0</v>
      </c>
      <c r="J83" s="7"/>
      <c r="K83" s="7">
        <f t="shared" si="35"/>
        <v>0</v>
      </c>
      <c r="L83" s="7"/>
      <c r="M83" s="7">
        <f t="shared" si="36"/>
        <v>0</v>
      </c>
      <c r="N83" s="7"/>
      <c r="O83" s="7"/>
      <c r="P83" s="7"/>
      <c r="Q83" s="53"/>
      <c r="R83" s="7"/>
      <c r="S83" s="7"/>
      <c r="T83" s="53"/>
      <c r="U83" s="7"/>
      <c r="V83" s="7" t="e">
        <f t="shared" si="38"/>
        <v>#VALUE!</v>
      </c>
      <c r="W83" s="28"/>
      <c r="X83" s="7" t="e">
        <f t="shared" si="38"/>
        <v>#VALUE!</v>
      </c>
      <c r="Y83" s="28"/>
      <c r="Z83" s="7" t="e">
        <f t="shared" si="39"/>
        <v>#VALUE!</v>
      </c>
      <c r="AA83" s="28"/>
      <c r="AB83" s="7"/>
      <c r="AC83" s="7"/>
      <c r="AD83" s="7"/>
      <c r="AE83" s="7"/>
      <c r="AF83" s="7">
        <v>0</v>
      </c>
      <c r="AG83" s="7" t="e">
        <f t="shared" si="40"/>
        <v>#VALUE!</v>
      </c>
      <c r="AH83" s="28"/>
      <c r="AI83" s="7"/>
      <c r="AJ83" s="7" t="e">
        <f t="shared" si="41"/>
        <v>#VALUE!</v>
      </c>
      <c r="AK83" s="28"/>
      <c r="AL83" s="7" t="e">
        <f t="shared" si="42"/>
        <v>#VALUE!</v>
      </c>
      <c r="AM83" s="28"/>
      <c r="AN83" s="7" t="e">
        <f t="shared" si="43"/>
        <v>#VALUE!</v>
      </c>
      <c r="AO83" s="28"/>
      <c r="AP83" s="7">
        <f t="shared" si="44"/>
        <v>2</v>
      </c>
      <c r="AQ83" s="28" t="s">
        <v>2301</v>
      </c>
      <c r="AR83" s="7"/>
      <c r="AS83" s="7"/>
      <c r="AT83" s="7"/>
      <c r="AU83" s="7"/>
      <c r="AV83" s="7" t="e">
        <f t="shared" si="45"/>
        <v>#VALUE!</v>
      </c>
      <c r="AW83" s="28"/>
      <c r="AX83" s="7">
        <v>0</v>
      </c>
      <c r="AY83" s="7" t="e">
        <f t="shared" si="46"/>
        <v>#VALUE!</v>
      </c>
      <c r="AZ83" s="28"/>
      <c r="BA83" s="7">
        <v>0</v>
      </c>
      <c r="BB83" s="7">
        <v>10</v>
      </c>
      <c r="BC83" s="7">
        <v>0</v>
      </c>
      <c r="BD83" s="7">
        <v>10</v>
      </c>
      <c r="BE83" s="7"/>
      <c r="BF83" s="7" t="e">
        <f t="shared" si="47"/>
        <v>#VALUE!</v>
      </c>
      <c r="BG83" s="28"/>
      <c r="BH83" s="7" t="e">
        <f t="shared" si="48"/>
        <v>#VALUE!</v>
      </c>
      <c r="BI83" s="28"/>
      <c r="BJ83" s="7" t="e">
        <f t="shared" si="49"/>
        <v>#VALUE!</v>
      </c>
      <c r="BK83" s="28"/>
      <c r="BL83" s="7"/>
      <c r="BM83" s="7"/>
      <c r="BN83" s="7" t="e">
        <f t="shared" si="50"/>
        <v>#VALUE!</v>
      </c>
      <c r="BO83" s="28"/>
      <c r="BP83" s="7" t="e">
        <f t="shared" si="51"/>
        <v>#VALUE!</v>
      </c>
      <c r="BQ83" s="28"/>
      <c r="BR83" s="7"/>
      <c r="BS83" s="7" t="e">
        <f t="shared" si="52"/>
        <v>#VALUE!</v>
      </c>
      <c r="BT83" s="28"/>
      <c r="BU83" s="7"/>
      <c r="BV83" s="7" t="e">
        <f ca="1">[1]!tメーカー名(BU83)</f>
        <v>#NAME?</v>
      </c>
      <c r="BW83" s="7" t="e">
        <f t="shared" si="53"/>
        <v>#VALUE!</v>
      </c>
      <c r="BX83" s="28"/>
      <c r="BY83" s="7" t="e">
        <f t="shared" si="54"/>
        <v>#VALUE!</v>
      </c>
      <c r="BZ83" s="28"/>
      <c r="CA83" s="54"/>
      <c r="CB83" s="54"/>
      <c r="CC83" s="7" t="e">
        <f t="shared" si="55"/>
        <v>#VALUE!</v>
      </c>
      <c r="CD83" s="28"/>
      <c r="CE83" s="7" t="e">
        <f t="shared" si="56"/>
        <v>#VALUE!</v>
      </c>
      <c r="CF83" s="28"/>
      <c r="CG83" s="7" t="e">
        <f t="shared" si="57"/>
        <v>#VALUE!</v>
      </c>
      <c r="CH83" s="28"/>
      <c r="CI83" s="7" t="e">
        <f t="shared" si="58"/>
        <v>#VALUE!</v>
      </c>
      <c r="CJ83" s="28"/>
      <c r="CK83" s="7"/>
      <c r="CL83" s="7"/>
      <c r="CM83" s="7"/>
      <c r="CN83" s="7"/>
      <c r="CO83" s="7"/>
      <c r="CP83" s="7"/>
      <c r="CQ83" s="7"/>
      <c r="CR83" s="7"/>
      <c r="CS83" s="126">
        <f t="shared" si="37"/>
        <v>0</v>
      </c>
      <c r="CT83" s="7"/>
      <c r="CU83" s="7"/>
    </row>
    <row r="84" spans="1:99">
      <c r="A84" s="7">
        <v>72</v>
      </c>
      <c r="B84" s="7"/>
      <c r="C84" s="7" t="e">
        <f t="shared" si="59"/>
        <v>#VALUE!</v>
      </c>
      <c r="D84" s="28"/>
      <c r="E84" s="7">
        <f t="shared" si="32"/>
        <v>0</v>
      </c>
      <c r="F84" s="7"/>
      <c r="G84" s="7">
        <f t="shared" si="33"/>
        <v>0</v>
      </c>
      <c r="H84" s="7"/>
      <c r="I84" s="7">
        <f t="shared" si="34"/>
        <v>0</v>
      </c>
      <c r="J84" s="7"/>
      <c r="K84" s="7">
        <f t="shared" si="35"/>
        <v>0</v>
      </c>
      <c r="L84" s="7"/>
      <c r="M84" s="7">
        <f t="shared" si="36"/>
        <v>0</v>
      </c>
      <c r="N84" s="7"/>
      <c r="O84" s="7"/>
      <c r="P84" s="7"/>
      <c r="Q84" s="53"/>
      <c r="R84" s="7"/>
      <c r="S84" s="7"/>
      <c r="T84" s="53"/>
      <c r="U84" s="7"/>
      <c r="V84" s="7" t="e">
        <f t="shared" si="38"/>
        <v>#VALUE!</v>
      </c>
      <c r="W84" s="28"/>
      <c r="X84" s="7" t="e">
        <f t="shared" si="38"/>
        <v>#VALUE!</v>
      </c>
      <c r="Y84" s="28"/>
      <c r="Z84" s="7" t="e">
        <f t="shared" si="39"/>
        <v>#VALUE!</v>
      </c>
      <c r="AA84" s="28"/>
      <c r="AB84" s="7"/>
      <c r="AC84" s="7"/>
      <c r="AD84" s="7"/>
      <c r="AE84" s="7"/>
      <c r="AF84" s="7">
        <v>0</v>
      </c>
      <c r="AG84" s="7" t="e">
        <f t="shared" si="40"/>
        <v>#VALUE!</v>
      </c>
      <c r="AH84" s="28"/>
      <c r="AI84" s="7"/>
      <c r="AJ84" s="7" t="e">
        <f t="shared" si="41"/>
        <v>#VALUE!</v>
      </c>
      <c r="AK84" s="28"/>
      <c r="AL84" s="7" t="e">
        <f t="shared" si="42"/>
        <v>#VALUE!</v>
      </c>
      <c r="AM84" s="28"/>
      <c r="AN84" s="7" t="e">
        <f t="shared" si="43"/>
        <v>#VALUE!</v>
      </c>
      <c r="AO84" s="28"/>
      <c r="AP84" s="7">
        <f t="shared" si="44"/>
        <v>2</v>
      </c>
      <c r="AQ84" s="28" t="s">
        <v>2301</v>
      </c>
      <c r="AR84" s="7"/>
      <c r="AS84" s="7"/>
      <c r="AT84" s="7"/>
      <c r="AU84" s="7"/>
      <c r="AV84" s="7" t="e">
        <f t="shared" si="45"/>
        <v>#VALUE!</v>
      </c>
      <c r="AW84" s="28"/>
      <c r="AX84" s="7">
        <v>0</v>
      </c>
      <c r="AY84" s="7" t="e">
        <f t="shared" si="46"/>
        <v>#VALUE!</v>
      </c>
      <c r="AZ84" s="28"/>
      <c r="BA84" s="7">
        <v>0</v>
      </c>
      <c r="BB84" s="7">
        <v>10</v>
      </c>
      <c r="BC84" s="7">
        <v>0</v>
      </c>
      <c r="BD84" s="7">
        <v>10</v>
      </c>
      <c r="BE84" s="7"/>
      <c r="BF84" s="7" t="e">
        <f t="shared" si="47"/>
        <v>#VALUE!</v>
      </c>
      <c r="BG84" s="28"/>
      <c r="BH84" s="7" t="e">
        <f t="shared" si="48"/>
        <v>#VALUE!</v>
      </c>
      <c r="BI84" s="28"/>
      <c r="BJ84" s="7" t="e">
        <f t="shared" si="49"/>
        <v>#VALUE!</v>
      </c>
      <c r="BK84" s="28"/>
      <c r="BL84" s="7"/>
      <c r="BM84" s="7"/>
      <c r="BN84" s="7" t="e">
        <f t="shared" si="50"/>
        <v>#VALUE!</v>
      </c>
      <c r="BO84" s="28"/>
      <c r="BP84" s="7" t="e">
        <f t="shared" si="51"/>
        <v>#VALUE!</v>
      </c>
      <c r="BQ84" s="28"/>
      <c r="BR84" s="7"/>
      <c r="BS84" s="7" t="e">
        <f t="shared" si="52"/>
        <v>#VALUE!</v>
      </c>
      <c r="BT84" s="28"/>
      <c r="BU84" s="7"/>
      <c r="BV84" s="7" t="e">
        <f ca="1">[1]!tメーカー名(BU84)</f>
        <v>#NAME?</v>
      </c>
      <c r="BW84" s="7" t="e">
        <f t="shared" si="53"/>
        <v>#VALUE!</v>
      </c>
      <c r="BX84" s="28"/>
      <c r="BY84" s="7" t="e">
        <f t="shared" si="54"/>
        <v>#VALUE!</v>
      </c>
      <c r="BZ84" s="28"/>
      <c r="CA84" s="54"/>
      <c r="CB84" s="54"/>
      <c r="CC84" s="7" t="e">
        <f t="shared" si="55"/>
        <v>#VALUE!</v>
      </c>
      <c r="CD84" s="28"/>
      <c r="CE84" s="7" t="e">
        <f t="shared" si="56"/>
        <v>#VALUE!</v>
      </c>
      <c r="CF84" s="28"/>
      <c r="CG84" s="7" t="e">
        <f t="shared" si="57"/>
        <v>#VALUE!</v>
      </c>
      <c r="CH84" s="28"/>
      <c r="CI84" s="7" t="e">
        <f t="shared" si="58"/>
        <v>#VALUE!</v>
      </c>
      <c r="CJ84" s="28"/>
      <c r="CK84" s="7"/>
      <c r="CL84" s="7"/>
      <c r="CM84" s="7"/>
      <c r="CN84" s="7"/>
      <c r="CO84" s="7"/>
      <c r="CP84" s="7"/>
      <c r="CQ84" s="7"/>
      <c r="CR84" s="7"/>
      <c r="CS84" s="126">
        <f t="shared" si="37"/>
        <v>0</v>
      </c>
      <c r="CT84" s="7"/>
      <c r="CU84" s="7"/>
    </row>
    <row r="85" spans="1:99">
      <c r="A85" s="7">
        <v>73</v>
      </c>
      <c r="B85" s="7"/>
      <c r="C85" s="7" t="e">
        <f t="shared" si="59"/>
        <v>#VALUE!</v>
      </c>
      <c r="D85" s="28"/>
      <c r="E85" s="7">
        <f t="shared" si="32"/>
        <v>0</v>
      </c>
      <c r="F85" s="7"/>
      <c r="G85" s="7">
        <f t="shared" si="33"/>
        <v>0</v>
      </c>
      <c r="H85" s="7"/>
      <c r="I85" s="7">
        <f t="shared" si="34"/>
        <v>0</v>
      </c>
      <c r="J85" s="7"/>
      <c r="K85" s="7">
        <f t="shared" si="35"/>
        <v>0</v>
      </c>
      <c r="L85" s="7"/>
      <c r="M85" s="7">
        <f t="shared" si="36"/>
        <v>0</v>
      </c>
      <c r="N85" s="7"/>
      <c r="O85" s="7"/>
      <c r="P85" s="7"/>
      <c r="Q85" s="53"/>
      <c r="R85" s="7"/>
      <c r="S85" s="7"/>
      <c r="T85" s="53"/>
      <c r="U85" s="7"/>
      <c r="V85" s="7" t="e">
        <f t="shared" si="38"/>
        <v>#VALUE!</v>
      </c>
      <c r="W85" s="28"/>
      <c r="X85" s="7" t="e">
        <f t="shared" si="38"/>
        <v>#VALUE!</v>
      </c>
      <c r="Y85" s="28"/>
      <c r="Z85" s="7" t="e">
        <f t="shared" si="39"/>
        <v>#VALUE!</v>
      </c>
      <c r="AA85" s="28"/>
      <c r="AB85" s="7"/>
      <c r="AC85" s="7"/>
      <c r="AD85" s="7"/>
      <c r="AE85" s="7"/>
      <c r="AF85" s="7">
        <v>0</v>
      </c>
      <c r="AG85" s="7" t="e">
        <f t="shared" si="40"/>
        <v>#VALUE!</v>
      </c>
      <c r="AH85" s="28"/>
      <c r="AI85" s="7"/>
      <c r="AJ85" s="7" t="e">
        <f t="shared" si="41"/>
        <v>#VALUE!</v>
      </c>
      <c r="AK85" s="28"/>
      <c r="AL85" s="7" t="e">
        <f t="shared" si="42"/>
        <v>#VALUE!</v>
      </c>
      <c r="AM85" s="28"/>
      <c r="AN85" s="7" t="e">
        <f t="shared" si="43"/>
        <v>#VALUE!</v>
      </c>
      <c r="AO85" s="28"/>
      <c r="AP85" s="7">
        <f t="shared" si="44"/>
        <v>2</v>
      </c>
      <c r="AQ85" s="28" t="s">
        <v>2301</v>
      </c>
      <c r="AR85" s="7"/>
      <c r="AS85" s="7"/>
      <c r="AT85" s="7"/>
      <c r="AU85" s="7"/>
      <c r="AV85" s="7" t="e">
        <f t="shared" si="45"/>
        <v>#VALUE!</v>
      </c>
      <c r="AW85" s="28"/>
      <c r="AX85" s="7">
        <v>0</v>
      </c>
      <c r="AY85" s="7" t="e">
        <f t="shared" si="46"/>
        <v>#VALUE!</v>
      </c>
      <c r="AZ85" s="28"/>
      <c r="BA85" s="7">
        <v>0</v>
      </c>
      <c r="BB85" s="7">
        <v>10</v>
      </c>
      <c r="BC85" s="7">
        <v>0</v>
      </c>
      <c r="BD85" s="7">
        <v>10</v>
      </c>
      <c r="BE85" s="7"/>
      <c r="BF85" s="7" t="e">
        <f t="shared" si="47"/>
        <v>#VALUE!</v>
      </c>
      <c r="BG85" s="28"/>
      <c r="BH85" s="7" t="e">
        <f t="shared" si="48"/>
        <v>#VALUE!</v>
      </c>
      <c r="BI85" s="28"/>
      <c r="BJ85" s="7" t="e">
        <f t="shared" si="49"/>
        <v>#VALUE!</v>
      </c>
      <c r="BK85" s="28"/>
      <c r="BL85" s="7"/>
      <c r="BM85" s="7"/>
      <c r="BN85" s="7" t="e">
        <f t="shared" si="50"/>
        <v>#VALUE!</v>
      </c>
      <c r="BO85" s="28"/>
      <c r="BP85" s="7" t="e">
        <f t="shared" si="51"/>
        <v>#VALUE!</v>
      </c>
      <c r="BQ85" s="28"/>
      <c r="BR85" s="7"/>
      <c r="BS85" s="7" t="e">
        <f t="shared" si="52"/>
        <v>#VALUE!</v>
      </c>
      <c r="BT85" s="28"/>
      <c r="BU85" s="7"/>
      <c r="BV85" s="7" t="e">
        <f ca="1">[1]!tメーカー名(BU85)</f>
        <v>#NAME?</v>
      </c>
      <c r="BW85" s="7" t="e">
        <f t="shared" si="53"/>
        <v>#VALUE!</v>
      </c>
      <c r="BX85" s="28"/>
      <c r="BY85" s="7" t="e">
        <f t="shared" si="54"/>
        <v>#VALUE!</v>
      </c>
      <c r="BZ85" s="28"/>
      <c r="CA85" s="54"/>
      <c r="CB85" s="54"/>
      <c r="CC85" s="7" t="e">
        <f t="shared" si="55"/>
        <v>#VALUE!</v>
      </c>
      <c r="CD85" s="28"/>
      <c r="CE85" s="7" t="e">
        <f t="shared" si="56"/>
        <v>#VALUE!</v>
      </c>
      <c r="CF85" s="28"/>
      <c r="CG85" s="7" t="e">
        <f t="shared" si="57"/>
        <v>#VALUE!</v>
      </c>
      <c r="CH85" s="28"/>
      <c r="CI85" s="7" t="e">
        <f t="shared" si="58"/>
        <v>#VALUE!</v>
      </c>
      <c r="CJ85" s="28"/>
      <c r="CK85" s="7"/>
      <c r="CL85" s="7"/>
      <c r="CM85" s="7"/>
      <c r="CN85" s="7"/>
      <c r="CO85" s="7"/>
      <c r="CP85" s="7"/>
      <c r="CQ85" s="7"/>
      <c r="CR85" s="7"/>
      <c r="CS85" s="126">
        <f t="shared" si="37"/>
        <v>0</v>
      </c>
      <c r="CT85" s="7"/>
      <c r="CU85" s="7"/>
    </row>
    <row r="86" spans="1:99">
      <c r="A86" s="7">
        <v>74</v>
      </c>
      <c r="B86" s="7"/>
      <c r="C86" s="7" t="e">
        <f t="shared" si="59"/>
        <v>#VALUE!</v>
      </c>
      <c r="D86" s="28"/>
      <c r="E86" s="7">
        <f t="shared" si="32"/>
        <v>0</v>
      </c>
      <c r="F86" s="7"/>
      <c r="G86" s="7">
        <f t="shared" si="33"/>
        <v>0</v>
      </c>
      <c r="H86" s="7"/>
      <c r="I86" s="7">
        <f t="shared" si="34"/>
        <v>0</v>
      </c>
      <c r="J86" s="7"/>
      <c r="K86" s="7">
        <f t="shared" si="35"/>
        <v>0</v>
      </c>
      <c r="L86" s="7"/>
      <c r="M86" s="7">
        <f t="shared" si="36"/>
        <v>0</v>
      </c>
      <c r="N86" s="7"/>
      <c r="O86" s="7"/>
      <c r="P86" s="7"/>
      <c r="Q86" s="53"/>
      <c r="R86" s="7"/>
      <c r="S86" s="7"/>
      <c r="T86" s="53"/>
      <c r="U86" s="7"/>
      <c r="V86" s="7" t="e">
        <f t="shared" si="38"/>
        <v>#VALUE!</v>
      </c>
      <c r="W86" s="28"/>
      <c r="X86" s="7" t="e">
        <f t="shared" si="38"/>
        <v>#VALUE!</v>
      </c>
      <c r="Y86" s="28"/>
      <c r="Z86" s="7" t="e">
        <f t="shared" si="39"/>
        <v>#VALUE!</v>
      </c>
      <c r="AA86" s="28"/>
      <c r="AB86" s="7"/>
      <c r="AC86" s="7"/>
      <c r="AD86" s="7"/>
      <c r="AE86" s="7"/>
      <c r="AF86" s="7">
        <v>0</v>
      </c>
      <c r="AG86" s="7" t="e">
        <f t="shared" si="40"/>
        <v>#VALUE!</v>
      </c>
      <c r="AH86" s="28"/>
      <c r="AI86" s="7"/>
      <c r="AJ86" s="7" t="e">
        <f t="shared" si="41"/>
        <v>#VALUE!</v>
      </c>
      <c r="AK86" s="28"/>
      <c r="AL86" s="7" t="e">
        <f t="shared" si="42"/>
        <v>#VALUE!</v>
      </c>
      <c r="AM86" s="28"/>
      <c r="AN86" s="7" t="e">
        <f t="shared" si="43"/>
        <v>#VALUE!</v>
      </c>
      <c r="AO86" s="28"/>
      <c r="AP86" s="7">
        <f t="shared" si="44"/>
        <v>2</v>
      </c>
      <c r="AQ86" s="28" t="s">
        <v>2301</v>
      </c>
      <c r="AR86" s="7"/>
      <c r="AS86" s="7"/>
      <c r="AT86" s="7"/>
      <c r="AU86" s="7"/>
      <c r="AV86" s="7" t="e">
        <f t="shared" si="45"/>
        <v>#VALUE!</v>
      </c>
      <c r="AW86" s="28"/>
      <c r="AX86" s="7">
        <v>0</v>
      </c>
      <c r="AY86" s="7" t="e">
        <f t="shared" si="46"/>
        <v>#VALUE!</v>
      </c>
      <c r="AZ86" s="28"/>
      <c r="BA86" s="7">
        <v>0</v>
      </c>
      <c r="BB86" s="7">
        <v>10</v>
      </c>
      <c r="BC86" s="7">
        <v>0</v>
      </c>
      <c r="BD86" s="7">
        <v>10</v>
      </c>
      <c r="BE86" s="7"/>
      <c r="BF86" s="7" t="e">
        <f t="shared" si="47"/>
        <v>#VALUE!</v>
      </c>
      <c r="BG86" s="28"/>
      <c r="BH86" s="7" t="e">
        <f t="shared" si="48"/>
        <v>#VALUE!</v>
      </c>
      <c r="BI86" s="28"/>
      <c r="BJ86" s="7" t="e">
        <f t="shared" si="49"/>
        <v>#VALUE!</v>
      </c>
      <c r="BK86" s="28"/>
      <c r="BL86" s="7"/>
      <c r="BM86" s="7"/>
      <c r="BN86" s="7" t="e">
        <f t="shared" si="50"/>
        <v>#VALUE!</v>
      </c>
      <c r="BO86" s="28"/>
      <c r="BP86" s="7" t="e">
        <f t="shared" si="51"/>
        <v>#VALUE!</v>
      </c>
      <c r="BQ86" s="28"/>
      <c r="BR86" s="7"/>
      <c r="BS86" s="7" t="e">
        <f t="shared" si="52"/>
        <v>#VALUE!</v>
      </c>
      <c r="BT86" s="28"/>
      <c r="BU86" s="7"/>
      <c r="BV86" s="7" t="e">
        <f ca="1">[1]!tメーカー名(BU86)</f>
        <v>#NAME?</v>
      </c>
      <c r="BW86" s="7" t="e">
        <f t="shared" si="53"/>
        <v>#VALUE!</v>
      </c>
      <c r="BX86" s="28"/>
      <c r="BY86" s="7" t="e">
        <f t="shared" si="54"/>
        <v>#VALUE!</v>
      </c>
      <c r="BZ86" s="28"/>
      <c r="CA86" s="54"/>
      <c r="CB86" s="54"/>
      <c r="CC86" s="7" t="e">
        <f t="shared" si="55"/>
        <v>#VALUE!</v>
      </c>
      <c r="CD86" s="28"/>
      <c r="CE86" s="7" t="e">
        <f t="shared" si="56"/>
        <v>#VALUE!</v>
      </c>
      <c r="CF86" s="28"/>
      <c r="CG86" s="7" t="e">
        <f t="shared" si="57"/>
        <v>#VALUE!</v>
      </c>
      <c r="CH86" s="28"/>
      <c r="CI86" s="7" t="e">
        <f t="shared" si="58"/>
        <v>#VALUE!</v>
      </c>
      <c r="CJ86" s="28"/>
      <c r="CK86" s="7"/>
      <c r="CL86" s="7"/>
      <c r="CM86" s="7"/>
      <c r="CN86" s="7"/>
      <c r="CO86" s="7"/>
      <c r="CP86" s="7"/>
      <c r="CQ86" s="7"/>
      <c r="CR86" s="7"/>
      <c r="CS86" s="126">
        <f t="shared" si="37"/>
        <v>0</v>
      </c>
      <c r="CT86" s="7"/>
      <c r="CU86" s="7"/>
    </row>
    <row r="87" spans="1:99">
      <c r="A87" s="7">
        <v>75</v>
      </c>
      <c r="B87" s="7"/>
      <c r="C87" s="7" t="e">
        <f t="shared" si="59"/>
        <v>#VALUE!</v>
      </c>
      <c r="D87" s="28"/>
      <c r="E87" s="7">
        <f t="shared" si="32"/>
        <v>0</v>
      </c>
      <c r="F87" s="7"/>
      <c r="G87" s="7">
        <f t="shared" si="33"/>
        <v>0</v>
      </c>
      <c r="H87" s="7"/>
      <c r="I87" s="7">
        <f t="shared" si="34"/>
        <v>0</v>
      </c>
      <c r="J87" s="7"/>
      <c r="K87" s="7">
        <f t="shared" si="35"/>
        <v>0</v>
      </c>
      <c r="L87" s="7"/>
      <c r="M87" s="7">
        <f t="shared" si="36"/>
        <v>0</v>
      </c>
      <c r="N87" s="7"/>
      <c r="O87" s="7"/>
      <c r="P87" s="7"/>
      <c r="Q87" s="53"/>
      <c r="R87" s="7"/>
      <c r="S87" s="7"/>
      <c r="T87" s="53"/>
      <c r="U87" s="7"/>
      <c r="V87" s="7" t="e">
        <f t="shared" si="38"/>
        <v>#VALUE!</v>
      </c>
      <c r="W87" s="28"/>
      <c r="X87" s="7" t="e">
        <f t="shared" si="38"/>
        <v>#VALUE!</v>
      </c>
      <c r="Y87" s="28"/>
      <c r="Z87" s="7" t="e">
        <f t="shared" si="39"/>
        <v>#VALUE!</v>
      </c>
      <c r="AA87" s="28"/>
      <c r="AB87" s="7"/>
      <c r="AC87" s="7"/>
      <c r="AD87" s="7"/>
      <c r="AE87" s="7"/>
      <c r="AF87" s="7">
        <v>0</v>
      </c>
      <c r="AG87" s="7" t="e">
        <f t="shared" si="40"/>
        <v>#VALUE!</v>
      </c>
      <c r="AH87" s="28"/>
      <c r="AI87" s="7"/>
      <c r="AJ87" s="7" t="e">
        <f t="shared" si="41"/>
        <v>#VALUE!</v>
      </c>
      <c r="AK87" s="28"/>
      <c r="AL87" s="7" t="e">
        <f t="shared" si="42"/>
        <v>#VALUE!</v>
      </c>
      <c r="AM87" s="28"/>
      <c r="AN87" s="7" t="e">
        <f t="shared" si="43"/>
        <v>#VALUE!</v>
      </c>
      <c r="AO87" s="28"/>
      <c r="AP87" s="7">
        <f t="shared" si="44"/>
        <v>2</v>
      </c>
      <c r="AQ87" s="28" t="s">
        <v>2301</v>
      </c>
      <c r="AR87" s="7"/>
      <c r="AS87" s="7"/>
      <c r="AT87" s="7"/>
      <c r="AU87" s="7"/>
      <c r="AV87" s="7" t="e">
        <f t="shared" si="45"/>
        <v>#VALUE!</v>
      </c>
      <c r="AW87" s="28"/>
      <c r="AX87" s="7">
        <v>0</v>
      </c>
      <c r="AY87" s="7" t="e">
        <f t="shared" si="46"/>
        <v>#VALUE!</v>
      </c>
      <c r="AZ87" s="28"/>
      <c r="BA87" s="7">
        <v>0</v>
      </c>
      <c r="BB87" s="7">
        <v>10</v>
      </c>
      <c r="BC87" s="7">
        <v>0</v>
      </c>
      <c r="BD87" s="7">
        <v>10</v>
      </c>
      <c r="BE87" s="7"/>
      <c r="BF87" s="7" t="e">
        <f t="shared" si="47"/>
        <v>#VALUE!</v>
      </c>
      <c r="BG87" s="28"/>
      <c r="BH87" s="7" t="e">
        <f t="shared" si="48"/>
        <v>#VALUE!</v>
      </c>
      <c r="BI87" s="28"/>
      <c r="BJ87" s="7" t="e">
        <f t="shared" si="49"/>
        <v>#VALUE!</v>
      </c>
      <c r="BK87" s="28"/>
      <c r="BL87" s="7"/>
      <c r="BM87" s="7"/>
      <c r="BN87" s="7" t="e">
        <f t="shared" si="50"/>
        <v>#VALUE!</v>
      </c>
      <c r="BO87" s="28"/>
      <c r="BP87" s="7" t="e">
        <f t="shared" si="51"/>
        <v>#VALUE!</v>
      </c>
      <c r="BQ87" s="28"/>
      <c r="BR87" s="7"/>
      <c r="BS87" s="7" t="e">
        <f t="shared" si="52"/>
        <v>#VALUE!</v>
      </c>
      <c r="BT87" s="28"/>
      <c r="BU87" s="7"/>
      <c r="BV87" s="7" t="e">
        <f ca="1">[1]!tメーカー名(BU87)</f>
        <v>#NAME?</v>
      </c>
      <c r="BW87" s="7" t="e">
        <f t="shared" si="53"/>
        <v>#VALUE!</v>
      </c>
      <c r="BX87" s="28"/>
      <c r="BY87" s="7" t="e">
        <f t="shared" si="54"/>
        <v>#VALUE!</v>
      </c>
      <c r="BZ87" s="28"/>
      <c r="CA87" s="54"/>
      <c r="CB87" s="54"/>
      <c r="CC87" s="7" t="e">
        <f t="shared" si="55"/>
        <v>#VALUE!</v>
      </c>
      <c r="CD87" s="28"/>
      <c r="CE87" s="7" t="e">
        <f t="shared" si="56"/>
        <v>#VALUE!</v>
      </c>
      <c r="CF87" s="28"/>
      <c r="CG87" s="7" t="e">
        <f t="shared" si="57"/>
        <v>#VALUE!</v>
      </c>
      <c r="CH87" s="28"/>
      <c r="CI87" s="7" t="e">
        <f t="shared" si="58"/>
        <v>#VALUE!</v>
      </c>
      <c r="CJ87" s="28"/>
      <c r="CK87" s="7"/>
      <c r="CL87" s="7"/>
      <c r="CM87" s="7"/>
      <c r="CN87" s="7"/>
      <c r="CO87" s="7"/>
      <c r="CP87" s="7"/>
      <c r="CQ87" s="7"/>
      <c r="CR87" s="7"/>
      <c r="CS87" s="126">
        <f t="shared" si="37"/>
        <v>0</v>
      </c>
      <c r="CT87" s="7"/>
      <c r="CU87" s="7"/>
    </row>
    <row r="88" spans="1:99">
      <c r="A88" s="7">
        <v>76</v>
      </c>
      <c r="B88" s="7"/>
      <c r="C88" s="7" t="e">
        <f t="shared" si="59"/>
        <v>#VALUE!</v>
      </c>
      <c r="D88" s="28"/>
      <c r="E88" s="7">
        <f t="shared" si="32"/>
        <v>0</v>
      </c>
      <c r="F88" s="7"/>
      <c r="G88" s="7">
        <f t="shared" si="33"/>
        <v>0</v>
      </c>
      <c r="H88" s="7"/>
      <c r="I88" s="7">
        <f t="shared" si="34"/>
        <v>0</v>
      </c>
      <c r="J88" s="7"/>
      <c r="K88" s="7">
        <f t="shared" si="35"/>
        <v>0</v>
      </c>
      <c r="L88" s="7"/>
      <c r="M88" s="7">
        <f t="shared" si="36"/>
        <v>0</v>
      </c>
      <c r="N88" s="7"/>
      <c r="O88" s="7"/>
      <c r="P88" s="7"/>
      <c r="Q88" s="53"/>
      <c r="R88" s="7"/>
      <c r="S88" s="7"/>
      <c r="T88" s="53"/>
      <c r="U88" s="7"/>
      <c r="V88" s="7" t="e">
        <f t="shared" si="38"/>
        <v>#VALUE!</v>
      </c>
      <c r="W88" s="28"/>
      <c r="X88" s="7" t="e">
        <f t="shared" si="38"/>
        <v>#VALUE!</v>
      </c>
      <c r="Y88" s="28"/>
      <c r="Z88" s="7" t="e">
        <f t="shared" si="39"/>
        <v>#VALUE!</v>
      </c>
      <c r="AA88" s="28"/>
      <c r="AB88" s="7"/>
      <c r="AC88" s="7"/>
      <c r="AD88" s="7"/>
      <c r="AE88" s="7"/>
      <c r="AF88" s="7">
        <v>0</v>
      </c>
      <c r="AG88" s="7" t="e">
        <f t="shared" si="40"/>
        <v>#VALUE!</v>
      </c>
      <c r="AH88" s="28"/>
      <c r="AI88" s="7"/>
      <c r="AJ88" s="7" t="e">
        <f t="shared" si="41"/>
        <v>#VALUE!</v>
      </c>
      <c r="AK88" s="28"/>
      <c r="AL88" s="7" t="e">
        <f t="shared" si="42"/>
        <v>#VALUE!</v>
      </c>
      <c r="AM88" s="28"/>
      <c r="AN88" s="7" t="e">
        <f t="shared" si="43"/>
        <v>#VALUE!</v>
      </c>
      <c r="AO88" s="28"/>
      <c r="AP88" s="7">
        <f t="shared" si="44"/>
        <v>2</v>
      </c>
      <c r="AQ88" s="28" t="s">
        <v>2301</v>
      </c>
      <c r="AR88" s="7"/>
      <c r="AS88" s="7"/>
      <c r="AT88" s="7"/>
      <c r="AU88" s="7"/>
      <c r="AV88" s="7" t="e">
        <f t="shared" si="45"/>
        <v>#VALUE!</v>
      </c>
      <c r="AW88" s="28"/>
      <c r="AX88" s="7">
        <v>0</v>
      </c>
      <c r="AY88" s="7" t="e">
        <f t="shared" si="46"/>
        <v>#VALUE!</v>
      </c>
      <c r="AZ88" s="28"/>
      <c r="BA88" s="7">
        <v>0</v>
      </c>
      <c r="BB88" s="7">
        <v>10</v>
      </c>
      <c r="BC88" s="7">
        <v>0</v>
      </c>
      <c r="BD88" s="7">
        <v>10</v>
      </c>
      <c r="BE88" s="7"/>
      <c r="BF88" s="7" t="e">
        <f t="shared" si="47"/>
        <v>#VALUE!</v>
      </c>
      <c r="BG88" s="28"/>
      <c r="BH88" s="7" t="e">
        <f t="shared" si="48"/>
        <v>#VALUE!</v>
      </c>
      <c r="BI88" s="28"/>
      <c r="BJ88" s="7" t="e">
        <f t="shared" si="49"/>
        <v>#VALUE!</v>
      </c>
      <c r="BK88" s="28"/>
      <c r="BL88" s="7"/>
      <c r="BM88" s="7"/>
      <c r="BN88" s="7" t="e">
        <f t="shared" si="50"/>
        <v>#VALUE!</v>
      </c>
      <c r="BO88" s="28"/>
      <c r="BP88" s="7" t="e">
        <f t="shared" si="51"/>
        <v>#VALUE!</v>
      </c>
      <c r="BQ88" s="28"/>
      <c r="BR88" s="7"/>
      <c r="BS88" s="7" t="e">
        <f t="shared" si="52"/>
        <v>#VALUE!</v>
      </c>
      <c r="BT88" s="28"/>
      <c r="BU88" s="7"/>
      <c r="BV88" s="7" t="e">
        <f ca="1">[1]!tメーカー名(BU88)</f>
        <v>#NAME?</v>
      </c>
      <c r="BW88" s="7" t="e">
        <f t="shared" si="53"/>
        <v>#VALUE!</v>
      </c>
      <c r="BX88" s="28"/>
      <c r="BY88" s="7" t="e">
        <f t="shared" si="54"/>
        <v>#VALUE!</v>
      </c>
      <c r="BZ88" s="28"/>
      <c r="CA88" s="54"/>
      <c r="CB88" s="54"/>
      <c r="CC88" s="7" t="e">
        <f t="shared" si="55"/>
        <v>#VALUE!</v>
      </c>
      <c r="CD88" s="28"/>
      <c r="CE88" s="7" t="e">
        <f t="shared" si="56"/>
        <v>#VALUE!</v>
      </c>
      <c r="CF88" s="28"/>
      <c r="CG88" s="7" t="e">
        <f t="shared" si="57"/>
        <v>#VALUE!</v>
      </c>
      <c r="CH88" s="28"/>
      <c r="CI88" s="7" t="e">
        <f t="shared" si="58"/>
        <v>#VALUE!</v>
      </c>
      <c r="CJ88" s="28"/>
      <c r="CK88" s="7"/>
      <c r="CL88" s="7"/>
      <c r="CM88" s="7"/>
      <c r="CN88" s="7"/>
      <c r="CO88" s="7"/>
      <c r="CP88" s="7"/>
      <c r="CQ88" s="7"/>
      <c r="CR88" s="7"/>
      <c r="CS88" s="126">
        <f t="shared" si="37"/>
        <v>0</v>
      </c>
      <c r="CT88" s="7"/>
      <c r="CU88" s="7"/>
    </row>
    <row r="89" spans="1:99">
      <c r="A89" s="7">
        <v>77</v>
      </c>
      <c r="B89" s="7"/>
      <c r="C89" s="7" t="e">
        <f t="shared" si="59"/>
        <v>#VALUE!</v>
      </c>
      <c r="D89" s="28"/>
      <c r="E89" s="7">
        <f t="shared" si="32"/>
        <v>0</v>
      </c>
      <c r="F89" s="6"/>
      <c r="G89" s="7">
        <f t="shared" si="33"/>
        <v>0</v>
      </c>
      <c r="H89" s="7"/>
      <c r="I89" s="7">
        <f t="shared" si="34"/>
        <v>0</v>
      </c>
      <c r="J89" s="7"/>
      <c r="K89" s="7">
        <f t="shared" si="35"/>
        <v>0</v>
      </c>
      <c r="L89" s="7"/>
      <c r="M89" s="7">
        <f t="shared" si="36"/>
        <v>0</v>
      </c>
      <c r="N89" s="7"/>
      <c r="O89" s="7"/>
      <c r="P89" s="7"/>
      <c r="Q89" s="53"/>
      <c r="R89" s="7"/>
      <c r="S89" s="7"/>
      <c r="T89" s="53"/>
      <c r="U89" s="7"/>
      <c r="V89" s="7" t="e">
        <f t="shared" si="38"/>
        <v>#VALUE!</v>
      </c>
      <c r="W89" s="28"/>
      <c r="X89" s="7" t="e">
        <f t="shared" si="38"/>
        <v>#VALUE!</v>
      </c>
      <c r="Y89" s="28"/>
      <c r="Z89" s="7" t="e">
        <f t="shared" si="39"/>
        <v>#VALUE!</v>
      </c>
      <c r="AA89" s="28"/>
      <c r="AB89" s="7"/>
      <c r="AC89" s="7"/>
      <c r="AD89" s="7"/>
      <c r="AE89" s="7"/>
      <c r="AF89" s="7">
        <v>0</v>
      </c>
      <c r="AG89" s="7" t="e">
        <f t="shared" si="40"/>
        <v>#VALUE!</v>
      </c>
      <c r="AH89" s="28"/>
      <c r="AI89" s="7"/>
      <c r="AJ89" s="7" t="e">
        <f t="shared" si="41"/>
        <v>#VALUE!</v>
      </c>
      <c r="AK89" s="28"/>
      <c r="AL89" s="7" t="e">
        <f t="shared" si="42"/>
        <v>#VALUE!</v>
      </c>
      <c r="AM89" s="28"/>
      <c r="AN89" s="7" t="e">
        <f t="shared" si="43"/>
        <v>#VALUE!</v>
      </c>
      <c r="AO89" s="28"/>
      <c r="AP89" s="7">
        <f t="shared" si="44"/>
        <v>2</v>
      </c>
      <c r="AQ89" s="28" t="s">
        <v>2301</v>
      </c>
      <c r="AR89" s="7"/>
      <c r="AS89" s="7"/>
      <c r="AT89" s="7"/>
      <c r="AU89" s="7"/>
      <c r="AV89" s="7" t="e">
        <f t="shared" si="45"/>
        <v>#VALUE!</v>
      </c>
      <c r="AW89" s="28"/>
      <c r="AX89" s="7">
        <v>0</v>
      </c>
      <c r="AY89" s="7" t="e">
        <f t="shared" si="46"/>
        <v>#VALUE!</v>
      </c>
      <c r="AZ89" s="28"/>
      <c r="BA89" s="7">
        <v>0</v>
      </c>
      <c r="BB89" s="7">
        <v>10</v>
      </c>
      <c r="BC89" s="7">
        <v>0</v>
      </c>
      <c r="BD89" s="7">
        <v>10</v>
      </c>
      <c r="BE89" s="7"/>
      <c r="BF89" s="7" t="e">
        <f t="shared" si="47"/>
        <v>#VALUE!</v>
      </c>
      <c r="BG89" s="28"/>
      <c r="BH89" s="7" t="e">
        <f t="shared" si="48"/>
        <v>#VALUE!</v>
      </c>
      <c r="BI89" s="28"/>
      <c r="BJ89" s="7" t="e">
        <f t="shared" si="49"/>
        <v>#VALUE!</v>
      </c>
      <c r="BK89" s="28"/>
      <c r="BL89" s="7"/>
      <c r="BM89" s="7"/>
      <c r="BN89" s="7" t="e">
        <f t="shared" si="50"/>
        <v>#VALUE!</v>
      </c>
      <c r="BO89" s="28"/>
      <c r="BP89" s="7" t="e">
        <f t="shared" si="51"/>
        <v>#VALUE!</v>
      </c>
      <c r="BQ89" s="28"/>
      <c r="BR89" s="7"/>
      <c r="BS89" s="7" t="e">
        <f t="shared" si="52"/>
        <v>#VALUE!</v>
      </c>
      <c r="BT89" s="28"/>
      <c r="BU89" s="7"/>
      <c r="BV89" s="7" t="e">
        <f ca="1">[1]!tメーカー名(BU89)</f>
        <v>#NAME?</v>
      </c>
      <c r="BW89" s="7" t="e">
        <f t="shared" si="53"/>
        <v>#VALUE!</v>
      </c>
      <c r="BX89" s="28"/>
      <c r="BY89" s="7" t="e">
        <f t="shared" si="54"/>
        <v>#VALUE!</v>
      </c>
      <c r="BZ89" s="28"/>
      <c r="CA89" s="54"/>
      <c r="CB89" s="54"/>
      <c r="CC89" s="7" t="e">
        <f t="shared" si="55"/>
        <v>#VALUE!</v>
      </c>
      <c r="CD89" s="28"/>
      <c r="CE89" s="7" t="e">
        <f t="shared" si="56"/>
        <v>#VALUE!</v>
      </c>
      <c r="CF89" s="28"/>
      <c r="CG89" s="7" t="e">
        <f t="shared" si="57"/>
        <v>#VALUE!</v>
      </c>
      <c r="CH89" s="28"/>
      <c r="CI89" s="7" t="e">
        <f t="shared" si="58"/>
        <v>#VALUE!</v>
      </c>
      <c r="CJ89" s="28"/>
      <c r="CK89" s="7"/>
      <c r="CL89" s="7"/>
      <c r="CM89" s="7"/>
      <c r="CN89" s="7"/>
      <c r="CO89" s="7"/>
      <c r="CP89" s="7"/>
      <c r="CQ89" s="7"/>
      <c r="CR89" s="7"/>
      <c r="CS89" s="126">
        <f t="shared" si="37"/>
        <v>0</v>
      </c>
      <c r="CT89" s="7"/>
      <c r="CU89" s="7"/>
    </row>
    <row r="90" spans="1:99">
      <c r="A90" s="7">
        <v>78</v>
      </c>
      <c r="B90" s="7"/>
      <c r="C90" s="7" t="e">
        <f t="shared" si="59"/>
        <v>#VALUE!</v>
      </c>
      <c r="D90" s="28"/>
      <c r="E90" s="7">
        <f t="shared" si="32"/>
        <v>0</v>
      </c>
      <c r="F90" s="6"/>
      <c r="G90" s="7">
        <f t="shared" si="33"/>
        <v>0</v>
      </c>
      <c r="H90" s="7"/>
      <c r="I90" s="7">
        <f t="shared" si="34"/>
        <v>0</v>
      </c>
      <c r="J90" s="7"/>
      <c r="K90" s="7">
        <f t="shared" si="35"/>
        <v>0</v>
      </c>
      <c r="L90" s="7"/>
      <c r="M90" s="7">
        <f t="shared" si="36"/>
        <v>0</v>
      </c>
      <c r="N90" s="7"/>
      <c r="O90" s="7"/>
      <c r="P90" s="7"/>
      <c r="Q90" s="53"/>
      <c r="R90" s="7"/>
      <c r="S90" s="7"/>
      <c r="T90" s="53"/>
      <c r="U90" s="7"/>
      <c r="V90" s="7" t="e">
        <f t="shared" si="38"/>
        <v>#VALUE!</v>
      </c>
      <c r="W90" s="28"/>
      <c r="X90" s="7" t="e">
        <f t="shared" si="38"/>
        <v>#VALUE!</v>
      </c>
      <c r="Y90" s="28"/>
      <c r="Z90" s="7" t="e">
        <f t="shared" si="39"/>
        <v>#VALUE!</v>
      </c>
      <c r="AA90" s="28"/>
      <c r="AB90" s="7"/>
      <c r="AC90" s="7"/>
      <c r="AD90" s="7"/>
      <c r="AE90" s="7"/>
      <c r="AF90" s="7">
        <v>0</v>
      </c>
      <c r="AG90" s="7" t="e">
        <f t="shared" si="40"/>
        <v>#VALUE!</v>
      </c>
      <c r="AH90" s="28"/>
      <c r="AI90" s="7"/>
      <c r="AJ90" s="7" t="e">
        <f t="shared" si="41"/>
        <v>#VALUE!</v>
      </c>
      <c r="AK90" s="28"/>
      <c r="AL90" s="7" t="e">
        <f t="shared" si="42"/>
        <v>#VALUE!</v>
      </c>
      <c r="AM90" s="28"/>
      <c r="AN90" s="7" t="e">
        <f t="shared" si="43"/>
        <v>#VALUE!</v>
      </c>
      <c r="AO90" s="28"/>
      <c r="AP90" s="7">
        <f t="shared" si="44"/>
        <v>2</v>
      </c>
      <c r="AQ90" s="28" t="s">
        <v>2301</v>
      </c>
      <c r="AR90" s="7"/>
      <c r="AS90" s="7"/>
      <c r="AT90" s="7"/>
      <c r="AU90" s="7"/>
      <c r="AV90" s="7" t="e">
        <f t="shared" si="45"/>
        <v>#VALUE!</v>
      </c>
      <c r="AW90" s="28"/>
      <c r="AX90" s="7">
        <v>0</v>
      </c>
      <c r="AY90" s="7" t="e">
        <f t="shared" si="46"/>
        <v>#VALUE!</v>
      </c>
      <c r="AZ90" s="28"/>
      <c r="BA90" s="7">
        <v>0</v>
      </c>
      <c r="BB90" s="7">
        <v>10</v>
      </c>
      <c r="BC90" s="7">
        <v>0</v>
      </c>
      <c r="BD90" s="7">
        <v>10</v>
      </c>
      <c r="BE90" s="7"/>
      <c r="BF90" s="7" t="e">
        <f t="shared" si="47"/>
        <v>#VALUE!</v>
      </c>
      <c r="BG90" s="28"/>
      <c r="BH90" s="7" t="e">
        <f t="shared" si="48"/>
        <v>#VALUE!</v>
      </c>
      <c r="BI90" s="28"/>
      <c r="BJ90" s="7" t="e">
        <f t="shared" si="49"/>
        <v>#VALUE!</v>
      </c>
      <c r="BK90" s="28"/>
      <c r="BL90" s="7"/>
      <c r="BM90" s="7"/>
      <c r="BN90" s="7" t="e">
        <f t="shared" si="50"/>
        <v>#VALUE!</v>
      </c>
      <c r="BO90" s="28"/>
      <c r="BP90" s="7" t="e">
        <f t="shared" si="51"/>
        <v>#VALUE!</v>
      </c>
      <c r="BQ90" s="28"/>
      <c r="BR90" s="7"/>
      <c r="BS90" s="7" t="e">
        <f t="shared" si="52"/>
        <v>#VALUE!</v>
      </c>
      <c r="BT90" s="28"/>
      <c r="BU90" s="7"/>
      <c r="BV90" s="7" t="e">
        <f ca="1">[1]!tメーカー名(BU90)</f>
        <v>#NAME?</v>
      </c>
      <c r="BW90" s="7" t="e">
        <f t="shared" si="53"/>
        <v>#VALUE!</v>
      </c>
      <c r="BX90" s="28"/>
      <c r="BY90" s="7" t="e">
        <f t="shared" si="54"/>
        <v>#VALUE!</v>
      </c>
      <c r="BZ90" s="28"/>
      <c r="CA90" s="54"/>
      <c r="CB90" s="54"/>
      <c r="CC90" s="7" t="e">
        <f t="shared" si="55"/>
        <v>#VALUE!</v>
      </c>
      <c r="CD90" s="28"/>
      <c r="CE90" s="7" t="e">
        <f t="shared" si="56"/>
        <v>#VALUE!</v>
      </c>
      <c r="CF90" s="28"/>
      <c r="CG90" s="7" t="e">
        <f t="shared" si="57"/>
        <v>#VALUE!</v>
      </c>
      <c r="CH90" s="28"/>
      <c r="CI90" s="7" t="e">
        <f t="shared" si="58"/>
        <v>#VALUE!</v>
      </c>
      <c r="CJ90" s="28"/>
      <c r="CK90" s="7"/>
      <c r="CL90" s="7"/>
      <c r="CM90" s="7"/>
      <c r="CN90" s="7"/>
      <c r="CO90" s="7"/>
      <c r="CP90" s="7"/>
      <c r="CQ90" s="7"/>
      <c r="CR90" s="7"/>
      <c r="CS90" s="126">
        <f t="shared" si="37"/>
        <v>0</v>
      </c>
      <c r="CT90" s="7"/>
      <c r="CU90" s="7"/>
    </row>
    <row r="91" spans="1:99">
      <c r="A91" s="7">
        <v>79</v>
      </c>
      <c r="B91" s="7"/>
      <c r="C91" s="7" t="e">
        <f t="shared" si="59"/>
        <v>#VALUE!</v>
      </c>
      <c r="D91" s="28"/>
      <c r="E91" s="7">
        <f t="shared" si="32"/>
        <v>0</v>
      </c>
      <c r="F91" s="6"/>
      <c r="G91" s="7">
        <f t="shared" si="33"/>
        <v>0</v>
      </c>
      <c r="H91" s="7"/>
      <c r="I91" s="7">
        <f t="shared" si="34"/>
        <v>0</v>
      </c>
      <c r="J91" s="7"/>
      <c r="K91" s="7">
        <f t="shared" si="35"/>
        <v>0</v>
      </c>
      <c r="L91" s="7"/>
      <c r="M91" s="7">
        <f t="shared" si="36"/>
        <v>0</v>
      </c>
      <c r="N91" s="7"/>
      <c r="O91" s="7"/>
      <c r="P91" s="7"/>
      <c r="Q91" s="53"/>
      <c r="R91" s="7"/>
      <c r="S91" s="7"/>
      <c r="T91" s="53"/>
      <c r="U91" s="7"/>
      <c r="V91" s="7" t="e">
        <f t="shared" si="38"/>
        <v>#VALUE!</v>
      </c>
      <c r="W91" s="28"/>
      <c r="X91" s="7" t="e">
        <f t="shared" si="38"/>
        <v>#VALUE!</v>
      </c>
      <c r="Y91" s="28"/>
      <c r="Z91" s="7" t="e">
        <f t="shared" si="39"/>
        <v>#VALUE!</v>
      </c>
      <c r="AA91" s="28"/>
      <c r="AB91" s="7"/>
      <c r="AC91" s="7"/>
      <c r="AD91" s="7"/>
      <c r="AE91" s="7"/>
      <c r="AF91" s="7">
        <v>0</v>
      </c>
      <c r="AG91" s="7" t="e">
        <f t="shared" si="40"/>
        <v>#VALUE!</v>
      </c>
      <c r="AH91" s="28"/>
      <c r="AI91" s="7"/>
      <c r="AJ91" s="7" t="e">
        <f t="shared" si="41"/>
        <v>#VALUE!</v>
      </c>
      <c r="AK91" s="28"/>
      <c r="AL91" s="7" t="e">
        <f t="shared" si="42"/>
        <v>#VALUE!</v>
      </c>
      <c r="AM91" s="28"/>
      <c r="AN91" s="7" t="e">
        <f t="shared" si="43"/>
        <v>#VALUE!</v>
      </c>
      <c r="AO91" s="28"/>
      <c r="AP91" s="7">
        <f t="shared" si="44"/>
        <v>2</v>
      </c>
      <c r="AQ91" s="28" t="s">
        <v>2301</v>
      </c>
      <c r="AR91" s="7"/>
      <c r="AS91" s="7"/>
      <c r="AT91" s="7"/>
      <c r="AU91" s="7"/>
      <c r="AV91" s="7" t="e">
        <f t="shared" si="45"/>
        <v>#VALUE!</v>
      </c>
      <c r="AW91" s="28"/>
      <c r="AX91" s="7">
        <v>0</v>
      </c>
      <c r="AY91" s="7" t="e">
        <f t="shared" si="46"/>
        <v>#VALUE!</v>
      </c>
      <c r="AZ91" s="28"/>
      <c r="BA91" s="7">
        <v>0</v>
      </c>
      <c r="BB91" s="7">
        <v>10</v>
      </c>
      <c r="BC91" s="7">
        <v>0</v>
      </c>
      <c r="BD91" s="7">
        <v>10</v>
      </c>
      <c r="BE91" s="7"/>
      <c r="BF91" s="7" t="e">
        <f t="shared" si="47"/>
        <v>#VALUE!</v>
      </c>
      <c r="BG91" s="28"/>
      <c r="BH91" s="7" t="e">
        <f t="shared" si="48"/>
        <v>#VALUE!</v>
      </c>
      <c r="BI91" s="28"/>
      <c r="BJ91" s="7" t="e">
        <f t="shared" si="49"/>
        <v>#VALUE!</v>
      </c>
      <c r="BK91" s="28"/>
      <c r="BL91" s="7"/>
      <c r="BM91" s="7"/>
      <c r="BN91" s="7" t="e">
        <f t="shared" si="50"/>
        <v>#VALUE!</v>
      </c>
      <c r="BO91" s="28"/>
      <c r="BP91" s="7" t="e">
        <f t="shared" si="51"/>
        <v>#VALUE!</v>
      </c>
      <c r="BQ91" s="28"/>
      <c r="BR91" s="7"/>
      <c r="BS91" s="7" t="e">
        <f t="shared" si="52"/>
        <v>#VALUE!</v>
      </c>
      <c r="BT91" s="28"/>
      <c r="BU91" s="7"/>
      <c r="BV91" s="7" t="e">
        <f ca="1">[1]!tメーカー名(BU91)</f>
        <v>#NAME?</v>
      </c>
      <c r="BW91" s="7" t="e">
        <f t="shared" si="53"/>
        <v>#VALUE!</v>
      </c>
      <c r="BX91" s="28"/>
      <c r="BY91" s="7" t="e">
        <f t="shared" si="54"/>
        <v>#VALUE!</v>
      </c>
      <c r="BZ91" s="28"/>
      <c r="CA91" s="54"/>
      <c r="CB91" s="54"/>
      <c r="CC91" s="7" t="e">
        <f t="shared" si="55"/>
        <v>#VALUE!</v>
      </c>
      <c r="CD91" s="28"/>
      <c r="CE91" s="7" t="e">
        <f t="shared" si="56"/>
        <v>#VALUE!</v>
      </c>
      <c r="CF91" s="28"/>
      <c r="CG91" s="7" t="e">
        <f t="shared" si="57"/>
        <v>#VALUE!</v>
      </c>
      <c r="CH91" s="28"/>
      <c r="CI91" s="7" t="e">
        <f t="shared" si="58"/>
        <v>#VALUE!</v>
      </c>
      <c r="CJ91" s="28"/>
      <c r="CK91" s="7"/>
      <c r="CL91" s="7"/>
      <c r="CM91" s="7"/>
      <c r="CN91" s="7"/>
      <c r="CO91" s="7"/>
      <c r="CP91" s="7"/>
      <c r="CQ91" s="7"/>
      <c r="CR91" s="7"/>
      <c r="CS91" s="126">
        <f t="shared" si="37"/>
        <v>0</v>
      </c>
      <c r="CT91" s="7"/>
      <c r="CU91" s="7"/>
    </row>
    <row r="92" spans="1:99">
      <c r="A92" s="7">
        <v>80</v>
      </c>
      <c r="B92" s="7"/>
      <c r="C92" s="7" t="e">
        <f t="shared" si="59"/>
        <v>#VALUE!</v>
      </c>
      <c r="D92" s="28"/>
      <c r="E92" s="7">
        <f t="shared" si="32"/>
        <v>0</v>
      </c>
      <c r="F92" s="6"/>
      <c r="G92" s="7">
        <f t="shared" si="33"/>
        <v>0</v>
      </c>
      <c r="H92" s="7"/>
      <c r="I92" s="7">
        <f t="shared" si="34"/>
        <v>0</v>
      </c>
      <c r="J92" s="7"/>
      <c r="K92" s="7">
        <f t="shared" si="35"/>
        <v>0</v>
      </c>
      <c r="L92" s="7"/>
      <c r="M92" s="7">
        <f t="shared" si="36"/>
        <v>0</v>
      </c>
      <c r="N92" s="7"/>
      <c r="O92" s="7"/>
      <c r="P92" s="7"/>
      <c r="Q92" s="53"/>
      <c r="R92" s="7"/>
      <c r="S92" s="7"/>
      <c r="T92" s="53"/>
      <c r="U92" s="7"/>
      <c r="V92" s="7" t="e">
        <f t="shared" si="38"/>
        <v>#VALUE!</v>
      </c>
      <c r="W92" s="28"/>
      <c r="X92" s="7" t="e">
        <f t="shared" si="38"/>
        <v>#VALUE!</v>
      </c>
      <c r="Y92" s="28"/>
      <c r="Z92" s="7" t="e">
        <f t="shared" si="39"/>
        <v>#VALUE!</v>
      </c>
      <c r="AA92" s="28"/>
      <c r="AB92" s="7"/>
      <c r="AC92" s="7"/>
      <c r="AD92" s="7"/>
      <c r="AE92" s="7"/>
      <c r="AF92" s="7">
        <v>0</v>
      </c>
      <c r="AG92" s="7" t="e">
        <f t="shared" si="40"/>
        <v>#VALUE!</v>
      </c>
      <c r="AH92" s="28"/>
      <c r="AI92" s="7"/>
      <c r="AJ92" s="7" t="e">
        <f t="shared" si="41"/>
        <v>#VALUE!</v>
      </c>
      <c r="AK92" s="28"/>
      <c r="AL92" s="7" t="e">
        <f t="shared" si="42"/>
        <v>#VALUE!</v>
      </c>
      <c r="AM92" s="28"/>
      <c r="AN92" s="7" t="e">
        <f t="shared" si="43"/>
        <v>#VALUE!</v>
      </c>
      <c r="AO92" s="28"/>
      <c r="AP92" s="7">
        <f t="shared" si="44"/>
        <v>2</v>
      </c>
      <c r="AQ92" s="28" t="s">
        <v>2301</v>
      </c>
      <c r="AR92" s="7"/>
      <c r="AS92" s="7"/>
      <c r="AT92" s="7"/>
      <c r="AU92" s="7"/>
      <c r="AV92" s="7" t="e">
        <f t="shared" si="45"/>
        <v>#VALUE!</v>
      </c>
      <c r="AW92" s="28"/>
      <c r="AX92" s="7">
        <v>0</v>
      </c>
      <c r="AY92" s="7" t="e">
        <f t="shared" si="46"/>
        <v>#VALUE!</v>
      </c>
      <c r="AZ92" s="28"/>
      <c r="BA92" s="7">
        <v>0</v>
      </c>
      <c r="BB92" s="7">
        <v>10</v>
      </c>
      <c r="BC92" s="7">
        <v>0</v>
      </c>
      <c r="BD92" s="7">
        <v>10</v>
      </c>
      <c r="BE92" s="7"/>
      <c r="BF92" s="7" t="e">
        <f t="shared" si="47"/>
        <v>#VALUE!</v>
      </c>
      <c r="BG92" s="28"/>
      <c r="BH92" s="7" t="e">
        <f t="shared" si="48"/>
        <v>#VALUE!</v>
      </c>
      <c r="BI92" s="28"/>
      <c r="BJ92" s="7" t="e">
        <f t="shared" si="49"/>
        <v>#VALUE!</v>
      </c>
      <c r="BK92" s="28"/>
      <c r="BL92" s="7"/>
      <c r="BM92" s="7"/>
      <c r="BN92" s="7" t="e">
        <f t="shared" si="50"/>
        <v>#VALUE!</v>
      </c>
      <c r="BO92" s="28"/>
      <c r="BP92" s="7" t="e">
        <f t="shared" si="51"/>
        <v>#VALUE!</v>
      </c>
      <c r="BQ92" s="28"/>
      <c r="BR92" s="7"/>
      <c r="BS92" s="7" t="e">
        <f t="shared" si="52"/>
        <v>#VALUE!</v>
      </c>
      <c r="BT92" s="28"/>
      <c r="BU92" s="7"/>
      <c r="BV92" s="7" t="e">
        <f ca="1">[1]!tメーカー名(BU92)</f>
        <v>#NAME?</v>
      </c>
      <c r="BW92" s="7" t="e">
        <f t="shared" si="53"/>
        <v>#VALUE!</v>
      </c>
      <c r="BX92" s="28"/>
      <c r="BY92" s="7" t="e">
        <f t="shared" si="54"/>
        <v>#VALUE!</v>
      </c>
      <c r="BZ92" s="28"/>
      <c r="CA92" s="54"/>
      <c r="CB92" s="54"/>
      <c r="CC92" s="7" t="e">
        <f t="shared" si="55"/>
        <v>#VALUE!</v>
      </c>
      <c r="CD92" s="28"/>
      <c r="CE92" s="7" t="e">
        <f t="shared" si="56"/>
        <v>#VALUE!</v>
      </c>
      <c r="CF92" s="28"/>
      <c r="CG92" s="7" t="e">
        <f t="shared" si="57"/>
        <v>#VALUE!</v>
      </c>
      <c r="CH92" s="28"/>
      <c r="CI92" s="7" t="e">
        <f t="shared" si="58"/>
        <v>#VALUE!</v>
      </c>
      <c r="CJ92" s="28"/>
      <c r="CK92" s="7"/>
      <c r="CL92" s="7"/>
      <c r="CM92" s="7"/>
      <c r="CN92" s="7"/>
      <c r="CO92" s="7"/>
      <c r="CP92" s="7"/>
      <c r="CQ92" s="7"/>
      <c r="CR92" s="7"/>
      <c r="CS92" s="126">
        <f t="shared" si="37"/>
        <v>0</v>
      </c>
      <c r="CT92" s="7"/>
      <c r="CU92" s="7"/>
    </row>
    <row r="93" spans="1:99">
      <c r="A93" s="7">
        <v>81</v>
      </c>
      <c r="B93" s="7"/>
      <c r="C93" s="7" t="e">
        <f t="shared" si="59"/>
        <v>#VALUE!</v>
      </c>
      <c r="D93" s="28"/>
      <c r="E93" s="7">
        <f t="shared" si="32"/>
        <v>0</v>
      </c>
      <c r="F93" s="6"/>
      <c r="G93" s="7">
        <f t="shared" si="33"/>
        <v>0</v>
      </c>
      <c r="H93" s="7"/>
      <c r="I93" s="7">
        <f t="shared" si="34"/>
        <v>0</v>
      </c>
      <c r="J93" s="7"/>
      <c r="K93" s="7">
        <f t="shared" si="35"/>
        <v>0</v>
      </c>
      <c r="L93" s="7"/>
      <c r="M93" s="7">
        <f t="shared" si="36"/>
        <v>0</v>
      </c>
      <c r="N93" s="7"/>
      <c r="O93" s="7"/>
      <c r="P93" s="7"/>
      <c r="Q93" s="53"/>
      <c r="R93" s="7"/>
      <c r="S93" s="7"/>
      <c r="T93" s="53"/>
      <c r="U93" s="7"/>
      <c r="V93" s="7" t="e">
        <f t="shared" si="38"/>
        <v>#VALUE!</v>
      </c>
      <c r="W93" s="28"/>
      <c r="X93" s="7" t="e">
        <f t="shared" si="38"/>
        <v>#VALUE!</v>
      </c>
      <c r="Y93" s="28"/>
      <c r="Z93" s="7" t="e">
        <f t="shared" si="39"/>
        <v>#VALUE!</v>
      </c>
      <c r="AA93" s="28"/>
      <c r="AB93" s="7"/>
      <c r="AC93" s="7"/>
      <c r="AD93" s="7"/>
      <c r="AE93" s="7"/>
      <c r="AF93" s="7">
        <v>0</v>
      </c>
      <c r="AG93" s="7" t="e">
        <f t="shared" si="40"/>
        <v>#VALUE!</v>
      </c>
      <c r="AH93" s="28"/>
      <c r="AI93" s="7"/>
      <c r="AJ93" s="7" t="e">
        <f t="shared" si="41"/>
        <v>#VALUE!</v>
      </c>
      <c r="AK93" s="28"/>
      <c r="AL93" s="7" t="e">
        <f t="shared" si="42"/>
        <v>#VALUE!</v>
      </c>
      <c r="AM93" s="28"/>
      <c r="AN93" s="7" t="e">
        <f t="shared" si="43"/>
        <v>#VALUE!</v>
      </c>
      <c r="AO93" s="28"/>
      <c r="AP93" s="7">
        <f t="shared" si="44"/>
        <v>2</v>
      </c>
      <c r="AQ93" s="28" t="s">
        <v>2301</v>
      </c>
      <c r="AR93" s="7"/>
      <c r="AS93" s="7"/>
      <c r="AT93" s="7"/>
      <c r="AU93" s="7"/>
      <c r="AV93" s="7" t="e">
        <f t="shared" si="45"/>
        <v>#VALUE!</v>
      </c>
      <c r="AW93" s="28"/>
      <c r="AX93" s="7">
        <v>0</v>
      </c>
      <c r="AY93" s="7" t="e">
        <f t="shared" si="46"/>
        <v>#VALUE!</v>
      </c>
      <c r="AZ93" s="28"/>
      <c r="BA93" s="7">
        <v>0</v>
      </c>
      <c r="BB93" s="7">
        <v>10</v>
      </c>
      <c r="BC93" s="7">
        <v>0</v>
      </c>
      <c r="BD93" s="7">
        <v>10</v>
      </c>
      <c r="BE93" s="7"/>
      <c r="BF93" s="7" t="e">
        <f t="shared" si="47"/>
        <v>#VALUE!</v>
      </c>
      <c r="BG93" s="28"/>
      <c r="BH93" s="7" t="e">
        <f t="shared" si="48"/>
        <v>#VALUE!</v>
      </c>
      <c r="BI93" s="28"/>
      <c r="BJ93" s="7" t="e">
        <f t="shared" si="49"/>
        <v>#VALUE!</v>
      </c>
      <c r="BK93" s="28"/>
      <c r="BL93" s="7"/>
      <c r="BM93" s="7"/>
      <c r="BN93" s="7" t="e">
        <f t="shared" si="50"/>
        <v>#VALUE!</v>
      </c>
      <c r="BO93" s="28"/>
      <c r="BP93" s="7" t="e">
        <f t="shared" si="51"/>
        <v>#VALUE!</v>
      </c>
      <c r="BQ93" s="28"/>
      <c r="BR93" s="7"/>
      <c r="BS93" s="7" t="e">
        <f t="shared" si="52"/>
        <v>#VALUE!</v>
      </c>
      <c r="BT93" s="28"/>
      <c r="BU93" s="7"/>
      <c r="BV93" s="7" t="e">
        <f ca="1">[1]!tメーカー名(BU93)</f>
        <v>#NAME?</v>
      </c>
      <c r="BW93" s="7" t="e">
        <f t="shared" si="53"/>
        <v>#VALUE!</v>
      </c>
      <c r="BX93" s="28"/>
      <c r="BY93" s="7" t="e">
        <f t="shared" si="54"/>
        <v>#VALUE!</v>
      </c>
      <c r="BZ93" s="28"/>
      <c r="CA93" s="54"/>
      <c r="CB93" s="54"/>
      <c r="CC93" s="7" t="e">
        <f t="shared" si="55"/>
        <v>#VALUE!</v>
      </c>
      <c r="CD93" s="28"/>
      <c r="CE93" s="7" t="e">
        <f t="shared" si="56"/>
        <v>#VALUE!</v>
      </c>
      <c r="CF93" s="28"/>
      <c r="CG93" s="7" t="e">
        <f t="shared" si="57"/>
        <v>#VALUE!</v>
      </c>
      <c r="CH93" s="28"/>
      <c r="CI93" s="7" t="e">
        <f t="shared" si="58"/>
        <v>#VALUE!</v>
      </c>
      <c r="CJ93" s="28"/>
      <c r="CK93" s="7"/>
      <c r="CL93" s="7"/>
      <c r="CM93" s="7"/>
      <c r="CN93" s="7"/>
      <c r="CO93" s="7"/>
      <c r="CP93" s="7"/>
      <c r="CQ93" s="7"/>
      <c r="CR93" s="7"/>
      <c r="CS93" s="126">
        <f t="shared" si="37"/>
        <v>0</v>
      </c>
      <c r="CT93" s="7"/>
      <c r="CU93" s="7"/>
    </row>
    <row r="94" spans="1:99">
      <c r="A94" s="7">
        <v>82</v>
      </c>
      <c r="B94" s="7"/>
      <c r="C94" s="7" t="e">
        <f t="shared" si="59"/>
        <v>#VALUE!</v>
      </c>
      <c r="D94" s="28"/>
      <c r="E94" s="7">
        <f t="shared" si="32"/>
        <v>0</v>
      </c>
      <c r="F94" s="7"/>
      <c r="G94" s="7">
        <f t="shared" si="33"/>
        <v>0</v>
      </c>
      <c r="H94" s="7"/>
      <c r="I94" s="7">
        <f t="shared" si="34"/>
        <v>0</v>
      </c>
      <c r="J94" s="7"/>
      <c r="K94" s="7">
        <f t="shared" si="35"/>
        <v>0</v>
      </c>
      <c r="L94" s="7"/>
      <c r="M94" s="7">
        <f t="shared" si="36"/>
        <v>0</v>
      </c>
      <c r="N94" s="7"/>
      <c r="O94" s="7"/>
      <c r="P94" s="7"/>
      <c r="Q94" s="53"/>
      <c r="R94" s="7"/>
      <c r="S94" s="7"/>
      <c r="T94" s="53"/>
      <c r="U94" s="7"/>
      <c r="V94" s="7" t="e">
        <f t="shared" ref="V94:X109" si="60">ABS(LEFT(W94,2))</f>
        <v>#VALUE!</v>
      </c>
      <c r="W94" s="28"/>
      <c r="X94" s="7" t="e">
        <f t="shared" si="60"/>
        <v>#VALUE!</v>
      </c>
      <c r="Y94" s="28"/>
      <c r="Z94" s="7" t="e">
        <f t="shared" si="39"/>
        <v>#VALUE!</v>
      </c>
      <c r="AA94" s="28"/>
      <c r="AB94" s="7"/>
      <c r="AC94" s="7"/>
      <c r="AD94" s="7"/>
      <c r="AE94" s="7"/>
      <c r="AF94" s="7">
        <v>0</v>
      </c>
      <c r="AG94" s="7" t="e">
        <f t="shared" si="40"/>
        <v>#VALUE!</v>
      </c>
      <c r="AH94" s="28"/>
      <c r="AI94" s="7"/>
      <c r="AJ94" s="7" t="e">
        <f t="shared" si="41"/>
        <v>#VALUE!</v>
      </c>
      <c r="AK94" s="28"/>
      <c r="AL94" s="7" t="e">
        <f t="shared" si="42"/>
        <v>#VALUE!</v>
      </c>
      <c r="AM94" s="28"/>
      <c r="AN94" s="7" t="e">
        <f t="shared" si="43"/>
        <v>#VALUE!</v>
      </c>
      <c r="AO94" s="28"/>
      <c r="AP94" s="7">
        <f t="shared" si="44"/>
        <v>2</v>
      </c>
      <c r="AQ94" s="28" t="s">
        <v>2301</v>
      </c>
      <c r="AR94" s="7"/>
      <c r="AS94" s="7"/>
      <c r="AT94" s="7"/>
      <c r="AU94" s="7"/>
      <c r="AV94" s="7" t="e">
        <f t="shared" si="45"/>
        <v>#VALUE!</v>
      </c>
      <c r="AW94" s="28"/>
      <c r="AX94" s="7">
        <v>0</v>
      </c>
      <c r="AY94" s="7" t="e">
        <f t="shared" si="46"/>
        <v>#VALUE!</v>
      </c>
      <c r="AZ94" s="28"/>
      <c r="BA94" s="7">
        <v>0</v>
      </c>
      <c r="BB94" s="7">
        <v>10</v>
      </c>
      <c r="BC94" s="7">
        <v>0</v>
      </c>
      <c r="BD94" s="7">
        <v>10</v>
      </c>
      <c r="BE94" s="7"/>
      <c r="BF94" s="7" t="e">
        <f t="shared" si="47"/>
        <v>#VALUE!</v>
      </c>
      <c r="BG94" s="28"/>
      <c r="BH94" s="7" t="e">
        <f t="shared" si="48"/>
        <v>#VALUE!</v>
      </c>
      <c r="BI94" s="28"/>
      <c r="BJ94" s="7" t="e">
        <f t="shared" si="49"/>
        <v>#VALUE!</v>
      </c>
      <c r="BK94" s="28"/>
      <c r="BL94" s="7"/>
      <c r="BM94" s="7"/>
      <c r="BN94" s="7" t="e">
        <f t="shared" si="50"/>
        <v>#VALUE!</v>
      </c>
      <c r="BO94" s="28"/>
      <c r="BP94" s="7" t="e">
        <f t="shared" si="51"/>
        <v>#VALUE!</v>
      </c>
      <c r="BQ94" s="28"/>
      <c r="BR94" s="7"/>
      <c r="BS94" s="7" t="e">
        <f t="shared" si="52"/>
        <v>#VALUE!</v>
      </c>
      <c r="BT94" s="28"/>
      <c r="BU94" s="7"/>
      <c r="BV94" s="7" t="e">
        <f ca="1">[1]!tメーカー名(BU94)</f>
        <v>#NAME?</v>
      </c>
      <c r="BW94" s="7" t="e">
        <f t="shared" si="53"/>
        <v>#VALUE!</v>
      </c>
      <c r="BX94" s="28"/>
      <c r="BY94" s="7" t="e">
        <f t="shared" si="54"/>
        <v>#VALUE!</v>
      </c>
      <c r="BZ94" s="28"/>
      <c r="CA94" s="54"/>
      <c r="CB94" s="54"/>
      <c r="CC94" s="7" t="e">
        <f t="shared" si="55"/>
        <v>#VALUE!</v>
      </c>
      <c r="CD94" s="28"/>
      <c r="CE94" s="7" t="e">
        <f t="shared" si="56"/>
        <v>#VALUE!</v>
      </c>
      <c r="CF94" s="28"/>
      <c r="CG94" s="7" t="e">
        <f t="shared" si="57"/>
        <v>#VALUE!</v>
      </c>
      <c r="CH94" s="28"/>
      <c r="CI94" s="7" t="e">
        <f t="shared" si="58"/>
        <v>#VALUE!</v>
      </c>
      <c r="CJ94" s="28"/>
      <c r="CK94" s="7"/>
      <c r="CL94" s="7"/>
      <c r="CM94" s="7"/>
      <c r="CN94" s="7"/>
      <c r="CO94" s="7"/>
      <c r="CP94" s="7"/>
      <c r="CQ94" s="7"/>
      <c r="CR94" s="7"/>
      <c r="CS94" s="126">
        <f t="shared" si="37"/>
        <v>0</v>
      </c>
      <c r="CT94" s="7"/>
      <c r="CU94" s="7"/>
    </row>
    <row r="95" spans="1:99">
      <c r="A95" s="7">
        <v>83</v>
      </c>
      <c r="B95" s="7"/>
      <c r="C95" s="7" t="e">
        <f t="shared" si="59"/>
        <v>#VALUE!</v>
      </c>
      <c r="D95" s="28"/>
      <c r="E95" s="7">
        <f t="shared" si="32"/>
        <v>0</v>
      </c>
      <c r="F95" s="7"/>
      <c r="G95" s="7">
        <f t="shared" si="33"/>
        <v>0</v>
      </c>
      <c r="H95" s="7"/>
      <c r="I95" s="7">
        <f t="shared" si="34"/>
        <v>0</v>
      </c>
      <c r="J95" s="7"/>
      <c r="K95" s="7">
        <f t="shared" si="35"/>
        <v>0</v>
      </c>
      <c r="L95" s="7"/>
      <c r="M95" s="7">
        <f t="shared" si="36"/>
        <v>0</v>
      </c>
      <c r="N95" s="7"/>
      <c r="O95" s="7"/>
      <c r="P95" s="7"/>
      <c r="Q95" s="53"/>
      <c r="R95" s="7"/>
      <c r="S95" s="7"/>
      <c r="T95" s="53"/>
      <c r="U95" s="7"/>
      <c r="V95" s="7" t="e">
        <f t="shared" si="60"/>
        <v>#VALUE!</v>
      </c>
      <c r="W95" s="28"/>
      <c r="X95" s="7" t="e">
        <f t="shared" si="60"/>
        <v>#VALUE!</v>
      </c>
      <c r="Y95" s="28"/>
      <c r="Z95" s="7" t="e">
        <f t="shared" si="39"/>
        <v>#VALUE!</v>
      </c>
      <c r="AA95" s="28"/>
      <c r="AB95" s="7"/>
      <c r="AC95" s="7"/>
      <c r="AD95" s="7"/>
      <c r="AE95" s="7"/>
      <c r="AF95" s="7">
        <v>0</v>
      </c>
      <c r="AG95" s="7" t="e">
        <f t="shared" si="40"/>
        <v>#VALUE!</v>
      </c>
      <c r="AH95" s="28"/>
      <c r="AI95" s="7"/>
      <c r="AJ95" s="7" t="e">
        <f t="shared" si="41"/>
        <v>#VALUE!</v>
      </c>
      <c r="AK95" s="28"/>
      <c r="AL95" s="7" t="e">
        <f t="shared" si="42"/>
        <v>#VALUE!</v>
      </c>
      <c r="AM95" s="28"/>
      <c r="AN95" s="7" t="e">
        <f t="shared" si="43"/>
        <v>#VALUE!</v>
      </c>
      <c r="AO95" s="28"/>
      <c r="AP95" s="7">
        <f t="shared" si="44"/>
        <v>2</v>
      </c>
      <c r="AQ95" s="28" t="s">
        <v>2301</v>
      </c>
      <c r="AR95" s="7"/>
      <c r="AS95" s="7"/>
      <c r="AT95" s="7"/>
      <c r="AU95" s="7"/>
      <c r="AV95" s="7" t="e">
        <f t="shared" si="45"/>
        <v>#VALUE!</v>
      </c>
      <c r="AW95" s="28"/>
      <c r="AX95" s="7">
        <v>0</v>
      </c>
      <c r="AY95" s="7" t="e">
        <f t="shared" si="46"/>
        <v>#VALUE!</v>
      </c>
      <c r="AZ95" s="28"/>
      <c r="BA95" s="7">
        <v>0</v>
      </c>
      <c r="BB95" s="7">
        <v>10</v>
      </c>
      <c r="BC95" s="7">
        <v>0</v>
      </c>
      <c r="BD95" s="7">
        <v>10</v>
      </c>
      <c r="BE95" s="7"/>
      <c r="BF95" s="7" t="e">
        <f t="shared" si="47"/>
        <v>#VALUE!</v>
      </c>
      <c r="BG95" s="28"/>
      <c r="BH95" s="7" t="e">
        <f t="shared" si="48"/>
        <v>#VALUE!</v>
      </c>
      <c r="BI95" s="28"/>
      <c r="BJ95" s="7" t="e">
        <f t="shared" si="49"/>
        <v>#VALUE!</v>
      </c>
      <c r="BK95" s="28"/>
      <c r="BL95" s="7"/>
      <c r="BM95" s="7"/>
      <c r="BN95" s="7" t="e">
        <f t="shared" si="50"/>
        <v>#VALUE!</v>
      </c>
      <c r="BO95" s="28"/>
      <c r="BP95" s="7" t="e">
        <f t="shared" si="51"/>
        <v>#VALUE!</v>
      </c>
      <c r="BQ95" s="28"/>
      <c r="BR95" s="7"/>
      <c r="BS95" s="7" t="e">
        <f t="shared" si="52"/>
        <v>#VALUE!</v>
      </c>
      <c r="BT95" s="28"/>
      <c r="BU95" s="7"/>
      <c r="BV95" s="7" t="e">
        <f ca="1">[1]!tメーカー名(BU95)</f>
        <v>#NAME?</v>
      </c>
      <c r="BW95" s="7" t="e">
        <f t="shared" si="53"/>
        <v>#VALUE!</v>
      </c>
      <c r="BX95" s="28"/>
      <c r="BY95" s="7" t="e">
        <f t="shared" si="54"/>
        <v>#VALUE!</v>
      </c>
      <c r="BZ95" s="28"/>
      <c r="CA95" s="54"/>
      <c r="CB95" s="54"/>
      <c r="CC95" s="7" t="e">
        <f t="shared" si="55"/>
        <v>#VALUE!</v>
      </c>
      <c r="CD95" s="28"/>
      <c r="CE95" s="7" t="e">
        <f t="shared" si="56"/>
        <v>#VALUE!</v>
      </c>
      <c r="CF95" s="28"/>
      <c r="CG95" s="7" t="e">
        <f t="shared" si="57"/>
        <v>#VALUE!</v>
      </c>
      <c r="CH95" s="28"/>
      <c r="CI95" s="7" t="e">
        <f t="shared" si="58"/>
        <v>#VALUE!</v>
      </c>
      <c r="CJ95" s="28"/>
      <c r="CK95" s="7"/>
      <c r="CL95" s="7"/>
      <c r="CM95" s="7"/>
      <c r="CN95" s="7"/>
      <c r="CO95" s="7"/>
      <c r="CP95" s="7"/>
      <c r="CQ95" s="7"/>
      <c r="CR95" s="7"/>
      <c r="CS95" s="126">
        <f t="shared" si="37"/>
        <v>0</v>
      </c>
      <c r="CT95" s="7"/>
      <c r="CU95" s="7"/>
    </row>
    <row r="96" spans="1:99">
      <c r="A96" s="7">
        <v>84</v>
      </c>
      <c r="B96" s="7"/>
      <c r="C96" s="7" t="e">
        <f t="shared" si="59"/>
        <v>#VALUE!</v>
      </c>
      <c r="D96" s="28"/>
      <c r="E96" s="7">
        <f t="shared" si="32"/>
        <v>0</v>
      </c>
      <c r="F96" s="7"/>
      <c r="G96" s="7">
        <f t="shared" si="33"/>
        <v>0</v>
      </c>
      <c r="H96" s="7"/>
      <c r="I96" s="7">
        <f t="shared" si="34"/>
        <v>0</v>
      </c>
      <c r="J96" s="7"/>
      <c r="K96" s="7">
        <f t="shared" si="35"/>
        <v>0</v>
      </c>
      <c r="L96" s="7"/>
      <c r="M96" s="7">
        <f t="shared" si="36"/>
        <v>0</v>
      </c>
      <c r="N96" s="7"/>
      <c r="O96" s="7"/>
      <c r="P96" s="7"/>
      <c r="Q96" s="53"/>
      <c r="R96" s="7"/>
      <c r="S96" s="7"/>
      <c r="T96" s="53"/>
      <c r="U96" s="7"/>
      <c r="V96" s="7" t="e">
        <f t="shared" si="60"/>
        <v>#VALUE!</v>
      </c>
      <c r="W96" s="28"/>
      <c r="X96" s="7" t="e">
        <f t="shared" si="60"/>
        <v>#VALUE!</v>
      </c>
      <c r="Y96" s="28"/>
      <c r="Z96" s="7" t="e">
        <f t="shared" si="39"/>
        <v>#VALUE!</v>
      </c>
      <c r="AA96" s="28"/>
      <c r="AB96" s="7"/>
      <c r="AC96" s="7"/>
      <c r="AD96" s="7"/>
      <c r="AE96" s="7"/>
      <c r="AF96" s="7">
        <v>0</v>
      </c>
      <c r="AG96" s="7" t="e">
        <f t="shared" si="40"/>
        <v>#VALUE!</v>
      </c>
      <c r="AH96" s="28"/>
      <c r="AI96" s="7"/>
      <c r="AJ96" s="7" t="e">
        <f t="shared" si="41"/>
        <v>#VALUE!</v>
      </c>
      <c r="AK96" s="28"/>
      <c r="AL96" s="7" t="e">
        <f t="shared" si="42"/>
        <v>#VALUE!</v>
      </c>
      <c r="AM96" s="28"/>
      <c r="AN96" s="7" t="e">
        <f t="shared" si="43"/>
        <v>#VALUE!</v>
      </c>
      <c r="AO96" s="28"/>
      <c r="AP96" s="7">
        <f t="shared" si="44"/>
        <v>2</v>
      </c>
      <c r="AQ96" s="28" t="s">
        <v>2301</v>
      </c>
      <c r="AR96" s="7"/>
      <c r="AS96" s="7"/>
      <c r="AT96" s="7"/>
      <c r="AU96" s="7"/>
      <c r="AV96" s="7" t="e">
        <f t="shared" si="45"/>
        <v>#VALUE!</v>
      </c>
      <c r="AW96" s="28"/>
      <c r="AX96" s="7">
        <v>0</v>
      </c>
      <c r="AY96" s="7" t="e">
        <f t="shared" si="46"/>
        <v>#VALUE!</v>
      </c>
      <c r="AZ96" s="28"/>
      <c r="BA96" s="7">
        <v>0</v>
      </c>
      <c r="BB96" s="7">
        <v>10</v>
      </c>
      <c r="BC96" s="7">
        <v>0</v>
      </c>
      <c r="BD96" s="7">
        <v>10</v>
      </c>
      <c r="BE96" s="7"/>
      <c r="BF96" s="7" t="e">
        <f t="shared" si="47"/>
        <v>#VALUE!</v>
      </c>
      <c r="BG96" s="28"/>
      <c r="BH96" s="7" t="e">
        <f t="shared" si="48"/>
        <v>#VALUE!</v>
      </c>
      <c r="BI96" s="28"/>
      <c r="BJ96" s="7" t="e">
        <f t="shared" si="49"/>
        <v>#VALUE!</v>
      </c>
      <c r="BK96" s="28"/>
      <c r="BL96" s="7"/>
      <c r="BM96" s="7"/>
      <c r="BN96" s="7" t="e">
        <f t="shared" si="50"/>
        <v>#VALUE!</v>
      </c>
      <c r="BO96" s="28"/>
      <c r="BP96" s="7" t="e">
        <f t="shared" si="51"/>
        <v>#VALUE!</v>
      </c>
      <c r="BQ96" s="28"/>
      <c r="BR96" s="7"/>
      <c r="BS96" s="7" t="e">
        <f t="shared" si="52"/>
        <v>#VALUE!</v>
      </c>
      <c r="BT96" s="28"/>
      <c r="BU96" s="7"/>
      <c r="BV96" s="7" t="e">
        <f ca="1">[1]!tメーカー名(BU96)</f>
        <v>#NAME?</v>
      </c>
      <c r="BW96" s="7" t="e">
        <f t="shared" si="53"/>
        <v>#VALUE!</v>
      </c>
      <c r="BX96" s="28"/>
      <c r="BY96" s="7" t="e">
        <f t="shared" si="54"/>
        <v>#VALUE!</v>
      </c>
      <c r="BZ96" s="28"/>
      <c r="CA96" s="54"/>
      <c r="CB96" s="54"/>
      <c r="CC96" s="7" t="e">
        <f t="shared" si="55"/>
        <v>#VALUE!</v>
      </c>
      <c r="CD96" s="28"/>
      <c r="CE96" s="7" t="e">
        <f t="shared" si="56"/>
        <v>#VALUE!</v>
      </c>
      <c r="CF96" s="28"/>
      <c r="CG96" s="7" t="e">
        <f t="shared" si="57"/>
        <v>#VALUE!</v>
      </c>
      <c r="CH96" s="28"/>
      <c r="CI96" s="7" t="e">
        <f t="shared" si="58"/>
        <v>#VALUE!</v>
      </c>
      <c r="CJ96" s="28"/>
      <c r="CK96" s="7"/>
      <c r="CL96" s="7"/>
      <c r="CM96" s="7"/>
      <c r="CN96" s="7"/>
      <c r="CO96" s="7"/>
      <c r="CP96" s="7"/>
      <c r="CQ96" s="7"/>
      <c r="CR96" s="7"/>
      <c r="CS96" s="126">
        <f t="shared" si="37"/>
        <v>0</v>
      </c>
      <c r="CT96" s="7"/>
      <c r="CU96" s="7"/>
    </row>
    <row r="97" spans="1:99">
      <c r="A97" s="7">
        <v>85</v>
      </c>
      <c r="B97" s="7"/>
      <c r="C97" s="7" t="e">
        <f t="shared" si="59"/>
        <v>#VALUE!</v>
      </c>
      <c r="D97" s="28"/>
      <c r="E97" s="7">
        <f t="shared" si="32"/>
        <v>0</v>
      </c>
      <c r="F97" s="7"/>
      <c r="G97" s="7">
        <f t="shared" si="33"/>
        <v>0</v>
      </c>
      <c r="H97" s="7"/>
      <c r="I97" s="7">
        <f t="shared" si="34"/>
        <v>0</v>
      </c>
      <c r="J97" s="7"/>
      <c r="K97" s="7">
        <f t="shared" si="35"/>
        <v>0</v>
      </c>
      <c r="L97" s="7"/>
      <c r="M97" s="7">
        <f t="shared" si="36"/>
        <v>0</v>
      </c>
      <c r="N97" s="7"/>
      <c r="O97" s="7"/>
      <c r="P97" s="7"/>
      <c r="Q97" s="53"/>
      <c r="R97" s="7"/>
      <c r="S97" s="7"/>
      <c r="T97" s="53"/>
      <c r="U97" s="7"/>
      <c r="V97" s="7" t="e">
        <f t="shared" si="60"/>
        <v>#VALUE!</v>
      </c>
      <c r="W97" s="28"/>
      <c r="X97" s="7" t="e">
        <f t="shared" si="60"/>
        <v>#VALUE!</v>
      </c>
      <c r="Y97" s="28"/>
      <c r="Z97" s="7" t="e">
        <f t="shared" si="39"/>
        <v>#VALUE!</v>
      </c>
      <c r="AA97" s="28"/>
      <c r="AB97" s="7"/>
      <c r="AC97" s="7"/>
      <c r="AD97" s="7"/>
      <c r="AE97" s="7"/>
      <c r="AF97" s="7">
        <v>0</v>
      </c>
      <c r="AG97" s="7" t="e">
        <f t="shared" si="40"/>
        <v>#VALUE!</v>
      </c>
      <c r="AH97" s="28"/>
      <c r="AI97" s="7"/>
      <c r="AJ97" s="7" t="e">
        <f t="shared" si="41"/>
        <v>#VALUE!</v>
      </c>
      <c r="AK97" s="28"/>
      <c r="AL97" s="7" t="e">
        <f t="shared" si="42"/>
        <v>#VALUE!</v>
      </c>
      <c r="AM97" s="28"/>
      <c r="AN97" s="7" t="e">
        <f t="shared" si="43"/>
        <v>#VALUE!</v>
      </c>
      <c r="AO97" s="28"/>
      <c r="AP97" s="7">
        <f t="shared" si="44"/>
        <v>2</v>
      </c>
      <c r="AQ97" s="28" t="s">
        <v>2301</v>
      </c>
      <c r="AR97" s="7"/>
      <c r="AS97" s="7"/>
      <c r="AT97" s="7"/>
      <c r="AU97" s="7"/>
      <c r="AV97" s="7" t="e">
        <f t="shared" si="45"/>
        <v>#VALUE!</v>
      </c>
      <c r="AW97" s="28"/>
      <c r="AX97" s="7">
        <v>0</v>
      </c>
      <c r="AY97" s="7" t="e">
        <f t="shared" si="46"/>
        <v>#VALUE!</v>
      </c>
      <c r="AZ97" s="28"/>
      <c r="BA97" s="7">
        <v>0</v>
      </c>
      <c r="BB97" s="7">
        <v>10</v>
      </c>
      <c r="BC97" s="7">
        <v>0</v>
      </c>
      <c r="BD97" s="7">
        <v>10</v>
      </c>
      <c r="BE97" s="7"/>
      <c r="BF97" s="7" t="e">
        <f t="shared" si="47"/>
        <v>#VALUE!</v>
      </c>
      <c r="BG97" s="28"/>
      <c r="BH97" s="7" t="e">
        <f t="shared" si="48"/>
        <v>#VALUE!</v>
      </c>
      <c r="BI97" s="28"/>
      <c r="BJ97" s="7" t="e">
        <f t="shared" si="49"/>
        <v>#VALUE!</v>
      </c>
      <c r="BK97" s="28"/>
      <c r="BL97" s="7"/>
      <c r="BM97" s="7"/>
      <c r="BN97" s="7" t="e">
        <f t="shared" si="50"/>
        <v>#VALUE!</v>
      </c>
      <c r="BO97" s="28"/>
      <c r="BP97" s="7" t="e">
        <f t="shared" si="51"/>
        <v>#VALUE!</v>
      </c>
      <c r="BQ97" s="28"/>
      <c r="BR97" s="7"/>
      <c r="BS97" s="7" t="e">
        <f t="shared" si="52"/>
        <v>#VALUE!</v>
      </c>
      <c r="BT97" s="28"/>
      <c r="BU97" s="7"/>
      <c r="BV97" s="7" t="e">
        <f ca="1">[1]!tメーカー名(BU97)</f>
        <v>#NAME?</v>
      </c>
      <c r="BW97" s="7" t="e">
        <f t="shared" si="53"/>
        <v>#VALUE!</v>
      </c>
      <c r="BX97" s="28"/>
      <c r="BY97" s="7" t="e">
        <f t="shared" si="54"/>
        <v>#VALUE!</v>
      </c>
      <c r="BZ97" s="28"/>
      <c r="CA97" s="54"/>
      <c r="CB97" s="54"/>
      <c r="CC97" s="7" t="e">
        <f t="shared" si="55"/>
        <v>#VALUE!</v>
      </c>
      <c r="CD97" s="28"/>
      <c r="CE97" s="7" t="e">
        <f t="shared" si="56"/>
        <v>#VALUE!</v>
      </c>
      <c r="CF97" s="28"/>
      <c r="CG97" s="7" t="e">
        <f t="shared" si="57"/>
        <v>#VALUE!</v>
      </c>
      <c r="CH97" s="28"/>
      <c r="CI97" s="7" t="e">
        <f t="shared" si="58"/>
        <v>#VALUE!</v>
      </c>
      <c r="CJ97" s="28"/>
      <c r="CK97" s="7"/>
      <c r="CL97" s="7"/>
      <c r="CM97" s="7"/>
      <c r="CN97" s="7"/>
      <c r="CO97" s="7"/>
      <c r="CP97" s="7"/>
      <c r="CQ97" s="7"/>
      <c r="CR97" s="7"/>
      <c r="CS97" s="126">
        <f t="shared" si="37"/>
        <v>0</v>
      </c>
      <c r="CT97" s="7"/>
      <c r="CU97" s="7"/>
    </row>
    <row r="98" spans="1:99">
      <c r="A98" s="7">
        <v>86</v>
      </c>
      <c r="B98" s="7"/>
      <c r="C98" s="7" t="e">
        <f t="shared" si="59"/>
        <v>#VALUE!</v>
      </c>
      <c r="D98" s="28"/>
      <c r="E98" s="7">
        <f t="shared" si="32"/>
        <v>0</v>
      </c>
      <c r="F98" s="7"/>
      <c r="G98" s="7">
        <f t="shared" si="33"/>
        <v>0</v>
      </c>
      <c r="H98" s="7"/>
      <c r="I98" s="7">
        <f t="shared" si="34"/>
        <v>0</v>
      </c>
      <c r="J98" s="7"/>
      <c r="K98" s="7">
        <f t="shared" si="35"/>
        <v>0</v>
      </c>
      <c r="L98" s="7"/>
      <c r="M98" s="7">
        <f t="shared" si="36"/>
        <v>0</v>
      </c>
      <c r="N98" s="7"/>
      <c r="O98" s="7"/>
      <c r="P98" s="7"/>
      <c r="Q98" s="53"/>
      <c r="R98" s="7"/>
      <c r="S98" s="7"/>
      <c r="T98" s="53"/>
      <c r="U98" s="7"/>
      <c r="V98" s="7" t="e">
        <f t="shared" si="60"/>
        <v>#VALUE!</v>
      </c>
      <c r="W98" s="28"/>
      <c r="X98" s="7" t="e">
        <f t="shared" si="60"/>
        <v>#VALUE!</v>
      </c>
      <c r="Y98" s="28"/>
      <c r="Z98" s="7" t="e">
        <f t="shared" si="39"/>
        <v>#VALUE!</v>
      </c>
      <c r="AA98" s="28"/>
      <c r="AB98" s="7"/>
      <c r="AC98" s="7"/>
      <c r="AD98" s="7"/>
      <c r="AE98" s="7"/>
      <c r="AF98" s="7">
        <v>0</v>
      </c>
      <c r="AG98" s="7" t="e">
        <f t="shared" si="40"/>
        <v>#VALUE!</v>
      </c>
      <c r="AH98" s="28"/>
      <c r="AI98" s="7"/>
      <c r="AJ98" s="7" t="e">
        <f t="shared" si="41"/>
        <v>#VALUE!</v>
      </c>
      <c r="AK98" s="28"/>
      <c r="AL98" s="7" t="e">
        <f t="shared" si="42"/>
        <v>#VALUE!</v>
      </c>
      <c r="AM98" s="28"/>
      <c r="AN98" s="7" t="e">
        <f t="shared" si="43"/>
        <v>#VALUE!</v>
      </c>
      <c r="AO98" s="28"/>
      <c r="AP98" s="7">
        <f t="shared" si="44"/>
        <v>2</v>
      </c>
      <c r="AQ98" s="28" t="s">
        <v>2301</v>
      </c>
      <c r="AR98" s="7"/>
      <c r="AS98" s="7"/>
      <c r="AT98" s="7"/>
      <c r="AU98" s="7"/>
      <c r="AV98" s="7" t="e">
        <f t="shared" si="45"/>
        <v>#VALUE!</v>
      </c>
      <c r="AW98" s="28"/>
      <c r="AX98" s="7">
        <v>0</v>
      </c>
      <c r="AY98" s="7" t="e">
        <f t="shared" si="46"/>
        <v>#VALUE!</v>
      </c>
      <c r="AZ98" s="28"/>
      <c r="BA98" s="7">
        <v>0</v>
      </c>
      <c r="BB98" s="7">
        <v>10</v>
      </c>
      <c r="BC98" s="7">
        <v>0</v>
      </c>
      <c r="BD98" s="7">
        <v>10</v>
      </c>
      <c r="BE98" s="7"/>
      <c r="BF98" s="7" t="e">
        <f t="shared" si="47"/>
        <v>#VALUE!</v>
      </c>
      <c r="BG98" s="28"/>
      <c r="BH98" s="7" t="e">
        <f t="shared" si="48"/>
        <v>#VALUE!</v>
      </c>
      <c r="BI98" s="28"/>
      <c r="BJ98" s="7" t="e">
        <f t="shared" si="49"/>
        <v>#VALUE!</v>
      </c>
      <c r="BK98" s="28"/>
      <c r="BL98" s="7"/>
      <c r="BM98" s="7"/>
      <c r="BN98" s="7" t="e">
        <f t="shared" si="50"/>
        <v>#VALUE!</v>
      </c>
      <c r="BO98" s="28"/>
      <c r="BP98" s="7" t="e">
        <f t="shared" si="51"/>
        <v>#VALUE!</v>
      </c>
      <c r="BQ98" s="28"/>
      <c r="BR98" s="7"/>
      <c r="BS98" s="7" t="e">
        <f t="shared" si="52"/>
        <v>#VALUE!</v>
      </c>
      <c r="BT98" s="28"/>
      <c r="BU98" s="7"/>
      <c r="BV98" s="7" t="e">
        <f ca="1">[1]!tメーカー名(BU98)</f>
        <v>#NAME?</v>
      </c>
      <c r="BW98" s="7" t="e">
        <f t="shared" si="53"/>
        <v>#VALUE!</v>
      </c>
      <c r="BX98" s="28"/>
      <c r="BY98" s="7" t="e">
        <f t="shared" si="54"/>
        <v>#VALUE!</v>
      </c>
      <c r="BZ98" s="28"/>
      <c r="CA98" s="54"/>
      <c r="CB98" s="54"/>
      <c r="CC98" s="7" t="e">
        <f t="shared" si="55"/>
        <v>#VALUE!</v>
      </c>
      <c r="CD98" s="28"/>
      <c r="CE98" s="7" t="e">
        <f t="shared" si="56"/>
        <v>#VALUE!</v>
      </c>
      <c r="CF98" s="28"/>
      <c r="CG98" s="7" t="e">
        <f t="shared" si="57"/>
        <v>#VALUE!</v>
      </c>
      <c r="CH98" s="28"/>
      <c r="CI98" s="7" t="e">
        <f t="shared" si="58"/>
        <v>#VALUE!</v>
      </c>
      <c r="CJ98" s="28"/>
      <c r="CK98" s="7"/>
      <c r="CL98" s="7"/>
      <c r="CM98" s="7"/>
      <c r="CN98" s="7"/>
      <c r="CO98" s="7"/>
      <c r="CP98" s="7"/>
      <c r="CQ98" s="7"/>
      <c r="CR98" s="7"/>
      <c r="CS98" s="126">
        <f t="shared" si="37"/>
        <v>0</v>
      </c>
      <c r="CT98" s="7"/>
      <c r="CU98" s="7"/>
    </row>
    <row r="99" spans="1:99">
      <c r="A99" s="7">
        <v>87</v>
      </c>
      <c r="B99" s="7"/>
      <c r="C99" s="7" t="e">
        <f t="shared" si="59"/>
        <v>#VALUE!</v>
      </c>
      <c r="D99" s="28"/>
      <c r="E99" s="7">
        <f t="shared" si="32"/>
        <v>0</v>
      </c>
      <c r="F99" s="7"/>
      <c r="G99" s="7">
        <f t="shared" si="33"/>
        <v>0</v>
      </c>
      <c r="H99" s="7"/>
      <c r="I99" s="7">
        <f t="shared" si="34"/>
        <v>0</v>
      </c>
      <c r="J99" s="7"/>
      <c r="K99" s="7">
        <f t="shared" si="35"/>
        <v>0</v>
      </c>
      <c r="L99" s="7"/>
      <c r="M99" s="7">
        <f t="shared" si="36"/>
        <v>0</v>
      </c>
      <c r="N99" s="7"/>
      <c r="O99" s="7"/>
      <c r="P99" s="7"/>
      <c r="Q99" s="53"/>
      <c r="R99" s="7"/>
      <c r="S99" s="7"/>
      <c r="T99" s="53"/>
      <c r="U99" s="7"/>
      <c r="V99" s="7" t="e">
        <f t="shared" si="60"/>
        <v>#VALUE!</v>
      </c>
      <c r="W99" s="28"/>
      <c r="X99" s="7" t="e">
        <f t="shared" si="60"/>
        <v>#VALUE!</v>
      </c>
      <c r="Y99" s="28"/>
      <c r="Z99" s="7" t="e">
        <f t="shared" si="39"/>
        <v>#VALUE!</v>
      </c>
      <c r="AA99" s="28"/>
      <c r="AB99" s="7"/>
      <c r="AC99" s="7"/>
      <c r="AD99" s="7"/>
      <c r="AE99" s="7"/>
      <c r="AF99" s="7">
        <v>0</v>
      </c>
      <c r="AG99" s="7" t="e">
        <f t="shared" si="40"/>
        <v>#VALUE!</v>
      </c>
      <c r="AH99" s="28"/>
      <c r="AI99" s="7"/>
      <c r="AJ99" s="7" t="e">
        <f t="shared" si="41"/>
        <v>#VALUE!</v>
      </c>
      <c r="AK99" s="28"/>
      <c r="AL99" s="7" t="e">
        <f t="shared" si="42"/>
        <v>#VALUE!</v>
      </c>
      <c r="AM99" s="28"/>
      <c r="AN99" s="7" t="e">
        <f t="shared" si="43"/>
        <v>#VALUE!</v>
      </c>
      <c r="AO99" s="28"/>
      <c r="AP99" s="7">
        <f t="shared" si="44"/>
        <v>2</v>
      </c>
      <c r="AQ99" s="28" t="s">
        <v>2301</v>
      </c>
      <c r="AR99" s="7"/>
      <c r="AS99" s="7"/>
      <c r="AT99" s="7"/>
      <c r="AU99" s="7"/>
      <c r="AV99" s="7" t="e">
        <f t="shared" si="45"/>
        <v>#VALUE!</v>
      </c>
      <c r="AW99" s="28"/>
      <c r="AX99" s="7">
        <v>0</v>
      </c>
      <c r="AY99" s="7" t="e">
        <f t="shared" si="46"/>
        <v>#VALUE!</v>
      </c>
      <c r="AZ99" s="28"/>
      <c r="BA99" s="7">
        <v>0</v>
      </c>
      <c r="BB99" s="7">
        <v>10</v>
      </c>
      <c r="BC99" s="7">
        <v>0</v>
      </c>
      <c r="BD99" s="7">
        <v>10</v>
      </c>
      <c r="BE99" s="7"/>
      <c r="BF99" s="7" t="e">
        <f t="shared" si="47"/>
        <v>#VALUE!</v>
      </c>
      <c r="BG99" s="28"/>
      <c r="BH99" s="7" t="e">
        <f t="shared" si="48"/>
        <v>#VALUE!</v>
      </c>
      <c r="BI99" s="28"/>
      <c r="BJ99" s="7" t="e">
        <f t="shared" si="49"/>
        <v>#VALUE!</v>
      </c>
      <c r="BK99" s="28"/>
      <c r="BL99" s="7"/>
      <c r="BM99" s="7"/>
      <c r="BN99" s="7" t="e">
        <f t="shared" si="50"/>
        <v>#VALUE!</v>
      </c>
      <c r="BO99" s="28"/>
      <c r="BP99" s="7" t="e">
        <f t="shared" si="51"/>
        <v>#VALUE!</v>
      </c>
      <c r="BQ99" s="28"/>
      <c r="BR99" s="7"/>
      <c r="BS99" s="7" t="e">
        <f t="shared" si="52"/>
        <v>#VALUE!</v>
      </c>
      <c r="BT99" s="28"/>
      <c r="BU99" s="7"/>
      <c r="BV99" s="7" t="e">
        <f ca="1">[1]!tメーカー名(BU99)</f>
        <v>#NAME?</v>
      </c>
      <c r="BW99" s="7" t="e">
        <f t="shared" si="53"/>
        <v>#VALUE!</v>
      </c>
      <c r="BX99" s="28"/>
      <c r="BY99" s="7" t="e">
        <f t="shared" si="54"/>
        <v>#VALUE!</v>
      </c>
      <c r="BZ99" s="28"/>
      <c r="CA99" s="54"/>
      <c r="CB99" s="54"/>
      <c r="CC99" s="7" t="e">
        <f t="shared" si="55"/>
        <v>#VALUE!</v>
      </c>
      <c r="CD99" s="28"/>
      <c r="CE99" s="7" t="e">
        <f t="shared" si="56"/>
        <v>#VALUE!</v>
      </c>
      <c r="CF99" s="28"/>
      <c r="CG99" s="7" t="e">
        <f t="shared" si="57"/>
        <v>#VALUE!</v>
      </c>
      <c r="CH99" s="28"/>
      <c r="CI99" s="7" t="e">
        <f t="shared" si="58"/>
        <v>#VALUE!</v>
      </c>
      <c r="CJ99" s="28"/>
      <c r="CK99" s="7"/>
      <c r="CL99" s="7"/>
      <c r="CM99" s="7"/>
      <c r="CN99" s="7"/>
      <c r="CO99" s="7"/>
      <c r="CP99" s="7"/>
      <c r="CQ99" s="7"/>
      <c r="CR99" s="7"/>
      <c r="CS99" s="126">
        <f t="shared" si="37"/>
        <v>0</v>
      </c>
      <c r="CT99" s="7"/>
      <c r="CU99" s="7"/>
    </row>
    <row r="100" spans="1:99">
      <c r="A100" s="7">
        <v>88</v>
      </c>
      <c r="B100" s="7"/>
      <c r="C100" s="7" t="e">
        <f t="shared" si="59"/>
        <v>#VALUE!</v>
      </c>
      <c r="D100" s="28"/>
      <c r="E100" s="7">
        <f t="shared" si="32"/>
        <v>0</v>
      </c>
      <c r="F100" s="7"/>
      <c r="G100" s="7">
        <f t="shared" si="33"/>
        <v>0</v>
      </c>
      <c r="H100" s="7"/>
      <c r="I100" s="7">
        <f t="shared" si="34"/>
        <v>0</v>
      </c>
      <c r="J100" s="7"/>
      <c r="K100" s="7">
        <f t="shared" si="35"/>
        <v>0</v>
      </c>
      <c r="L100" s="7"/>
      <c r="M100" s="7">
        <f t="shared" si="36"/>
        <v>0</v>
      </c>
      <c r="N100" s="7"/>
      <c r="O100" s="7"/>
      <c r="P100" s="7"/>
      <c r="Q100" s="53"/>
      <c r="R100" s="7"/>
      <c r="S100" s="7"/>
      <c r="T100" s="53"/>
      <c r="U100" s="7"/>
      <c r="V100" s="7" t="e">
        <f t="shared" si="60"/>
        <v>#VALUE!</v>
      </c>
      <c r="W100" s="28"/>
      <c r="X100" s="7" t="e">
        <f t="shared" si="60"/>
        <v>#VALUE!</v>
      </c>
      <c r="Y100" s="28"/>
      <c r="Z100" s="7" t="e">
        <f t="shared" si="39"/>
        <v>#VALUE!</v>
      </c>
      <c r="AA100" s="28"/>
      <c r="AB100" s="7"/>
      <c r="AC100" s="7"/>
      <c r="AD100" s="7"/>
      <c r="AE100" s="7"/>
      <c r="AF100" s="7">
        <v>0</v>
      </c>
      <c r="AG100" s="7" t="e">
        <f t="shared" si="40"/>
        <v>#VALUE!</v>
      </c>
      <c r="AH100" s="28"/>
      <c r="AI100" s="7"/>
      <c r="AJ100" s="7" t="e">
        <f t="shared" si="41"/>
        <v>#VALUE!</v>
      </c>
      <c r="AK100" s="28"/>
      <c r="AL100" s="7" t="e">
        <f t="shared" si="42"/>
        <v>#VALUE!</v>
      </c>
      <c r="AM100" s="28"/>
      <c r="AN100" s="7" t="e">
        <f t="shared" si="43"/>
        <v>#VALUE!</v>
      </c>
      <c r="AO100" s="28"/>
      <c r="AP100" s="7">
        <f t="shared" si="44"/>
        <v>2</v>
      </c>
      <c r="AQ100" s="28" t="s">
        <v>2301</v>
      </c>
      <c r="AR100" s="7"/>
      <c r="AS100" s="7"/>
      <c r="AT100" s="7"/>
      <c r="AU100" s="7"/>
      <c r="AV100" s="7" t="e">
        <f t="shared" si="45"/>
        <v>#VALUE!</v>
      </c>
      <c r="AW100" s="28"/>
      <c r="AX100" s="7">
        <v>0</v>
      </c>
      <c r="AY100" s="7" t="e">
        <f t="shared" si="46"/>
        <v>#VALUE!</v>
      </c>
      <c r="AZ100" s="28"/>
      <c r="BA100" s="7">
        <v>0</v>
      </c>
      <c r="BB100" s="7">
        <v>10</v>
      </c>
      <c r="BC100" s="7">
        <v>0</v>
      </c>
      <c r="BD100" s="7">
        <v>10</v>
      </c>
      <c r="BE100" s="7"/>
      <c r="BF100" s="7" t="e">
        <f t="shared" si="47"/>
        <v>#VALUE!</v>
      </c>
      <c r="BG100" s="28"/>
      <c r="BH100" s="7" t="e">
        <f t="shared" si="48"/>
        <v>#VALUE!</v>
      </c>
      <c r="BI100" s="28"/>
      <c r="BJ100" s="7" t="e">
        <f t="shared" si="49"/>
        <v>#VALUE!</v>
      </c>
      <c r="BK100" s="28"/>
      <c r="BL100" s="7"/>
      <c r="BM100" s="7"/>
      <c r="BN100" s="7" t="e">
        <f t="shared" si="50"/>
        <v>#VALUE!</v>
      </c>
      <c r="BO100" s="28"/>
      <c r="BP100" s="7" t="e">
        <f t="shared" si="51"/>
        <v>#VALUE!</v>
      </c>
      <c r="BQ100" s="28"/>
      <c r="BR100" s="7"/>
      <c r="BS100" s="7" t="e">
        <f t="shared" si="52"/>
        <v>#VALUE!</v>
      </c>
      <c r="BT100" s="28"/>
      <c r="BU100" s="7"/>
      <c r="BV100" s="7" t="e">
        <f ca="1">[1]!tメーカー名(BU100)</f>
        <v>#NAME?</v>
      </c>
      <c r="BW100" s="7" t="e">
        <f t="shared" si="53"/>
        <v>#VALUE!</v>
      </c>
      <c r="BX100" s="28"/>
      <c r="BY100" s="7" t="e">
        <f t="shared" si="54"/>
        <v>#VALUE!</v>
      </c>
      <c r="BZ100" s="28"/>
      <c r="CA100" s="54"/>
      <c r="CB100" s="54"/>
      <c r="CC100" s="7" t="e">
        <f t="shared" si="55"/>
        <v>#VALUE!</v>
      </c>
      <c r="CD100" s="28"/>
      <c r="CE100" s="7" t="e">
        <f t="shared" si="56"/>
        <v>#VALUE!</v>
      </c>
      <c r="CF100" s="28"/>
      <c r="CG100" s="7" t="e">
        <f t="shared" si="57"/>
        <v>#VALUE!</v>
      </c>
      <c r="CH100" s="28"/>
      <c r="CI100" s="7" t="e">
        <f t="shared" si="58"/>
        <v>#VALUE!</v>
      </c>
      <c r="CJ100" s="28"/>
      <c r="CK100" s="7"/>
      <c r="CL100" s="7"/>
      <c r="CM100" s="7"/>
      <c r="CN100" s="7"/>
      <c r="CO100" s="7"/>
      <c r="CP100" s="7"/>
      <c r="CQ100" s="7"/>
      <c r="CR100" s="7"/>
      <c r="CS100" s="126">
        <f t="shared" si="37"/>
        <v>0</v>
      </c>
      <c r="CT100" s="7"/>
      <c r="CU100" s="7"/>
    </row>
    <row r="101" spans="1:99">
      <c r="A101" s="7">
        <v>89</v>
      </c>
      <c r="B101" s="7"/>
      <c r="C101" s="7" t="e">
        <f t="shared" si="59"/>
        <v>#VALUE!</v>
      </c>
      <c r="D101" s="28"/>
      <c r="E101" s="7">
        <f t="shared" si="32"/>
        <v>0</v>
      </c>
      <c r="F101" s="7"/>
      <c r="G101" s="7">
        <f t="shared" si="33"/>
        <v>0</v>
      </c>
      <c r="H101" s="7"/>
      <c r="I101" s="7">
        <f t="shared" si="34"/>
        <v>0</v>
      </c>
      <c r="J101" s="7"/>
      <c r="K101" s="7">
        <f t="shared" si="35"/>
        <v>0</v>
      </c>
      <c r="L101" s="7"/>
      <c r="M101" s="7">
        <f t="shared" si="36"/>
        <v>0</v>
      </c>
      <c r="N101" s="7"/>
      <c r="O101" s="7"/>
      <c r="P101" s="7"/>
      <c r="Q101" s="53"/>
      <c r="R101" s="7"/>
      <c r="S101" s="7"/>
      <c r="T101" s="53"/>
      <c r="U101" s="7"/>
      <c r="V101" s="7" t="e">
        <f t="shared" si="60"/>
        <v>#VALUE!</v>
      </c>
      <c r="W101" s="28"/>
      <c r="X101" s="7" t="e">
        <f t="shared" si="60"/>
        <v>#VALUE!</v>
      </c>
      <c r="Y101" s="28"/>
      <c r="Z101" s="7" t="e">
        <f t="shared" si="39"/>
        <v>#VALUE!</v>
      </c>
      <c r="AA101" s="28"/>
      <c r="AB101" s="7"/>
      <c r="AC101" s="7"/>
      <c r="AD101" s="7"/>
      <c r="AE101" s="7"/>
      <c r="AF101" s="7">
        <v>0</v>
      </c>
      <c r="AG101" s="7" t="e">
        <f t="shared" si="40"/>
        <v>#VALUE!</v>
      </c>
      <c r="AH101" s="28"/>
      <c r="AI101" s="7"/>
      <c r="AJ101" s="7" t="e">
        <f t="shared" si="41"/>
        <v>#VALUE!</v>
      </c>
      <c r="AK101" s="28"/>
      <c r="AL101" s="7" t="e">
        <f t="shared" si="42"/>
        <v>#VALUE!</v>
      </c>
      <c r="AM101" s="28"/>
      <c r="AN101" s="7" t="e">
        <f t="shared" si="43"/>
        <v>#VALUE!</v>
      </c>
      <c r="AO101" s="28"/>
      <c r="AP101" s="7">
        <f t="shared" si="44"/>
        <v>2</v>
      </c>
      <c r="AQ101" s="28" t="s">
        <v>2301</v>
      </c>
      <c r="AR101" s="7"/>
      <c r="AS101" s="7"/>
      <c r="AT101" s="7"/>
      <c r="AU101" s="7"/>
      <c r="AV101" s="7" t="e">
        <f t="shared" si="45"/>
        <v>#VALUE!</v>
      </c>
      <c r="AW101" s="28"/>
      <c r="AX101" s="7">
        <v>0</v>
      </c>
      <c r="AY101" s="7" t="e">
        <f t="shared" si="46"/>
        <v>#VALUE!</v>
      </c>
      <c r="AZ101" s="28"/>
      <c r="BA101" s="7">
        <v>0</v>
      </c>
      <c r="BB101" s="7">
        <v>10</v>
      </c>
      <c r="BC101" s="7">
        <v>0</v>
      </c>
      <c r="BD101" s="7">
        <v>10</v>
      </c>
      <c r="BE101" s="7"/>
      <c r="BF101" s="7" t="e">
        <f t="shared" si="47"/>
        <v>#VALUE!</v>
      </c>
      <c r="BG101" s="28"/>
      <c r="BH101" s="7" t="e">
        <f t="shared" si="48"/>
        <v>#VALUE!</v>
      </c>
      <c r="BI101" s="28"/>
      <c r="BJ101" s="7" t="e">
        <f t="shared" si="49"/>
        <v>#VALUE!</v>
      </c>
      <c r="BK101" s="28"/>
      <c r="BL101" s="7"/>
      <c r="BM101" s="7"/>
      <c r="BN101" s="7" t="e">
        <f t="shared" si="50"/>
        <v>#VALUE!</v>
      </c>
      <c r="BO101" s="28"/>
      <c r="BP101" s="7" t="e">
        <f t="shared" si="51"/>
        <v>#VALUE!</v>
      </c>
      <c r="BQ101" s="28"/>
      <c r="BR101" s="7"/>
      <c r="BS101" s="7" t="e">
        <f t="shared" si="52"/>
        <v>#VALUE!</v>
      </c>
      <c r="BT101" s="28"/>
      <c r="BU101" s="7"/>
      <c r="BV101" s="7" t="e">
        <f ca="1">[1]!tメーカー名(BU101)</f>
        <v>#NAME?</v>
      </c>
      <c r="BW101" s="7" t="e">
        <f t="shared" si="53"/>
        <v>#VALUE!</v>
      </c>
      <c r="BX101" s="28"/>
      <c r="BY101" s="7" t="e">
        <f t="shared" si="54"/>
        <v>#VALUE!</v>
      </c>
      <c r="BZ101" s="28"/>
      <c r="CA101" s="54"/>
      <c r="CB101" s="54"/>
      <c r="CC101" s="7" t="e">
        <f t="shared" si="55"/>
        <v>#VALUE!</v>
      </c>
      <c r="CD101" s="28"/>
      <c r="CE101" s="7" t="e">
        <f t="shared" si="56"/>
        <v>#VALUE!</v>
      </c>
      <c r="CF101" s="28"/>
      <c r="CG101" s="7" t="e">
        <f t="shared" si="57"/>
        <v>#VALUE!</v>
      </c>
      <c r="CH101" s="28"/>
      <c r="CI101" s="7" t="e">
        <f t="shared" si="58"/>
        <v>#VALUE!</v>
      </c>
      <c r="CJ101" s="28"/>
      <c r="CK101" s="7"/>
      <c r="CL101" s="7"/>
      <c r="CM101" s="7"/>
      <c r="CN101" s="7"/>
      <c r="CO101" s="7"/>
      <c r="CP101" s="7"/>
      <c r="CQ101" s="7"/>
      <c r="CR101" s="7"/>
      <c r="CS101" s="126">
        <f t="shared" si="37"/>
        <v>0</v>
      </c>
      <c r="CT101" s="7"/>
      <c r="CU101" s="7"/>
    </row>
    <row r="102" spans="1:99">
      <c r="A102" s="7">
        <v>90</v>
      </c>
      <c r="B102" s="7"/>
      <c r="C102" s="7" t="e">
        <f t="shared" si="59"/>
        <v>#VALUE!</v>
      </c>
      <c r="D102" s="28"/>
      <c r="E102" s="7">
        <f t="shared" si="32"/>
        <v>0</v>
      </c>
      <c r="F102" s="7"/>
      <c r="G102" s="7">
        <f t="shared" si="33"/>
        <v>0</v>
      </c>
      <c r="H102" s="7"/>
      <c r="I102" s="7">
        <f t="shared" si="34"/>
        <v>0</v>
      </c>
      <c r="J102" s="7"/>
      <c r="K102" s="7">
        <f t="shared" si="35"/>
        <v>0</v>
      </c>
      <c r="L102" s="7"/>
      <c r="M102" s="7">
        <f t="shared" si="36"/>
        <v>0</v>
      </c>
      <c r="N102" s="7"/>
      <c r="O102" s="7"/>
      <c r="P102" s="7"/>
      <c r="Q102" s="53"/>
      <c r="R102" s="7"/>
      <c r="S102" s="7"/>
      <c r="T102" s="53"/>
      <c r="U102" s="7"/>
      <c r="V102" s="7" t="e">
        <f t="shared" si="60"/>
        <v>#VALUE!</v>
      </c>
      <c r="W102" s="28"/>
      <c r="X102" s="7" t="e">
        <f t="shared" si="60"/>
        <v>#VALUE!</v>
      </c>
      <c r="Y102" s="28"/>
      <c r="Z102" s="7" t="e">
        <f t="shared" si="39"/>
        <v>#VALUE!</v>
      </c>
      <c r="AA102" s="28"/>
      <c r="AB102" s="7"/>
      <c r="AC102" s="7"/>
      <c r="AD102" s="7"/>
      <c r="AE102" s="7"/>
      <c r="AF102" s="7">
        <v>0</v>
      </c>
      <c r="AG102" s="7" t="e">
        <f t="shared" si="40"/>
        <v>#VALUE!</v>
      </c>
      <c r="AH102" s="28"/>
      <c r="AI102" s="7"/>
      <c r="AJ102" s="7" t="e">
        <f t="shared" si="41"/>
        <v>#VALUE!</v>
      </c>
      <c r="AK102" s="28"/>
      <c r="AL102" s="7" t="e">
        <f t="shared" si="42"/>
        <v>#VALUE!</v>
      </c>
      <c r="AM102" s="28"/>
      <c r="AN102" s="7" t="e">
        <f t="shared" si="43"/>
        <v>#VALUE!</v>
      </c>
      <c r="AO102" s="28"/>
      <c r="AP102" s="7">
        <f t="shared" si="44"/>
        <v>2</v>
      </c>
      <c r="AQ102" s="28" t="s">
        <v>2301</v>
      </c>
      <c r="AR102" s="7"/>
      <c r="AS102" s="7"/>
      <c r="AT102" s="7"/>
      <c r="AU102" s="7"/>
      <c r="AV102" s="7" t="e">
        <f t="shared" si="45"/>
        <v>#VALUE!</v>
      </c>
      <c r="AW102" s="28"/>
      <c r="AX102" s="7">
        <v>0</v>
      </c>
      <c r="AY102" s="7" t="e">
        <f t="shared" si="46"/>
        <v>#VALUE!</v>
      </c>
      <c r="AZ102" s="28"/>
      <c r="BA102" s="7">
        <v>0</v>
      </c>
      <c r="BB102" s="7">
        <v>10</v>
      </c>
      <c r="BC102" s="7">
        <v>0</v>
      </c>
      <c r="BD102" s="7">
        <v>10</v>
      </c>
      <c r="BE102" s="7"/>
      <c r="BF102" s="7" t="e">
        <f t="shared" si="47"/>
        <v>#VALUE!</v>
      </c>
      <c r="BG102" s="28"/>
      <c r="BH102" s="7" t="e">
        <f t="shared" si="48"/>
        <v>#VALUE!</v>
      </c>
      <c r="BI102" s="28"/>
      <c r="BJ102" s="7" t="e">
        <f t="shared" si="49"/>
        <v>#VALUE!</v>
      </c>
      <c r="BK102" s="28"/>
      <c r="BL102" s="7"/>
      <c r="BM102" s="7"/>
      <c r="BN102" s="7" t="e">
        <f t="shared" si="50"/>
        <v>#VALUE!</v>
      </c>
      <c r="BO102" s="28"/>
      <c r="BP102" s="7" t="e">
        <f t="shared" si="51"/>
        <v>#VALUE!</v>
      </c>
      <c r="BQ102" s="28"/>
      <c r="BR102" s="7"/>
      <c r="BS102" s="7" t="e">
        <f t="shared" si="52"/>
        <v>#VALUE!</v>
      </c>
      <c r="BT102" s="28"/>
      <c r="BU102" s="7"/>
      <c r="BV102" s="7" t="e">
        <f ca="1">[1]!tメーカー名(BU102)</f>
        <v>#NAME?</v>
      </c>
      <c r="BW102" s="7" t="e">
        <f t="shared" si="53"/>
        <v>#VALUE!</v>
      </c>
      <c r="BX102" s="28"/>
      <c r="BY102" s="7" t="e">
        <f t="shared" si="54"/>
        <v>#VALUE!</v>
      </c>
      <c r="BZ102" s="28"/>
      <c r="CA102" s="54"/>
      <c r="CB102" s="54"/>
      <c r="CC102" s="7" t="e">
        <f t="shared" si="55"/>
        <v>#VALUE!</v>
      </c>
      <c r="CD102" s="28"/>
      <c r="CE102" s="7" t="e">
        <f t="shared" si="56"/>
        <v>#VALUE!</v>
      </c>
      <c r="CF102" s="28"/>
      <c r="CG102" s="7" t="e">
        <f t="shared" si="57"/>
        <v>#VALUE!</v>
      </c>
      <c r="CH102" s="28"/>
      <c r="CI102" s="7" t="e">
        <f t="shared" si="58"/>
        <v>#VALUE!</v>
      </c>
      <c r="CJ102" s="28"/>
      <c r="CK102" s="7"/>
      <c r="CL102" s="7"/>
      <c r="CM102" s="7"/>
      <c r="CN102" s="7"/>
      <c r="CO102" s="7"/>
      <c r="CP102" s="7"/>
      <c r="CQ102" s="7"/>
      <c r="CR102" s="7"/>
      <c r="CS102" s="126">
        <f t="shared" si="37"/>
        <v>0</v>
      </c>
      <c r="CT102" s="7"/>
      <c r="CU102" s="7"/>
    </row>
    <row r="103" spans="1:99">
      <c r="A103" s="7">
        <v>91</v>
      </c>
      <c r="B103" s="7"/>
      <c r="C103" s="7" t="e">
        <f t="shared" si="59"/>
        <v>#VALUE!</v>
      </c>
      <c r="D103" s="28"/>
      <c r="E103" s="7">
        <f t="shared" si="32"/>
        <v>0</v>
      </c>
      <c r="F103" s="7"/>
      <c r="G103" s="7">
        <f t="shared" si="33"/>
        <v>0</v>
      </c>
      <c r="H103" s="7"/>
      <c r="I103" s="7">
        <f t="shared" si="34"/>
        <v>0</v>
      </c>
      <c r="J103" s="7"/>
      <c r="K103" s="7">
        <f t="shared" si="35"/>
        <v>0</v>
      </c>
      <c r="L103" s="7"/>
      <c r="M103" s="7">
        <f t="shared" si="36"/>
        <v>0</v>
      </c>
      <c r="N103" s="7"/>
      <c r="O103" s="7"/>
      <c r="P103" s="7"/>
      <c r="Q103" s="53"/>
      <c r="R103" s="7"/>
      <c r="S103" s="7"/>
      <c r="T103" s="53"/>
      <c r="U103" s="7"/>
      <c r="V103" s="7" t="e">
        <f t="shared" si="60"/>
        <v>#VALUE!</v>
      </c>
      <c r="W103" s="28"/>
      <c r="X103" s="7" t="e">
        <f t="shared" si="60"/>
        <v>#VALUE!</v>
      </c>
      <c r="Y103" s="28"/>
      <c r="Z103" s="7" t="e">
        <f t="shared" si="39"/>
        <v>#VALUE!</v>
      </c>
      <c r="AA103" s="28"/>
      <c r="AB103" s="7"/>
      <c r="AC103" s="7"/>
      <c r="AD103" s="7"/>
      <c r="AE103" s="7"/>
      <c r="AF103" s="7">
        <v>0</v>
      </c>
      <c r="AG103" s="7" t="e">
        <f t="shared" si="40"/>
        <v>#VALUE!</v>
      </c>
      <c r="AH103" s="28"/>
      <c r="AI103" s="7"/>
      <c r="AJ103" s="7" t="e">
        <f t="shared" si="41"/>
        <v>#VALUE!</v>
      </c>
      <c r="AK103" s="28"/>
      <c r="AL103" s="7" t="e">
        <f t="shared" si="42"/>
        <v>#VALUE!</v>
      </c>
      <c r="AM103" s="28"/>
      <c r="AN103" s="7" t="e">
        <f t="shared" si="43"/>
        <v>#VALUE!</v>
      </c>
      <c r="AO103" s="28"/>
      <c r="AP103" s="7">
        <f t="shared" si="44"/>
        <v>2</v>
      </c>
      <c r="AQ103" s="28" t="s">
        <v>2301</v>
      </c>
      <c r="AR103" s="7"/>
      <c r="AS103" s="7"/>
      <c r="AT103" s="7"/>
      <c r="AU103" s="7"/>
      <c r="AV103" s="7" t="e">
        <f t="shared" si="45"/>
        <v>#VALUE!</v>
      </c>
      <c r="AW103" s="28"/>
      <c r="AX103" s="7">
        <v>0</v>
      </c>
      <c r="AY103" s="7" t="e">
        <f t="shared" si="46"/>
        <v>#VALUE!</v>
      </c>
      <c r="AZ103" s="28"/>
      <c r="BA103" s="7">
        <v>0</v>
      </c>
      <c r="BB103" s="7">
        <v>10</v>
      </c>
      <c r="BC103" s="7">
        <v>0</v>
      </c>
      <c r="BD103" s="7">
        <v>10</v>
      </c>
      <c r="BE103" s="7"/>
      <c r="BF103" s="7" t="e">
        <f t="shared" si="47"/>
        <v>#VALUE!</v>
      </c>
      <c r="BG103" s="28"/>
      <c r="BH103" s="7" t="e">
        <f t="shared" si="48"/>
        <v>#VALUE!</v>
      </c>
      <c r="BI103" s="28"/>
      <c r="BJ103" s="7" t="e">
        <f t="shared" si="49"/>
        <v>#VALUE!</v>
      </c>
      <c r="BK103" s="28"/>
      <c r="BL103" s="7"/>
      <c r="BM103" s="7"/>
      <c r="BN103" s="7" t="e">
        <f t="shared" si="50"/>
        <v>#VALUE!</v>
      </c>
      <c r="BO103" s="28"/>
      <c r="BP103" s="7" t="e">
        <f t="shared" si="51"/>
        <v>#VALUE!</v>
      </c>
      <c r="BQ103" s="28"/>
      <c r="BR103" s="7"/>
      <c r="BS103" s="7" t="e">
        <f t="shared" si="52"/>
        <v>#VALUE!</v>
      </c>
      <c r="BT103" s="28"/>
      <c r="BU103" s="7"/>
      <c r="BV103" s="7" t="e">
        <f ca="1">[1]!tメーカー名(BU103)</f>
        <v>#NAME?</v>
      </c>
      <c r="BW103" s="7" t="e">
        <f t="shared" si="53"/>
        <v>#VALUE!</v>
      </c>
      <c r="BX103" s="28"/>
      <c r="BY103" s="7" t="e">
        <f t="shared" si="54"/>
        <v>#VALUE!</v>
      </c>
      <c r="BZ103" s="28"/>
      <c r="CA103" s="54"/>
      <c r="CB103" s="54"/>
      <c r="CC103" s="7" t="e">
        <f t="shared" si="55"/>
        <v>#VALUE!</v>
      </c>
      <c r="CD103" s="28"/>
      <c r="CE103" s="7" t="e">
        <f t="shared" si="56"/>
        <v>#VALUE!</v>
      </c>
      <c r="CF103" s="28"/>
      <c r="CG103" s="7" t="e">
        <f t="shared" si="57"/>
        <v>#VALUE!</v>
      </c>
      <c r="CH103" s="28"/>
      <c r="CI103" s="7" t="e">
        <f t="shared" si="58"/>
        <v>#VALUE!</v>
      </c>
      <c r="CJ103" s="28"/>
      <c r="CK103" s="7"/>
      <c r="CL103" s="7"/>
      <c r="CM103" s="7"/>
      <c r="CN103" s="7"/>
      <c r="CO103" s="7"/>
      <c r="CP103" s="7"/>
      <c r="CQ103" s="7"/>
      <c r="CR103" s="7"/>
      <c r="CS103" s="126">
        <f t="shared" si="37"/>
        <v>0</v>
      </c>
      <c r="CT103" s="7"/>
      <c r="CU103" s="7"/>
    </row>
    <row r="104" spans="1:99">
      <c r="A104" s="7">
        <v>92</v>
      </c>
      <c r="B104" s="7"/>
      <c r="C104" s="7" t="e">
        <f t="shared" si="59"/>
        <v>#VALUE!</v>
      </c>
      <c r="D104" s="28"/>
      <c r="E104" s="7">
        <f t="shared" si="32"/>
        <v>0</v>
      </c>
      <c r="F104" s="7"/>
      <c r="G104" s="7">
        <f t="shared" si="33"/>
        <v>0</v>
      </c>
      <c r="H104" s="7"/>
      <c r="I104" s="7">
        <f t="shared" si="34"/>
        <v>0</v>
      </c>
      <c r="J104" s="7"/>
      <c r="K104" s="7">
        <f t="shared" si="35"/>
        <v>0</v>
      </c>
      <c r="L104" s="7"/>
      <c r="M104" s="7">
        <f t="shared" si="36"/>
        <v>0</v>
      </c>
      <c r="N104" s="7"/>
      <c r="O104" s="7"/>
      <c r="P104" s="7"/>
      <c r="Q104" s="53"/>
      <c r="R104" s="7"/>
      <c r="S104" s="7"/>
      <c r="T104" s="53"/>
      <c r="U104" s="7"/>
      <c r="V104" s="7" t="e">
        <f t="shared" si="60"/>
        <v>#VALUE!</v>
      </c>
      <c r="W104" s="28"/>
      <c r="X104" s="7" t="e">
        <f t="shared" si="60"/>
        <v>#VALUE!</v>
      </c>
      <c r="Y104" s="28"/>
      <c r="Z104" s="7" t="e">
        <f t="shared" si="39"/>
        <v>#VALUE!</v>
      </c>
      <c r="AA104" s="28"/>
      <c r="AB104" s="7"/>
      <c r="AC104" s="7"/>
      <c r="AD104" s="7"/>
      <c r="AE104" s="7"/>
      <c r="AF104" s="7">
        <v>0</v>
      </c>
      <c r="AG104" s="7" t="e">
        <f t="shared" si="40"/>
        <v>#VALUE!</v>
      </c>
      <c r="AH104" s="28"/>
      <c r="AI104" s="7"/>
      <c r="AJ104" s="7" t="e">
        <f t="shared" si="41"/>
        <v>#VALUE!</v>
      </c>
      <c r="AK104" s="28"/>
      <c r="AL104" s="7" t="e">
        <f t="shared" si="42"/>
        <v>#VALUE!</v>
      </c>
      <c r="AM104" s="28"/>
      <c r="AN104" s="7" t="e">
        <f t="shared" si="43"/>
        <v>#VALUE!</v>
      </c>
      <c r="AO104" s="28"/>
      <c r="AP104" s="7">
        <f t="shared" si="44"/>
        <v>2</v>
      </c>
      <c r="AQ104" s="28" t="s">
        <v>2301</v>
      </c>
      <c r="AR104" s="7"/>
      <c r="AS104" s="7"/>
      <c r="AT104" s="7"/>
      <c r="AU104" s="7"/>
      <c r="AV104" s="7" t="e">
        <f t="shared" si="45"/>
        <v>#VALUE!</v>
      </c>
      <c r="AW104" s="28"/>
      <c r="AX104" s="7">
        <v>0</v>
      </c>
      <c r="AY104" s="7" t="e">
        <f t="shared" si="46"/>
        <v>#VALUE!</v>
      </c>
      <c r="AZ104" s="28"/>
      <c r="BA104" s="7">
        <v>0</v>
      </c>
      <c r="BB104" s="7">
        <v>10</v>
      </c>
      <c r="BC104" s="7">
        <v>0</v>
      </c>
      <c r="BD104" s="7">
        <v>10</v>
      </c>
      <c r="BE104" s="7"/>
      <c r="BF104" s="7" t="e">
        <f t="shared" si="47"/>
        <v>#VALUE!</v>
      </c>
      <c r="BG104" s="28"/>
      <c r="BH104" s="7" t="e">
        <f t="shared" si="48"/>
        <v>#VALUE!</v>
      </c>
      <c r="BI104" s="28"/>
      <c r="BJ104" s="7" t="e">
        <f t="shared" si="49"/>
        <v>#VALUE!</v>
      </c>
      <c r="BK104" s="28"/>
      <c r="BL104" s="7"/>
      <c r="BM104" s="7"/>
      <c r="BN104" s="7" t="e">
        <f t="shared" si="50"/>
        <v>#VALUE!</v>
      </c>
      <c r="BO104" s="28"/>
      <c r="BP104" s="7" t="e">
        <f t="shared" si="51"/>
        <v>#VALUE!</v>
      </c>
      <c r="BQ104" s="28"/>
      <c r="BR104" s="7"/>
      <c r="BS104" s="7" t="e">
        <f t="shared" si="52"/>
        <v>#VALUE!</v>
      </c>
      <c r="BT104" s="28"/>
      <c r="BU104" s="7"/>
      <c r="BV104" s="7" t="e">
        <f ca="1">[1]!tメーカー名(BU104)</f>
        <v>#NAME?</v>
      </c>
      <c r="BW104" s="7" t="e">
        <f t="shared" si="53"/>
        <v>#VALUE!</v>
      </c>
      <c r="BX104" s="28"/>
      <c r="BY104" s="7" t="e">
        <f t="shared" si="54"/>
        <v>#VALUE!</v>
      </c>
      <c r="BZ104" s="28"/>
      <c r="CA104" s="54"/>
      <c r="CB104" s="54"/>
      <c r="CC104" s="7" t="e">
        <f t="shared" si="55"/>
        <v>#VALUE!</v>
      </c>
      <c r="CD104" s="28"/>
      <c r="CE104" s="7" t="e">
        <f t="shared" si="56"/>
        <v>#VALUE!</v>
      </c>
      <c r="CF104" s="28"/>
      <c r="CG104" s="7" t="e">
        <f t="shared" si="57"/>
        <v>#VALUE!</v>
      </c>
      <c r="CH104" s="28"/>
      <c r="CI104" s="7" t="e">
        <f t="shared" si="58"/>
        <v>#VALUE!</v>
      </c>
      <c r="CJ104" s="28"/>
      <c r="CK104" s="7"/>
      <c r="CL104" s="7"/>
      <c r="CM104" s="7"/>
      <c r="CN104" s="7"/>
      <c r="CO104" s="7"/>
      <c r="CP104" s="7"/>
      <c r="CQ104" s="7"/>
      <c r="CR104" s="7"/>
      <c r="CS104" s="126">
        <f t="shared" si="37"/>
        <v>0</v>
      </c>
      <c r="CT104" s="7"/>
      <c r="CU104" s="7"/>
    </row>
    <row r="105" spans="1:99">
      <c r="A105" s="7">
        <v>93</v>
      </c>
      <c r="B105" s="7"/>
      <c r="C105" s="7" t="e">
        <f t="shared" si="59"/>
        <v>#VALUE!</v>
      </c>
      <c r="D105" s="28"/>
      <c r="E105" s="7">
        <f t="shared" si="32"/>
        <v>0</v>
      </c>
      <c r="F105" s="6"/>
      <c r="G105" s="7">
        <f t="shared" si="33"/>
        <v>0</v>
      </c>
      <c r="H105" s="7"/>
      <c r="I105" s="7">
        <f t="shared" si="34"/>
        <v>0</v>
      </c>
      <c r="J105" s="7"/>
      <c r="K105" s="7">
        <f t="shared" si="35"/>
        <v>0</v>
      </c>
      <c r="L105" s="7"/>
      <c r="M105" s="7">
        <f t="shared" si="36"/>
        <v>0</v>
      </c>
      <c r="N105" s="7"/>
      <c r="O105" s="7"/>
      <c r="P105" s="7"/>
      <c r="Q105" s="53"/>
      <c r="R105" s="7"/>
      <c r="S105" s="7"/>
      <c r="T105" s="53"/>
      <c r="U105" s="7"/>
      <c r="V105" s="7" t="e">
        <f t="shared" si="60"/>
        <v>#VALUE!</v>
      </c>
      <c r="W105" s="28"/>
      <c r="X105" s="7" t="e">
        <f t="shared" si="60"/>
        <v>#VALUE!</v>
      </c>
      <c r="Y105" s="28"/>
      <c r="Z105" s="7" t="e">
        <f t="shared" si="39"/>
        <v>#VALUE!</v>
      </c>
      <c r="AA105" s="28"/>
      <c r="AB105" s="7"/>
      <c r="AC105" s="7"/>
      <c r="AD105" s="7"/>
      <c r="AE105" s="7"/>
      <c r="AF105" s="7">
        <v>0</v>
      </c>
      <c r="AG105" s="7" t="e">
        <f t="shared" si="40"/>
        <v>#VALUE!</v>
      </c>
      <c r="AH105" s="28"/>
      <c r="AI105" s="7"/>
      <c r="AJ105" s="7" t="e">
        <f t="shared" si="41"/>
        <v>#VALUE!</v>
      </c>
      <c r="AK105" s="28"/>
      <c r="AL105" s="7" t="e">
        <f t="shared" si="42"/>
        <v>#VALUE!</v>
      </c>
      <c r="AM105" s="28"/>
      <c r="AN105" s="7" t="e">
        <f t="shared" si="43"/>
        <v>#VALUE!</v>
      </c>
      <c r="AO105" s="28"/>
      <c r="AP105" s="7">
        <f t="shared" si="44"/>
        <v>2</v>
      </c>
      <c r="AQ105" s="28" t="s">
        <v>2301</v>
      </c>
      <c r="AR105" s="7"/>
      <c r="AS105" s="7"/>
      <c r="AT105" s="7"/>
      <c r="AU105" s="7"/>
      <c r="AV105" s="7" t="e">
        <f t="shared" si="45"/>
        <v>#VALUE!</v>
      </c>
      <c r="AW105" s="28"/>
      <c r="AX105" s="7">
        <v>0</v>
      </c>
      <c r="AY105" s="7" t="e">
        <f t="shared" si="46"/>
        <v>#VALUE!</v>
      </c>
      <c r="AZ105" s="28"/>
      <c r="BA105" s="7">
        <v>0</v>
      </c>
      <c r="BB105" s="7">
        <v>10</v>
      </c>
      <c r="BC105" s="7">
        <v>0</v>
      </c>
      <c r="BD105" s="7">
        <v>10</v>
      </c>
      <c r="BE105" s="7"/>
      <c r="BF105" s="7" t="e">
        <f t="shared" si="47"/>
        <v>#VALUE!</v>
      </c>
      <c r="BG105" s="28"/>
      <c r="BH105" s="7" t="e">
        <f t="shared" si="48"/>
        <v>#VALUE!</v>
      </c>
      <c r="BI105" s="28"/>
      <c r="BJ105" s="7" t="e">
        <f t="shared" si="49"/>
        <v>#VALUE!</v>
      </c>
      <c r="BK105" s="28"/>
      <c r="BL105" s="7"/>
      <c r="BM105" s="7"/>
      <c r="BN105" s="7" t="e">
        <f t="shared" si="50"/>
        <v>#VALUE!</v>
      </c>
      <c r="BO105" s="28"/>
      <c r="BP105" s="7" t="e">
        <f t="shared" si="51"/>
        <v>#VALUE!</v>
      </c>
      <c r="BQ105" s="28"/>
      <c r="BR105" s="7"/>
      <c r="BS105" s="7" t="e">
        <f t="shared" si="52"/>
        <v>#VALUE!</v>
      </c>
      <c r="BT105" s="28"/>
      <c r="BU105" s="7"/>
      <c r="BV105" s="7" t="e">
        <f ca="1">[1]!tメーカー名(BU105)</f>
        <v>#NAME?</v>
      </c>
      <c r="BW105" s="7" t="e">
        <f t="shared" si="53"/>
        <v>#VALUE!</v>
      </c>
      <c r="BX105" s="28"/>
      <c r="BY105" s="7" t="e">
        <f t="shared" si="54"/>
        <v>#VALUE!</v>
      </c>
      <c r="BZ105" s="28"/>
      <c r="CA105" s="54"/>
      <c r="CB105" s="54"/>
      <c r="CC105" s="7" t="e">
        <f t="shared" si="55"/>
        <v>#VALUE!</v>
      </c>
      <c r="CD105" s="28"/>
      <c r="CE105" s="7" t="e">
        <f t="shared" si="56"/>
        <v>#VALUE!</v>
      </c>
      <c r="CF105" s="28"/>
      <c r="CG105" s="7" t="e">
        <f t="shared" si="57"/>
        <v>#VALUE!</v>
      </c>
      <c r="CH105" s="28"/>
      <c r="CI105" s="7" t="e">
        <f t="shared" si="58"/>
        <v>#VALUE!</v>
      </c>
      <c r="CJ105" s="28"/>
      <c r="CK105" s="7"/>
      <c r="CL105" s="7"/>
      <c r="CM105" s="7"/>
      <c r="CN105" s="7"/>
      <c r="CO105" s="7"/>
      <c r="CP105" s="7"/>
      <c r="CQ105" s="7"/>
      <c r="CR105" s="7"/>
      <c r="CS105" s="126">
        <f t="shared" si="37"/>
        <v>0</v>
      </c>
      <c r="CT105" s="7"/>
      <c r="CU105" s="7"/>
    </row>
    <row r="106" spans="1:99">
      <c r="A106" s="7">
        <v>94</v>
      </c>
      <c r="B106" s="7"/>
      <c r="C106" s="7" t="e">
        <f t="shared" si="59"/>
        <v>#VALUE!</v>
      </c>
      <c r="D106" s="28"/>
      <c r="E106" s="7">
        <f t="shared" si="32"/>
        <v>0</v>
      </c>
      <c r="F106" s="6"/>
      <c r="G106" s="7">
        <f t="shared" si="33"/>
        <v>0</v>
      </c>
      <c r="H106" s="7"/>
      <c r="I106" s="7">
        <f t="shared" si="34"/>
        <v>0</v>
      </c>
      <c r="J106" s="7"/>
      <c r="K106" s="7">
        <f t="shared" si="35"/>
        <v>0</v>
      </c>
      <c r="L106" s="7"/>
      <c r="M106" s="7">
        <f t="shared" si="36"/>
        <v>0</v>
      </c>
      <c r="N106" s="7"/>
      <c r="O106" s="7"/>
      <c r="P106" s="7"/>
      <c r="Q106" s="53"/>
      <c r="R106" s="7"/>
      <c r="S106" s="7"/>
      <c r="T106" s="53"/>
      <c r="U106" s="7"/>
      <c r="V106" s="7" t="e">
        <f t="shared" si="60"/>
        <v>#VALUE!</v>
      </c>
      <c r="W106" s="28"/>
      <c r="X106" s="7" t="e">
        <f t="shared" si="60"/>
        <v>#VALUE!</v>
      </c>
      <c r="Y106" s="28"/>
      <c r="Z106" s="7" t="e">
        <f t="shared" si="39"/>
        <v>#VALUE!</v>
      </c>
      <c r="AA106" s="28"/>
      <c r="AB106" s="7"/>
      <c r="AC106" s="7"/>
      <c r="AD106" s="7"/>
      <c r="AE106" s="7"/>
      <c r="AF106" s="7">
        <v>0</v>
      </c>
      <c r="AG106" s="7" t="e">
        <f t="shared" si="40"/>
        <v>#VALUE!</v>
      </c>
      <c r="AH106" s="28"/>
      <c r="AI106" s="7"/>
      <c r="AJ106" s="7" t="e">
        <f t="shared" si="41"/>
        <v>#VALUE!</v>
      </c>
      <c r="AK106" s="28"/>
      <c r="AL106" s="7" t="e">
        <f t="shared" si="42"/>
        <v>#VALUE!</v>
      </c>
      <c r="AM106" s="28"/>
      <c r="AN106" s="7" t="e">
        <f t="shared" si="43"/>
        <v>#VALUE!</v>
      </c>
      <c r="AO106" s="28"/>
      <c r="AP106" s="7">
        <f t="shared" si="44"/>
        <v>2</v>
      </c>
      <c r="AQ106" s="28" t="s">
        <v>2301</v>
      </c>
      <c r="AR106" s="7"/>
      <c r="AS106" s="7"/>
      <c r="AT106" s="7"/>
      <c r="AU106" s="7"/>
      <c r="AV106" s="7" t="e">
        <f t="shared" si="45"/>
        <v>#VALUE!</v>
      </c>
      <c r="AW106" s="28"/>
      <c r="AX106" s="7">
        <v>0</v>
      </c>
      <c r="AY106" s="7" t="e">
        <f t="shared" si="46"/>
        <v>#VALUE!</v>
      </c>
      <c r="AZ106" s="28"/>
      <c r="BA106" s="7">
        <v>0</v>
      </c>
      <c r="BB106" s="7">
        <v>10</v>
      </c>
      <c r="BC106" s="7">
        <v>0</v>
      </c>
      <c r="BD106" s="7">
        <v>10</v>
      </c>
      <c r="BE106" s="7"/>
      <c r="BF106" s="7" t="e">
        <f t="shared" si="47"/>
        <v>#VALUE!</v>
      </c>
      <c r="BG106" s="28"/>
      <c r="BH106" s="7" t="e">
        <f t="shared" si="48"/>
        <v>#VALUE!</v>
      </c>
      <c r="BI106" s="28"/>
      <c r="BJ106" s="7" t="e">
        <f t="shared" si="49"/>
        <v>#VALUE!</v>
      </c>
      <c r="BK106" s="28"/>
      <c r="BL106" s="7"/>
      <c r="BM106" s="7"/>
      <c r="BN106" s="7" t="e">
        <f t="shared" si="50"/>
        <v>#VALUE!</v>
      </c>
      <c r="BO106" s="28"/>
      <c r="BP106" s="7" t="e">
        <f t="shared" si="51"/>
        <v>#VALUE!</v>
      </c>
      <c r="BQ106" s="28"/>
      <c r="BR106" s="7"/>
      <c r="BS106" s="7" t="e">
        <f t="shared" si="52"/>
        <v>#VALUE!</v>
      </c>
      <c r="BT106" s="28"/>
      <c r="BU106" s="7"/>
      <c r="BV106" s="7" t="e">
        <f ca="1">[1]!tメーカー名(BU106)</f>
        <v>#NAME?</v>
      </c>
      <c r="BW106" s="7" t="e">
        <f t="shared" si="53"/>
        <v>#VALUE!</v>
      </c>
      <c r="BX106" s="28"/>
      <c r="BY106" s="7" t="e">
        <f t="shared" si="54"/>
        <v>#VALUE!</v>
      </c>
      <c r="BZ106" s="28"/>
      <c r="CA106" s="54"/>
      <c r="CB106" s="54"/>
      <c r="CC106" s="7" t="e">
        <f t="shared" si="55"/>
        <v>#VALUE!</v>
      </c>
      <c r="CD106" s="28"/>
      <c r="CE106" s="7" t="e">
        <f t="shared" si="56"/>
        <v>#VALUE!</v>
      </c>
      <c r="CF106" s="28"/>
      <c r="CG106" s="7" t="e">
        <f t="shared" si="57"/>
        <v>#VALUE!</v>
      </c>
      <c r="CH106" s="28"/>
      <c r="CI106" s="7" t="e">
        <f t="shared" si="58"/>
        <v>#VALUE!</v>
      </c>
      <c r="CJ106" s="28"/>
      <c r="CK106" s="7"/>
      <c r="CL106" s="7"/>
      <c r="CM106" s="7"/>
      <c r="CN106" s="7"/>
      <c r="CO106" s="7"/>
      <c r="CP106" s="7"/>
      <c r="CQ106" s="7"/>
      <c r="CR106" s="7"/>
      <c r="CS106" s="126">
        <f t="shared" si="37"/>
        <v>0</v>
      </c>
      <c r="CT106" s="7"/>
      <c r="CU106" s="7"/>
    </row>
    <row r="107" spans="1:99">
      <c r="A107" s="7">
        <v>95</v>
      </c>
      <c r="B107" s="7"/>
      <c r="C107" s="7" t="e">
        <f t="shared" si="59"/>
        <v>#VALUE!</v>
      </c>
      <c r="D107" s="28"/>
      <c r="E107" s="7">
        <f t="shared" si="32"/>
        <v>0</v>
      </c>
      <c r="F107" s="6"/>
      <c r="G107" s="7">
        <f t="shared" si="33"/>
        <v>0</v>
      </c>
      <c r="H107" s="7"/>
      <c r="I107" s="7">
        <f t="shared" si="34"/>
        <v>0</v>
      </c>
      <c r="J107" s="7"/>
      <c r="K107" s="7">
        <f t="shared" si="35"/>
        <v>0</v>
      </c>
      <c r="L107" s="7"/>
      <c r="M107" s="7">
        <f t="shared" si="36"/>
        <v>0</v>
      </c>
      <c r="N107" s="7"/>
      <c r="O107" s="7"/>
      <c r="P107" s="7"/>
      <c r="Q107" s="53"/>
      <c r="R107" s="7"/>
      <c r="S107" s="7"/>
      <c r="T107" s="53"/>
      <c r="U107" s="7"/>
      <c r="V107" s="7" t="e">
        <f t="shared" si="60"/>
        <v>#VALUE!</v>
      </c>
      <c r="W107" s="28"/>
      <c r="X107" s="7" t="e">
        <f t="shared" si="60"/>
        <v>#VALUE!</v>
      </c>
      <c r="Y107" s="28"/>
      <c r="Z107" s="7" t="e">
        <f t="shared" si="39"/>
        <v>#VALUE!</v>
      </c>
      <c r="AA107" s="28"/>
      <c r="AB107" s="7"/>
      <c r="AC107" s="7"/>
      <c r="AD107" s="7"/>
      <c r="AE107" s="7"/>
      <c r="AF107" s="7">
        <v>0</v>
      </c>
      <c r="AG107" s="7" t="e">
        <f t="shared" si="40"/>
        <v>#VALUE!</v>
      </c>
      <c r="AH107" s="28"/>
      <c r="AI107" s="7"/>
      <c r="AJ107" s="7" t="e">
        <f t="shared" si="41"/>
        <v>#VALUE!</v>
      </c>
      <c r="AK107" s="28"/>
      <c r="AL107" s="7" t="e">
        <f t="shared" si="42"/>
        <v>#VALUE!</v>
      </c>
      <c r="AM107" s="28"/>
      <c r="AN107" s="7" t="e">
        <f t="shared" si="43"/>
        <v>#VALUE!</v>
      </c>
      <c r="AO107" s="28"/>
      <c r="AP107" s="7">
        <f t="shared" si="44"/>
        <v>2</v>
      </c>
      <c r="AQ107" s="28" t="s">
        <v>2301</v>
      </c>
      <c r="AR107" s="7"/>
      <c r="AS107" s="7"/>
      <c r="AT107" s="7"/>
      <c r="AU107" s="7"/>
      <c r="AV107" s="7" t="e">
        <f t="shared" si="45"/>
        <v>#VALUE!</v>
      </c>
      <c r="AW107" s="28"/>
      <c r="AX107" s="7">
        <v>0</v>
      </c>
      <c r="AY107" s="7" t="e">
        <f t="shared" si="46"/>
        <v>#VALUE!</v>
      </c>
      <c r="AZ107" s="28"/>
      <c r="BA107" s="7">
        <v>0</v>
      </c>
      <c r="BB107" s="7">
        <v>10</v>
      </c>
      <c r="BC107" s="7">
        <v>0</v>
      </c>
      <c r="BD107" s="7">
        <v>10</v>
      </c>
      <c r="BE107" s="7"/>
      <c r="BF107" s="7" t="e">
        <f t="shared" si="47"/>
        <v>#VALUE!</v>
      </c>
      <c r="BG107" s="28"/>
      <c r="BH107" s="7" t="e">
        <f t="shared" si="48"/>
        <v>#VALUE!</v>
      </c>
      <c r="BI107" s="28"/>
      <c r="BJ107" s="7" t="e">
        <f t="shared" si="49"/>
        <v>#VALUE!</v>
      </c>
      <c r="BK107" s="28"/>
      <c r="BL107" s="7"/>
      <c r="BM107" s="7"/>
      <c r="BN107" s="7" t="e">
        <f t="shared" si="50"/>
        <v>#VALUE!</v>
      </c>
      <c r="BO107" s="28"/>
      <c r="BP107" s="7" t="e">
        <f t="shared" si="51"/>
        <v>#VALUE!</v>
      </c>
      <c r="BQ107" s="28"/>
      <c r="BR107" s="7"/>
      <c r="BS107" s="7" t="e">
        <f t="shared" si="52"/>
        <v>#VALUE!</v>
      </c>
      <c r="BT107" s="28"/>
      <c r="BU107" s="7"/>
      <c r="BV107" s="7" t="e">
        <f ca="1">[1]!tメーカー名(BU107)</f>
        <v>#NAME?</v>
      </c>
      <c r="BW107" s="7" t="e">
        <f t="shared" si="53"/>
        <v>#VALUE!</v>
      </c>
      <c r="BX107" s="28"/>
      <c r="BY107" s="7" t="e">
        <f t="shared" si="54"/>
        <v>#VALUE!</v>
      </c>
      <c r="BZ107" s="28"/>
      <c r="CA107" s="54"/>
      <c r="CB107" s="54"/>
      <c r="CC107" s="7" t="e">
        <f t="shared" si="55"/>
        <v>#VALUE!</v>
      </c>
      <c r="CD107" s="28"/>
      <c r="CE107" s="7" t="e">
        <f t="shared" si="56"/>
        <v>#VALUE!</v>
      </c>
      <c r="CF107" s="28"/>
      <c r="CG107" s="7" t="e">
        <f t="shared" si="57"/>
        <v>#VALUE!</v>
      </c>
      <c r="CH107" s="28"/>
      <c r="CI107" s="7" t="e">
        <f t="shared" si="58"/>
        <v>#VALUE!</v>
      </c>
      <c r="CJ107" s="28"/>
      <c r="CK107" s="7"/>
      <c r="CL107" s="7"/>
      <c r="CM107" s="7"/>
      <c r="CN107" s="7"/>
      <c r="CO107" s="7"/>
      <c r="CP107" s="7"/>
      <c r="CQ107" s="7"/>
      <c r="CR107" s="7"/>
      <c r="CS107" s="126">
        <f t="shared" si="37"/>
        <v>0</v>
      </c>
      <c r="CT107" s="7"/>
      <c r="CU107" s="7"/>
    </row>
    <row r="108" spans="1:99">
      <c r="A108" s="7">
        <v>96</v>
      </c>
      <c r="B108" s="7"/>
      <c r="C108" s="7" t="e">
        <f t="shared" si="59"/>
        <v>#VALUE!</v>
      </c>
      <c r="D108" s="28"/>
      <c r="E108" s="7">
        <f t="shared" si="32"/>
        <v>0</v>
      </c>
      <c r="F108" s="6"/>
      <c r="G108" s="7">
        <f t="shared" si="33"/>
        <v>0</v>
      </c>
      <c r="H108" s="7"/>
      <c r="I108" s="7">
        <f t="shared" si="34"/>
        <v>0</v>
      </c>
      <c r="J108" s="7"/>
      <c r="K108" s="7">
        <f t="shared" si="35"/>
        <v>0</v>
      </c>
      <c r="L108" s="7"/>
      <c r="M108" s="7">
        <f t="shared" si="36"/>
        <v>0</v>
      </c>
      <c r="N108" s="7"/>
      <c r="O108" s="7"/>
      <c r="P108" s="7"/>
      <c r="Q108" s="53"/>
      <c r="R108" s="7"/>
      <c r="S108" s="7"/>
      <c r="T108" s="53"/>
      <c r="U108" s="7"/>
      <c r="V108" s="7" t="e">
        <f t="shared" si="60"/>
        <v>#VALUE!</v>
      </c>
      <c r="W108" s="28"/>
      <c r="X108" s="7" t="e">
        <f t="shared" si="60"/>
        <v>#VALUE!</v>
      </c>
      <c r="Y108" s="28"/>
      <c r="Z108" s="7" t="e">
        <f t="shared" si="39"/>
        <v>#VALUE!</v>
      </c>
      <c r="AA108" s="28"/>
      <c r="AB108" s="7"/>
      <c r="AC108" s="7"/>
      <c r="AD108" s="7"/>
      <c r="AE108" s="7"/>
      <c r="AF108" s="7">
        <v>0</v>
      </c>
      <c r="AG108" s="7" t="e">
        <f t="shared" si="40"/>
        <v>#VALUE!</v>
      </c>
      <c r="AH108" s="28"/>
      <c r="AI108" s="7"/>
      <c r="AJ108" s="7" t="e">
        <f t="shared" si="41"/>
        <v>#VALUE!</v>
      </c>
      <c r="AK108" s="28"/>
      <c r="AL108" s="7" t="e">
        <f t="shared" si="42"/>
        <v>#VALUE!</v>
      </c>
      <c r="AM108" s="28"/>
      <c r="AN108" s="7" t="e">
        <f t="shared" si="43"/>
        <v>#VALUE!</v>
      </c>
      <c r="AO108" s="28"/>
      <c r="AP108" s="7">
        <f t="shared" si="44"/>
        <v>2</v>
      </c>
      <c r="AQ108" s="28" t="s">
        <v>2301</v>
      </c>
      <c r="AR108" s="7"/>
      <c r="AS108" s="7"/>
      <c r="AT108" s="7"/>
      <c r="AU108" s="7"/>
      <c r="AV108" s="7" t="e">
        <f t="shared" si="45"/>
        <v>#VALUE!</v>
      </c>
      <c r="AW108" s="28"/>
      <c r="AX108" s="7">
        <v>0</v>
      </c>
      <c r="AY108" s="7" t="e">
        <f t="shared" si="46"/>
        <v>#VALUE!</v>
      </c>
      <c r="AZ108" s="28"/>
      <c r="BA108" s="7">
        <v>0</v>
      </c>
      <c r="BB108" s="7">
        <v>10</v>
      </c>
      <c r="BC108" s="7">
        <v>0</v>
      </c>
      <c r="BD108" s="7">
        <v>10</v>
      </c>
      <c r="BE108" s="7"/>
      <c r="BF108" s="7" t="e">
        <f t="shared" si="47"/>
        <v>#VALUE!</v>
      </c>
      <c r="BG108" s="28"/>
      <c r="BH108" s="7" t="e">
        <f t="shared" si="48"/>
        <v>#VALUE!</v>
      </c>
      <c r="BI108" s="28"/>
      <c r="BJ108" s="7" t="e">
        <f t="shared" si="49"/>
        <v>#VALUE!</v>
      </c>
      <c r="BK108" s="28"/>
      <c r="BL108" s="7"/>
      <c r="BM108" s="7"/>
      <c r="BN108" s="7" t="e">
        <f t="shared" si="50"/>
        <v>#VALUE!</v>
      </c>
      <c r="BO108" s="28"/>
      <c r="BP108" s="7" t="e">
        <f t="shared" si="51"/>
        <v>#VALUE!</v>
      </c>
      <c r="BQ108" s="28"/>
      <c r="BR108" s="7"/>
      <c r="BS108" s="7" t="e">
        <f t="shared" si="52"/>
        <v>#VALUE!</v>
      </c>
      <c r="BT108" s="28"/>
      <c r="BU108" s="7"/>
      <c r="BV108" s="7" t="e">
        <f ca="1">[1]!tメーカー名(BU108)</f>
        <v>#NAME?</v>
      </c>
      <c r="BW108" s="7" t="e">
        <f t="shared" si="53"/>
        <v>#VALUE!</v>
      </c>
      <c r="BX108" s="28"/>
      <c r="BY108" s="7" t="e">
        <f t="shared" si="54"/>
        <v>#VALUE!</v>
      </c>
      <c r="BZ108" s="28"/>
      <c r="CA108" s="54"/>
      <c r="CB108" s="54"/>
      <c r="CC108" s="7" t="e">
        <f t="shared" si="55"/>
        <v>#VALUE!</v>
      </c>
      <c r="CD108" s="28"/>
      <c r="CE108" s="7" t="e">
        <f t="shared" si="56"/>
        <v>#VALUE!</v>
      </c>
      <c r="CF108" s="28"/>
      <c r="CG108" s="7" t="e">
        <f t="shared" si="57"/>
        <v>#VALUE!</v>
      </c>
      <c r="CH108" s="28"/>
      <c r="CI108" s="7" t="e">
        <f t="shared" si="58"/>
        <v>#VALUE!</v>
      </c>
      <c r="CJ108" s="28"/>
      <c r="CK108" s="7"/>
      <c r="CL108" s="7"/>
      <c r="CM108" s="7"/>
      <c r="CN108" s="7"/>
      <c r="CO108" s="7"/>
      <c r="CP108" s="7"/>
      <c r="CQ108" s="7"/>
      <c r="CR108" s="7"/>
      <c r="CS108" s="126">
        <f t="shared" si="37"/>
        <v>0</v>
      </c>
      <c r="CT108" s="7"/>
      <c r="CU108" s="7"/>
    </row>
    <row r="109" spans="1:99">
      <c r="A109" s="7">
        <v>97</v>
      </c>
      <c r="B109" s="7"/>
      <c r="C109" s="7" t="e">
        <f t="shared" si="59"/>
        <v>#VALUE!</v>
      </c>
      <c r="D109" s="28"/>
      <c r="E109" s="7">
        <f t="shared" si="32"/>
        <v>0</v>
      </c>
      <c r="F109" s="6"/>
      <c r="G109" s="7">
        <f t="shared" si="33"/>
        <v>0</v>
      </c>
      <c r="H109" s="7"/>
      <c r="I109" s="7">
        <f t="shared" si="34"/>
        <v>0</v>
      </c>
      <c r="J109" s="7"/>
      <c r="K109" s="7">
        <f t="shared" si="35"/>
        <v>0</v>
      </c>
      <c r="L109" s="7"/>
      <c r="M109" s="7">
        <f t="shared" si="36"/>
        <v>0</v>
      </c>
      <c r="N109" s="7"/>
      <c r="O109" s="7"/>
      <c r="P109" s="7"/>
      <c r="Q109" s="53"/>
      <c r="R109" s="7"/>
      <c r="S109" s="7"/>
      <c r="T109" s="53"/>
      <c r="U109" s="7"/>
      <c r="V109" s="7" t="e">
        <f t="shared" si="60"/>
        <v>#VALUE!</v>
      </c>
      <c r="W109" s="28"/>
      <c r="X109" s="7" t="e">
        <f t="shared" si="60"/>
        <v>#VALUE!</v>
      </c>
      <c r="Y109" s="28"/>
      <c r="Z109" s="7" t="e">
        <f t="shared" si="39"/>
        <v>#VALUE!</v>
      </c>
      <c r="AA109" s="28"/>
      <c r="AB109" s="7"/>
      <c r="AC109" s="7"/>
      <c r="AD109" s="7"/>
      <c r="AE109" s="7"/>
      <c r="AF109" s="7">
        <v>0</v>
      </c>
      <c r="AG109" s="7" t="e">
        <f t="shared" si="40"/>
        <v>#VALUE!</v>
      </c>
      <c r="AH109" s="28"/>
      <c r="AI109" s="7"/>
      <c r="AJ109" s="7" t="e">
        <f t="shared" si="41"/>
        <v>#VALUE!</v>
      </c>
      <c r="AK109" s="28"/>
      <c r="AL109" s="7" t="e">
        <f t="shared" si="42"/>
        <v>#VALUE!</v>
      </c>
      <c r="AM109" s="28"/>
      <c r="AN109" s="7" t="e">
        <f t="shared" si="43"/>
        <v>#VALUE!</v>
      </c>
      <c r="AO109" s="28"/>
      <c r="AP109" s="7">
        <f t="shared" si="44"/>
        <v>2</v>
      </c>
      <c r="AQ109" s="28" t="s">
        <v>2301</v>
      </c>
      <c r="AR109" s="7"/>
      <c r="AS109" s="7"/>
      <c r="AT109" s="7"/>
      <c r="AU109" s="7"/>
      <c r="AV109" s="7" t="e">
        <f t="shared" si="45"/>
        <v>#VALUE!</v>
      </c>
      <c r="AW109" s="28"/>
      <c r="AX109" s="7">
        <v>0</v>
      </c>
      <c r="AY109" s="7" t="e">
        <f t="shared" si="46"/>
        <v>#VALUE!</v>
      </c>
      <c r="AZ109" s="28"/>
      <c r="BA109" s="7">
        <v>0</v>
      </c>
      <c r="BB109" s="7">
        <v>10</v>
      </c>
      <c r="BC109" s="7">
        <v>0</v>
      </c>
      <c r="BD109" s="7">
        <v>10</v>
      </c>
      <c r="BE109" s="7"/>
      <c r="BF109" s="7" t="e">
        <f t="shared" si="47"/>
        <v>#VALUE!</v>
      </c>
      <c r="BG109" s="28"/>
      <c r="BH109" s="7" t="e">
        <f t="shared" si="48"/>
        <v>#VALUE!</v>
      </c>
      <c r="BI109" s="28"/>
      <c r="BJ109" s="7" t="e">
        <f t="shared" si="49"/>
        <v>#VALUE!</v>
      </c>
      <c r="BK109" s="28"/>
      <c r="BL109" s="7"/>
      <c r="BM109" s="7"/>
      <c r="BN109" s="7" t="e">
        <f t="shared" si="50"/>
        <v>#VALUE!</v>
      </c>
      <c r="BO109" s="28"/>
      <c r="BP109" s="7" t="e">
        <f t="shared" si="51"/>
        <v>#VALUE!</v>
      </c>
      <c r="BQ109" s="28"/>
      <c r="BR109" s="7"/>
      <c r="BS109" s="7" t="e">
        <f t="shared" si="52"/>
        <v>#VALUE!</v>
      </c>
      <c r="BT109" s="28"/>
      <c r="BU109" s="7"/>
      <c r="BV109" s="7" t="e">
        <f ca="1">[1]!tメーカー名(BU109)</f>
        <v>#NAME?</v>
      </c>
      <c r="BW109" s="7" t="e">
        <f t="shared" si="53"/>
        <v>#VALUE!</v>
      </c>
      <c r="BX109" s="28"/>
      <c r="BY109" s="7" t="e">
        <f t="shared" si="54"/>
        <v>#VALUE!</v>
      </c>
      <c r="BZ109" s="28"/>
      <c r="CA109" s="54"/>
      <c r="CB109" s="54"/>
      <c r="CC109" s="7" t="e">
        <f t="shared" si="55"/>
        <v>#VALUE!</v>
      </c>
      <c r="CD109" s="28"/>
      <c r="CE109" s="7" t="e">
        <f t="shared" si="56"/>
        <v>#VALUE!</v>
      </c>
      <c r="CF109" s="28"/>
      <c r="CG109" s="7" t="e">
        <f t="shared" si="57"/>
        <v>#VALUE!</v>
      </c>
      <c r="CH109" s="28"/>
      <c r="CI109" s="7" t="e">
        <f t="shared" si="58"/>
        <v>#VALUE!</v>
      </c>
      <c r="CJ109" s="28"/>
      <c r="CK109" s="7"/>
      <c r="CL109" s="7"/>
      <c r="CM109" s="7"/>
      <c r="CN109" s="7"/>
      <c r="CO109" s="7"/>
      <c r="CP109" s="7"/>
      <c r="CQ109" s="7"/>
      <c r="CR109" s="7"/>
      <c r="CS109" s="126">
        <f t="shared" si="37"/>
        <v>0</v>
      </c>
      <c r="CT109" s="7"/>
      <c r="CU109" s="7"/>
    </row>
    <row r="110" spans="1:99">
      <c r="A110" s="7">
        <v>98</v>
      </c>
      <c r="B110" s="7"/>
      <c r="C110" s="7" t="e">
        <f t="shared" si="59"/>
        <v>#VALUE!</v>
      </c>
      <c r="D110" s="28"/>
      <c r="E110" s="7">
        <f t="shared" si="32"/>
        <v>0</v>
      </c>
      <c r="F110" s="6"/>
      <c r="G110" s="7">
        <f t="shared" si="33"/>
        <v>0</v>
      </c>
      <c r="H110" s="7"/>
      <c r="I110" s="7">
        <f t="shared" si="34"/>
        <v>0</v>
      </c>
      <c r="J110" s="7"/>
      <c r="K110" s="7">
        <f t="shared" si="35"/>
        <v>0</v>
      </c>
      <c r="L110" s="7"/>
      <c r="M110" s="7">
        <f t="shared" si="36"/>
        <v>0</v>
      </c>
      <c r="N110" s="7"/>
      <c r="O110" s="7"/>
      <c r="P110" s="7"/>
      <c r="Q110" s="53"/>
      <c r="R110" s="7"/>
      <c r="S110" s="7"/>
      <c r="T110" s="53"/>
      <c r="U110" s="7"/>
      <c r="V110" s="7" t="e">
        <f t="shared" ref="V110:X112" si="61">ABS(LEFT(W110,2))</f>
        <v>#VALUE!</v>
      </c>
      <c r="W110" s="28"/>
      <c r="X110" s="7" t="e">
        <f t="shared" si="61"/>
        <v>#VALUE!</v>
      </c>
      <c r="Y110" s="28"/>
      <c r="Z110" s="7" t="e">
        <f t="shared" si="39"/>
        <v>#VALUE!</v>
      </c>
      <c r="AA110" s="28"/>
      <c r="AB110" s="7"/>
      <c r="AC110" s="7"/>
      <c r="AD110" s="7"/>
      <c r="AE110" s="7"/>
      <c r="AF110" s="7">
        <v>0</v>
      </c>
      <c r="AG110" s="7" t="e">
        <f t="shared" si="40"/>
        <v>#VALUE!</v>
      </c>
      <c r="AH110" s="28"/>
      <c r="AI110" s="7"/>
      <c r="AJ110" s="7" t="e">
        <f t="shared" si="41"/>
        <v>#VALUE!</v>
      </c>
      <c r="AK110" s="28"/>
      <c r="AL110" s="7" t="e">
        <f t="shared" si="42"/>
        <v>#VALUE!</v>
      </c>
      <c r="AM110" s="28"/>
      <c r="AN110" s="7" t="e">
        <f t="shared" si="43"/>
        <v>#VALUE!</v>
      </c>
      <c r="AO110" s="28"/>
      <c r="AP110" s="7">
        <f t="shared" si="44"/>
        <v>2</v>
      </c>
      <c r="AQ110" s="28" t="s">
        <v>2301</v>
      </c>
      <c r="AR110" s="7"/>
      <c r="AS110" s="7"/>
      <c r="AT110" s="7"/>
      <c r="AU110" s="7"/>
      <c r="AV110" s="7" t="e">
        <f t="shared" si="45"/>
        <v>#VALUE!</v>
      </c>
      <c r="AW110" s="28"/>
      <c r="AX110" s="7">
        <v>0</v>
      </c>
      <c r="AY110" s="7" t="e">
        <f t="shared" si="46"/>
        <v>#VALUE!</v>
      </c>
      <c r="AZ110" s="28"/>
      <c r="BA110" s="7">
        <v>0</v>
      </c>
      <c r="BB110" s="7">
        <v>10</v>
      </c>
      <c r="BC110" s="7">
        <v>0</v>
      </c>
      <c r="BD110" s="7">
        <v>10</v>
      </c>
      <c r="BE110" s="7"/>
      <c r="BF110" s="7" t="e">
        <f t="shared" si="47"/>
        <v>#VALUE!</v>
      </c>
      <c r="BG110" s="28"/>
      <c r="BH110" s="7" t="e">
        <f t="shared" si="48"/>
        <v>#VALUE!</v>
      </c>
      <c r="BI110" s="28"/>
      <c r="BJ110" s="7" t="e">
        <f t="shared" si="49"/>
        <v>#VALUE!</v>
      </c>
      <c r="BK110" s="28"/>
      <c r="BL110" s="7"/>
      <c r="BM110" s="7"/>
      <c r="BN110" s="7" t="e">
        <f t="shared" si="50"/>
        <v>#VALUE!</v>
      </c>
      <c r="BO110" s="28"/>
      <c r="BP110" s="7" t="e">
        <f t="shared" si="51"/>
        <v>#VALUE!</v>
      </c>
      <c r="BQ110" s="28"/>
      <c r="BR110" s="7"/>
      <c r="BS110" s="7" t="e">
        <f t="shared" si="52"/>
        <v>#VALUE!</v>
      </c>
      <c r="BT110" s="28"/>
      <c r="BU110" s="7"/>
      <c r="BV110" s="7" t="e">
        <f ca="1">[1]!tメーカー名(BU110)</f>
        <v>#NAME?</v>
      </c>
      <c r="BW110" s="7" t="e">
        <f t="shared" si="53"/>
        <v>#VALUE!</v>
      </c>
      <c r="BX110" s="28"/>
      <c r="BY110" s="7" t="e">
        <f t="shared" si="54"/>
        <v>#VALUE!</v>
      </c>
      <c r="BZ110" s="28"/>
      <c r="CA110" s="54"/>
      <c r="CB110" s="54"/>
      <c r="CC110" s="7" t="e">
        <f t="shared" si="55"/>
        <v>#VALUE!</v>
      </c>
      <c r="CD110" s="28"/>
      <c r="CE110" s="7" t="e">
        <f t="shared" si="56"/>
        <v>#VALUE!</v>
      </c>
      <c r="CF110" s="28"/>
      <c r="CG110" s="7" t="e">
        <f t="shared" si="57"/>
        <v>#VALUE!</v>
      </c>
      <c r="CH110" s="28"/>
      <c r="CI110" s="7" t="e">
        <f t="shared" si="58"/>
        <v>#VALUE!</v>
      </c>
      <c r="CJ110" s="28"/>
      <c r="CK110" s="7"/>
      <c r="CL110" s="7"/>
      <c r="CM110" s="7"/>
      <c r="CN110" s="7"/>
      <c r="CO110" s="7"/>
      <c r="CP110" s="7"/>
      <c r="CQ110" s="7"/>
      <c r="CR110" s="7"/>
      <c r="CS110" s="126">
        <f t="shared" si="37"/>
        <v>0</v>
      </c>
      <c r="CT110" s="7"/>
      <c r="CU110" s="7"/>
    </row>
    <row r="111" spans="1:99">
      <c r="A111" s="7">
        <v>99</v>
      </c>
      <c r="B111" s="7"/>
      <c r="C111" s="7" t="e">
        <f t="shared" si="59"/>
        <v>#VALUE!</v>
      </c>
      <c r="D111" s="28"/>
      <c r="E111" s="7">
        <f t="shared" si="32"/>
        <v>0</v>
      </c>
      <c r="F111" s="6"/>
      <c r="G111" s="7">
        <f t="shared" si="33"/>
        <v>0</v>
      </c>
      <c r="H111" s="7"/>
      <c r="I111" s="7">
        <f t="shared" si="34"/>
        <v>0</v>
      </c>
      <c r="J111" s="7"/>
      <c r="K111" s="7">
        <f t="shared" si="35"/>
        <v>0</v>
      </c>
      <c r="L111" s="7"/>
      <c r="M111" s="7">
        <f t="shared" si="36"/>
        <v>0</v>
      </c>
      <c r="N111" s="7"/>
      <c r="O111" s="7"/>
      <c r="P111" s="7"/>
      <c r="Q111" s="53"/>
      <c r="R111" s="7"/>
      <c r="S111" s="7"/>
      <c r="T111" s="53"/>
      <c r="U111" s="7"/>
      <c r="V111" s="7" t="e">
        <f t="shared" si="61"/>
        <v>#VALUE!</v>
      </c>
      <c r="W111" s="28"/>
      <c r="X111" s="7" t="e">
        <f t="shared" si="61"/>
        <v>#VALUE!</v>
      </c>
      <c r="Y111" s="28"/>
      <c r="Z111" s="7" t="e">
        <f t="shared" si="39"/>
        <v>#VALUE!</v>
      </c>
      <c r="AA111" s="28"/>
      <c r="AB111" s="7"/>
      <c r="AC111" s="7"/>
      <c r="AD111" s="7"/>
      <c r="AE111" s="7"/>
      <c r="AF111" s="7">
        <v>0</v>
      </c>
      <c r="AG111" s="7" t="e">
        <f t="shared" si="40"/>
        <v>#VALUE!</v>
      </c>
      <c r="AH111" s="28"/>
      <c r="AI111" s="7"/>
      <c r="AJ111" s="7" t="e">
        <f t="shared" si="41"/>
        <v>#VALUE!</v>
      </c>
      <c r="AK111" s="28"/>
      <c r="AL111" s="7" t="e">
        <f t="shared" si="42"/>
        <v>#VALUE!</v>
      </c>
      <c r="AM111" s="28"/>
      <c r="AN111" s="7" t="e">
        <f t="shared" si="43"/>
        <v>#VALUE!</v>
      </c>
      <c r="AO111" s="28"/>
      <c r="AP111" s="7">
        <f t="shared" si="44"/>
        <v>2</v>
      </c>
      <c r="AQ111" s="28" t="s">
        <v>2301</v>
      </c>
      <c r="AR111" s="7"/>
      <c r="AS111" s="7"/>
      <c r="AT111" s="7"/>
      <c r="AU111" s="7"/>
      <c r="AV111" s="7" t="e">
        <f t="shared" si="45"/>
        <v>#VALUE!</v>
      </c>
      <c r="AW111" s="28"/>
      <c r="AX111" s="7">
        <v>0</v>
      </c>
      <c r="AY111" s="7" t="e">
        <f t="shared" si="46"/>
        <v>#VALUE!</v>
      </c>
      <c r="AZ111" s="28"/>
      <c r="BA111" s="7">
        <v>0</v>
      </c>
      <c r="BB111" s="7">
        <v>10</v>
      </c>
      <c r="BC111" s="7">
        <v>0</v>
      </c>
      <c r="BD111" s="7">
        <v>10</v>
      </c>
      <c r="BE111" s="7"/>
      <c r="BF111" s="7" t="e">
        <f t="shared" si="47"/>
        <v>#VALUE!</v>
      </c>
      <c r="BG111" s="28"/>
      <c r="BH111" s="7" t="e">
        <f t="shared" si="48"/>
        <v>#VALUE!</v>
      </c>
      <c r="BI111" s="28"/>
      <c r="BJ111" s="7" t="e">
        <f t="shared" si="49"/>
        <v>#VALUE!</v>
      </c>
      <c r="BK111" s="28"/>
      <c r="BL111" s="7"/>
      <c r="BM111" s="7"/>
      <c r="BN111" s="7" t="e">
        <f t="shared" si="50"/>
        <v>#VALUE!</v>
      </c>
      <c r="BO111" s="28"/>
      <c r="BP111" s="7" t="e">
        <f t="shared" si="51"/>
        <v>#VALUE!</v>
      </c>
      <c r="BQ111" s="28"/>
      <c r="BR111" s="7"/>
      <c r="BS111" s="7" t="e">
        <f t="shared" si="52"/>
        <v>#VALUE!</v>
      </c>
      <c r="BT111" s="28"/>
      <c r="BU111" s="7"/>
      <c r="BV111" s="7" t="e">
        <f ca="1">[1]!tメーカー名(BU111)</f>
        <v>#NAME?</v>
      </c>
      <c r="BW111" s="7" t="e">
        <f t="shared" si="53"/>
        <v>#VALUE!</v>
      </c>
      <c r="BX111" s="28"/>
      <c r="BY111" s="7" t="e">
        <f t="shared" si="54"/>
        <v>#VALUE!</v>
      </c>
      <c r="BZ111" s="28"/>
      <c r="CA111" s="54"/>
      <c r="CB111" s="54"/>
      <c r="CC111" s="7" t="e">
        <f t="shared" si="55"/>
        <v>#VALUE!</v>
      </c>
      <c r="CD111" s="28"/>
      <c r="CE111" s="7" t="e">
        <f t="shared" si="56"/>
        <v>#VALUE!</v>
      </c>
      <c r="CF111" s="28"/>
      <c r="CG111" s="7" t="e">
        <f t="shared" si="57"/>
        <v>#VALUE!</v>
      </c>
      <c r="CH111" s="28"/>
      <c r="CI111" s="7" t="e">
        <f t="shared" si="58"/>
        <v>#VALUE!</v>
      </c>
      <c r="CJ111" s="28"/>
      <c r="CK111" s="7"/>
      <c r="CL111" s="7"/>
      <c r="CM111" s="7"/>
      <c r="CN111" s="7"/>
      <c r="CO111" s="7"/>
      <c r="CP111" s="7"/>
      <c r="CQ111" s="7"/>
      <c r="CR111" s="7"/>
      <c r="CS111" s="126">
        <f t="shared" si="37"/>
        <v>0</v>
      </c>
      <c r="CT111" s="7"/>
      <c r="CU111" s="7"/>
    </row>
    <row r="112" spans="1:99">
      <c r="A112" s="7">
        <v>100</v>
      </c>
      <c r="B112" s="7"/>
      <c r="C112" s="7" t="e">
        <f t="shared" si="59"/>
        <v>#VALUE!</v>
      </c>
      <c r="D112" s="28"/>
      <c r="E112" s="7">
        <f t="shared" si="32"/>
        <v>0</v>
      </c>
      <c r="F112" s="6"/>
      <c r="G112" s="7">
        <f t="shared" si="33"/>
        <v>0</v>
      </c>
      <c r="H112" s="7"/>
      <c r="I112" s="7">
        <f t="shared" si="34"/>
        <v>0</v>
      </c>
      <c r="J112" s="7"/>
      <c r="K112" s="7">
        <f t="shared" si="35"/>
        <v>0</v>
      </c>
      <c r="L112" s="7"/>
      <c r="M112" s="7">
        <f t="shared" si="36"/>
        <v>0</v>
      </c>
      <c r="N112" s="7"/>
      <c r="O112" s="7"/>
      <c r="P112" s="7"/>
      <c r="Q112" s="53"/>
      <c r="R112" s="7"/>
      <c r="S112" s="7"/>
      <c r="T112" s="53"/>
      <c r="U112" s="7"/>
      <c r="V112" s="7" t="e">
        <f t="shared" si="61"/>
        <v>#VALUE!</v>
      </c>
      <c r="W112" s="28"/>
      <c r="X112" s="7" t="e">
        <f t="shared" si="61"/>
        <v>#VALUE!</v>
      </c>
      <c r="Y112" s="28"/>
      <c r="Z112" s="7" t="e">
        <f t="shared" si="39"/>
        <v>#VALUE!</v>
      </c>
      <c r="AA112" s="28"/>
      <c r="AB112" s="7"/>
      <c r="AC112" s="7"/>
      <c r="AD112" s="7"/>
      <c r="AE112" s="7"/>
      <c r="AF112" s="7">
        <v>0</v>
      </c>
      <c r="AG112" s="7" t="e">
        <f t="shared" si="40"/>
        <v>#VALUE!</v>
      </c>
      <c r="AH112" s="28"/>
      <c r="AI112" s="7"/>
      <c r="AJ112" s="7" t="e">
        <f t="shared" si="41"/>
        <v>#VALUE!</v>
      </c>
      <c r="AK112" s="28"/>
      <c r="AL112" s="7" t="e">
        <f t="shared" si="42"/>
        <v>#VALUE!</v>
      </c>
      <c r="AM112" s="28"/>
      <c r="AN112" s="7" t="e">
        <f t="shared" si="43"/>
        <v>#VALUE!</v>
      </c>
      <c r="AO112" s="28"/>
      <c r="AP112" s="7">
        <f t="shared" si="44"/>
        <v>2</v>
      </c>
      <c r="AQ112" s="28" t="s">
        <v>2301</v>
      </c>
      <c r="AR112" s="7"/>
      <c r="AS112" s="7"/>
      <c r="AT112" s="7"/>
      <c r="AU112" s="7"/>
      <c r="AV112" s="7" t="e">
        <f t="shared" si="45"/>
        <v>#VALUE!</v>
      </c>
      <c r="AW112" s="28"/>
      <c r="AX112" s="7">
        <v>0</v>
      </c>
      <c r="AY112" s="7" t="e">
        <f t="shared" si="46"/>
        <v>#VALUE!</v>
      </c>
      <c r="AZ112" s="28"/>
      <c r="BA112" s="7">
        <v>0</v>
      </c>
      <c r="BB112" s="7">
        <v>10</v>
      </c>
      <c r="BC112" s="7">
        <v>0</v>
      </c>
      <c r="BD112" s="7">
        <v>10</v>
      </c>
      <c r="BE112" s="7"/>
      <c r="BF112" s="7" t="e">
        <f t="shared" si="47"/>
        <v>#VALUE!</v>
      </c>
      <c r="BG112" s="28"/>
      <c r="BH112" s="7" t="e">
        <f t="shared" si="48"/>
        <v>#VALUE!</v>
      </c>
      <c r="BI112" s="28"/>
      <c r="BJ112" s="7" t="e">
        <f t="shared" si="49"/>
        <v>#VALUE!</v>
      </c>
      <c r="BK112" s="28"/>
      <c r="BL112" s="7"/>
      <c r="BM112" s="7"/>
      <c r="BN112" s="7" t="e">
        <f t="shared" si="50"/>
        <v>#VALUE!</v>
      </c>
      <c r="BO112" s="28"/>
      <c r="BP112" s="7" t="e">
        <f t="shared" si="51"/>
        <v>#VALUE!</v>
      </c>
      <c r="BQ112" s="28"/>
      <c r="BR112" s="7"/>
      <c r="BS112" s="7" t="e">
        <f t="shared" si="52"/>
        <v>#VALUE!</v>
      </c>
      <c r="BT112" s="28"/>
      <c r="BU112" s="7"/>
      <c r="BV112" s="7" t="e">
        <f ca="1">[1]!tメーカー名(BU112)</f>
        <v>#NAME?</v>
      </c>
      <c r="BW112" s="7" t="e">
        <f t="shared" si="53"/>
        <v>#VALUE!</v>
      </c>
      <c r="BX112" s="28"/>
      <c r="BY112" s="7" t="e">
        <f t="shared" si="54"/>
        <v>#VALUE!</v>
      </c>
      <c r="BZ112" s="28"/>
      <c r="CA112" s="54"/>
      <c r="CB112" s="54"/>
      <c r="CC112" s="7" t="e">
        <f t="shared" si="55"/>
        <v>#VALUE!</v>
      </c>
      <c r="CD112" s="28"/>
      <c r="CE112" s="7" t="e">
        <f t="shared" si="56"/>
        <v>#VALUE!</v>
      </c>
      <c r="CF112" s="28"/>
      <c r="CG112" s="7" t="e">
        <f t="shared" si="57"/>
        <v>#VALUE!</v>
      </c>
      <c r="CH112" s="28"/>
      <c r="CI112" s="7" t="e">
        <f t="shared" si="58"/>
        <v>#VALUE!</v>
      </c>
      <c r="CJ112" s="28"/>
      <c r="CK112" s="7"/>
      <c r="CL112" s="7"/>
      <c r="CM112" s="7"/>
      <c r="CN112" s="7"/>
      <c r="CO112" s="7"/>
      <c r="CP112" s="7"/>
      <c r="CQ112" s="7"/>
      <c r="CR112" s="7"/>
      <c r="CS112" s="126">
        <f t="shared" si="37"/>
        <v>0</v>
      </c>
      <c r="CT112" s="7"/>
      <c r="CU112" s="7"/>
    </row>
  </sheetData>
  <autoFilter ref="A12:DP112" xr:uid="{00000000-0009-0000-0000-000003000000}"/>
  <customSheetViews>
    <customSheetView guid="{4A49014B-6EB8-41BC-821C-AA758C89CB00}" scale="80" showPageBreaks="1" showAutoFilter="1" state="hidden"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DP112" xr:uid="{0FEB2B5E-3D84-4045-830D-5DFDDF85C99C}"/>
    </customSheetView>
  </customSheetViews>
  <phoneticPr fontId="3"/>
  <conditionalFormatting sqref="A10">
    <cfRule type="expression" dxfId="36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35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34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33" priority="3" stopIfTrue="1">
      <formula>"51＜"</formula>
    </cfRule>
    <cfRule type="expression" priority="4" stopIfTrue="1">
      <formula>"51＜"</formula>
    </cfRule>
  </conditionalFormatting>
  <conditionalFormatting sqref="G9:G10 G12:G65349">
    <cfRule type="expression" dxfId="32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31" priority="11" stopIfTrue="1">
      <formula>"51＜"</formula>
    </cfRule>
    <cfRule type="expression" priority="12" stopIfTrue="1">
      <formula>"51＜"</formula>
    </cfRule>
  </conditionalFormatting>
  <conditionalFormatting sqref="I12:I65349">
    <cfRule type="expression" dxfId="30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29" priority="9" stopIfTrue="1">
      <formula>"51＜"</formula>
    </cfRule>
    <cfRule type="expression" priority="10" stopIfTrue="1">
      <formula>"51＜"</formula>
    </cfRule>
  </conditionalFormatting>
  <conditionalFormatting sqref="K12:K65349 M12:M65349">
    <cfRule type="expression" dxfId="28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27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26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25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24" priority="15" stopIfTrue="1">
      <formula>"51＜"</formula>
    </cfRule>
    <cfRule type="expression" priority="16" stopIfTrue="1">
      <formula>"51＜"</formula>
    </cfRule>
  </conditionalFormatting>
  <dataValidations count="5">
    <dataValidation type="custom" allowBlank="1" showInputMessage="1" showErrorMessage="1" sqref="J18" xr:uid="{00000000-0002-0000-0300-000000000000}">
      <formula1>LENB(J18)&lt;=52</formula1>
    </dataValidation>
    <dataValidation type="list" allowBlank="1" showInputMessage="1" showErrorMessage="1" sqref="CH13:CH112" xr:uid="{00000000-0002-0000-0300-000001000000}">
      <formula1>予備区分3</formula1>
    </dataValidation>
    <dataValidation type="list" allowBlank="1" showInputMessage="1" showErrorMessage="1" sqref="BI13:BI112" xr:uid="{00000000-0002-0000-0300-000002000000}">
      <formula1>酒税分類</formula1>
    </dataValidation>
    <dataValidation type="list" allowBlank="1" showInputMessage="1" showErrorMessage="1" sqref="BK13:BK112" xr:uid="{00000000-0002-0000-0300-000003000000}">
      <formula1>国産輸入</formula1>
    </dataValidation>
    <dataValidation type="list" allowBlank="1" showInputMessage="1" showErrorMessage="1" sqref="BT13:BT112" xr:uid="{00000000-0002-0000-0300-000004000000}">
      <formula1>飲み口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32" r:id="rId5" name="Check Box 48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6" name="Check Box 49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300-000005000000}">
          <x14:formula1>
            <xm:f>MT商品ﾏｽﾀ参照シート!$BH$2:$BH$12</xm:f>
          </x14:formula1>
          <xm:sqref>CJ13:CJ112</xm:sqref>
        </x14:dataValidation>
        <x14:dataValidation type="list" allowBlank="1" showInputMessage="1" showErrorMessage="1" xr:uid="{00000000-0002-0000-0300-000006000000}">
          <x14:formula1>
            <xm:f>MT商品ﾏｽﾀ参照シート!$BF$2:$BF$12</xm:f>
          </x14:formula1>
          <xm:sqref>CF13:CF112</xm:sqref>
        </x14:dataValidation>
        <x14:dataValidation type="list" allowBlank="1" showInputMessage="1" showErrorMessage="1" xr:uid="{00000000-0002-0000-0300-000007000000}">
          <x14:formula1>
            <xm:f>MT商品ﾏｽﾀ参照シート!$BD$2:$BD$12</xm:f>
          </x14:formula1>
          <xm:sqref>CD13:CD112</xm:sqref>
        </x14:dataValidation>
        <x14:dataValidation type="list" allowBlank="1" showInputMessage="1" showErrorMessage="1" xr:uid="{00000000-0002-0000-0300-000008000000}">
          <x14:formula1>
            <xm:f>MT商品ﾏｽﾀ参照シート!$BB$2:$BB$3</xm:f>
          </x14:formula1>
          <xm:sqref>AS13:AS112</xm:sqref>
        </x14:dataValidation>
        <x14:dataValidation type="list" allowBlank="1" showInputMessage="1" showErrorMessage="1" xr:uid="{00000000-0002-0000-0300-000009000000}">
          <x14:formula1>
            <xm:f>MT商品ﾏｽﾀ参照シート!$AD$2:$AD$54</xm:f>
          </x14:formula1>
          <xm:sqref>BO13:BO112</xm:sqref>
        </x14:dataValidation>
        <x14:dataValidation type="list" allowBlank="1" showInputMessage="1" showErrorMessage="1" xr:uid="{00000000-0002-0000-0300-00000A000000}">
          <x14:formula1>
            <xm:f>MT商品ﾏｽﾀ参照シート!$X$2:$X$18</xm:f>
          </x14:formula1>
          <xm:sqref>BG13:BG112</xm:sqref>
        </x14:dataValidation>
        <x14:dataValidation type="list" allowBlank="1" showInputMessage="1" showErrorMessage="1" xr:uid="{00000000-0002-0000-0300-00000B000000}">
          <x14:formula1>
            <xm:f>MT商品ﾏｽﾀ参照シート!$T$2:$T$111</xm:f>
          </x14:formula1>
          <xm:sqref>AZ13:AZ112</xm:sqref>
        </x14:dataValidation>
        <x14:dataValidation type="list" allowBlank="1" showInputMessage="1" showErrorMessage="1" xr:uid="{00000000-0002-0000-0300-00000C000000}">
          <x14:formula1>
            <xm:f>MT商品ﾏｽﾀ参照シート!$J$2:$J$8</xm:f>
          </x14:formula1>
          <xm:sqref>AK13:AK112</xm:sqref>
        </x14:dataValidation>
        <x14:dataValidation type="list" allowBlank="1" showInputMessage="1" showErrorMessage="1" xr:uid="{00000000-0002-0000-0300-00000D000000}">
          <x14:formula1>
            <xm:f>MT商品ﾏｽﾀ参照シート!$B$2:$B$10</xm:f>
          </x14:formula1>
          <xm:sqref>D13:D39</xm:sqref>
        </x14:dataValidation>
        <x14:dataValidation type="list" allowBlank="1" showInputMessage="1" showErrorMessage="1" xr:uid="{00000000-0002-0000-0300-00000E000000}">
          <x14:formula1>
            <xm:f>MT商品ﾏｽﾀ参照シート!$D$2:$D$20</xm:f>
          </x14:formula1>
          <xm:sqref>W13:W112 Y13:Y112</xm:sqref>
        </x14:dataValidation>
        <x14:dataValidation type="list" allowBlank="1" showInputMessage="1" showErrorMessage="1" xr:uid="{00000000-0002-0000-0300-00000F000000}">
          <x14:formula1>
            <xm:f>MT商品ﾏｽﾀ参照シート!$F$2:$F$6</xm:f>
          </x14:formula1>
          <xm:sqref>AA13:AA112</xm:sqref>
        </x14:dataValidation>
        <x14:dataValidation type="list" allowBlank="1" showInputMessage="1" showErrorMessage="1" xr:uid="{00000000-0002-0000-0300-000010000000}">
          <x14:formula1>
            <xm:f>MT商品ﾏｽﾀ参照シート!$H$2:$H$6</xm:f>
          </x14:formula1>
          <xm:sqref>AH13:AH112</xm:sqref>
        </x14:dataValidation>
        <x14:dataValidation type="list" allowBlank="1" showInputMessage="1" showErrorMessage="1" xr:uid="{00000000-0002-0000-0300-000011000000}">
          <x14:formula1>
            <xm:f>MT商品ﾏｽﾀ参照シート!$L$2:$L$11</xm:f>
          </x14:formula1>
          <xm:sqref>AM13:AM112</xm:sqref>
        </x14:dataValidation>
        <x14:dataValidation type="list" allowBlank="1" showInputMessage="1" showErrorMessage="1" xr:uid="{00000000-0002-0000-0300-000012000000}">
          <x14:formula1>
            <xm:f>MT商品ﾏｽﾀ参照シート!$N$2:$N$11</xm:f>
          </x14:formula1>
          <xm:sqref>AO13:AO112</xm:sqref>
        </x14:dataValidation>
        <x14:dataValidation type="list" allowBlank="1" showInputMessage="1" showErrorMessage="1" xr:uid="{00000000-0002-0000-0300-000013000000}">
          <x14:formula1>
            <xm:f>MT商品ﾏｽﾀ参照シート!$P$2:$P$7</xm:f>
          </x14:formula1>
          <xm:sqref>AQ13:AQ112</xm:sqref>
        </x14:dataValidation>
        <x14:dataValidation type="list" allowBlank="1" showInputMessage="1" showErrorMessage="1" xr:uid="{00000000-0002-0000-0300-000014000000}">
          <x14:formula1>
            <xm:f>MT商品ﾏｽﾀ参照シート!$AJ$2:$AJ$11</xm:f>
          </x14:formula1>
          <xm:sqref>BX13:BX112</xm:sqref>
        </x14:dataValidation>
        <x14:dataValidation type="list" allowBlank="1" showInputMessage="1" showErrorMessage="1" xr:uid="{00000000-0002-0000-0300-000015000000}">
          <x14:formula1>
            <xm:f>MT商品ﾏｽﾀ参照シート!$AL$3:$AL$11</xm:f>
          </x14:formula1>
          <xm:sqref>BZ13:BZ33</xm:sqref>
        </x14:dataValidation>
        <x14:dataValidation type="list" allowBlank="1" showInputMessage="1" showErrorMessage="1" xr:uid="{00000000-0002-0000-0300-000016000000}">
          <x14:formula1>
            <xm:f>MT商品ﾏｽﾀ参照シート!$AL$2:$AL$11</xm:f>
          </x14:formula1>
          <xm:sqref>BZ34:BZ112</xm:sqref>
        </x14:dataValidation>
        <x14:dataValidation type="list" allowBlank="1" showInputMessage="1" showErrorMessage="1" xr:uid="{00000000-0002-0000-0300-000017000000}">
          <x14:formula1>
            <xm:f>MT商品ﾏｽﾀ参照シート!$R$70:$R$230</xm:f>
          </x14:formula1>
          <xm:sqref>AW13:AW112</xm:sqref>
        </x14:dataValidation>
        <x14:dataValidation type="list" allowBlank="1" showInputMessage="1" showErrorMessage="1" xr:uid="{00000000-0002-0000-0300-000018000000}">
          <x14:formula1>
            <xm:f>MT商品ﾏｽﾀ参照シート!$AF$2:$AF$89</xm:f>
          </x14:formula1>
          <xm:sqref>BQ13:BQ112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N139"/>
  <sheetViews>
    <sheetView zoomScale="85" zoomScaleNormal="85" workbookViewId="0">
      <selection activeCell="F19" sqref="F19"/>
    </sheetView>
  </sheetViews>
  <sheetFormatPr defaultColWidth="9" defaultRowHeight="13.2"/>
  <cols>
    <col min="1" max="1" width="6.6640625" style="2" customWidth="1"/>
    <col min="2" max="2" width="10.6640625" style="5" customWidth="1"/>
    <col min="3" max="4" width="6.6640625" style="5" customWidth="1"/>
    <col min="5" max="5" width="5.6640625" style="2" customWidth="1"/>
    <col min="6" max="6" width="50.6640625" style="2" customWidth="1"/>
    <col min="7" max="7" width="5.6640625" style="3" customWidth="1"/>
    <col min="8" max="8" width="50.6640625" style="2" customWidth="1"/>
    <col min="9" max="9" width="5.6640625" style="3" customWidth="1"/>
    <col min="10" max="10" width="50.6640625" style="2" customWidth="1"/>
    <col min="11" max="11" width="5.6640625" style="3" customWidth="1"/>
    <col min="12" max="12" width="25.6640625" style="2" customWidth="1"/>
    <col min="13" max="13" width="5.6640625" style="3" customWidth="1"/>
    <col min="14" max="14" width="25.6640625" style="2" customWidth="1"/>
    <col min="15" max="15" width="6.6640625" style="2" customWidth="1"/>
    <col min="16" max="16" width="10.109375" style="2" customWidth="1"/>
    <col min="17" max="27" width="6.6640625" style="2" customWidth="1"/>
    <col min="28" max="28" width="10.6640625" style="2" customWidth="1"/>
    <col min="29" max="29" width="6.6640625" style="2" customWidth="1"/>
    <col min="30" max="31" width="10.6640625" style="2" customWidth="1"/>
    <col min="32" max="47" width="6.6640625" style="2" customWidth="1"/>
    <col min="48" max="48" width="12.44140625" style="5" customWidth="1"/>
    <col min="49" max="49" width="21.77734375" style="5" bestFit="1" customWidth="1"/>
    <col min="50" max="50" width="5.6640625" style="2" customWidth="1"/>
    <col min="51" max="51" width="8.88671875" style="45" customWidth="1"/>
    <col min="52" max="52" width="16.77734375" style="5" customWidth="1"/>
    <col min="53" max="56" width="5.6640625" style="2" customWidth="1"/>
    <col min="57" max="57" width="10.6640625" style="2" customWidth="1"/>
    <col min="58" max="58" width="8.44140625" style="2" customWidth="1"/>
    <col min="59" max="59" width="10.6640625" style="2" customWidth="1"/>
    <col min="60" max="61" width="5.6640625" style="2" customWidth="1"/>
    <col min="62" max="63" width="11.21875" style="2" customWidth="1"/>
    <col min="64" max="64" width="8.6640625" style="2" customWidth="1"/>
    <col min="65" max="65" width="14.33203125" style="2" bestFit="1" customWidth="1"/>
    <col min="66" max="66" width="8.6640625" style="2" customWidth="1"/>
    <col min="67" max="67" width="22.33203125" style="2" bestFit="1" customWidth="1"/>
    <col min="68" max="68" width="5.6640625" style="2" customWidth="1"/>
    <col min="69" max="69" width="8.6640625" style="2" customWidth="1"/>
    <col min="70" max="70" width="22.109375" style="2" customWidth="1"/>
    <col min="71" max="71" width="5.6640625" style="2" customWidth="1"/>
    <col min="72" max="72" width="10.6640625" style="2" customWidth="1"/>
    <col min="73" max="73" width="5.6640625" style="2" customWidth="1"/>
    <col min="74" max="74" width="10.6640625" style="2" customWidth="1"/>
    <col min="75" max="76" width="15" style="2" customWidth="1"/>
    <col min="77" max="77" width="5.6640625" style="2" customWidth="1"/>
    <col min="78" max="78" width="9.109375" style="2" customWidth="1"/>
    <col min="79" max="79" width="5.6640625" style="2" customWidth="1"/>
    <col min="80" max="80" width="9.109375" style="2" customWidth="1"/>
    <col min="81" max="81" width="5.6640625" style="2" customWidth="1"/>
    <col min="82" max="82" width="12.6640625" style="2" customWidth="1"/>
    <col min="83" max="87" width="5.6640625" style="2" customWidth="1"/>
    <col min="88" max="88" width="10.6640625" style="2" customWidth="1"/>
    <col min="89" max="90" width="5.6640625" style="2" customWidth="1"/>
    <col min="91" max="91" width="20.44140625" style="2" bestFit="1" customWidth="1"/>
    <col min="92" max="92" width="16.109375" style="2" customWidth="1"/>
    <col min="93" max="16384" width="9" style="2"/>
  </cols>
  <sheetData>
    <row r="1" spans="1:92" s="16" customFormat="1">
      <c r="A1" s="2" t="s">
        <v>3402</v>
      </c>
      <c r="B1" s="19"/>
      <c r="C1" s="19"/>
      <c r="D1" s="5"/>
      <c r="E1" s="2"/>
      <c r="F1" s="2" t="s">
        <v>3400</v>
      </c>
      <c r="G1" s="3"/>
      <c r="H1" s="2" t="s">
        <v>3401</v>
      </c>
      <c r="I1" s="3"/>
      <c r="J1" s="2"/>
      <c r="K1" s="3"/>
      <c r="L1" s="2"/>
      <c r="M1" s="3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5"/>
      <c r="AW1" s="5"/>
      <c r="AX1" s="2"/>
      <c r="AY1" s="45"/>
      <c r="AZ1" s="5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</row>
    <row r="2" spans="1:92">
      <c r="A2" s="2" t="s">
        <v>3407</v>
      </c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"/>
      <c r="AW2" s="1"/>
      <c r="AX2" s="16"/>
      <c r="AY2" s="43"/>
      <c r="AZ2" s="1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</row>
    <row r="3" spans="1:92" s="16" customFormat="1">
      <c r="A3" s="2" t="s">
        <v>3406</v>
      </c>
      <c r="B3" s="5"/>
      <c r="C3" s="5"/>
      <c r="D3" s="5"/>
      <c r="E3" s="2"/>
      <c r="F3" s="2"/>
      <c r="G3" s="3"/>
      <c r="H3" s="2"/>
      <c r="I3" s="3"/>
      <c r="J3" s="2"/>
      <c r="K3" s="3"/>
      <c r="L3" s="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V3" s="1"/>
      <c r="AW3" s="1"/>
      <c r="AY3" s="43"/>
      <c r="AZ3" s="1"/>
    </row>
    <row r="4" spans="1:92" s="16" customFormat="1">
      <c r="A4" s="2" t="s">
        <v>3404</v>
      </c>
      <c r="B4" s="5"/>
      <c r="C4" s="5"/>
      <c r="D4" s="5"/>
      <c r="E4" s="2"/>
      <c r="F4" s="2"/>
      <c r="G4" s="3"/>
      <c r="H4" s="2"/>
      <c r="I4" s="3"/>
      <c r="J4" s="2"/>
      <c r="K4" s="3"/>
      <c r="L4" s="2"/>
      <c r="P4" s="32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V4" s="1"/>
      <c r="AW4" s="1"/>
      <c r="AY4" s="43"/>
      <c r="AZ4" s="1"/>
    </row>
    <row r="5" spans="1:92">
      <c r="A5" s="2" t="s">
        <v>3405</v>
      </c>
      <c r="B5" s="2"/>
      <c r="C5" s="135"/>
      <c r="D5" s="129"/>
      <c r="G5" s="130"/>
      <c r="M5" s="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1:92">
      <c r="A6" s="2" t="s">
        <v>3408</v>
      </c>
      <c r="B6" s="135"/>
      <c r="C6" s="135"/>
      <c r="D6" s="129"/>
      <c r="G6" s="130"/>
      <c r="M6" s="2"/>
      <c r="P6" s="33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</row>
    <row r="7" spans="1:9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  <c r="U7" s="2" t="s">
        <v>472</v>
      </c>
      <c r="V7" s="2" t="s">
        <v>472</v>
      </c>
      <c r="W7" s="2" t="s">
        <v>472</v>
      </c>
      <c r="X7" s="2" t="s">
        <v>472</v>
      </c>
      <c r="Y7" s="2" t="s">
        <v>472</v>
      </c>
      <c r="Z7" s="2" t="s">
        <v>472</v>
      </c>
      <c r="AA7" s="2" t="s">
        <v>472</v>
      </c>
      <c r="AB7" s="2" t="s">
        <v>472</v>
      </c>
      <c r="AC7" s="2" t="s">
        <v>472</v>
      </c>
      <c r="AD7" s="2" t="s">
        <v>472</v>
      </c>
      <c r="AE7" s="2" t="s">
        <v>472</v>
      </c>
      <c r="AF7" s="2" t="s">
        <v>472</v>
      </c>
      <c r="AG7" s="2" t="s">
        <v>472</v>
      </c>
      <c r="AH7" s="2" t="s">
        <v>472</v>
      </c>
      <c r="AI7" s="2" t="s">
        <v>472</v>
      </c>
      <c r="AJ7" s="2" t="s">
        <v>472</v>
      </c>
      <c r="AK7" s="2" t="s">
        <v>472</v>
      </c>
      <c r="AL7" s="2" t="s">
        <v>472</v>
      </c>
      <c r="AM7" s="2" t="s">
        <v>472</v>
      </c>
      <c r="AN7" s="2" t="s">
        <v>472</v>
      </c>
      <c r="AO7" s="2" t="s">
        <v>472</v>
      </c>
      <c r="AP7" s="2" t="s">
        <v>472</v>
      </c>
      <c r="AQ7" s="2" t="s">
        <v>472</v>
      </c>
      <c r="AR7" s="2" t="s">
        <v>472</v>
      </c>
      <c r="AS7" s="2" t="s">
        <v>472</v>
      </c>
      <c r="AT7" s="2" t="s">
        <v>472</v>
      </c>
      <c r="AU7" s="2" t="s">
        <v>472</v>
      </c>
      <c r="AV7" s="2" t="s">
        <v>472</v>
      </c>
      <c r="AW7" s="2" t="s">
        <v>472</v>
      </c>
      <c r="AX7" s="2" t="s">
        <v>472</v>
      </c>
      <c r="AY7" s="44" t="s">
        <v>472</v>
      </c>
      <c r="AZ7" s="2" t="s">
        <v>472</v>
      </c>
      <c r="BA7" s="2" t="s">
        <v>472</v>
      </c>
      <c r="BB7" s="2" t="s">
        <v>472</v>
      </c>
      <c r="BC7" s="2" t="s">
        <v>472</v>
      </c>
      <c r="BD7" s="2" t="s">
        <v>472</v>
      </c>
      <c r="BE7" s="2" t="s">
        <v>472</v>
      </c>
      <c r="BF7" s="2" t="s">
        <v>472</v>
      </c>
      <c r="BG7" s="2" t="s">
        <v>472</v>
      </c>
      <c r="BH7" s="2" t="s">
        <v>472</v>
      </c>
      <c r="BJ7" s="2" t="s">
        <v>472</v>
      </c>
      <c r="BK7" s="2" t="s">
        <v>472</v>
      </c>
      <c r="BL7" s="2" t="s">
        <v>472</v>
      </c>
      <c r="BM7" s="2" t="s">
        <v>472</v>
      </c>
      <c r="BN7" s="2" t="s">
        <v>472</v>
      </c>
      <c r="BO7" s="2" t="s">
        <v>472</v>
      </c>
      <c r="BP7" s="2" t="s">
        <v>472</v>
      </c>
      <c r="BQ7" s="2" t="s">
        <v>472</v>
      </c>
      <c r="BR7" s="2" t="s">
        <v>472</v>
      </c>
      <c r="BS7" s="2" t="s">
        <v>472</v>
      </c>
      <c r="BT7" s="2" t="s">
        <v>472</v>
      </c>
      <c r="BU7" s="2" t="s">
        <v>472</v>
      </c>
      <c r="BV7" s="2" t="s">
        <v>472</v>
      </c>
      <c r="BW7" s="2" t="s">
        <v>472</v>
      </c>
      <c r="BX7" s="2" t="s">
        <v>472</v>
      </c>
      <c r="BY7" s="2" t="s">
        <v>472</v>
      </c>
      <c r="BZ7" s="2" t="s">
        <v>472</v>
      </c>
      <c r="CA7" s="2" t="s">
        <v>472</v>
      </c>
      <c r="CB7" s="2" t="s">
        <v>472</v>
      </c>
      <c r="CC7" s="2" t="s">
        <v>472</v>
      </c>
      <c r="CD7" s="2" t="s">
        <v>472</v>
      </c>
      <c r="CE7" s="2" t="s">
        <v>472</v>
      </c>
      <c r="CF7" s="2" t="s">
        <v>472</v>
      </c>
      <c r="CG7" s="2" t="s">
        <v>472</v>
      </c>
      <c r="CH7" s="2" t="s">
        <v>472</v>
      </c>
      <c r="CI7" s="2" t="s">
        <v>472</v>
      </c>
      <c r="CJ7" s="2" t="s">
        <v>472</v>
      </c>
      <c r="CK7" s="2" t="s">
        <v>472</v>
      </c>
      <c r="CL7" s="2" t="s">
        <v>472</v>
      </c>
      <c r="CM7" s="2" t="s">
        <v>472</v>
      </c>
      <c r="CN7" s="2" t="s">
        <v>472</v>
      </c>
    </row>
    <row r="8" spans="1:92">
      <c r="A8" s="63"/>
      <c r="B8" s="2" t="s">
        <v>1999</v>
      </c>
      <c r="C8" s="2" t="s">
        <v>1999</v>
      </c>
      <c r="D8" s="63"/>
      <c r="E8" s="63"/>
      <c r="F8" s="63"/>
      <c r="G8" s="63"/>
      <c r="H8" s="2" t="s">
        <v>1999</v>
      </c>
      <c r="I8" s="63"/>
      <c r="J8" s="2" t="s">
        <v>1999</v>
      </c>
      <c r="K8" s="63"/>
      <c r="L8" s="2" t="s">
        <v>1999</v>
      </c>
      <c r="M8" s="63"/>
      <c r="N8" s="2" t="s">
        <v>1999</v>
      </c>
      <c r="O8" s="2" t="s">
        <v>1999</v>
      </c>
      <c r="P8" s="2" t="s">
        <v>1999</v>
      </c>
      <c r="Q8" s="63"/>
      <c r="R8" s="2" t="s">
        <v>1999</v>
      </c>
      <c r="S8" s="2" t="s">
        <v>1999</v>
      </c>
      <c r="T8" s="63"/>
      <c r="U8" s="2" t="s">
        <v>1999</v>
      </c>
      <c r="V8" s="2" t="s">
        <v>1999</v>
      </c>
      <c r="W8" s="63"/>
      <c r="X8" s="2" t="s">
        <v>1999</v>
      </c>
      <c r="Y8" s="63"/>
      <c r="Z8" s="2" t="s">
        <v>1999</v>
      </c>
      <c r="AA8" s="63"/>
      <c r="AB8" s="2" t="s">
        <v>1999</v>
      </c>
      <c r="AC8" s="2" t="s">
        <v>1999</v>
      </c>
      <c r="AD8" s="2" t="s">
        <v>1999</v>
      </c>
      <c r="AE8" s="2" t="s">
        <v>1999</v>
      </c>
      <c r="AF8" s="2" t="s">
        <v>1999</v>
      </c>
      <c r="AG8" s="2" t="s">
        <v>1999</v>
      </c>
      <c r="AH8" s="63"/>
      <c r="AI8" s="2" t="s">
        <v>1999</v>
      </c>
      <c r="AJ8" s="2" t="s">
        <v>1999</v>
      </c>
      <c r="AK8" s="63"/>
      <c r="AL8" s="2" t="s">
        <v>1999</v>
      </c>
      <c r="AM8" s="63"/>
      <c r="AN8" s="2" t="s">
        <v>1999</v>
      </c>
      <c r="AO8" s="63"/>
      <c r="AP8" s="2" t="s">
        <v>1999</v>
      </c>
      <c r="AQ8" s="63"/>
      <c r="AR8" s="2" t="s">
        <v>1999</v>
      </c>
      <c r="AS8" s="2" t="s">
        <v>1999</v>
      </c>
      <c r="AT8" s="63"/>
      <c r="AU8" s="63"/>
      <c r="AV8" s="2" t="s">
        <v>1999</v>
      </c>
      <c r="AW8" s="63"/>
      <c r="AX8" s="2" t="s">
        <v>1999</v>
      </c>
      <c r="AY8" s="2" t="s">
        <v>1999</v>
      </c>
      <c r="AZ8" s="63"/>
      <c r="BA8" s="2" t="s">
        <v>1999</v>
      </c>
      <c r="BB8" s="2" t="s">
        <v>1999</v>
      </c>
      <c r="BC8" s="2" t="s">
        <v>1999</v>
      </c>
      <c r="BD8" s="2" t="s">
        <v>1999</v>
      </c>
      <c r="BE8" s="2" t="s">
        <v>1999</v>
      </c>
      <c r="BF8" s="2" t="s">
        <v>1999</v>
      </c>
      <c r="BG8" s="63"/>
      <c r="BH8" s="2" t="s">
        <v>1999</v>
      </c>
      <c r="BI8" s="63"/>
      <c r="BJ8" s="2" t="s">
        <v>1999</v>
      </c>
      <c r="BK8" s="2" t="s">
        <v>1999</v>
      </c>
      <c r="BL8" s="2" t="s">
        <v>1999</v>
      </c>
      <c r="BM8" s="63"/>
      <c r="BN8" s="2" t="s">
        <v>1999</v>
      </c>
      <c r="BO8" s="63"/>
      <c r="BP8" s="2" t="s">
        <v>1999</v>
      </c>
      <c r="BQ8" s="2" t="s">
        <v>1999</v>
      </c>
      <c r="BR8" s="63"/>
      <c r="BS8" s="2" t="s">
        <v>1999</v>
      </c>
      <c r="BT8" s="63"/>
      <c r="BU8" s="2" t="s">
        <v>1999</v>
      </c>
      <c r="BV8" s="63"/>
      <c r="BW8" s="2" t="s">
        <v>1999</v>
      </c>
      <c r="BX8" s="2" t="s">
        <v>1999</v>
      </c>
      <c r="BY8" s="2" t="s">
        <v>1999</v>
      </c>
      <c r="BZ8" s="63"/>
      <c r="CA8" s="2" t="s">
        <v>1999</v>
      </c>
      <c r="CB8" s="63"/>
      <c r="CC8" s="63"/>
      <c r="CD8" s="2" t="s">
        <v>1999</v>
      </c>
      <c r="CE8" s="2" t="s">
        <v>1999</v>
      </c>
      <c r="CF8" s="63"/>
      <c r="CG8" s="2" t="s">
        <v>1999</v>
      </c>
      <c r="CH8" s="2" t="s">
        <v>1999</v>
      </c>
      <c r="CI8" s="63"/>
      <c r="CJ8" s="2" t="s">
        <v>1999</v>
      </c>
      <c r="CK8" s="2" t="s">
        <v>1999</v>
      </c>
      <c r="CL8" s="2" t="s">
        <v>1999</v>
      </c>
      <c r="CM8" s="2" t="s">
        <v>1999</v>
      </c>
      <c r="CN8" s="2" t="s">
        <v>1999</v>
      </c>
    </row>
    <row r="9" spans="1:92">
      <c r="H9" s="2" t="s">
        <v>1401</v>
      </c>
      <c r="I9" s="2"/>
      <c r="J9" s="2" t="s">
        <v>474</v>
      </c>
      <c r="K9" s="2"/>
      <c r="L9" s="2" t="s">
        <v>1400</v>
      </c>
      <c r="M9" s="2"/>
      <c r="N9" s="2" t="s">
        <v>475</v>
      </c>
      <c r="AV9" s="2"/>
      <c r="AW9" s="2"/>
      <c r="AY9" s="44"/>
      <c r="AZ9" s="2"/>
      <c r="BY9" s="2" t="s">
        <v>476</v>
      </c>
      <c r="CA9" s="2" t="s">
        <v>476</v>
      </c>
      <c r="CC9" s="2" t="s">
        <v>476</v>
      </c>
      <c r="CD9" s="2" t="s">
        <v>476</v>
      </c>
      <c r="CE9" s="2" t="s">
        <v>476</v>
      </c>
      <c r="CF9" s="2" t="s">
        <v>476</v>
      </c>
      <c r="CG9" s="2" t="s">
        <v>477</v>
      </c>
      <c r="CH9" s="2" t="s">
        <v>477</v>
      </c>
      <c r="CI9" s="2" t="s">
        <v>477</v>
      </c>
      <c r="CJ9" s="2" t="s">
        <v>477</v>
      </c>
      <c r="CK9" s="2" t="s">
        <v>477</v>
      </c>
      <c r="CL9" s="2" t="s">
        <v>477</v>
      </c>
      <c r="CM9" s="2" t="s">
        <v>477</v>
      </c>
    </row>
    <row r="10" spans="1:92" s="55" customFormat="1" ht="39.6">
      <c r="B10" s="55" t="s">
        <v>1893</v>
      </c>
      <c r="C10" s="55" t="s">
        <v>1893</v>
      </c>
      <c r="D10" s="55" t="s">
        <v>1900</v>
      </c>
      <c r="E10" s="55" t="s">
        <v>1894</v>
      </c>
      <c r="F10" s="55" t="s">
        <v>1894</v>
      </c>
      <c r="G10" s="55" t="s">
        <v>1894</v>
      </c>
      <c r="H10" s="55" t="s">
        <v>1893</v>
      </c>
      <c r="I10" s="55" t="s">
        <v>1894</v>
      </c>
      <c r="J10" s="55" t="s">
        <v>1893</v>
      </c>
      <c r="K10" s="55" t="s">
        <v>1894</v>
      </c>
      <c r="L10" s="55" t="s">
        <v>1893</v>
      </c>
      <c r="M10" s="55" t="s">
        <v>1894</v>
      </c>
      <c r="N10" s="55" t="s">
        <v>1893</v>
      </c>
      <c r="O10" s="55" t="s">
        <v>1893</v>
      </c>
      <c r="P10" s="55" t="s">
        <v>1893</v>
      </c>
      <c r="R10" s="55" t="s">
        <v>1893</v>
      </c>
      <c r="S10" s="55" t="s">
        <v>1893</v>
      </c>
      <c r="U10" s="55" t="s">
        <v>1893</v>
      </c>
      <c r="V10" s="55" t="s">
        <v>1893</v>
      </c>
      <c r="W10" s="55" t="s">
        <v>1900</v>
      </c>
      <c r="X10" s="55" t="s">
        <v>1893</v>
      </c>
      <c r="Y10" s="55" t="s">
        <v>1900</v>
      </c>
      <c r="Z10" s="55" t="s">
        <v>1895</v>
      </c>
      <c r="AA10" s="55" t="s">
        <v>1900</v>
      </c>
      <c r="AB10" s="55" t="s">
        <v>1893</v>
      </c>
      <c r="AC10" s="55" t="s">
        <v>1893</v>
      </c>
      <c r="AD10" s="55" t="s">
        <v>1893</v>
      </c>
      <c r="AE10" s="55" t="s">
        <v>1893</v>
      </c>
      <c r="AF10" s="55" t="s">
        <v>1895</v>
      </c>
      <c r="AG10" s="55" t="s">
        <v>1895</v>
      </c>
      <c r="AH10" s="55" t="s">
        <v>1893</v>
      </c>
      <c r="AI10" s="55" t="s">
        <v>1896</v>
      </c>
      <c r="AJ10" s="55" t="s">
        <v>1893</v>
      </c>
      <c r="AK10" s="55" t="s">
        <v>1900</v>
      </c>
      <c r="AL10" s="55" t="s">
        <v>1891</v>
      </c>
      <c r="AM10" s="55" t="s">
        <v>1900</v>
      </c>
      <c r="AN10" s="55" t="s">
        <v>1890</v>
      </c>
      <c r="AO10" s="55" t="s">
        <v>1900</v>
      </c>
      <c r="AP10" s="55" t="s">
        <v>1891</v>
      </c>
      <c r="AQ10" s="55" t="s">
        <v>1900</v>
      </c>
      <c r="AR10" s="55" t="s">
        <v>1893</v>
      </c>
      <c r="AS10" s="55" t="s">
        <v>1893</v>
      </c>
      <c r="AT10" s="55" t="s">
        <v>1893</v>
      </c>
      <c r="AU10" s="55" t="s">
        <v>1893</v>
      </c>
      <c r="AV10" s="55" t="s">
        <v>1893</v>
      </c>
      <c r="AW10" s="55" t="s">
        <v>1900</v>
      </c>
      <c r="AX10" s="55" t="s">
        <v>1898</v>
      </c>
      <c r="AY10" s="55" t="s">
        <v>1899</v>
      </c>
      <c r="AZ10" s="55" t="s">
        <v>1902</v>
      </c>
      <c r="BA10" s="55" t="s">
        <v>1904</v>
      </c>
      <c r="BB10" s="55" t="s">
        <v>1905</v>
      </c>
      <c r="BC10" s="55" t="s">
        <v>1897</v>
      </c>
      <c r="BD10" s="55" t="s">
        <v>1907</v>
      </c>
      <c r="BE10" s="55" t="s">
        <v>1899</v>
      </c>
      <c r="BF10" s="15" t="s">
        <v>1899</v>
      </c>
      <c r="BG10" s="55" t="s">
        <v>1902</v>
      </c>
      <c r="BH10" s="55" t="s">
        <v>1897</v>
      </c>
      <c r="BI10" s="55" t="s">
        <v>1902</v>
      </c>
      <c r="BJ10" s="55" t="s">
        <v>1908</v>
      </c>
      <c r="BK10" s="55" t="s">
        <v>1908</v>
      </c>
      <c r="BL10" s="55" t="s">
        <v>1899</v>
      </c>
      <c r="BM10" s="55" t="s">
        <v>1902</v>
      </c>
      <c r="BN10" s="55" t="s">
        <v>1899</v>
      </c>
      <c r="BO10" s="55" t="s">
        <v>1902</v>
      </c>
      <c r="BP10" s="55" t="s">
        <v>1899</v>
      </c>
      <c r="BQ10" s="55" t="s">
        <v>1909</v>
      </c>
      <c r="BR10" s="55" t="s">
        <v>1910</v>
      </c>
      <c r="BS10" s="55" t="s">
        <v>1909</v>
      </c>
      <c r="BT10" s="55" t="s">
        <v>1910</v>
      </c>
      <c r="BU10" s="55" t="s">
        <v>1909</v>
      </c>
      <c r="BV10" s="55" t="s">
        <v>1910</v>
      </c>
      <c r="BW10" s="55" t="s">
        <v>1911</v>
      </c>
      <c r="BX10" s="55" t="s">
        <v>1911</v>
      </c>
      <c r="BY10" s="55" t="s">
        <v>1912</v>
      </c>
      <c r="BZ10" s="55" t="s">
        <v>1912</v>
      </c>
      <c r="CA10" s="55" t="s">
        <v>1912</v>
      </c>
      <c r="CB10" s="55" t="s">
        <v>1912</v>
      </c>
      <c r="CC10" s="55" t="s">
        <v>1912</v>
      </c>
      <c r="CD10" s="55" t="s">
        <v>1912</v>
      </c>
      <c r="CE10" s="55" t="s">
        <v>1912</v>
      </c>
      <c r="CF10" s="55" t="s">
        <v>1912</v>
      </c>
      <c r="CG10" s="55" t="s">
        <v>1912</v>
      </c>
      <c r="CH10" s="55" t="s">
        <v>1912</v>
      </c>
      <c r="CI10" s="55" t="s">
        <v>1912</v>
      </c>
      <c r="CJ10" s="55" t="s">
        <v>1912</v>
      </c>
      <c r="CK10" s="55" t="s">
        <v>1912</v>
      </c>
      <c r="CL10" s="55" t="s">
        <v>1912</v>
      </c>
      <c r="CM10" s="55" t="s">
        <v>1912</v>
      </c>
      <c r="CN10" s="55" t="s">
        <v>1913</v>
      </c>
    </row>
    <row r="11" spans="1:92" s="15" customFormat="1">
      <c r="A11" s="35"/>
      <c r="B11" s="50" t="s">
        <v>1683</v>
      </c>
      <c r="C11" s="50"/>
      <c r="D11" s="50" t="s">
        <v>1683</v>
      </c>
      <c r="E11" s="35"/>
      <c r="F11" s="50" t="s">
        <v>1683</v>
      </c>
      <c r="G11" s="35"/>
      <c r="H11" s="50" t="s">
        <v>1683</v>
      </c>
      <c r="I11" s="35"/>
      <c r="J11" s="50" t="s">
        <v>1683</v>
      </c>
      <c r="K11" s="35"/>
      <c r="L11" s="50" t="s">
        <v>1683</v>
      </c>
      <c r="M11" s="35"/>
      <c r="N11" s="50" t="s">
        <v>1683</v>
      </c>
      <c r="O11" s="50" t="s">
        <v>1683</v>
      </c>
      <c r="P11" s="50" t="s">
        <v>1683</v>
      </c>
      <c r="Q11" s="51"/>
      <c r="R11" s="50" t="s">
        <v>1683</v>
      </c>
      <c r="S11" s="50" t="s">
        <v>1683</v>
      </c>
      <c r="T11" s="51"/>
      <c r="U11" s="50" t="s">
        <v>1683</v>
      </c>
      <c r="V11" s="50"/>
      <c r="W11" s="50" t="s">
        <v>1683</v>
      </c>
      <c r="X11" s="50"/>
      <c r="Y11" s="50" t="s">
        <v>1683</v>
      </c>
      <c r="Z11" s="50"/>
      <c r="AA11" s="50" t="s">
        <v>1683</v>
      </c>
      <c r="AB11" s="50" t="s">
        <v>1683</v>
      </c>
      <c r="AC11" s="50" t="s">
        <v>1683</v>
      </c>
      <c r="AD11" s="50" t="s">
        <v>1683</v>
      </c>
      <c r="AE11" s="50" t="s">
        <v>1683</v>
      </c>
      <c r="AF11" s="50" t="s">
        <v>1683</v>
      </c>
      <c r="AG11" s="50"/>
      <c r="AH11" s="50" t="s">
        <v>1683</v>
      </c>
      <c r="AI11" s="50" t="s">
        <v>1683</v>
      </c>
      <c r="AJ11" s="50"/>
      <c r="AK11" s="50" t="s">
        <v>1683</v>
      </c>
      <c r="AL11" s="50"/>
      <c r="AM11" s="50" t="s">
        <v>1683</v>
      </c>
      <c r="AN11" s="50"/>
      <c r="AO11" s="50" t="s">
        <v>1683</v>
      </c>
      <c r="AP11" s="50"/>
      <c r="AQ11" s="50" t="s">
        <v>1683</v>
      </c>
      <c r="AR11" s="50" t="s">
        <v>1683</v>
      </c>
      <c r="AS11" s="50" t="s">
        <v>1683</v>
      </c>
      <c r="AT11" s="35"/>
      <c r="AU11" s="35"/>
      <c r="AV11" s="50"/>
      <c r="AW11" s="50" t="s">
        <v>1683</v>
      </c>
      <c r="AX11" s="50" t="s">
        <v>1683</v>
      </c>
      <c r="AY11" s="50"/>
      <c r="AZ11" s="50" t="s">
        <v>1683</v>
      </c>
      <c r="BA11" s="50" t="s">
        <v>1683</v>
      </c>
      <c r="BB11" s="50" t="s">
        <v>1683</v>
      </c>
      <c r="BC11" s="50" t="s">
        <v>1683</v>
      </c>
      <c r="BD11" s="50" t="s">
        <v>1683</v>
      </c>
      <c r="BE11" s="50" t="s">
        <v>1683</v>
      </c>
      <c r="BF11" s="50"/>
      <c r="BG11" s="50" t="s">
        <v>1683</v>
      </c>
      <c r="BH11" s="50"/>
      <c r="BI11" s="50" t="s">
        <v>1683</v>
      </c>
      <c r="BJ11" s="50" t="s">
        <v>1683</v>
      </c>
      <c r="BK11" s="50" t="s">
        <v>1683</v>
      </c>
      <c r="BL11" s="50"/>
      <c r="BM11" s="50" t="s">
        <v>1683</v>
      </c>
      <c r="BN11" s="50"/>
      <c r="BO11" s="50" t="s">
        <v>1683</v>
      </c>
      <c r="BP11" s="50" t="s">
        <v>1683</v>
      </c>
      <c r="BQ11" s="50" t="s">
        <v>1683</v>
      </c>
      <c r="BR11" s="35"/>
      <c r="BS11" s="50"/>
      <c r="BT11" s="50" t="s">
        <v>1683</v>
      </c>
      <c r="BU11" s="50"/>
      <c r="BV11" s="50" t="s">
        <v>1683</v>
      </c>
      <c r="BW11" s="50" t="s">
        <v>1683</v>
      </c>
      <c r="BX11" s="50" t="s">
        <v>1683</v>
      </c>
      <c r="BY11" s="50"/>
      <c r="BZ11" s="50" t="s">
        <v>1683</v>
      </c>
      <c r="CA11" s="50"/>
      <c r="CB11" s="50" t="s">
        <v>1683</v>
      </c>
      <c r="CC11" s="35"/>
      <c r="CD11" s="50" t="s">
        <v>1683</v>
      </c>
      <c r="CE11" s="35"/>
      <c r="CF11" s="35"/>
      <c r="CG11" s="35"/>
      <c r="CH11" s="50" t="s">
        <v>1683</v>
      </c>
      <c r="CI11" s="35"/>
      <c r="CJ11" s="50" t="s">
        <v>1683</v>
      </c>
      <c r="CK11" s="50" t="s">
        <v>1683</v>
      </c>
      <c r="CL11" s="35"/>
      <c r="CM11" s="50" t="s">
        <v>1683</v>
      </c>
      <c r="CN11" s="50" t="s">
        <v>1683</v>
      </c>
    </row>
    <row r="12" spans="1:92" s="113" customFormat="1" ht="92.4">
      <c r="A12" s="13" t="s">
        <v>1431</v>
      </c>
      <c r="B12" s="13" t="s">
        <v>2242</v>
      </c>
      <c r="C12" s="13" t="s">
        <v>2785</v>
      </c>
      <c r="D12" s="119" t="s">
        <v>2169</v>
      </c>
      <c r="E12" s="13" t="s">
        <v>479</v>
      </c>
      <c r="F12" s="13" t="s">
        <v>484</v>
      </c>
      <c r="G12" s="13" t="s">
        <v>479</v>
      </c>
      <c r="H12" s="13" t="s">
        <v>2011</v>
      </c>
      <c r="I12" s="13" t="s">
        <v>479</v>
      </c>
      <c r="J12" s="13" t="s">
        <v>481</v>
      </c>
      <c r="K12" s="13" t="s">
        <v>479</v>
      </c>
      <c r="L12" s="13" t="s">
        <v>3</v>
      </c>
      <c r="M12" s="13" t="s">
        <v>479</v>
      </c>
      <c r="N12" s="13" t="s">
        <v>483</v>
      </c>
      <c r="O12" s="13" t="s">
        <v>485</v>
      </c>
      <c r="P12" s="13" t="s">
        <v>4</v>
      </c>
      <c r="Q12" s="52" t="s">
        <v>1413</v>
      </c>
      <c r="R12" s="13" t="s">
        <v>486</v>
      </c>
      <c r="S12" s="13" t="s">
        <v>487</v>
      </c>
      <c r="T12" s="52" t="s">
        <v>1411</v>
      </c>
      <c r="U12" s="13" t="s">
        <v>488</v>
      </c>
      <c r="V12" s="12" t="s">
        <v>489</v>
      </c>
      <c r="W12" s="119" t="s">
        <v>2200</v>
      </c>
      <c r="X12" s="12" t="s">
        <v>490</v>
      </c>
      <c r="Y12" s="119" t="s">
        <v>2201</v>
      </c>
      <c r="Z12" s="13" t="s">
        <v>491</v>
      </c>
      <c r="AA12" s="119" t="s">
        <v>2202</v>
      </c>
      <c r="AB12" s="13" t="s">
        <v>492</v>
      </c>
      <c r="AC12" s="13" t="s">
        <v>493</v>
      </c>
      <c r="AD12" s="13" t="s">
        <v>494</v>
      </c>
      <c r="AE12" s="13" t="s">
        <v>495</v>
      </c>
      <c r="AF12" s="13" t="s">
        <v>496</v>
      </c>
      <c r="AG12" s="13" t="s">
        <v>499</v>
      </c>
      <c r="AH12" s="119" t="s">
        <v>2203</v>
      </c>
      <c r="AI12" s="13" t="s">
        <v>500</v>
      </c>
      <c r="AJ12" s="12" t="s">
        <v>2243</v>
      </c>
      <c r="AK12" s="119" t="s">
        <v>2293</v>
      </c>
      <c r="AL12" s="13" t="s">
        <v>503</v>
      </c>
      <c r="AM12" s="119" t="s">
        <v>2204</v>
      </c>
      <c r="AN12" s="13" t="s">
        <v>504</v>
      </c>
      <c r="AO12" s="119" t="s">
        <v>2205</v>
      </c>
      <c r="AP12" s="13" t="s">
        <v>505</v>
      </c>
      <c r="AQ12" s="119" t="s">
        <v>2206</v>
      </c>
      <c r="AR12" s="13" t="s">
        <v>2786</v>
      </c>
      <c r="AS12" s="13" t="s">
        <v>507</v>
      </c>
      <c r="AT12" s="13" t="s">
        <v>508</v>
      </c>
      <c r="AU12" s="13" t="s">
        <v>509</v>
      </c>
      <c r="AV12" s="12" t="s">
        <v>2207</v>
      </c>
      <c r="AW12" s="119" t="s">
        <v>1397</v>
      </c>
      <c r="AX12" s="13" t="s">
        <v>512</v>
      </c>
      <c r="AY12" s="12" t="s">
        <v>2208</v>
      </c>
      <c r="AZ12" s="119" t="s">
        <v>1395</v>
      </c>
      <c r="BA12" s="13" t="s">
        <v>2244</v>
      </c>
      <c r="BB12" s="13" t="s">
        <v>521</v>
      </c>
      <c r="BC12" s="13" t="s">
        <v>522</v>
      </c>
      <c r="BD12" s="13" t="s">
        <v>2245</v>
      </c>
      <c r="BE12" s="13" t="s">
        <v>524</v>
      </c>
      <c r="BF12" s="12" t="s">
        <v>2223</v>
      </c>
      <c r="BG12" s="119" t="s">
        <v>2442</v>
      </c>
      <c r="BH12" s="13" t="s">
        <v>533</v>
      </c>
      <c r="BI12" s="119" t="s">
        <v>2488</v>
      </c>
      <c r="BJ12" s="13" t="s">
        <v>2000</v>
      </c>
      <c r="BK12" s="13" t="s">
        <v>2001</v>
      </c>
      <c r="BL12" s="12" t="s">
        <v>2225</v>
      </c>
      <c r="BM12" s="119" t="s">
        <v>2542</v>
      </c>
      <c r="BN12" s="12" t="s">
        <v>2226</v>
      </c>
      <c r="BO12" s="119" t="s">
        <v>2624</v>
      </c>
      <c r="BP12" s="13" t="s">
        <v>540</v>
      </c>
      <c r="BQ12" s="13" t="s">
        <v>543</v>
      </c>
      <c r="BR12" s="13" t="s">
        <v>2</v>
      </c>
      <c r="BS12" s="12" t="s">
        <v>2228</v>
      </c>
      <c r="BT12" s="119" t="s">
        <v>2655</v>
      </c>
      <c r="BU12" s="12" t="s">
        <v>2229</v>
      </c>
      <c r="BV12" s="119" t="s">
        <v>2656</v>
      </c>
      <c r="BW12" s="13" t="s">
        <v>1398</v>
      </c>
      <c r="BX12" s="13" t="s">
        <v>1399</v>
      </c>
      <c r="BY12" s="12" t="s">
        <v>2673</v>
      </c>
      <c r="BZ12" s="119" t="s">
        <v>2823</v>
      </c>
      <c r="CA12" s="12" t="s">
        <v>2812</v>
      </c>
      <c r="CB12" s="119" t="s">
        <v>2811</v>
      </c>
      <c r="CC12" s="13" t="s">
        <v>560</v>
      </c>
      <c r="CD12" s="13" t="s">
        <v>3392</v>
      </c>
      <c r="CE12" s="13" t="s">
        <v>564</v>
      </c>
      <c r="CF12" s="13" t="s">
        <v>565</v>
      </c>
      <c r="CG12" s="13" t="s">
        <v>2821</v>
      </c>
      <c r="CH12" s="13" t="s">
        <v>2209</v>
      </c>
      <c r="CI12" s="13" t="s">
        <v>1415</v>
      </c>
      <c r="CJ12" s="13" t="s">
        <v>569</v>
      </c>
      <c r="CK12" s="13" t="s">
        <v>2822</v>
      </c>
      <c r="CL12" s="13" t="s">
        <v>574</v>
      </c>
      <c r="CM12" s="13" t="s">
        <v>2783</v>
      </c>
      <c r="CN12" s="13" t="s">
        <v>585</v>
      </c>
    </row>
    <row r="13" spans="1:92" ht="13.5" customHeight="1">
      <c r="A13" s="7">
        <v>1</v>
      </c>
      <c r="B13" s="7">
        <v>416237</v>
      </c>
      <c r="C13" s="7">
        <v>1</v>
      </c>
      <c r="D13" s="28" t="s">
        <v>2257</v>
      </c>
      <c r="E13" s="7">
        <f t="shared" ref="E13:E76" si="0">LENB(F13)</f>
        <v>20</v>
      </c>
      <c r="F13" s="7" t="s">
        <v>3409</v>
      </c>
      <c r="G13" s="7">
        <f t="shared" ref="G13:G76" si="1">LENB(H13)</f>
        <v>42</v>
      </c>
      <c r="H13" s="7" t="s">
        <v>3512</v>
      </c>
      <c r="I13" s="7">
        <f t="shared" ref="I13:I76" si="2">LENB(J13)</f>
        <v>28</v>
      </c>
      <c r="J13" s="7" t="s">
        <v>3620</v>
      </c>
      <c r="K13" s="7">
        <f t="shared" ref="K13:K76" si="3">LENB(L13)</f>
        <v>20</v>
      </c>
      <c r="L13" s="7" t="s">
        <v>3409</v>
      </c>
      <c r="M13" s="7">
        <f t="shared" ref="M13:M76" si="4">LENB(N13)</f>
        <v>14</v>
      </c>
      <c r="N13" s="7" t="s">
        <v>3735</v>
      </c>
      <c r="O13" s="7">
        <v>1</v>
      </c>
      <c r="P13" s="7" t="s">
        <v>3801</v>
      </c>
      <c r="Q13" s="53"/>
      <c r="R13" s="7">
        <v>1</v>
      </c>
      <c r="S13" s="7">
        <v>1</v>
      </c>
      <c r="T13" s="53"/>
      <c r="U13" s="7">
        <v>1</v>
      </c>
      <c r="V13" s="7">
        <f>ABS(LEFT(W13,2))</f>
        <v>14</v>
      </c>
      <c r="W13" s="28" t="s">
        <v>3900</v>
      </c>
      <c r="X13" s="7">
        <f>ABS(LEFT(Y13,2))</f>
        <v>14</v>
      </c>
      <c r="Y13" s="28" t="s">
        <v>3900</v>
      </c>
      <c r="Z13" s="7">
        <f>ABS(LEFT(AA13,1))</f>
        <v>1</v>
      </c>
      <c r="AA13" s="28" t="s">
        <v>3901</v>
      </c>
      <c r="AB13" s="7"/>
      <c r="AC13" s="7"/>
      <c r="AD13" s="7"/>
      <c r="AE13" s="7"/>
      <c r="AF13" s="7">
        <v>0</v>
      </c>
      <c r="AG13" s="7">
        <f>ABS(LEFT(AH13,1))</f>
        <v>0</v>
      </c>
      <c r="AH13" s="28" t="s">
        <v>2281</v>
      </c>
      <c r="AI13" s="7">
        <v>10</v>
      </c>
      <c r="AJ13" s="7">
        <f>ABS(LEFT(AK13,2))</f>
        <v>9</v>
      </c>
      <c r="AK13" s="28" t="s">
        <v>2292</v>
      </c>
      <c r="AL13" s="7">
        <f>ABS(LEFT(AM13,1))</f>
        <v>2</v>
      </c>
      <c r="AM13" s="28" t="s">
        <v>2295</v>
      </c>
      <c r="AN13" s="7">
        <f>ABS(LEFT(AO13,1))</f>
        <v>0</v>
      </c>
      <c r="AO13" s="28" t="s">
        <v>2297</v>
      </c>
      <c r="AP13" s="7">
        <f>ABS(LEFT(AQ13,1))</f>
        <v>2</v>
      </c>
      <c r="AQ13" s="28" t="s">
        <v>2301</v>
      </c>
      <c r="AR13" s="7"/>
      <c r="AS13" s="7" t="s">
        <v>3902</v>
      </c>
      <c r="AT13" s="7"/>
      <c r="AU13" s="7"/>
      <c r="AV13" s="7">
        <f>ABS(LEFT(AW13,10))</f>
        <v>9291</v>
      </c>
      <c r="AW13" s="28" t="s">
        <v>3325</v>
      </c>
      <c r="AX13" s="7">
        <v>1</v>
      </c>
      <c r="AY13" s="7">
        <f>ABS(LEFT(AZ13,4))</f>
        <v>1214</v>
      </c>
      <c r="AZ13" s="28" t="s">
        <v>2429</v>
      </c>
      <c r="BA13" s="7">
        <v>0</v>
      </c>
      <c r="BB13" s="7">
        <v>10</v>
      </c>
      <c r="BC13" s="7">
        <v>0</v>
      </c>
      <c r="BD13" s="7">
        <v>10</v>
      </c>
      <c r="BE13" s="7"/>
      <c r="BF13" s="7">
        <f>ABS(LEFT(BG13,3))</f>
        <v>31</v>
      </c>
      <c r="BG13" s="28" t="s">
        <v>2458</v>
      </c>
      <c r="BH13" s="7">
        <f>ABS(LEFT(BI13,1))</f>
        <v>0</v>
      </c>
      <c r="BI13" s="28" t="s">
        <v>2486</v>
      </c>
      <c r="BJ13" s="7"/>
      <c r="BK13" s="7"/>
      <c r="BL13" s="7">
        <f>ABS(LEFT(BM13,5))</f>
        <v>10001</v>
      </c>
      <c r="BM13" s="28" t="s">
        <v>2489</v>
      </c>
      <c r="BN13" s="7" t="e">
        <f>ABS(LEFT(BO13,5))</f>
        <v>#VALUE!</v>
      </c>
      <c r="BO13" s="28"/>
      <c r="BP13" s="7">
        <v>0</v>
      </c>
      <c r="BQ13" s="7">
        <v>4000</v>
      </c>
      <c r="BR13" s="7" t="s">
        <v>3903</v>
      </c>
      <c r="BS13" s="7">
        <f>ABS(LEFT(BT13,1))</f>
        <v>0</v>
      </c>
      <c r="BT13" s="28" t="s">
        <v>2641</v>
      </c>
      <c r="BU13" s="7">
        <f>ABS(LEFT(BV13,1))</f>
        <v>2</v>
      </c>
      <c r="BV13" s="28" t="s">
        <v>3940</v>
      </c>
      <c r="BW13" s="54" t="s">
        <v>2691</v>
      </c>
      <c r="BX13" s="54" t="s">
        <v>2691</v>
      </c>
      <c r="BY13" s="7" t="e">
        <f>ABS(LEFT(BZ13,1))</f>
        <v>#VALUE!</v>
      </c>
      <c r="BZ13" s="28"/>
      <c r="CA13" s="7" t="e">
        <f>ABS(LEFT(CB13,1))</f>
        <v>#VALUE!</v>
      </c>
      <c r="CB13" s="28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 t="e">
        <f ca="1">[1]!sITFコード(B13)</f>
        <v>#NAME?</v>
      </c>
    </row>
    <row r="14" spans="1:92" ht="13.5" customHeight="1">
      <c r="A14" s="7">
        <v>2</v>
      </c>
      <c r="B14" s="7">
        <v>416238</v>
      </c>
      <c r="C14" s="7">
        <f>ABS(LEFT(D14,1))</f>
        <v>1</v>
      </c>
      <c r="D14" s="28" t="s">
        <v>2257</v>
      </c>
      <c r="E14" s="7">
        <f t="shared" si="0"/>
        <v>20</v>
      </c>
      <c r="F14" s="7" t="s">
        <v>3409</v>
      </c>
      <c r="G14" s="7">
        <f t="shared" si="1"/>
        <v>42</v>
      </c>
      <c r="H14" s="7" t="s">
        <v>3513</v>
      </c>
      <c r="I14" s="7">
        <f t="shared" si="2"/>
        <v>28</v>
      </c>
      <c r="J14" s="7" t="s">
        <v>3621</v>
      </c>
      <c r="K14" s="7">
        <f t="shared" si="3"/>
        <v>20</v>
      </c>
      <c r="L14" s="7" t="s">
        <v>3409</v>
      </c>
      <c r="M14" s="7">
        <f t="shared" si="4"/>
        <v>14</v>
      </c>
      <c r="N14" s="7" t="s">
        <v>3735</v>
      </c>
      <c r="O14" s="7">
        <v>1</v>
      </c>
      <c r="P14" s="7" t="s">
        <v>3802</v>
      </c>
      <c r="Q14" s="53"/>
      <c r="R14" s="7">
        <v>1</v>
      </c>
      <c r="S14" s="7">
        <v>1</v>
      </c>
      <c r="T14" s="53"/>
      <c r="U14" s="7">
        <v>1</v>
      </c>
      <c r="V14" s="7">
        <f t="shared" ref="V14:X29" si="5">ABS(LEFT(W14,2))</f>
        <v>14</v>
      </c>
      <c r="W14" s="28" t="s">
        <v>3900</v>
      </c>
      <c r="X14" s="7">
        <f t="shared" si="5"/>
        <v>14</v>
      </c>
      <c r="Y14" s="28" t="s">
        <v>3900</v>
      </c>
      <c r="Z14" s="7">
        <f t="shared" ref="Z14:Z77" si="6">ABS(LEFT(AA14,1))</f>
        <v>1</v>
      </c>
      <c r="AA14" s="28" t="s">
        <v>3901</v>
      </c>
      <c r="AB14" s="7"/>
      <c r="AC14" s="7"/>
      <c r="AD14" s="7"/>
      <c r="AE14" s="7"/>
      <c r="AF14" s="7">
        <v>0</v>
      </c>
      <c r="AG14" s="7">
        <f t="shared" ref="AG14:AG77" si="7">ABS(LEFT(AH14,1))</f>
        <v>0</v>
      </c>
      <c r="AH14" s="28" t="s">
        <v>2281</v>
      </c>
      <c r="AI14" s="7">
        <v>10</v>
      </c>
      <c r="AJ14" s="7">
        <f t="shared" ref="AJ14:AJ77" si="8">ABS(LEFT(AK14,2))</f>
        <v>9</v>
      </c>
      <c r="AK14" s="28" t="s">
        <v>2292</v>
      </c>
      <c r="AL14" s="7">
        <f t="shared" ref="AL14:AL77" si="9">ABS(LEFT(AM14,1))</f>
        <v>2</v>
      </c>
      <c r="AM14" s="28" t="s">
        <v>2295</v>
      </c>
      <c r="AN14" s="7">
        <f t="shared" ref="AN14:AN77" si="10">ABS(LEFT(AO14,1))</f>
        <v>0</v>
      </c>
      <c r="AO14" s="28" t="s">
        <v>2297</v>
      </c>
      <c r="AP14" s="7">
        <f t="shared" ref="AP14:AP77" si="11">ABS(LEFT(AQ14,1))</f>
        <v>2</v>
      </c>
      <c r="AQ14" s="28" t="s">
        <v>2301</v>
      </c>
      <c r="AR14" s="7"/>
      <c r="AS14" s="7" t="s">
        <v>3902</v>
      </c>
      <c r="AT14" s="7"/>
      <c r="AU14" s="7"/>
      <c r="AV14" s="7">
        <f t="shared" ref="AV14:AV77" si="12">ABS(LEFT(AW14,10))</f>
        <v>9291</v>
      </c>
      <c r="AW14" s="28" t="s">
        <v>3325</v>
      </c>
      <c r="AX14" s="7">
        <v>1</v>
      </c>
      <c r="AY14" s="7">
        <f t="shared" ref="AY14:AY77" si="13">ABS(LEFT(AZ14,4))</f>
        <v>1214</v>
      </c>
      <c r="AZ14" s="28" t="s">
        <v>2429</v>
      </c>
      <c r="BA14" s="7">
        <v>0</v>
      </c>
      <c r="BB14" s="7">
        <v>10</v>
      </c>
      <c r="BC14" s="7">
        <v>0</v>
      </c>
      <c r="BD14" s="7">
        <v>10</v>
      </c>
      <c r="BE14" s="7"/>
      <c r="BF14" s="7">
        <f t="shared" ref="BF14:BF77" si="14">ABS(LEFT(BG14,3))</f>
        <v>31</v>
      </c>
      <c r="BG14" s="28" t="s">
        <v>2458</v>
      </c>
      <c r="BH14" s="7">
        <f t="shared" ref="BH14:BH77" si="15">ABS(LEFT(BI14,1))</f>
        <v>0</v>
      </c>
      <c r="BI14" s="28" t="s">
        <v>2486</v>
      </c>
      <c r="BJ14" s="7"/>
      <c r="BK14" s="7"/>
      <c r="BL14" s="7">
        <f t="shared" ref="BL14:BL77" si="16">ABS(LEFT(BM14,5))</f>
        <v>10001</v>
      </c>
      <c r="BM14" s="28" t="s">
        <v>2489</v>
      </c>
      <c r="BN14" s="7" t="e">
        <f t="shared" ref="BN14:BN77" si="17">ABS(LEFT(BO14,5))</f>
        <v>#VALUE!</v>
      </c>
      <c r="BO14" s="28"/>
      <c r="BP14" s="7"/>
      <c r="BQ14" s="7">
        <v>4000</v>
      </c>
      <c r="BR14" s="7" t="s">
        <v>3903</v>
      </c>
      <c r="BS14" s="7">
        <f t="shared" ref="BS14:BS77" si="18">ABS(LEFT(BT14,1))</f>
        <v>0</v>
      </c>
      <c r="BT14" s="28" t="s">
        <v>2641</v>
      </c>
      <c r="BU14" s="7">
        <f t="shared" ref="BU14:BU77" si="19">ABS(LEFT(BV14,1))</f>
        <v>2</v>
      </c>
      <c r="BV14" s="28" t="s">
        <v>3940</v>
      </c>
      <c r="BW14" s="54" t="s">
        <v>3941</v>
      </c>
      <c r="BX14" s="54" t="s">
        <v>3941</v>
      </c>
      <c r="BY14" s="7" t="e">
        <f t="shared" ref="BY14:BY77" si="20">ABS(LEFT(BZ14,1))</f>
        <v>#VALUE!</v>
      </c>
      <c r="BZ14" s="28"/>
      <c r="CA14" s="7" t="e">
        <f t="shared" ref="CA14:CA77" si="21">ABS(LEFT(CB14,1))</f>
        <v>#VALUE!</v>
      </c>
      <c r="CB14" s="28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</row>
    <row r="15" spans="1:92" ht="13.5" customHeight="1">
      <c r="A15" s="7">
        <v>3</v>
      </c>
      <c r="B15" s="7">
        <v>416239</v>
      </c>
      <c r="C15" s="7">
        <f t="shared" ref="C15:C78" si="22">ABS(LEFT(D15,1))</f>
        <v>1</v>
      </c>
      <c r="D15" s="28" t="s">
        <v>2257</v>
      </c>
      <c r="E15" s="7">
        <f t="shared" si="0"/>
        <v>24</v>
      </c>
      <c r="F15" s="7" t="s">
        <v>3410</v>
      </c>
      <c r="G15" s="7">
        <f t="shared" si="1"/>
        <v>45</v>
      </c>
      <c r="H15" s="7" t="s">
        <v>3514</v>
      </c>
      <c r="I15" s="7">
        <f t="shared" si="2"/>
        <v>30</v>
      </c>
      <c r="J15" s="7" t="s">
        <v>3622</v>
      </c>
      <c r="K15" s="7">
        <f t="shared" si="3"/>
        <v>17</v>
      </c>
      <c r="L15" s="7" t="s">
        <v>3736</v>
      </c>
      <c r="M15" s="7">
        <f t="shared" si="4"/>
        <v>17</v>
      </c>
      <c r="N15" s="7" t="s">
        <v>3736</v>
      </c>
      <c r="O15" s="7">
        <v>1</v>
      </c>
      <c r="P15" s="7" t="s">
        <v>3803</v>
      </c>
      <c r="Q15" s="53"/>
      <c r="R15" s="7">
        <v>1</v>
      </c>
      <c r="S15" s="7">
        <v>1</v>
      </c>
      <c r="T15" s="53"/>
      <c r="U15" s="7">
        <v>1</v>
      </c>
      <c r="V15" s="7">
        <f t="shared" si="5"/>
        <v>14</v>
      </c>
      <c r="W15" s="28" t="s">
        <v>3900</v>
      </c>
      <c r="X15" s="7">
        <f t="shared" si="5"/>
        <v>14</v>
      </c>
      <c r="Y15" s="28" t="s">
        <v>3900</v>
      </c>
      <c r="Z15" s="7">
        <f t="shared" si="6"/>
        <v>1</v>
      </c>
      <c r="AA15" s="28" t="s">
        <v>3901</v>
      </c>
      <c r="AB15" s="7"/>
      <c r="AC15" s="7"/>
      <c r="AD15" s="7"/>
      <c r="AE15" s="7"/>
      <c r="AF15" s="7">
        <v>0</v>
      </c>
      <c r="AG15" s="7">
        <f t="shared" si="7"/>
        <v>0</v>
      </c>
      <c r="AH15" s="28" t="s">
        <v>2281</v>
      </c>
      <c r="AI15" s="7">
        <v>10</v>
      </c>
      <c r="AJ15" s="7">
        <f t="shared" si="8"/>
        <v>9</v>
      </c>
      <c r="AK15" s="28" t="s">
        <v>2292</v>
      </c>
      <c r="AL15" s="7">
        <f t="shared" si="9"/>
        <v>2</v>
      </c>
      <c r="AM15" s="28" t="s">
        <v>2295</v>
      </c>
      <c r="AN15" s="7">
        <f t="shared" si="10"/>
        <v>0</v>
      </c>
      <c r="AO15" s="28" t="s">
        <v>2297</v>
      </c>
      <c r="AP15" s="7">
        <f t="shared" si="11"/>
        <v>2</v>
      </c>
      <c r="AQ15" s="28" t="s">
        <v>2301</v>
      </c>
      <c r="AR15" s="7"/>
      <c r="AS15" s="7" t="s">
        <v>3902</v>
      </c>
      <c r="AT15" s="7"/>
      <c r="AU15" s="7"/>
      <c r="AV15" s="7">
        <f t="shared" si="12"/>
        <v>9291</v>
      </c>
      <c r="AW15" s="28" t="s">
        <v>3325</v>
      </c>
      <c r="AX15" s="7">
        <v>1</v>
      </c>
      <c r="AY15" s="7">
        <f t="shared" si="13"/>
        <v>1214</v>
      </c>
      <c r="AZ15" s="28" t="s">
        <v>2429</v>
      </c>
      <c r="BA15" s="7">
        <v>0</v>
      </c>
      <c r="BB15" s="7">
        <v>10</v>
      </c>
      <c r="BC15" s="7">
        <v>0</v>
      </c>
      <c r="BD15" s="7">
        <v>10</v>
      </c>
      <c r="BE15" s="7"/>
      <c r="BF15" s="7">
        <f t="shared" si="14"/>
        <v>31</v>
      </c>
      <c r="BG15" s="28" t="s">
        <v>2458</v>
      </c>
      <c r="BH15" s="7">
        <f t="shared" si="15"/>
        <v>0</v>
      </c>
      <c r="BI15" s="28" t="s">
        <v>2486</v>
      </c>
      <c r="BJ15" s="7"/>
      <c r="BK15" s="7"/>
      <c r="BL15" s="7">
        <f t="shared" si="16"/>
        <v>10001</v>
      </c>
      <c r="BM15" s="28" t="s">
        <v>2489</v>
      </c>
      <c r="BN15" s="7" t="e">
        <f t="shared" si="17"/>
        <v>#VALUE!</v>
      </c>
      <c r="BO15" s="28"/>
      <c r="BP15" s="7"/>
      <c r="BQ15" s="7">
        <v>4000</v>
      </c>
      <c r="BR15" s="7" t="s">
        <v>3903</v>
      </c>
      <c r="BS15" s="7">
        <f t="shared" si="18"/>
        <v>0</v>
      </c>
      <c r="BT15" s="28" t="s">
        <v>2641</v>
      </c>
      <c r="BU15" s="7">
        <f t="shared" si="19"/>
        <v>2</v>
      </c>
      <c r="BV15" s="28" t="s">
        <v>3940</v>
      </c>
      <c r="BW15" s="54" t="s">
        <v>3941</v>
      </c>
      <c r="BX15" s="54" t="s">
        <v>3941</v>
      </c>
      <c r="BY15" s="7" t="e">
        <f t="shared" si="20"/>
        <v>#VALUE!</v>
      </c>
      <c r="BZ15" s="28"/>
      <c r="CA15" s="7" t="e">
        <f t="shared" si="21"/>
        <v>#VALUE!</v>
      </c>
      <c r="CB15" s="28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 ht="13.5" customHeight="1">
      <c r="A16" s="7">
        <v>4</v>
      </c>
      <c r="B16" s="7">
        <v>416240</v>
      </c>
      <c r="C16" s="7">
        <f t="shared" si="22"/>
        <v>1</v>
      </c>
      <c r="D16" s="28" t="s">
        <v>2257</v>
      </c>
      <c r="E16" s="7">
        <f t="shared" si="0"/>
        <v>24</v>
      </c>
      <c r="F16" s="7" t="s">
        <v>3410</v>
      </c>
      <c r="G16" s="7">
        <f t="shared" si="1"/>
        <v>45</v>
      </c>
      <c r="H16" s="7" t="s">
        <v>3515</v>
      </c>
      <c r="I16" s="7">
        <f t="shared" si="2"/>
        <v>30</v>
      </c>
      <c r="J16" s="7" t="s">
        <v>3623</v>
      </c>
      <c r="K16" s="7">
        <f t="shared" si="3"/>
        <v>17</v>
      </c>
      <c r="L16" s="7" t="s">
        <v>3736</v>
      </c>
      <c r="M16" s="7">
        <f t="shared" si="4"/>
        <v>17</v>
      </c>
      <c r="N16" s="7" t="s">
        <v>3736</v>
      </c>
      <c r="O16" s="7">
        <v>1</v>
      </c>
      <c r="P16" s="7" t="s">
        <v>3804</v>
      </c>
      <c r="Q16" s="53"/>
      <c r="R16" s="7">
        <v>1</v>
      </c>
      <c r="S16" s="7">
        <v>1</v>
      </c>
      <c r="T16" s="53"/>
      <c r="U16" s="7">
        <v>1</v>
      </c>
      <c r="V16" s="7">
        <f t="shared" si="5"/>
        <v>14</v>
      </c>
      <c r="W16" s="28" t="s">
        <v>3900</v>
      </c>
      <c r="X16" s="7">
        <f t="shared" si="5"/>
        <v>14</v>
      </c>
      <c r="Y16" s="28" t="s">
        <v>3900</v>
      </c>
      <c r="Z16" s="7">
        <f t="shared" si="6"/>
        <v>1</v>
      </c>
      <c r="AA16" s="28" t="s">
        <v>3901</v>
      </c>
      <c r="AB16" s="7"/>
      <c r="AC16" s="7"/>
      <c r="AD16" s="7"/>
      <c r="AE16" s="7"/>
      <c r="AF16" s="7">
        <v>0</v>
      </c>
      <c r="AG16" s="7">
        <f t="shared" si="7"/>
        <v>0</v>
      </c>
      <c r="AH16" s="28" t="s">
        <v>2281</v>
      </c>
      <c r="AI16" s="7">
        <v>10</v>
      </c>
      <c r="AJ16" s="7">
        <f t="shared" si="8"/>
        <v>9</v>
      </c>
      <c r="AK16" s="28" t="s">
        <v>2292</v>
      </c>
      <c r="AL16" s="7">
        <f t="shared" si="9"/>
        <v>2</v>
      </c>
      <c r="AM16" s="28" t="s">
        <v>2295</v>
      </c>
      <c r="AN16" s="7">
        <f t="shared" si="10"/>
        <v>0</v>
      </c>
      <c r="AO16" s="28" t="s">
        <v>2297</v>
      </c>
      <c r="AP16" s="7">
        <f t="shared" si="11"/>
        <v>2</v>
      </c>
      <c r="AQ16" s="28" t="s">
        <v>2301</v>
      </c>
      <c r="AR16" s="7"/>
      <c r="AS16" s="7" t="s">
        <v>3902</v>
      </c>
      <c r="AT16" s="7"/>
      <c r="AU16" s="7"/>
      <c r="AV16" s="7">
        <f t="shared" si="12"/>
        <v>9291</v>
      </c>
      <c r="AW16" s="28" t="s">
        <v>3325</v>
      </c>
      <c r="AX16" s="7">
        <v>1</v>
      </c>
      <c r="AY16" s="7">
        <f t="shared" si="13"/>
        <v>1214</v>
      </c>
      <c r="AZ16" s="28" t="s">
        <v>2429</v>
      </c>
      <c r="BA16" s="7">
        <v>0</v>
      </c>
      <c r="BB16" s="7">
        <v>10</v>
      </c>
      <c r="BC16" s="7">
        <v>0</v>
      </c>
      <c r="BD16" s="7">
        <v>10</v>
      </c>
      <c r="BE16" s="7"/>
      <c r="BF16" s="7">
        <f t="shared" si="14"/>
        <v>31</v>
      </c>
      <c r="BG16" s="28" t="s">
        <v>2458</v>
      </c>
      <c r="BH16" s="7">
        <f t="shared" si="15"/>
        <v>0</v>
      </c>
      <c r="BI16" s="28" t="s">
        <v>2486</v>
      </c>
      <c r="BJ16" s="7"/>
      <c r="BK16" s="7"/>
      <c r="BL16" s="7">
        <f t="shared" si="16"/>
        <v>10001</v>
      </c>
      <c r="BM16" s="28" t="s">
        <v>2489</v>
      </c>
      <c r="BN16" s="7" t="e">
        <f t="shared" si="17"/>
        <v>#VALUE!</v>
      </c>
      <c r="BO16" s="28"/>
      <c r="BP16" s="7"/>
      <c r="BQ16" s="7">
        <v>4000</v>
      </c>
      <c r="BR16" s="7" t="s">
        <v>3903</v>
      </c>
      <c r="BS16" s="7">
        <f t="shared" si="18"/>
        <v>0</v>
      </c>
      <c r="BT16" s="28" t="s">
        <v>2641</v>
      </c>
      <c r="BU16" s="7">
        <f t="shared" si="19"/>
        <v>2</v>
      </c>
      <c r="BV16" s="28" t="s">
        <v>3940</v>
      </c>
      <c r="BW16" s="54" t="s">
        <v>3941</v>
      </c>
      <c r="BX16" s="54" t="s">
        <v>3941</v>
      </c>
      <c r="BY16" s="7" t="e">
        <f t="shared" si="20"/>
        <v>#VALUE!</v>
      </c>
      <c r="BZ16" s="28"/>
      <c r="CA16" s="7" t="e">
        <f t="shared" si="21"/>
        <v>#VALUE!</v>
      </c>
      <c r="CB16" s="28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</row>
    <row r="17" spans="1:92" ht="13.5" customHeight="1">
      <c r="A17" s="7">
        <v>5</v>
      </c>
      <c r="B17" s="7">
        <v>416103</v>
      </c>
      <c r="C17" s="7">
        <f t="shared" si="22"/>
        <v>1</v>
      </c>
      <c r="D17" s="28" t="s">
        <v>2257</v>
      </c>
      <c r="E17" s="7">
        <f t="shared" si="0"/>
        <v>14</v>
      </c>
      <c r="F17" s="7" t="s">
        <v>3411</v>
      </c>
      <c r="G17" s="7">
        <f t="shared" si="1"/>
        <v>33</v>
      </c>
      <c r="H17" s="7" t="s">
        <v>3942</v>
      </c>
      <c r="I17" s="7">
        <f t="shared" si="2"/>
        <v>25</v>
      </c>
      <c r="J17" s="7" t="s">
        <v>3624</v>
      </c>
      <c r="K17" s="7">
        <f t="shared" si="3"/>
        <v>14</v>
      </c>
      <c r="L17" s="7" t="s">
        <v>3411</v>
      </c>
      <c r="M17" s="7">
        <f t="shared" si="4"/>
        <v>14</v>
      </c>
      <c r="N17" s="7" t="s">
        <v>3737</v>
      </c>
      <c r="O17" s="7">
        <v>1</v>
      </c>
      <c r="P17" s="7" t="s">
        <v>3805</v>
      </c>
      <c r="Q17" s="53"/>
      <c r="R17" s="7">
        <v>1</v>
      </c>
      <c r="S17" s="7">
        <v>1</v>
      </c>
      <c r="T17" s="53"/>
      <c r="U17" s="7">
        <v>1</v>
      </c>
      <c r="V17" s="7">
        <f t="shared" si="5"/>
        <v>14</v>
      </c>
      <c r="W17" s="28" t="s">
        <v>3900</v>
      </c>
      <c r="X17" s="7">
        <f t="shared" si="5"/>
        <v>14</v>
      </c>
      <c r="Y17" s="28" t="s">
        <v>3900</v>
      </c>
      <c r="Z17" s="7">
        <f t="shared" si="6"/>
        <v>1</v>
      </c>
      <c r="AA17" s="28" t="s">
        <v>3901</v>
      </c>
      <c r="AB17" s="7"/>
      <c r="AC17" s="7"/>
      <c r="AD17" s="7"/>
      <c r="AE17" s="7"/>
      <c r="AF17" s="7">
        <v>0</v>
      </c>
      <c r="AG17" s="7">
        <f t="shared" si="7"/>
        <v>0</v>
      </c>
      <c r="AH17" s="28" t="s">
        <v>2281</v>
      </c>
      <c r="AI17" s="7">
        <v>8</v>
      </c>
      <c r="AJ17" s="7">
        <f t="shared" si="8"/>
        <v>8</v>
      </c>
      <c r="AK17" s="28" t="s">
        <v>2291</v>
      </c>
      <c r="AL17" s="7">
        <f t="shared" si="9"/>
        <v>2</v>
      </c>
      <c r="AM17" s="28" t="s">
        <v>2295</v>
      </c>
      <c r="AN17" s="7">
        <f t="shared" si="10"/>
        <v>0</v>
      </c>
      <c r="AO17" s="28" t="s">
        <v>2297</v>
      </c>
      <c r="AP17" s="7">
        <f t="shared" si="11"/>
        <v>2</v>
      </c>
      <c r="AQ17" s="28" t="s">
        <v>2301</v>
      </c>
      <c r="AR17" s="7"/>
      <c r="AS17" s="7" t="s">
        <v>3902</v>
      </c>
      <c r="AT17" s="7"/>
      <c r="AU17" s="7"/>
      <c r="AV17" s="7">
        <f t="shared" si="12"/>
        <v>9300</v>
      </c>
      <c r="AW17" s="28" t="s">
        <v>3189</v>
      </c>
      <c r="AX17" s="7">
        <v>1</v>
      </c>
      <c r="AY17" s="7">
        <f t="shared" si="13"/>
        <v>1210</v>
      </c>
      <c r="AZ17" s="28" t="s">
        <v>2425</v>
      </c>
      <c r="BA17" s="7">
        <v>0</v>
      </c>
      <c r="BB17" s="7">
        <v>10</v>
      </c>
      <c r="BC17" s="7">
        <v>0</v>
      </c>
      <c r="BD17" s="7">
        <v>10</v>
      </c>
      <c r="BE17" s="7"/>
      <c r="BF17" s="7">
        <f t="shared" si="14"/>
        <v>32</v>
      </c>
      <c r="BG17" s="28" t="s">
        <v>2459</v>
      </c>
      <c r="BH17" s="7">
        <f t="shared" si="15"/>
        <v>0</v>
      </c>
      <c r="BI17" s="28" t="s">
        <v>2486</v>
      </c>
      <c r="BJ17" s="7"/>
      <c r="BK17" s="7"/>
      <c r="BL17" s="7">
        <f t="shared" si="16"/>
        <v>10001</v>
      </c>
      <c r="BM17" s="28" t="s">
        <v>2489</v>
      </c>
      <c r="BN17" s="7" t="e">
        <f t="shared" si="17"/>
        <v>#VALUE!</v>
      </c>
      <c r="BO17" s="28"/>
      <c r="BP17" s="7"/>
      <c r="BQ17" s="7">
        <v>4000</v>
      </c>
      <c r="BR17" s="7" t="s">
        <v>3903</v>
      </c>
      <c r="BS17" s="7">
        <f t="shared" si="18"/>
        <v>0</v>
      </c>
      <c r="BT17" s="28" t="s">
        <v>2641</v>
      </c>
      <c r="BU17" s="7">
        <f t="shared" si="19"/>
        <v>2</v>
      </c>
      <c r="BV17" s="28" t="s">
        <v>3940</v>
      </c>
      <c r="BW17" s="54" t="s">
        <v>3941</v>
      </c>
      <c r="BX17" s="54" t="s">
        <v>3941</v>
      </c>
      <c r="BY17" s="7" t="e">
        <f t="shared" si="20"/>
        <v>#VALUE!</v>
      </c>
      <c r="BZ17" s="28"/>
      <c r="CA17" s="7" t="e">
        <f t="shared" si="21"/>
        <v>#VALUE!</v>
      </c>
      <c r="CB17" s="28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</row>
    <row r="18" spans="1:92" ht="13.5" customHeight="1">
      <c r="A18" s="7">
        <v>6</v>
      </c>
      <c r="B18" s="7">
        <v>416104</v>
      </c>
      <c r="C18" s="7">
        <f t="shared" si="22"/>
        <v>1</v>
      </c>
      <c r="D18" s="28" t="s">
        <v>2257</v>
      </c>
      <c r="E18" s="7">
        <f t="shared" si="0"/>
        <v>35</v>
      </c>
      <c r="F18" s="7" t="s">
        <v>3412</v>
      </c>
      <c r="G18" s="7">
        <f t="shared" si="1"/>
        <v>48</v>
      </c>
      <c r="H18" s="7" t="s">
        <v>3516</v>
      </c>
      <c r="I18" s="7">
        <f t="shared" si="2"/>
        <v>28</v>
      </c>
      <c r="J18" s="125" t="s">
        <v>3625</v>
      </c>
      <c r="K18" s="7">
        <f t="shared" si="3"/>
        <v>20</v>
      </c>
      <c r="L18" s="7" t="s">
        <v>3904</v>
      </c>
      <c r="M18" s="7">
        <f t="shared" si="4"/>
        <v>20</v>
      </c>
      <c r="N18" s="7" t="s">
        <v>3904</v>
      </c>
      <c r="O18" s="7">
        <v>1</v>
      </c>
      <c r="P18" s="7"/>
      <c r="Q18" s="53"/>
      <c r="R18" s="7">
        <v>1</v>
      </c>
      <c r="S18" s="7">
        <v>1</v>
      </c>
      <c r="T18" s="53"/>
      <c r="U18" s="7">
        <v>1</v>
      </c>
      <c r="V18" s="7">
        <f t="shared" si="5"/>
        <v>14</v>
      </c>
      <c r="W18" s="28" t="s">
        <v>3900</v>
      </c>
      <c r="X18" s="7">
        <f t="shared" si="5"/>
        <v>14</v>
      </c>
      <c r="Y18" s="28" t="s">
        <v>3900</v>
      </c>
      <c r="Z18" s="7">
        <f t="shared" si="6"/>
        <v>1</v>
      </c>
      <c r="AA18" s="28" t="s">
        <v>3901</v>
      </c>
      <c r="AB18" s="7"/>
      <c r="AC18" s="7"/>
      <c r="AD18" s="7"/>
      <c r="AE18" s="7"/>
      <c r="AF18" s="7">
        <v>0</v>
      </c>
      <c r="AG18" s="7">
        <f t="shared" si="7"/>
        <v>0</v>
      </c>
      <c r="AH18" s="28" t="s">
        <v>2281</v>
      </c>
      <c r="AI18" s="7">
        <v>8</v>
      </c>
      <c r="AJ18" s="7">
        <f t="shared" si="8"/>
        <v>8</v>
      </c>
      <c r="AK18" s="28" t="s">
        <v>2291</v>
      </c>
      <c r="AL18" s="7">
        <f t="shared" si="9"/>
        <v>2</v>
      </c>
      <c r="AM18" s="28" t="s">
        <v>2295</v>
      </c>
      <c r="AN18" s="7">
        <f t="shared" si="10"/>
        <v>0</v>
      </c>
      <c r="AO18" s="28" t="s">
        <v>2297</v>
      </c>
      <c r="AP18" s="7">
        <f t="shared" si="11"/>
        <v>2</v>
      </c>
      <c r="AQ18" s="28" t="s">
        <v>2301</v>
      </c>
      <c r="AR18" s="7"/>
      <c r="AS18" s="7" t="s">
        <v>3902</v>
      </c>
      <c r="AT18" s="7"/>
      <c r="AU18" s="7"/>
      <c r="AV18" s="7">
        <f t="shared" si="12"/>
        <v>9300</v>
      </c>
      <c r="AW18" s="28" t="s">
        <v>3189</v>
      </c>
      <c r="AX18" s="7">
        <v>1</v>
      </c>
      <c r="AY18" s="7">
        <f t="shared" si="13"/>
        <v>1210</v>
      </c>
      <c r="AZ18" s="28" t="s">
        <v>2425</v>
      </c>
      <c r="BA18" s="7">
        <v>0</v>
      </c>
      <c r="BB18" s="7">
        <v>10</v>
      </c>
      <c r="BC18" s="7">
        <v>0</v>
      </c>
      <c r="BD18" s="7">
        <v>10</v>
      </c>
      <c r="BE18" s="7"/>
      <c r="BF18" s="7">
        <f t="shared" si="14"/>
        <v>32</v>
      </c>
      <c r="BG18" s="28" t="s">
        <v>2459</v>
      </c>
      <c r="BH18" s="7">
        <f t="shared" si="15"/>
        <v>0</v>
      </c>
      <c r="BI18" s="28" t="s">
        <v>2486</v>
      </c>
      <c r="BJ18" s="7"/>
      <c r="BK18" s="7"/>
      <c r="BL18" s="7">
        <f t="shared" si="16"/>
        <v>10001</v>
      </c>
      <c r="BM18" s="28" t="s">
        <v>2489</v>
      </c>
      <c r="BN18" s="7" t="e">
        <f t="shared" si="17"/>
        <v>#VALUE!</v>
      </c>
      <c r="BO18" s="28"/>
      <c r="BP18" s="7"/>
      <c r="BQ18" s="7">
        <v>4000</v>
      </c>
      <c r="BR18" s="7" t="s">
        <v>3903</v>
      </c>
      <c r="BS18" s="7">
        <f t="shared" si="18"/>
        <v>0</v>
      </c>
      <c r="BT18" s="28" t="s">
        <v>2641</v>
      </c>
      <c r="BU18" s="7">
        <f t="shared" si="19"/>
        <v>2</v>
      </c>
      <c r="BV18" s="28" t="s">
        <v>3940</v>
      </c>
      <c r="BW18" s="54" t="s">
        <v>3941</v>
      </c>
      <c r="BX18" s="54" t="s">
        <v>3941</v>
      </c>
      <c r="BY18" s="7" t="e">
        <f t="shared" si="20"/>
        <v>#VALUE!</v>
      </c>
      <c r="BZ18" s="28"/>
      <c r="CA18" s="7" t="e">
        <f t="shared" si="21"/>
        <v>#VALUE!</v>
      </c>
      <c r="CB18" s="28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</row>
    <row r="19" spans="1:92" ht="13.5" customHeight="1">
      <c r="A19" s="7">
        <v>7</v>
      </c>
      <c r="B19" s="7">
        <v>416105</v>
      </c>
      <c r="C19" s="7">
        <f t="shared" si="22"/>
        <v>1</v>
      </c>
      <c r="D19" s="28" t="s">
        <v>2257</v>
      </c>
      <c r="E19" s="7">
        <f t="shared" si="0"/>
        <v>14</v>
      </c>
      <c r="F19" s="7" t="s">
        <v>3413</v>
      </c>
      <c r="G19" s="7">
        <f t="shared" si="1"/>
        <v>34</v>
      </c>
      <c r="H19" s="7" t="s">
        <v>3517</v>
      </c>
      <c r="I19" s="7">
        <f t="shared" si="2"/>
        <v>23</v>
      </c>
      <c r="J19" s="7" t="s">
        <v>3626</v>
      </c>
      <c r="K19" s="7">
        <f t="shared" si="3"/>
        <v>14</v>
      </c>
      <c r="L19" s="7" t="s">
        <v>3413</v>
      </c>
      <c r="M19" s="7">
        <f t="shared" si="4"/>
        <v>11</v>
      </c>
      <c r="N19" s="7" t="s">
        <v>3738</v>
      </c>
      <c r="O19" s="7">
        <v>1</v>
      </c>
      <c r="P19" s="7" t="s">
        <v>3806</v>
      </c>
      <c r="Q19" s="53"/>
      <c r="R19" s="7">
        <v>1</v>
      </c>
      <c r="S19" s="7">
        <v>1</v>
      </c>
      <c r="T19" s="53"/>
      <c r="U19" s="7">
        <v>1</v>
      </c>
      <c r="V19" s="7">
        <f t="shared" si="5"/>
        <v>14</v>
      </c>
      <c r="W19" s="28" t="s">
        <v>3900</v>
      </c>
      <c r="X19" s="7">
        <f t="shared" si="5"/>
        <v>14</v>
      </c>
      <c r="Y19" s="28" t="s">
        <v>3900</v>
      </c>
      <c r="Z19" s="7">
        <f t="shared" si="6"/>
        <v>1</v>
      </c>
      <c r="AA19" s="28" t="s">
        <v>3901</v>
      </c>
      <c r="AB19" s="7"/>
      <c r="AC19" s="7"/>
      <c r="AD19" s="7"/>
      <c r="AE19" s="7"/>
      <c r="AF19" s="7">
        <v>0</v>
      </c>
      <c r="AG19" s="7">
        <f t="shared" si="7"/>
        <v>0</v>
      </c>
      <c r="AH19" s="28" t="s">
        <v>2281</v>
      </c>
      <c r="AI19" s="7">
        <v>8</v>
      </c>
      <c r="AJ19" s="7">
        <f t="shared" si="8"/>
        <v>8</v>
      </c>
      <c r="AK19" s="28" t="s">
        <v>2291</v>
      </c>
      <c r="AL19" s="7">
        <f t="shared" si="9"/>
        <v>2</v>
      </c>
      <c r="AM19" s="28" t="s">
        <v>2295</v>
      </c>
      <c r="AN19" s="7">
        <f t="shared" si="10"/>
        <v>0</v>
      </c>
      <c r="AO19" s="28" t="s">
        <v>2297</v>
      </c>
      <c r="AP19" s="7">
        <f t="shared" si="11"/>
        <v>2</v>
      </c>
      <c r="AQ19" s="28" t="s">
        <v>2301</v>
      </c>
      <c r="AR19" s="7"/>
      <c r="AS19" s="7" t="s">
        <v>3902</v>
      </c>
      <c r="AT19" s="7"/>
      <c r="AU19" s="7"/>
      <c r="AV19" s="7">
        <f t="shared" si="12"/>
        <v>9300</v>
      </c>
      <c r="AW19" s="28" t="s">
        <v>3189</v>
      </c>
      <c r="AX19" s="7">
        <v>1</v>
      </c>
      <c r="AY19" s="7">
        <f t="shared" si="13"/>
        <v>1210</v>
      </c>
      <c r="AZ19" s="28" t="s">
        <v>2425</v>
      </c>
      <c r="BA19" s="7">
        <v>0</v>
      </c>
      <c r="BB19" s="7">
        <v>10</v>
      </c>
      <c r="BC19" s="7">
        <v>0</v>
      </c>
      <c r="BD19" s="7">
        <v>10</v>
      </c>
      <c r="BE19" s="7"/>
      <c r="BF19" s="7">
        <f t="shared" si="14"/>
        <v>32</v>
      </c>
      <c r="BG19" s="28" t="s">
        <v>2459</v>
      </c>
      <c r="BH19" s="7">
        <f t="shared" si="15"/>
        <v>0</v>
      </c>
      <c r="BI19" s="28" t="s">
        <v>2486</v>
      </c>
      <c r="BJ19" s="7"/>
      <c r="BK19" s="7"/>
      <c r="BL19" s="7">
        <f t="shared" si="16"/>
        <v>10001</v>
      </c>
      <c r="BM19" s="28" t="s">
        <v>2489</v>
      </c>
      <c r="BN19" s="7" t="e">
        <f t="shared" si="17"/>
        <v>#VALUE!</v>
      </c>
      <c r="BO19" s="28"/>
      <c r="BP19" s="7"/>
      <c r="BQ19" s="7">
        <v>4000</v>
      </c>
      <c r="BR19" s="7" t="s">
        <v>3903</v>
      </c>
      <c r="BS19" s="7">
        <f t="shared" si="18"/>
        <v>0</v>
      </c>
      <c r="BT19" s="28" t="s">
        <v>2641</v>
      </c>
      <c r="BU19" s="7">
        <f t="shared" si="19"/>
        <v>2</v>
      </c>
      <c r="BV19" s="28" t="s">
        <v>3940</v>
      </c>
      <c r="BW19" s="54" t="s">
        <v>3941</v>
      </c>
      <c r="BX19" s="54" t="s">
        <v>3941</v>
      </c>
      <c r="BY19" s="7" t="e">
        <f t="shared" si="20"/>
        <v>#VALUE!</v>
      </c>
      <c r="BZ19" s="28"/>
      <c r="CA19" s="7" t="e">
        <f t="shared" si="21"/>
        <v>#VALUE!</v>
      </c>
      <c r="CB19" s="28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</row>
    <row r="20" spans="1:92" ht="13.5" customHeight="1">
      <c r="A20" s="7">
        <v>8</v>
      </c>
      <c r="B20" s="7">
        <v>416106</v>
      </c>
      <c r="C20" s="7">
        <f t="shared" si="22"/>
        <v>1</v>
      </c>
      <c r="D20" s="28" t="s">
        <v>2257</v>
      </c>
      <c r="E20" s="7">
        <f t="shared" si="0"/>
        <v>24</v>
      </c>
      <c r="F20" s="7" t="s">
        <v>3414</v>
      </c>
      <c r="G20" s="7">
        <f t="shared" si="1"/>
        <v>37</v>
      </c>
      <c r="H20" s="7" t="s">
        <v>3518</v>
      </c>
      <c r="I20" s="7">
        <f t="shared" si="2"/>
        <v>25</v>
      </c>
      <c r="J20" s="7" t="s">
        <v>3627</v>
      </c>
      <c r="K20" s="7">
        <f t="shared" si="3"/>
        <v>20</v>
      </c>
      <c r="L20" s="7" t="s">
        <v>3739</v>
      </c>
      <c r="M20" s="7">
        <f t="shared" si="4"/>
        <v>20</v>
      </c>
      <c r="N20" s="7" t="s">
        <v>3739</v>
      </c>
      <c r="O20" s="7">
        <v>1</v>
      </c>
      <c r="P20" s="7"/>
      <c r="Q20" s="53"/>
      <c r="R20" s="7">
        <v>1</v>
      </c>
      <c r="S20" s="7">
        <v>1</v>
      </c>
      <c r="T20" s="53"/>
      <c r="U20" s="7">
        <v>1</v>
      </c>
      <c r="V20" s="7">
        <f t="shared" si="5"/>
        <v>14</v>
      </c>
      <c r="W20" s="28" t="s">
        <v>3900</v>
      </c>
      <c r="X20" s="7">
        <f t="shared" si="5"/>
        <v>14</v>
      </c>
      <c r="Y20" s="28" t="s">
        <v>3900</v>
      </c>
      <c r="Z20" s="7">
        <f t="shared" si="6"/>
        <v>1</v>
      </c>
      <c r="AA20" s="28" t="s">
        <v>3901</v>
      </c>
      <c r="AB20" s="7"/>
      <c r="AC20" s="7"/>
      <c r="AD20" s="7"/>
      <c r="AE20" s="7"/>
      <c r="AF20" s="7">
        <v>0</v>
      </c>
      <c r="AG20" s="7">
        <f t="shared" si="7"/>
        <v>0</v>
      </c>
      <c r="AH20" s="28" t="s">
        <v>2281</v>
      </c>
      <c r="AI20" s="7">
        <v>8</v>
      </c>
      <c r="AJ20" s="7">
        <f t="shared" si="8"/>
        <v>8</v>
      </c>
      <c r="AK20" s="28" t="s">
        <v>2291</v>
      </c>
      <c r="AL20" s="7">
        <f t="shared" si="9"/>
        <v>2</v>
      </c>
      <c r="AM20" s="28" t="s">
        <v>2295</v>
      </c>
      <c r="AN20" s="7">
        <f t="shared" si="10"/>
        <v>0</v>
      </c>
      <c r="AO20" s="28" t="s">
        <v>2297</v>
      </c>
      <c r="AP20" s="7">
        <f t="shared" si="11"/>
        <v>2</v>
      </c>
      <c r="AQ20" s="28" t="s">
        <v>2301</v>
      </c>
      <c r="AR20" s="7"/>
      <c r="AS20" s="7" t="s">
        <v>3902</v>
      </c>
      <c r="AT20" s="7"/>
      <c r="AU20" s="7"/>
      <c r="AV20" s="7">
        <f t="shared" si="12"/>
        <v>9300</v>
      </c>
      <c r="AW20" s="28" t="s">
        <v>3189</v>
      </c>
      <c r="AX20" s="7">
        <v>1</v>
      </c>
      <c r="AY20" s="7">
        <f t="shared" si="13"/>
        <v>1210</v>
      </c>
      <c r="AZ20" s="28" t="s">
        <v>2425</v>
      </c>
      <c r="BA20" s="7">
        <v>0</v>
      </c>
      <c r="BB20" s="7">
        <v>10</v>
      </c>
      <c r="BC20" s="7">
        <v>0</v>
      </c>
      <c r="BD20" s="7">
        <v>10</v>
      </c>
      <c r="BE20" s="7"/>
      <c r="BF20" s="7">
        <f t="shared" si="14"/>
        <v>32</v>
      </c>
      <c r="BG20" s="28" t="s">
        <v>2459</v>
      </c>
      <c r="BH20" s="7">
        <f t="shared" si="15"/>
        <v>0</v>
      </c>
      <c r="BI20" s="28" t="s">
        <v>2486</v>
      </c>
      <c r="BJ20" s="7"/>
      <c r="BK20" s="7"/>
      <c r="BL20" s="7">
        <f t="shared" si="16"/>
        <v>10001</v>
      </c>
      <c r="BM20" s="28" t="s">
        <v>2489</v>
      </c>
      <c r="BN20" s="7" t="e">
        <f t="shared" si="17"/>
        <v>#VALUE!</v>
      </c>
      <c r="BO20" s="28"/>
      <c r="BP20" s="7"/>
      <c r="BQ20" s="7">
        <v>4000</v>
      </c>
      <c r="BR20" s="7" t="s">
        <v>3903</v>
      </c>
      <c r="BS20" s="7">
        <f t="shared" si="18"/>
        <v>0</v>
      </c>
      <c r="BT20" s="28" t="s">
        <v>2641</v>
      </c>
      <c r="BU20" s="7">
        <f t="shared" si="19"/>
        <v>2</v>
      </c>
      <c r="BV20" s="28" t="s">
        <v>3940</v>
      </c>
      <c r="BW20" s="54" t="s">
        <v>3941</v>
      </c>
      <c r="BX20" s="54" t="s">
        <v>3941</v>
      </c>
      <c r="BY20" s="7" t="e">
        <f t="shared" si="20"/>
        <v>#VALUE!</v>
      </c>
      <c r="BZ20" s="28"/>
      <c r="CA20" s="7" t="e">
        <f t="shared" si="21"/>
        <v>#VALUE!</v>
      </c>
      <c r="CB20" s="28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</row>
    <row r="21" spans="1:92" ht="13.5" customHeight="1">
      <c r="A21" s="7">
        <v>9</v>
      </c>
      <c r="B21" s="7">
        <v>416107</v>
      </c>
      <c r="C21" s="7">
        <f t="shared" si="22"/>
        <v>1</v>
      </c>
      <c r="D21" s="28" t="s">
        <v>2257</v>
      </c>
      <c r="E21" s="7">
        <f t="shared" si="0"/>
        <v>14</v>
      </c>
      <c r="F21" s="7" t="s">
        <v>3415</v>
      </c>
      <c r="G21" s="7">
        <f t="shared" si="1"/>
        <v>31</v>
      </c>
      <c r="H21" s="7" t="s">
        <v>3519</v>
      </c>
      <c r="I21" s="7">
        <f t="shared" si="2"/>
        <v>17</v>
      </c>
      <c r="J21" s="7" t="s">
        <v>3628</v>
      </c>
      <c r="K21" s="7">
        <f t="shared" si="3"/>
        <v>14</v>
      </c>
      <c r="L21" s="7" t="s">
        <v>3415</v>
      </c>
      <c r="M21" s="7">
        <f t="shared" si="4"/>
        <v>8</v>
      </c>
      <c r="N21" s="7" t="s">
        <v>3740</v>
      </c>
      <c r="O21" s="7">
        <v>1</v>
      </c>
      <c r="P21" s="7" t="s">
        <v>3807</v>
      </c>
      <c r="Q21" s="53"/>
      <c r="R21" s="7">
        <v>1</v>
      </c>
      <c r="S21" s="7">
        <v>1</v>
      </c>
      <c r="T21" s="53"/>
      <c r="U21" s="7">
        <v>1</v>
      </c>
      <c r="V21" s="7">
        <f t="shared" si="5"/>
        <v>14</v>
      </c>
      <c r="W21" s="28" t="s">
        <v>3900</v>
      </c>
      <c r="X21" s="7">
        <f t="shared" si="5"/>
        <v>14</v>
      </c>
      <c r="Y21" s="28" t="s">
        <v>3900</v>
      </c>
      <c r="Z21" s="7">
        <f t="shared" si="6"/>
        <v>1</v>
      </c>
      <c r="AA21" s="28" t="s">
        <v>3901</v>
      </c>
      <c r="AB21" s="7"/>
      <c r="AC21" s="7"/>
      <c r="AD21" s="7"/>
      <c r="AE21" s="7"/>
      <c r="AF21" s="7">
        <v>0</v>
      </c>
      <c r="AG21" s="7">
        <f t="shared" si="7"/>
        <v>0</v>
      </c>
      <c r="AH21" s="28" t="s">
        <v>2281</v>
      </c>
      <c r="AI21" s="7">
        <v>8</v>
      </c>
      <c r="AJ21" s="7">
        <f t="shared" si="8"/>
        <v>8</v>
      </c>
      <c r="AK21" s="28" t="s">
        <v>2291</v>
      </c>
      <c r="AL21" s="7">
        <f t="shared" si="9"/>
        <v>2</v>
      </c>
      <c r="AM21" s="28" t="s">
        <v>2295</v>
      </c>
      <c r="AN21" s="7">
        <f t="shared" si="10"/>
        <v>0</v>
      </c>
      <c r="AO21" s="28" t="s">
        <v>2297</v>
      </c>
      <c r="AP21" s="7">
        <f t="shared" si="11"/>
        <v>2</v>
      </c>
      <c r="AQ21" s="28" t="s">
        <v>2301</v>
      </c>
      <c r="AR21" s="7"/>
      <c r="AS21" s="7" t="s">
        <v>3902</v>
      </c>
      <c r="AT21" s="7"/>
      <c r="AU21" s="7"/>
      <c r="AV21" s="7">
        <f t="shared" si="12"/>
        <v>8902</v>
      </c>
      <c r="AW21" s="28" t="s">
        <v>3140</v>
      </c>
      <c r="AX21" s="7">
        <v>1</v>
      </c>
      <c r="AY21" s="7">
        <f t="shared" si="13"/>
        <v>1203</v>
      </c>
      <c r="AZ21" s="28" t="s">
        <v>2418</v>
      </c>
      <c r="BA21" s="7">
        <v>0</v>
      </c>
      <c r="BB21" s="7">
        <v>10</v>
      </c>
      <c r="BC21" s="7">
        <v>0</v>
      </c>
      <c r="BD21" s="7">
        <v>10</v>
      </c>
      <c r="BE21" s="7"/>
      <c r="BF21" s="7">
        <f t="shared" si="14"/>
        <v>31</v>
      </c>
      <c r="BG21" s="28" t="s">
        <v>2458</v>
      </c>
      <c r="BH21" s="7">
        <f t="shared" si="15"/>
        <v>0</v>
      </c>
      <c r="BI21" s="28" t="s">
        <v>2486</v>
      </c>
      <c r="BJ21" s="7"/>
      <c r="BK21" s="7"/>
      <c r="BL21" s="7">
        <f t="shared" si="16"/>
        <v>10001</v>
      </c>
      <c r="BM21" s="28" t="s">
        <v>2489</v>
      </c>
      <c r="BN21" s="7" t="e">
        <f t="shared" si="17"/>
        <v>#VALUE!</v>
      </c>
      <c r="BO21" s="28"/>
      <c r="BP21" s="7"/>
      <c r="BQ21" s="7">
        <v>4000</v>
      </c>
      <c r="BR21" s="7" t="s">
        <v>3903</v>
      </c>
      <c r="BS21" s="7">
        <f t="shared" si="18"/>
        <v>0</v>
      </c>
      <c r="BT21" s="28" t="s">
        <v>2641</v>
      </c>
      <c r="BU21" s="7">
        <f t="shared" si="19"/>
        <v>2</v>
      </c>
      <c r="BV21" s="28" t="s">
        <v>3940</v>
      </c>
      <c r="BW21" s="54" t="s">
        <v>3941</v>
      </c>
      <c r="BX21" s="54" t="s">
        <v>3941</v>
      </c>
      <c r="BY21" s="7" t="e">
        <f t="shared" si="20"/>
        <v>#VALUE!</v>
      </c>
      <c r="BZ21" s="28"/>
      <c r="CA21" s="7" t="e">
        <f t="shared" si="21"/>
        <v>#VALUE!</v>
      </c>
      <c r="CB21" s="28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</row>
    <row r="22" spans="1:92" ht="13.5" customHeight="1">
      <c r="A22" s="7">
        <v>10</v>
      </c>
      <c r="B22" s="7">
        <v>416108</v>
      </c>
      <c r="C22" s="7">
        <f t="shared" si="22"/>
        <v>1</v>
      </c>
      <c r="D22" s="28" t="s">
        <v>2257</v>
      </c>
      <c r="E22" s="7">
        <f t="shared" si="0"/>
        <v>22</v>
      </c>
      <c r="F22" s="7" t="s">
        <v>3416</v>
      </c>
      <c r="G22" s="7">
        <f t="shared" si="1"/>
        <v>41</v>
      </c>
      <c r="H22" s="7" t="s">
        <v>3520</v>
      </c>
      <c r="I22" s="7">
        <f t="shared" si="2"/>
        <v>24</v>
      </c>
      <c r="J22" s="7" t="s">
        <v>3629</v>
      </c>
      <c r="K22" s="7">
        <f t="shared" si="3"/>
        <v>13</v>
      </c>
      <c r="L22" s="7" t="s">
        <v>3741</v>
      </c>
      <c r="M22" s="7">
        <f t="shared" si="4"/>
        <v>13</v>
      </c>
      <c r="N22" s="7" t="s">
        <v>3741</v>
      </c>
      <c r="O22" s="7">
        <v>1</v>
      </c>
      <c r="P22" s="7" t="s">
        <v>3808</v>
      </c>
      <c r="Q22" s="53"/>
      <c r="R22" s="7">
        <v>1</v>
      </c>
      <c r="S22" s="7">
        <v>1</v>
      </c>
      <c r="T22" s="53"/>
      <c r="U22" s="7">
        <v>1</v>
      </c>
      <c r="V22" s="7">
        <f t="shared" si="5"/>
        <v>14</v>
      </c>
      <c r="W22" s="28" t="s">
        <v>3900</v>
      </c>
      <c r="X22" s="7">
        <f t="shared" si="5"/>
        <v>14</v>
      </c>
      <c r="Y22" s="28" t="s">
        <v>3900</v>
      </c>
      <c r="Z22" s="7">
        <f t="shared" si="6"/>
        <v>1</v>
      </c>
      <c r="AA22" s="28" t="s">
        <v>3901</v>
      </c>
      <c r="AB22" s="7"/>
      <c r="AC22" s="7"/>
      <c r="AD22" s="7"/>
      <c r="AE22" s="7"/>
      <c r="AF22" s="7">
        <v>0</v>
      </c>
      <c r="AG22" s="7">
        <f t="shared" si="7"/>
        <v>0</v>
      </c>
      <c r="AH22" s="28" t="s">
        <v>2281</v>
      </c>
      <c r="AI22" s="7">
        <v>8</v>
      </c>
      <c r="AJ22" s="7">
        <f t="shared" si="8"/>
        <v>8</v>
      </c>
      <c r="AK22" s="28" t="s">
        <v>2291</v>
      </c>
      <c r="AL22" s="7">
        <f t="shared" si="9"/>
        <v>2</v>
      </c>
      <c r="AM22" s="28" t="s">
        <v>2295</v>
      </c>
      <c r="AN22" s="7">
        <f t="shared" si="10"/>
        <v>0</v>
      </c>
      <c r="AO22" s="28" t="s">
        <v>2297</v>
      </c>
      <c r="AP22" s="7">
        <f t="shared" si="11"/>
        <v>2</v>
      </c>
      <c r="AQ22" s="28" t="s">
        <v>2301</v>
      </c>
      <c r="AR22" s="7"/>
      <c r="AS22" s="7" t="s">
        <v>3902</v>
      </c>
      <c r="AT22" s="7"/>
      <c r="AU22" s="7"/>
      <c r="AV22" s="7">
        <f t="shared" si="12"/>
        <v>8902</v>
      </c>
      <c r="AW22" s="28" t="s">
        <v>3140</v>
      </c>
      <c r="AX22" s="7">
        <v>1</v>
      </c>
      <c r="AY22" s="7">
        <f t="shared" si="13"/>
        <v>1203</v>
      </c>
      <c r="AZ22" s="28" t="s">
        <v>2418</v>
      </c>
      <c r="BA22" s="7">
        <v>0</v>
      </c>
      <c r="BB22" s="7">
        <v>10</v>
      </c>
      <c r="BC22" s="7">
        <v>0</v>
      </c>
      <c r="BD22" s="7">
        <v>10</v>
      </c>
      <c r="BE22" s="7"/>
      <c r="BF22" s="7">
        <f t="shared" si="14"/>
        <v>31</v>
      </c>
      <c r="BG22" s="28" t="s">
        <v>2458</v>
      </c>
      <c r="BH22" s="7">
        <f t="shared" si="15"/>
        <v>0</v>
      </c>
      <c r="BI22" s="28" t="s">
        <v>2486</v>
      </c>
      <c r="BJ22" s="7"/>
      <c r="BK22" s="7"/>
      <c r="BL22" s="7">
        <f t="shared" si="16"/>
        <v>10001</v>
      </c>
      <c r="BM22" s="28" t="s">
        <v>2489</v>
      </c>
      <c r="BN22" s="7" t="e">
        <f t="shared" si="17"/>
        <v>#VALUE!</v>
      </c>
      <c r="BO22" s="28"/>
      <c r="BP22" s="7"/>
      <c r="BQ22" s="7">
        <v>4000</v>
      </c>
      <c r="BR22" s="7" t="s">
        <v>3903</v>
      </c>
      <c r="BS22" s="7">
        <f t="shared" si="18"/>
        <v>0</v>
      </c>
      <c r="BT22" s="28" t="s">
        <v>2641</v>
      </c>
      <c r="BU22" s="7">
        <f t="shared" si="19"/>
        <v>2</v>
      </c>
      <c r="BV22" s="28" t="s">
        <v>3940</v>
      </c>
      <c r="BW22" s="54" t="s">
        <v>3941</v>
      </c>
      <c r="BX22" s="54" t="s">
        <v>3941</v>
      </c>
      <c r="BY22" s="7" t="e">
        <f t="shared" si="20"/>
        <v>#VALUE!</v>
      </c>
      <c r="BZ22" s="28"/>
      <c r="CA22" s="7" t="e">
        <f t="shared" si="21"/>
        <v>#VALUE!</v>
      </c>
      <c r="CB22" s="28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</row>
    <row r="23" spans="1:92" ht="13.5" customHeight="1">
      <c r="A23" s="7">
        <v>11</v>
      </c>
      <c r="B23" s="7">
        <v>416109</v>
      </c>
      <c r="C23" s="7">
        <f t="shared" si="22"/>
        <v>1</v>
      </c>
      <c r="D23" s="28" t="s">
        <v>2257</v>
      </c>
      <c r="E23" s="7">
        <f t="shared" si="0"/>
        <v>37</v>
      </c>
      <c r="F23" s="7" t="s">
        <v>3417</v>
      </c>
      <c r="G23" s="7">
        <f t="shared" si="1"/>
        <v>50</v>
      </c>
      <c r="H23" s="7" t="s">
        <v>3599</v>
      </c>
      <c r="I23" s="7">
        <f t="shared" si="2"/>
        <v>33</v>
      </c>
      <c r="J23" s="7" t="s">
        <v>3630</v>
      </c>
      <c r="K23" s="7">
        <f t="shared" si="3"/>
        <v>20</v>
      </c>
      <c r="L23" s="7" t="s">
        <v>3905</v>
      </c>
      <c r="M23" s="7">
        <f t="shared" si="4"/>
        <v>20</v>
      </c>
      <c r="N23" s="7" t="s">
        <v>3905</v>
      </c>
      <c r="O23" s="7">
        <v>1</v>
      </c>
      <c r="P23" s="7" t="s">
        <v>3809</v>
      </c>
      <c r="Q23" s="53"/>
      <c r="R23" s="7">
        <v>1</v>
      </c>
      <c r="S23" s="7">
        <v>1</v>
      </c>
      <c r="T23" s="53"/>
      <c r="U23" s="7">
        <v>1</v>
      </c>
      <c r="V23" s="7">
        <f t="shared" si="5"/>
        <v>14</v>
      </c>
      <c r="W23" s="28" t="s">
        <v>3900</v>
      </c>
      <c r="X23" s="7">
        <f t="shared" si="5"/>
        <v>14</v>
      </c>
      <c r="Y23" s="28" t="s">
        <v>3900</v>
      </c>
      <c r="Z23" s="7">
        <f t="shared" si="6"/>
        <v>1</v>
      </c>
      <c r="AA23" s="28" t="s">
        <v>3901</v>
      </c>
      <c r="AB23" s="7"/>
      <c r="AC23" s="7"/>
      <c r="AD23" s="7"/>
      <c r="AE23" s="7"/>
      <c r="AF23" s="7">
        <v>0</v>
      </c>
      <c r="AG23" s="7">
        <f t="shared" si="7"/>
        <v>0</v>
      </c>
      <c r="AH23" s="28" t="s">
        <v>2281</v>
      </c>
      <c r="AI23" s="7">
        <v>8</v>
      </c>
      <c r="AJ23" s="7">
        <f t="shared" si="8"/>
        <v>8</v>
      </c>
      <c r="AK23" s="28" t="s">
        <v>2291</v>
      </c>
      <c r="AL23" s="7">
        <f t="shared" si="9"/>
        <v>2</v>
      </c>
      <c r="AM23" s="28" t="s">
        <v>2295</v>
      </c>
      <c r="AN23" s="7">
        <f t="shared" si="10"/>
        <v>0</v>
      </c>
      <c r="AO23" s="28" t="s">
        <v>2297</v>
      </c>
      <c r="AP23" s="7">
        <f t="shared" si="11"/>
        <v>2</v>
      </c>
      <c r="AQ23" s="28" t="s">
        <v>2301</v>
      </c>
      <c r="AR23" s="7"/>
      <c r="AS23" s="7" t="s">
        <v>3902</v>
      </c>
      <c r="AT23" s="7"/>
      <c r="AU23" s="7"/>
      <c r="AV23" s="7">
        <f t="shared" si="12"/>
        <v>8461</v>
      </c>
      <c r="AW23" s="28" t="s">
        <v>3284</v>
      </c>
      <c r="AX23" s="7">
        <v>1</v>
      </c>
      <c r="AY23" s="7">
        <f t="shared" si="13"/>
        <v>1208</v>
      </c>
      <c r="AZ23" s="28" t="s">
        <v>2423</v>
      </c>
      <c r="BA23" s="7">
        <v>0</v>
      </c>
      <c r="BB23" s="7">
        <v>10</v>
      </c>
      <c r="BC23" s="7">
        <v>0</v>
      </c>
      <c r="BD23" s="7">
        <v>10</v>
      </c>
      <c r="BE23" s="7"/>
      <c r="BF23" s="7">
        <f t="shared" si="14"/>
        <v>32</v>
      </c>
      <c r="BG23" s="28" t="s">
        <v>2459</v>
      </c>
      <c r="BH23" s="7">
        <f t="shared" si="15"/>
        <v>0</v>
      </c>
      <c r="BI23" s="28" t="s">
        <v>2486</v>
      </c>
      <c r="BJ23" s="7"/>
      <c r="BK23" s="7"/>
      <c r="BL23" s="7">
        <f t="shared" si="16"/>
        <v>10001</v>
      </c>
      <c r="BM23" s="28" t="s">
        <v>2489</v>
      </c>
      <c r="BN23" s="7" t="e">
        <f t="shared" si="17"/>
        <v>#VALUE!</v>
      </c>
      <c r="BO23" s="28"/>
      <c r="BP23" s="7"/>
      <c r="BQ23" s="7">
        <v>4000</v>
      </c>
      <c r="BR23" s="7" t="s">
        <v>3903</v>
      </c>
      <c r="BS23" s="7">
        <f t="shared" si="18"/>
        <v>0</v>
      </c>
      <c r="BT23" s="28" t="s">
        <v>2641</v>
      </c>
      <c r="BU23" s="7">
        <f t="shared" si="19"/>
        <v>2</v>
      </c>
      <c r="BV23" s="28" t="s">
        <v>3940</v>
      </c>
      <c r="BW23" s="54" t="s">
        <v>3941</v>
      </c>
      <c r="BX23" s="54" t="s">
        <v>3941</v>
      </c>
      <c r="BY23" s="7" t="e">
        <f t="shared" si="20"/>
        <v>#VALUE!</v>
      </c>
      <c r="BZ23" s="28"/>
      <c r="CA23" s="7" t="e">
        <f t="shared" si="21"/>
        <v>#VALUE!</v>
      </c>
      <c r="CB23" s="28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</row>
    <row r="24" spans="1:92" ht="13.5" customHeight="1">
      <c r="A24" s="7">
        <v>12</v>
      </c>
      <c r="B24" s="7">
        <v>416110</v>
      </c>
      <c r="C24" s="7">
        <f t="shared" si="22"/>
        <v>1</v>
      </c>
      <c r="D24" s="28" t="s">
        <v>2257</v>
      </c>
      <c r="E24" s="7">
        <f t="shared" si="0"/>
        <v>20</v>
      </c>
      <c r="F24" s="7" t="s">
        <v>3418</v>
      </c>
      <c r="G24" s="7">
        <f t="shared" si="1"/>
        <v>37</v>
      </c>
      <c r="H24" s="7" t="s">
        <v>3521</v>
      </c>
      <c r="I24" s="7">
        <f t="shared" si="2"/>
        <v>24</v>
      </c>
      <c r="J24" s="7" t="s">
        <v>3631</v>
      </c>
      <c r="K24" s="7">
        <f t="shared" si="3"/>
        <v>20</v>
      </c>
      <c r="L24" s="7" t="s">
        <v>3418</v>
      </c>
      <c r="M24" s="7">
        <f t="shared" si="4"/>
        <v>15</v>
      </c>
      <c r="N24" s="7" t="s">
        <v>3742</v>
      </c>
      <c r="O24" s="7">
        <v>1</v>
      </c>
      <c r="P24" s="7" t="s">
        <v>3810</v>
      </c>
      <c r="Q24" s="53"/>
      <c r="R24" s="7">
        <v>1</v>
      </c>
      <c r="S24" s="7">
        <v>1</v>
      </c>
      <c r="T24" s="53"/>
      <c r="U24" s="7">
        <v>1</v>
      </c>
      <c r="V24" s="7">
        <f t="shared" si="5"/>
        <v>14</v>
      </c>
      <c r="W24" s="28" t="s">
        <v>3900</v>
      </c>
      <c r="X24" s="7">
        <f t="shared" si="5"/>
        <v>14</v>
      </c>
      <c r="Y24" s="28" t="s">
        <v>3900</v>
      </c>
      <c r="Z24" s="7">
        <f t="shared" si="6"/>
        <v>1</v>
      </c>
      <c r="AA24" s="28" t="s">
        <v>3901</v>
      </c>
      <c r="AB24" s="7"/>
      <c r="AC24" s="7"/>
      <c r="AD24" s="7"/>
      <c r="AE24" s="7"/>
      <c r="AF24" s="7">
        <v>0</v>
      </c>
      <c r="AG24" s="7">
        <f t="shared" si="7"/>
        <v>0</v>
      </c>
      <c r="AH24" s="28" t="s">
        <v>2281</v>
      </c>
      <c r="AI24" s="7">
        <v>8</v>
      </c>
      <c r="AJ24" s="7">
        <f t="shared" si="8"/>
        <v>8</v>
      </c>
      <c r="AK24" s="28" t="s">
        <v>2291</v>
      </c>
      <c r="AL24" s="7">
        <f t="shared" si="9"/>
        <v>2</v>
      </c>
      <c r="AM24" s="28" t="s">
        <v>2295</v>
      </c>
      <c r="AN24" s="7">
        <f t="shared" si="10"/>
        <v>0</v>
      </c>
      <c r="AO24" s="28" t="s">
        <v>2297</v>
      </c>
      <c r="AP24" s="7">
        <f t="shared" si="11"/>
        <v>2</v>
      </c>
      <c r="AQ24" s="28" t="s">
        <v>2301</v>
      </c>
      <c r="AR24" s="7"/>
      <c r="AS24" s="7" t="s">
        <v>3902</v>
      </c>
      <c r="AT24" s="7"/>
      <c r="AU24" s="7"/>
      <c r="AV24" s="7">
        <f t="shared" si="12"/>
        <v>9300</v>
      </c>
      <c r="AW24" s="28" t="s">
        <v>3189</v>
      </c>
      <c r="AX24" s="7">
        <v>1</v>
      </c>
      <c r="AY24" s="7">
        <f t="shared" si="13"/>
        <v>1210</v>
      </c>
      <c r="AZ24" s="28" t="s">
        <v>2425</v>
      </c>
      <c r="BA24" s="7">
        <v>0</v>
      </c>
      <c r="BB24" s="7">
        <v>10</v>
      </c>
      <c r="BC24" s="7">
        <v>0</v>
      </c>
      <c r="BD24" s="7">
        <v>10</v>
      </c>
      <c r="BE24" s="7"/>
      <c r="BF24" s="7">
        <f t="shared" si="14"/>
        <v>32</v>
      </c>
      <c r="BG24" s="28" t="s">
        <v>2459</v>
      </c>
      <c r="BH24" s="7">
        <f t="shared" si="15"/>
        <v>0</v>
      </c>
      <c r="BI24" s="28" t="s">
        <v>2486</v>
      </c>
      <c r="BJ24" s="7"/>
      <c r="BK24" s="7"/>
      <c r="BL24" s="7">
        <f t="shared" si="16"/>
        <v>10001</v>
      </c>
      <c r="BM24" s="28" t="s">
        <v>2489</v>
      </c>
      <c r="BN24" s="7" t="e">
        <f t="shared" si="17"/>
        <v>#VALUE!</v>
      </c>
      <c r="BO24" s="28"/>
      <c r="BP24" s="7"/>
      <c r="BQ24" s="7">
        <v>4000</v>
      </c>
      <c r="BR24" s="7" t="s">
        <v>3903</v>
      </c>
      <c r="BS24" s="7">
        <f t="shared" si="18"/>
        <v>0</v>
      </c>
      <c r="BT24" s="28" t="s">
        <v>2641</v>
      </c>
      <c r="BU24" s="7">
        <f t="shared" si="19"/>
        <v>2</v>
      </c>
      <c r="BV24" s="28" t="s">
        <v>3940</v>
      </c>
      <c r="BW24" s="54" t="s">
        <v>3941</v>
      </c>
      <c r="BX24" s="54" t="s">
        <v>3941</v>
      </c>
      <c r="BY24" s="7" t="e">
        <f t="shared" si="20"/>
        <v>#VALUE!</v>
      </c>
      <c r="BZ24" s="28"/>
      <c r="CA24" s="7" t="e">
        <f t="shared" si="21"/>
        <v>#VALUE!</v>
      </c>
      <c r="CB24" s="28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</row>
    <row r="25" spans="1:92" ht="13.5" customHeight="1">
      <c r="A25" s="7">
        <v>13</v>
      </c>
      <c r="B25" s="7">
        <v>416111</v>
      </c>
      <c r="C25" s="7">
        <f t="shared" si="22"/>
        <v>1</v>
      </c>
      <c r="D25" s="28" t="s">
        <v>2257</v>
      </c>
      <c r="E25" s="7">
        <f t="shared" si="0"/>
        <v>36</v>
      </c>
      <c r="F25" s="7" t="s">
        <v>3419</v>
      </c>
      <c r="G25" s="7">
        <f t="shared" si="1"/>
        <v>51</v>
      </c>
      <c r="H25" s="7" t="s">
        <v>3600</v>
      </c>
      <c r="I25" s="7">
        <f t="shared" si="2"/>
        <v>44</v>
      </c>
      <c r="J25" s="7" t="s">
        <v>3632</v>
      </c>
      <c r="K25" s="7">
        <f t="shared" si="3"/>
        <v>20</v>
      </c>
      <c r="L25" s="7" t="s">
        <v>3905</v>
      </c>
      <c r="M25" s="7">
        <f t="shared" si="4"/>
        <v>20</v>
      </c>
      <c r="N25" s="7" t="s">
        <v>3905</v>
      </c>
      <c r="O25" s="7">
        <v>1</v>
      </c>
      <c r="P25" s="7" t="s">
        <v>3811</v>
      </c>
      <c r="Q25" s="53"/>
      <c r="R25" s="7">
        <v>1</v>
      </c>
      <c r="S25" s="7">
        <v>1</v>
      </c>
      <c r="T25" s="53"/>
      <c r="U25" s="7">
        <v>1</v>
      </c>
      <c r="V25" s="7">
        <f t="shared" si="5"/>
        <v>14</v>
      </c>
      <c r="W25" s="28" t="s">
        <v>3900</v>
      </c>
      <c r="X25" s="7">
        <f t="shared" si="5"/>
        <v>14</v>
      </c>
      <c r="Y25" s="28" t="s">
        <v>3900</v>
      </c>
      <c r="Z25" s="7">
        <f t="shared" si="6"/>
        <v>1</v>
      </c>
      <c r="AA25" s="28" t="s">
        <v>3901</v>
      </c>
      <c r="AB25" s="7"/>
      <c r="AC25" s="7"/>
      <c r="AD25" s="7"/>
      <c r="AE25" s="7"/>
      <c r="AF25" s="7">
        <v>0</v>
      </c>
      <c r="AG25" s="7">
        <f t="shared" si="7"/>
        <v>0</v>
      </c>
      <c r="AH25" s="28" t="s">
        <v>2281</v>
      </c>
      <c r="AI25" s="7">
        <v>8</v>
      </c>
      <c r="AJ25" s="7">
        <f t="shared" si="8"/>
        <v>8</v>
      </c>
      <c r="AK25" s="28" t="s">
        <v>2291</v>
      </c>
      <c r="AL25" s="7">
        <f t="shared" si="9"/>
        <v>2</v>
      </c>
      <c r="AM25" s="28" t="s">
        <v>2295</v>
      </c>
      <c r="AN25" s="7">
        <f t="shared" si="10"/>
        <v>0</v>
      </c>
      <c r="AO25" s="28" t="s">
        <v>2297</v>
      </c>
      <c r="AP25" s="7">
        <f t="shared" si="11"/>
        <v>2</v>
      </c>
      <c r="AQ25" s="28" t="s">
        <v>2301</v>
      </c>
      <c r="AR25" s="7"/>
      <c r="AS25" s="7" t="s">
        <v>3902</v>
      </c>
      <c r="AT25" s="7"/>
      <c r="AU25" s="7"/>
      <c r="AV25" s="7">
        <f t="shared" si="12"/>
        <v>9300</v>
      </c>
      <c r="AW25" s="28" t="s">
        <v>3189</v>
      </c>
      <c r="AX25" s="7">
        <v>1</v>
      </c>
      <c r="AY25" s="7">
        <f t="shared" si="13"/>
        <v>1210</v>
      </c>
      <c r="AZ25" s="28" t="s">
        <v>2425</v>
      </c>
      <c r="BA25" s="7">
        <v>0</v>
      </c>
      <c r="BB25" s="7">
        <v>10</v>
      </c>
      <c r="BC25" s="7">
        <v>0</v>
      </c>
      <c r="BD25" s="7">
        <v>10</v>
      </c>
      <c r="BE25" s="7"/>
      <c r="BF25" s="7">
        <f t="shared" si="14"/>
        <v>32</v>
      </c>
      <c r="BG25" s="28" t="s">
        <v>2459</v>
      </c>
      <c r="BH25" s="7">
        <f t="shared" si="15"/>
        <v>0</v>
      </c>
      <c r="BI25" s="28" t="s">
        <v>2486</v>
      </c>
      <c r="BJ25" s="7"/>
      <c r="BK25" s="7"/>
      <c r="BL25" s="7">
        <f t="shared" si="16"/>
        <v>10001</v>
      </c>
      <c r="BM25" s="28" t="s">
        <v>2489</v>
      </c>
      <c r="BN25" s="7" t="e">
        <f t="shared" si="17"/>
        <v>#VALUE!</v>
      </c>
      <c r="BO25" s="28"/>
      <c r="BP25" s="7"/>
      <c r="BQ25" s="7">
        <v>4000</v>
      </c>
      <c r="BR25" s="7" t="s">
        <v>3903</v>
      </c>
      <c r="BS25" s="7">
        <f t="shared" si="18"/>
        <v>0</v>
      </c>
      <c r="BT25" s="28" t="s">
        <v>2641</v>
      </c>
      <c r="BU25" s="7">
        <f t="shared" si="19"/>
        <v>2</v>
      </c>
      <c r="BV25" s="28" t="s">
        <v>3940</v>
      </c>
      <c r="BW25" s="54" t="s">
        <v>3941</v>
      </c>
      <c r="BX25" s="54" t="s">
        <v>3941</v>
      </c>
      <c r="BY25" s="7" t="e">
        <f t="shared" si="20"/>
        <v>#VALUE!</v>
      </c>
      <c r="BZ25" s="28"/>
      <c r="CA25" s="7" t="e">
        <f t="shared" si="21"/>
        <v>#VALUE!</v>
      </c>
      <c r="CB25" s="28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</row>
    <row r="26" spans="1:92" ht="13.5" customHeight="1">
      <c r="A26" s="7">
        <v>14</v>
      </c>
      <c r="B26" s="7">
        <v>416112</v>
      </c>
      <c r="C26" s="7">
        <f t="shared" si="22"/>
        <v>1</v>
      </c>
      <c r="D26" s="28" t="s">
        <v>2257</v>
      </c>
      <c r="E26" s="7">
        <f t="shared" si="0"/>
        <v>21</v>
      </c>
      <c r="F26" s="7" t="s">
        <v>3420</v>
      </c>
      <c r="G26" s="7">
        <f t="shared" si="1"/>
        <v>37</v>
      </c>
      <c r="H26" s="7" t="s">
        <v>3522</v>
      </c>
      <c r="I26" s="7">
        <f t="shared" si="2"/>
        <v>26</v>
      </c>
      <c r="J26" s="7" t="s">
        <v>3633</v>
      </c>
      <c r="K26" s="7">
        <f t="shared" si="3"/>
        <v>18</v>
      </c>
      <c r="L26" s="7" t="s">
        <v>3743</v>
      </c>
      <c r="M26" s="7">
        <f t="shared" si="4"/>
        <v>18</v>
      </c>
      <c r="N26" s="7" t="s">
        <v>3743</v>
      </c>
      <c r="O26" s="7">
        <v>1</v>
      </c>
      <c r="P26" s="7" t="s">
        <v>3812</v>
      </c>
      <c r="Q26" s="53"/>
      <c r="R26" s="7">
        <v>1</v>
      </c>
      <c r="S26" s="7">
        <v>1</v>
      </c>
      <c r="T26" s="53"/>
      <c r="U26" s="7">
        <v>1</v>
      </c>
      <c r="V26" s="7">
        <f t="shared" si="5"/>
        <v>14</v>
      </c>
      <c r="W26" s="28" t="s">
        <v>3900</v>
      </c>
      <c r="X26" s="7">
        <f t="shared" si="5"/>
        <v>14</v>
      </c>
      <c r="Y26" s="28" t="s">
        <v>3900</v>
      </c>
      <c r="Z26" s="7">
        <f t="shared" si="6"/>
        <v>1</v>
      </c>
      <c r="AA26" s="28" t="s">
        <v>3901</v>
      </c>
      <c r="AB26" s="7"/>
      <c r="AC26" s="7"/>
      <c r="AD26" s="7"/>
      <c r="AE26" s="7"/>
      <c r="AF26" s="7">
        <v>0</v>
      </c>
      <c r="AG26" s="7">
        <f t="shared" si="7"/>
        <v>0</v>
      </c>
      <c r="AH26" s="28" t="s">
        <v>2281</v>
      </c>
      <c r="AI26" s="7">
        <v>8</v>
      </c>
      <c r="AJ26" s="7">
        <f t="shared" si="8"/>
        <v>8</v>
      </c>
      <c r="AK26" s="28" t="s">
        <v>2291</v>
      </c>
      <c r="AL26" s="7">
        <f t="shared" si="9"/>
        <v>2</v>
      </c>
      <c r="AM26" s="28" t="s">
        <v>2295</v>
      </c>
      <c r="AN26" s="7">
        <f t="shared" si="10"/>
        <v>0</v>
      </c>
      <c r="AO26" s="28" t="s">
        <v>2297</v>
      </c>
      <c r="AP26" s="7">
        <f t="shared" si="11"/>
        <v>2</v>
      </c>
      <c r="AQ26" s="28" t="s">
        <v>2301</v>
      </c>
      <c r="AR26" s="7"/>
      <c r="AS26" s="7" t="s">
        <v>3902</v>
      </c>
      <c r="AT26" s="7"/>
      <c r="AU26" s="7"/>
      <c r="AV26" s="7">
        <f t="shared" si="12"/>
        <v>9300</v>
      </c>
      <c r="AW26" s="28" t="s">
        <v>3189</v>
      </c>
      <c r="AX26" s="7">
        <v>1</v>
      </c>
      <c r="AY26" s="7">
        <f t="shared" si="13"/>
        <v>1210</v>
      </c>
      <c r="AZ26" s="28" t="s">
        <v>2425</v>
      </c>
      <c r="BA26" s="7">
        <v>0</v>
      </c>
      <c r="BB26" s="7">
        <v>10</v>
      </c>
      <c r="BC26" s="7">
        <v>0</v>
      </c>
      <c r="BD26" s="7">
        <v>10</v>
      </c>
      <c r="BE26" s="7"/>
      <c r="BF26" s="7">
        <f t="shared" si="14"/>
        <v>32</v>
      </c>
      <c r="BG26" s="28" t="s">
        <v>2459</v>
      </c>
      <c r="BH26" s="7">
        <f t="shared" si="15"/>
        <v>0</v>
      </c>
      <c r="BI26" s="28" t="s">
        <v>2486</v>
      </c>
      <c r="BJ26" s="7"/>
      <c r="BK26" s="7"/>
      <c r="BL26" s="7">
        <f t="shared" si="16"/>
        <v>10001</v>
      </c>
      <c r="BM26" s="28" t="s">
        <v>2489</v>
      </c>
      <c r="BN26" s="7" t="e">
        <f t="shared" si="17"/>
        <v>#VALUE!</v>
      </c>
      <c r="BO26" s="28"/>
      <c r="BP26" s="7"/>
      <c r="BQ26" s="7">
        <v>4000</v>
      </c>
      <c r="BR26" s="7" t="s">
        <v>3903</v>
      </c>
      <c r="BS26" s="7">
        <f t="shared" si="18"/>
        <v>0</v>
      </c>
      <c r="BT26" s="28" t="s">
        <v>2641</v>
      </c>
      <c r="BU26" s="7">
        <f t="shared" si="19"/>
        <v>2</v>
      </c>
      <c r="BV26" s="28" t="s">
        <v>3940</v>
      </c>
      <c r="BW26" s="54" t="s">
        <v>3941</v>
      </c>
      <c r="BX26" s="54" t="s">
        <v>3941</v>
      </c>
      <c r="BY26" s="7" t="e">
        <f t="shared" si="20"/>
        <v>#VALUE!</v>
      </c>
      <c r="BZ26" s="28"/>
      <c r="CA26" s="7" t="e">
        <f t="shared" si="21"/>
        <v>#VALUE!</v>
      </c>
      <c r="CB26" s="28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</row>
    <row r="27" spans="1:92" ht="13.5" customHeight="1">
      <c r="A27" s="7">
        <v>15</v>
      </c>
      <c r="B27" s="7">
        <v>416113</v>
      </c>
      <c r="C27" s="7">
        <f t="shared" si="22"/>
        <v>1</v>
      </c>
      <c r="D27" s="28" t="s">
        <v>2257</v>
      </c>
      <c r="E27" s="7">
        <f t="shared" si="0"/>
        <v>20</v>
      </c>
      <c r="F27" s="7" t="s">
        <v>3421</v>
      </c>
      <c r="G27" s="7">
        <f t="shared" si="1"/>
        <v>38</v>
      </c>
      <c r="H27" s="7" t="s">
        <v>3523</v>
      </c>
      <c r="I27" s="7">
        <f t="shared" si="2"/>
        <v>24</v>
      </c>
      <c r="J27" s="7" t="s">
        <v>3634</v>
      </c>
      <c r="K27" s="7">
        <f t="shared" si="3"/>
        <v>20</v>
      </c>
      <c r="L27" s="7" t="s">
        <v>3421</v>
      </c>
      <c r="M27" s="7">
        <f t="shared" si="4"/>
        <v>14</v>
      </c>
      <c r="N27" s="7" t="s">
        <v>3744</v>
      </c>
      <c r="O27" s="7">
        <v>1</v>
      </c>
      <c r="P27" s="7" t="s">
        <v>3813</v>
      </c>
      <c r="Q27" s="53"/>
      <c r="R27" s="7">
        <v>1</v>
      </c>
      <c r="S27" s="7">
        <v>1</v>
      </c>
      <c r="T27" s="53"/>
      <c r="U27" s="7">
        <v>1</v>
      </c>
      <c r="V27" s="7">
        <f t="shared" si="5"/>
        <v>14</v>
      </c>
      <c r="W27" s="28" t="s">
        <v>3900</v>
      </c>
      <c r="X27" s="7">
        <f t="shared" si="5"/>
        <v>14</v>
      </c>
      <c r="Y27" s="28" t="s">
        <v>3900</v>
      </c>
      <c r="Z27" s="7">
        <f t="shared" si="6"/>
        <v>1</v>
      </c>
      <c r="AA27" s="28" t="s">
        <v>3901</v>
      </c>
      <c r="AB27" s="7"/>
      <c r="AC27" s="7"/>
      <c r="AD27" s="7"/>
      <c r="AE27" s="7"/>
      <c r="AF27" s="7">
        <v>0</v>
      </c>
      <c r="AG27" s="7">
        <f t="shared" si="7"/>
        <v>0</v>
      </c>
      <c r="AH27" s="28" t="s">
        <v>2281</v>
      </c>
      <c r="AI27" s="7">
        <v>8</v>
      </c>
      <c r="AJ27" s="7">
        <f t="shared" si="8"/>
        <v>8</v>
      </c>
      <c r="AK27" s="28" t="s">
        <v>2291</v>
      </c>
      <c r="AL27" s="7">
        <f t="shared" si="9"/>
        <v>2</v>
      </c>
      <c r="AM27" s="28" t="s">
        <v>2295</v>
      </c>
      <c r="AN27" s="7">
        <f t="shared" si="10"/>
        <v>0</v>
      </c>
      <c r="AO27" s="28" t="s">
        <v>2297</v>
      </c>
      <c r="AP27" s="7">
        <f t="shared" si="11"/>
        <v>2</v>
      </c>
      <c r="AQ27" s="28" t="s">
        <v>2301</v>
      </c>
      <c r="AR27" s="7"/>
      <c r="AS27" s="7" t="s">
        <v>3902</v>
      </c>
      <c r="AT27" s="7"/>
      <c r="AU27" s="7"/>
      <c r="AV27" s="7">
        <f t="shared" si="12"/>
        <v>9300</v>
      </c>
      <c r="AW27" s="28" t="s">
        <v>3189</v>
      </c>
      <c r="AX27" s="7">
        <v>1</v>
      </c>
      <c r="AY27" s="7">
        <f t="shared" si="13"/>
        <v>1210</v>
      </c>
      <c r="AZ27" s="28" t="s">
        <v>2425</v>
      </c>
      <c r="BA27" s="7">
        <v>0</v>
      </c>
      <c r="BB27" s="7">
        <v>10</v>
      </c>
      <c r="BC27" s="7">
        <v>0</v>
      </c>
      <c r="BD27" s="7">
        <v>10</v>
      </c>
      <c r="BE27" s="7"/>
      <c r="BF27" s="7">
        <f t="shared" si="14"/>
        <v>32</v>
      </c>
      <c r="BG27" s="28" t="s">
        <v>2459</v>
      </c>
      <c r="BH27" s="7">
        <f t="shared" si="15"/>
        <v>0</v>
      </c>
      <c r="BI27" s="28" t="s">
        <v>2486</v>
      </c>
      <c r="BJ27" s="7"/>
      <c r="BK27" s="7"/>
      <c r="BL27" s="7">
        <f t="shared" si="16"/>
        <v>10001</v>
      </c>
      <c r="BM27" s="28" t="s">
        <v>2489</v>
      </c>
      <c r="BN27" s="7" t="e">
        <f t="shared" si="17"/>
        <v>#VALUE!</v>
      </c>
      <c r="BO27" s="28"/>
      <c r="BP27" s="7"/>
      <c r="BQ27" s="7">
        <v>4000</v>
      </c>
      <c r="BR27" s="7" t="s">
        <v>3903</v>
      </c>
      <c r="BS27" s="7">
        <f t="shared" si="18"/>
        <v>0</v>
      </c>
      <c r="BT27" s="28" t="s">
        <v>2641</v>
      </c>
      <c r="BU27" s="7">
        <f t="shared" si="19"/>
        <v>2</v>
      </c>
      <c r="BV27" s="28" t="s">
        <v>3940</v>
      </c>
      <c r="BW27" s="54" t="s">
        <v>3941</v>
      </c>
      <c r="BX27" s="54" t="s">
        <v>3941</v>
      </c>
      <c r="BY27" s="7" t="e">
        <f t="shared" si="20"/>
        <v>#VALUE!</v>
      </c>
      <c r="BZ27" s="28"/>
      <c r="CA27" s="7" t="e">
        <f t="shared" si="21"/>
        <v>#VALUE!</v>
      </c>
      <c r="CB27" s="28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</row>
    <row r="28" spans="1:92" ht="13.5" customHeight="1">
      <c r="A28" s="7">
        <v>16</v>
      </c>
      <c r="B28" s="7">
        <v>416114</v>
      </c>
      <c r="C28" s="7">
        <f t="shared" si="22"/>
        <v>1</v>
      </c>
      <c r="D28" s="28" t="s">
        <v>2257</v>
      </c>
      <c r="E28" s="7">
        <f t="shared" si="0"/>
        <v>12</v>
      </c>
      <c r="F28" s="7" t="s">
        <v>3422</v>
      </c>
      <c r="G28" s="7">
        <f t="shared" si="1"/>
        <v>25</v>
      </c>
      <c r="H28" s="7" t="s">
        <v>3524</v>
      </c>
      <c r="I28" s="7">
        <f t="shared" si="2"/>
        <v>16</v>
      </c>
      <c r="J28" s="7" t="s">
        <v>3635</v>
      </c>
      <c r="K28" s="7">
        <f t="shared" si="3"/>
        <v>12</v>
      </c>
      <c r="L28" s="7" t="s">
        <v>3422</v>
      </c>
      <c r="M28" s="7">
        <f t="shared" si="4"/>
        <v>11</v>
      </c>
      <c r="N28" s="7" t="s">
        <v>3745</v>
      </c>
      <c r="O28" s="7">
        <v>1</v>
      </c>
      <c r="P28" s="7"/>
      <c r="Q28" s="53"/>
      <c r="R28" s="7">
        <v>1</v>
      </c>
      <c r="S28" s="7">
        <v>1</v>
      </c>
      <c r="T28" s="53"/>
      <c r="U28" s="7">
        <v>1</v>
      </c>
      <c r="V28" s="7">
        <f t="shared" si="5"/>
        <v>14</v>
      </c>
      <c r="W28" s="28" t="s">
        <v>3900</v>
      </c>
      <c r="X28" s="7">
        <f t="shared" si="5"/>
        <v>14</v>
      </c>
      <c r="Y28" s="28" t="s">
        <v>3900</v>
      </c>
      <c r="Z28" s="7">
        <f t="shared" si="6"/>
        <v>1</v>
      </c>
      <c r="AA28" s="28" t="s">
        <v>3901</v>
      </c>
      <c r="AB28" s="7"/>
      <c r="AC28" s="7"/>
      <c r="AD28" s="7"/>
      <c r="AE28" s="7"/>
      <c r="AF28" s="7">
        <v>0</v>
      </c>
      <c r="AG28" s="7">
        <f t="shared" si="7"/>
        <v>0</v>
      </c>
      <c r="AH28" s="28" t="s">
        <v>2281</v>
      </c>
      <c r="AI28" s="7">
        <v>8</v>
      </c>
      <c r="AJ28" s="7">
        <f t="shared" si="8"/>
        <v>8</v>
      </c>
      <c r="AK28" s="28" t="s">
        <v>2291</v>
      </c>
      <c r="AL28" s="7">
        <f t="shared" si="9"/>
        <v>2</v>
      </c>
      <c r="AM28" s="28" t="s">
        <v>2295</v>
      </c>
      <c r="AN28" s="7">
        <f t="shared" si="10"/>
        <v>0</v>
      </c>
      <c r="AO28" s="28" t="s">
        <v>2297</v>
      </c>
      <c r="AP28" s="7">
        <f t="shared" si="11"/>
        <v>2</v>
      </c>
      <c r="AQ28" s="28" t="s">
        <v>2301</v>
      </c>
      <c r="AR28" s="7"/>
      <c r="AS28" s="7" t="s">
        <v>3902</v>
      </c>
      <c r="AT28" s="7"/>
      <c r="AU28" s="7"/>
      <c r="AV28" s="7">
        <f t="shared" si="12"/>
        <v>9300</v>
      </c>
      <c r="AW28" s="28" t="s">
        <v>3189</v>
      </c>
      <c r="AX28" s="7">
        <v>1</v>
      </c>
      <c r="AY28" s="7">
        <f t="shared" si="13"/>
        <v>1210</v>
      </c>
      <c r="AZ28" s="28" t="s">
        <v>2425</v>
      </c>
      <c r="BA28" s="7">
        <v>0</v>
      </c>
      <c r="BB28" s="7">
        <v>10</v>
      </c>
      <c r="BC28" s="7">
        <v>0</v>
      </c>
      <c r="BD28" s="7">
        <v>10</v>
      </c>
      <c r="BE28" s="7"/>
      <c r="BF28" s="7">
        <f t="shared" si="14"/>
        <v>32</v>
      </c>
      <c r="BG28" s="28" t="s">
        <v>2459</v>
      </c>
      <c r="BH28" s="7">
        <f t="shared" si="15"/>
        <v>0</v>
      </c>
      <c r="BI28" s="28" t="s">
        <v>2486</v>
      </c>
      <c r="BJ28" s="7"/>
      <c r="BK28" s="7"/>
      <c r="BL28" s="7">
        <f t="shared" si="16"/>
        <v>10001</v>
      </c>
      <c r="BM28" s="28" t="s">
        <v>2489</v>
      </c>
      <c r="BN28" s="7" t="e">
        <f t="shared" si="17"/>
        <v>#VALUE!</v>
      </c>
      <c r="BO28" s="28"/>
      <c r="BP28" s="7"/>
      <c r="BQ28" s="7">
        <v>4000</v>
      </c>
      <c r="BR28" s="7" t="s">
        <v>3903</v>
      </c>
      <c r="BS28" s="7">
        <f t="shared" si="18"/>
        <v>0</v>
      </c>
      <c r="BT28" s="28" t="s">
        <v>2641</v>
      </c>
      <c r="BU28" s="7">
        <f t="shared" si="19"/>
        <v>2</v>
      </c>
      <c r="BV28" s="28" t="s">
        <v>3940</v>
      </c>
      <c r="BW28" s="54" t="s">
        <v>3941</v>
      </c>
      <c r="BX28" s="54" t="s">
        <v>3941</v>
      </c>
      <c r="BY28" s="7" t="e">
        <f t="shared" si="20"/>
        <v>#VALUE!</v>
      </c>
      <c r="BZ28" s="28"/>
      <c r="CA28" s="7" t="e">
        <f t="shared" si="21"/>
        <v>#VALUE!</v>
      </c>
      <c r="CB28" s="28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</row>
    <row r="29" spans="1:92" ht="13.5" customHeight="1">
      <c r="A29" s="7">
        <v>17</v>
      </c>
      <c r="B29" s="7">
        <v>416115</v>
      </c>
      <c r="C29" s="7">
        <f t="shared" si="22"/>
        <v>1</v>
      </c>
      <c r="D29" s="28" t="s">
        <v>2257</v>
      </c>
      <c r="E29" s="7">
        <f t="shared" si="0"/>
        <v>20</v>
      </c>
      <c r="F29" s="7" t="s">
        <v>3423</v>
      </c>
      <c r="G29" s="7">
        <f t="shared" si="1"/>
        <v>38</v>
      </c>
      <c r="H29" s="7" t="s">
        <v>3525</v>
      </c>
      <c r="I29" s="7">
        <f t="shared" si="2"/>
        <v>27</v>
      </c>
      <c r="J29" s="7" t="s">
        <v>3636</v>
      </c>
      <c r="K29" s="7">
        <f t="shared" si="3"/>
        <v>20</v>
      </c>
      <c r="L29" s="7" t="s">
        <v>3423</v>
      </c>
      <c r="M29" s="7">
        <f t="shared" si="4"/>
        <v>17</v>
      </c>
      <c r="N29" s="7" t="s">
        <v>3746</v>
      </c>
      <c r="O29" s="7">
        <v>1</v>
      </c>
      <c r="P29" s="7" t="s">
        <v>3814</v>
      </c>
      <c r="Q29" s="53"/>
      <c r="R29" s="7">
        <v>1</v>
      </c>
      <c r="S29" s="7">
        <v>1</v>
      </c>
      <c r="T29" s="53"/>
      <c r="U29" s="7">
        <v>1</v>
      </c>
      <c r="V29" s="7">
        <f t="shared" si="5"/>
        <v>14</v>
      </c>
      <c r="W29" s="28" t="s">
        <v>3900</v>
      </c>
      <c r="X29" s="7">
        <f t="shared" si="5"/>
        <v>14</v>
      </c>
      <c r="Y29" s="28" t="s">
        <v>3900</v>
      </c>
      <c r="Z29" s="7">
        <f t="shared" si="6"/>
        <v>1</v>
      </c>
      <c r="AA29" s="28" t="s">
        <v>3901</v>
      </c>
      <c r="AB29" s="7"/>
      <c r="AC29" s="7"/>
      <c r="AD29" s="7"/>
      <c r="AE29" s="7"/>
      <c r="AF29" s="7">
        <v>0</v>
      </c>
      <c r="AG29" s="7">
        <f t="shared" si="7"/>
        <v>0</v>
      </c>
      <c r="AH29" s="28" t="s">
        <v>2281</v>
      </c>
      <c r="AI29" s="7">
        <v>8</v>
      </c>
      <c r="AJ29" s="7">
        <f t="shared" si="8"/>
        <v>8</v>
      </c>
      <c r="AK29" s="28" t="s">
        <v>2291</v>
      </c>
      <c r="AL29" s="7">
        <f t="shared" si="9"/>
        <v>2</v>
      </c>
      <c r="AM29" s="28" t="s">
        <v>2295</v>
      </c>
      <c r="AN29" s="7">
        <f t="shared" si="10"/>
        <v>0</v>
      </c>
      <c r="AO29" s="28" t="s">
        <v>2297</v>
      </c>
      <c r="AP29" s="7">
        <f t="shared" si="11"/>
        <v>2</v>
      </c>
      <c r="AQ29" s="28" t="s">
        <v>2301</v>
      </c>
      <c r="AR29" s="7"/>
      <c r="AS29" s="7" t="s">
        <v>3902</v>
      </c>
      <c r="AT29" s="7"/>
      <c r="AU29" s="7"/>
      <c r="AV29" s="7">
        <f t="shared" si="12"/>
        <v>9300</v>
      </c>
      <c r="AW29" s="28" t="s">
        <v>3189</v>
      </c>
      <c r="AX29" s="7">
        <v>1</v>
      </c>
      <c r="AY29" s="7">
        <f t="shared" si="13"/>
        <v>1210</v>
      </c>
      <c r="AZ29" s="28" t="s">
        <v>2425</v>
      </c>
      <c r="BA29" s="7">
        <v>0</v>
      </c>
      <c r="BB29" s="7">
        <v>10</v>
      </c>
      <c r="BC29" s="7">
        <v>0</v>
      </c>
      <c r="BD29" s="7">
        <v>10</v>
      </c>
      <c r="BE29" s="7"/>
      <c r="BF29" s="7">
        <f t="shared" si="14"/>
        <v>32</v>
      </c>
      <c r="BG29" s="28" t="s">
        <v>2459</v>
      </c>
      <c r="BH29" s="7">
        <f t="shared" si="15"/>
        <v>0</v>
      </c>
      <c r="BI29" s="28" t="s">
        <v>2486</v>
      </c>
      <c r="BJ29" s="7"/>
      <c r="BK29" s="7"/>
      <c r="BL29" s="7">
        <f t="shared" si="16"/>
        <v>10001</v>
      </c>
      <c r="BM29" s="28" t="s">
        <v>2489</v>
      </c>
      <c r="BN29" s="7" t="e">
        <f t="shared" si="17"/>
        <v>#VALUE!</v>
      </c>
      <c r="BO29" s="28"/>
      <c r="BP29" s="7"/>
      <c r="BQ29" s="7">
        <v>4000</v>
      </c>
      <c r="BR29" s="7" t="s">
        <v>3903</v>
      </c>
      <c r="BS29" s="7">
        <f t="shared" si="18"/>
        <v>0</v>
      </c>
      <c r="BT29" s="28" t="s">
        <v>2641</v>
      </c>
      <c r="BU29" s="7">
        <f t="shared" si="19"/>
        <v>2</v>
      </c>
      <c r="BV29" s="28" t="s">
        <v>3940</v>
      </c>
      <c r="BW29" s="54" t="s">
        <v>3941</v>
      </c>
      <c r="BX29" s="54" t="s">
        <v>3941</v>
      </c>
      <c r="BY29" s="7" t="e">
        <f t="shared" si="20"/>
        <v>#VALUE!</v>
      </c>
      <c r="BZ29" s="28"/>
      <c r="CA29" s="7" t="e">
        <f t="shared" si="21"/>
        <v>#VALUE!</v>
      </c>
      <c r="CB29" s="28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</row>
    <row r="30" spans="1:92" ht="13.5" customHeight="1">
      <c r="A30" s="7">
        <v>18</v>
      </c>
      <c r="B30" s="7">
        <v>416116</v>
      </c>
      <c r="C30" s="7">
        <f t="shared" si="22"/>
        <v>1</v>
      </c>
      <c r="D30" s="28" t="s">
        <v>2257</v>
      </c>
      <c r="E30" s="7">
        <f t="shared" si="0"/>
        <v>29</v>
      </c>
      <c r="F30" s="7" t="s">
        <v>3424</v>
      </c>
      <c r="G30" s="7">
        <f t="shared" si="1"/>
        <v>46</v>
      </c>
      <c r="H30" s="7" t="s">
        <v>3526</v>
      </c>
      <c r="I30" s="7">
        <f t="shared" si="2"/>
        <v>30</v>
      </c>
      <c r="J30" s="7" t="s">
        <v>3637</v>
      </c>
      <c r="K30" s="7">
        <f t="shared" si="3"/>
        <v>20</v>
      </c>
      <c r="L30" s="7" t="s">
        <v>3939</v>
      </c>
      <c r="M30" s="7">
        <f t="shared" si="4"/>
        <v>20</v>
      </c>
      <c r="N30" s="7" t="s">
        <v>3939</v>
      </c>
      <c r="O30" s="7">
        <v>1</v>
      </c>
      <c r="P30" s="7" t="s">
        <v>3815</v>
      </c>
      <c r="Q30" s="53"/>
      <c r="R30" s="7">
        <v>1</v>
      </c>
      <c r="S30" s="7">
        <v>1</v>
      </c>
      <c r="T30" s="53"/>
      <c r="U30" s="7">
        <v>1</v>
      </c>
      <c r="V30" s="7">
        <f t="shared" ref="V30:X45" si="23">ABS(LEFT(W30,2))</f>
        <v>14</v>
      </c>
      <c r="W30" s="28" t="s">
        <v>3900</v>
      </c>
      <c r="X30" s="7">
        <f t="shared" si="23"/>
        <v>14</v>
      </c>
      <c r="Y30" s="28" t="s">
        <v>3900</v>
      </c>
      <c r="Z30" s="7">
        <f t="shared" si="6"/>
        <v>1</v>
      </c>
      <c r="AA30" s="28" t="s">
        <v>3901</v>
      </c>
      <c r="AB30" s="7"/>
      <c r="AC30" s="7"/>
      <c r="AD30" s="7"/>
      <c r="AE30" s="7"/>
      <c r="AF30" s="7">
        <v>0</v>
      </c>
      <c r="AG30" s="7">
        <f t="shared" si="7"/>
        <v>0</v>
      </c>
      <c r="AH30" s="28" t="s">
        <v>2281</v>
      </c>
      <c r="AI30" s="7">
        <v>8</v>
      </c>
      <c r="AJ30" s="7">
        <f t="shared" si="8"/>
        <v>8</v>
      </c>
      <c r="AK30" s="28" t="s">
        <v>2291</v>
      </c>
      <c r="AL30" s="7">
        <f t="shared" si="9"/>
        <v>2</v>
      </c>
      <c r="AM30" s="28" t="s">
        <v>2295</v>
      </c>
      <c r="AN30" s="7">
        <f t="shared" si="10"/>
        <v>0</v>
      </c>
      <c r="AO30" s="28" t="s">
        <v>2297</v>
      </c>
      <c r="AP30" s="7">
        <f t="shared" si="11"/>
        <v>2</v>
      </c>
      <c r="AQ30" s="28" t="s">
        <v>2301</v>
      </c>
      <c r="AR30" s="7"/>
      <c r="AS30" s="7" t="s">
        <v>3902</v>
      </c>
      <c r="AT30" s="7"/>
      <c r="AU30" s="7"/>
      <c r="AV30" s="7">
        <f t="shared" si="12"/>
        <v>9300</v>
      </c>
      <c r="AW30" s="28" t="s">
        <v>3189</v>
      </c>
      <c r="AX30" s="7">
        <v>1</v>
      </c>
      <c r="AY30" s="7">
        <f t="shared" si="13"/>
        <v>1210</v>
      </c>
      <c r="AZ30" s="28" t="s">
        <v>2425</v>
      </c>
      <c r="BA30" s="7">
        <v>0</v>
      </c>
      <c r="BB30" s="7">
        <v>10</v>
      </c>
      <c r="BC30" s="7">
        <v>0</v>
      </c>
      <c r="BD30" s="7">
        <v>10</v>
      </c>
      <c r="BE30" s="7"/>
      <c r="BF30" s="7">
        <f t="shared" si="14"/>
        <v>32</v>
      </c>
      <c r="BG30" s="28" t="s">
        <v>2459</v>
      </c>
      <c r="BH30" s="7">
        <f t="shared" si="15"/>
        <v>0</v>
      </c>
      <c r="BI30" s="28" t="s">
        <v>2486</v>
      </c>
      <c r="BJ30" s="7"/>
      <c r="BK30" s="7"/>
      <c r="BL30" s="7">
        <f t="shared" si="16"/>
        <v>10001</v>
      </c>
      <c r="BM30" s="28" t="s">
        <v>2489</v>
      </c>
      <c r="BN30" s="7" t="e">
        <f t="shared" si="17"/>
        <v>#VALUE!</v>
      </c>
      <c r="BO30" s="28"/>
      <c r="BP30" s="7"/>
      <c r="BQ30" s="7">
        <v>4000</v>
      </c>
      <c r="BR30" s="7" t="s">
        <v>3903</v>
      </c>
      <c r="BS30" s="7">
        <f t="shared" si="18"/>
        <v>0</v>
      </c>
      <c r="BT30" s="28" t="s">
        <v>2641</v>
      </c>
      <c r="BU30" s="7">
        <f t="shared" si="19"/>
        <v>2</v>
      </c>
      <c r="BV30" s="28" t="s">
        <v>3940</v>
      </c>
      <c r="BW30" s="54" t="s">
        <v>3941</v>
      </c>
      <c r="BX30" s="54" t="s">
        <v>3941</v>
      </c>
      <c r="BY30" s="7" t="e">
        <f t="shared" si="20"/>
        <v>#VALUE!</v>
      </c>
      <c r="BZ30" s="28"/>
      <c r="CA30" s="7" t="e">
        <f t="shared" si="21"/>
        <v>#VALUE!</v>
      </c>
      <c r="CB30" s="28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 ht="13.5" customHeight="1">
      <c r="A31" s="7">
        <v>19</v>
      </c>
      <c r="B31" s="7">
        <v>416117</v>
      </c>
      <c r="C31" s="7">
        <f t="shared" si="22"/>
        <v>1</v>
      </c>
      <c r="D31" s="28" t="s">
        <v>2257</v>
      </c>
      <c r="E31" s="7">
        <f t="shared" si="0"/>
        <v>18</v>
      </c>
      <c r="F31" s="7" t="s">
        <v>3425</v>
      </c>
      <c r="G31" s="7">
        <f t="shared" si="1"/>
        <v>36</v>
      </c>
      <c r="H31" s="7" t="s">
        <v>3527</v>
      </c>
      <c r="I31" s="7">
        <f t="shared" si="2"/>
        <v>24</v>
      </c>
      <c r="J31" s="7" t="s">
        <v>3638</v>
      </c>
      <c r="K31" s="7">
        <f t="shared" si="3"/>
        <v>18</v>
      </c>
      <c r="L31" s="7" t="s">
        <v>3425</v>
      </c>
      <c r="M31" s="7">
        <f t="shared" si="4"/>
        <v>14</v>
      </c>
      <c r="N31" s="7" t="s">
        <v>3747</v>
      </c>
      <c r="O31" s="7">
        <v>1</v>
      </c>
      <c r="P31" s="7">
        <v>49701</v>
      </c>
      <c r="Q31" s="53"/>
      <c r="R31" s="7">
        <v>1</v>
      </c>
      <c r="S31" s="7">
        <v>1</v>
      </c>
      <c r="T31" s="53"/>
      <c r="U31" s="7">
        <v>1</v>
      </c>
      <c r="V31" s="7">
        <f t="shared" si="23"/>
        <v>14</v>
      </c>
      <c r="W31" s="28" t="s">
        <v>3900</v>
      </c>
      <c r="X31" s="7">
        <f t="shared" si="23"/>
        <v>14</v>
      </c>
      <c r="Y31" s="28" t="s">
        <v>3900</v>
      </c>
      <c r="Z31" s="7">
        <f t="shared" si="6"/>
        <v>1</v>
      </c>
      <c r="AA31" s="28" t="s">
        <v>3901</v>
      </c>
      <c r="AB31" s="7"/>
      <c r="AC31" s="7"/>
      <c r="AD31" s="7"/>
      <c r="AE31" s="7"/>
      <c r="AF31" s="7">
        <v>0</v>
      </c>
      <c r="AG31" s="7">
        <f t="shared" si="7"/>
        <v>0</v>
      </c>
      <c r="AH31" s="28" t="s">
        <v>2281</v>
      </c>
      <c r="AI31" s="7">
        <v>8</v>
      </c>
      <c r="AJ31" s="7">
        <f t="shared" si="8"/>
        <v>8</v>
      </c>
      <c r="AK31" s="28" t="s">
        <v>2291</v>
      </c>
      <c r="AL31" s="7">
        <f t="shared" si="9"/>
        <v>2</v>
      </c>
      <c r="AM31" s="28" t="s">
        <v>2295</v>
      </c>
      <c r="AN31" s="7">
        <f t="shared" si="10"/>
        <v>0</v>
      </c>
      <c r="AO31" s="28" t="s">
        <v>2297</v>
      </c>
      <c r="AP31" s="7">
        <f t="shared" si="11"/>
        <v>2</v>
      </c>
      <c r="AQ31" s="28" t="s">
        <v>2301</v>
      </c>
      <c r="AR31" s="7"/>
      <c r="AS31" s="7" t="s">
        <v>3902</v>
      </c>
      <c r="AT31" s="7"/>
      <c r="AU31" s="7"/>
      <c r="AV31" s="7">
        <f t="shared" si="12"/>
        <v>9300</v>
      </c>
      <c r="AW31" s="28" t="s">
        <v>3189</v>
      </c>
      <c r="AX31" s="7">
        <v>1</v>
      </c>
      <c r="AY31" s="7">
        <f t="shared" si="13"/>
        <v>1210</v>
      </c>
      <c r="AZ31" s="28" t="s">
        <v>2425</v>
      </c>
      <c r="BA31" s="7">
        <v>0</v>
      </c>
      <c r="BB31" s="7">
        <v>10</v>
      </c>
      <c r="BC31" s="7">
        <v>0</v>
      </c>
      <c r="BD31" s="7">
        <v>10</v>
      </c>
      <c r="BE31" s="7"/>
      <c r="BF31" s="7">
        <f t="shared" si="14"/>
        <v>32</v>
      </c>
      <c r="BG31" s="28" t="s">
        <v>2459</v>
      </c>
      <c r="BH31" s="7">
        <f t="shared" si="15"/>
        <v>0</v>
      </c>
      <c r="BI31" s="28" t="s">
        <v>2486</v>
      </c>
      <c r="BJ31" s="7"/>
      <c r="BK31" s="7"/>
      <c r="BL31" s="7">
        <f t="shared" si="16"/>
        <v>10001</v>
      </c>
      <c r="BM31" s="28" t="s">
        <v>2489</v>
      </c>
      <c r="BN31" s="7" t="e">
        <f t="shared" si="17"/>
        <v>#VALUE!</v>
      </c>
      <c r="BO31" s="28"/>
      <c r="BP31" s="7"/>
      <c r="BQ31" s="7">
        <v>4000</v>
      </c>
      <c r="BR31" s="7" t="s">
        <v>3903</v>
      </c>
      <c r="BS31" s="7">
        <f t="shared" si="18"/>
        <v>0</v>
      </c>
      <c r="BT31" s="28" t="s">
        <v>2641</v>
      </c>
      <c r="BU31" s="7">
        <f t="shared" si="19"/>
        <v>2</v>
      </c>
      <c r="BV31" s="28" t="s">
        <v>3940</v>
      </c>
      <c r="BW31" s="54" t="s">
        <v>3941</v>
      </c>
      <c r="BX31" s="54" t="s">
        <v>3941</v>
      </c>
      <c r="BY31" s="7" t="e">
        <f t="shared" si="20"/>
        <v>#VALUE!</v>
      </c>
      <c r="BZ31" s="28"/>
      <c r="CA31" s="7" t="e">
        <f t="shared" si="21"/>
        <v>#VALUE!</v>
      </c>
      <c r="CB31" s="28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</row>
    <row r="32" spans="1:92" ht="13.5" customHeight="1">
      <c r="A32" s="7">
        <v>20</v>
      </c>
      <c r="B32" s="7">
        <v>416118</v>
      </c>
      <c r="C32" s="7">
        <f t="shared" si="22"/>
        <v>1</v>
      </c>
      <c r="D32" s="28" t="s">
        <v>2257</v>
      </c>
      <c r="E32" s="7">
        <f t="shared" si="0"/>
        <v>50</v>
      </c>
      <c r="F32" s="7" t="s">
        <v>3426</v>
      </c>
      <c r="G32" s="7">
        <f t="shared" si="1"/>
        <v>48</v>
      </c>
      <c r="H32" s="7" t="s">
        <v>3601</v>
      </c>
      <c r="I32" s="7">
        <f t="shared" si="2"/>
        <v>35</v>
      </c>
      <c r="J32" s="7" t="s">
        <v>3727</v>
      </c>
      <c r="K32" s="7">
        <f t="shared" si="3"/>
        <v>20</v>
      </c>
      <c r="L32" s="7" t="s">
        <v>3906</v>
      </c>
      <c r="M32" s="7">
        <f t="shared" si="4"/>
        <v>20</v>
      </c>
      <c r="N32" s="7" t="s">
        <v>3906</v>
      </c>
      <c r="O32" s="7">
        <v>1</v>
      </c>
      <c r="P32" s="7" t="s">
        <v>3816</v>
      </c>
      <c r="Q32" s="53"/>
      <c r="R32" s="7">
        <v>1</v>
      </c>
      <c r="S32" s="7">
        <v>1</v>
      </c>
      <c r="T32" s="53"/>
      <c r="U32" s="7">
        <v>1</v>
      </c>
      <c r="V32" s="7">
        <f t="shared" si="23"/>
        <v>14</v>
      </c>
      <c r="W32" s="28" t="s">
        <v>3900</v>
      </c>
      <c r="X32" s="7">
        <f t="shared" si="23"/>
        <v>14</v>
      </c>
      <c r="Y32" s="28" t="s">
        <v>3900</v>
      </c>
      <c r="Z32" s="7">
        <f t="shared" si="6"/>
        <v>1</v>
      </c>
      <c r="AA32" s="28" t="s">
        <v>3901</v>
      </c>
      <c r="AB32" s="7"/>
      <c r="AC32" s="7"/>
      <c r="AD32" s="7"/>
      <c r="AE32" s="7"/>
      <c r="AF32" s="7">
        <v>0</v>
      </c>
      <c r="AG32" s="7">
        <f t="shared" si="7"/>
        <v>0</v>
      </c>
      <c r="AH32" s="28" t="s">
        <v>2281</v>
      </c>
      <c r="AI32" s="7">
        <v>8</v>
      </c>
      <c r="AJ32" s="7">
        <f t="shared" si="8"/>
        <v>8</v>
      </c>
      <c r="AK32" s="28" t="s">
        <v>2291</v>
      </c>
      <c r="AL32" s="7">
        <f t="shared" si="9"/>
        <v>2</v>
      </c>
      <c r="AM32" s="28" t="s">
        <v>2295</v>
      </c>
      <c r="AN32" s="7">
        <f t="shared" si="10"/>
        <v>0</v>
      </c>
      <c r="AO32" s="28" t="s">
        <v>2297</v>
      </c>
      <c r="AP32" s="7">
        <f t="shared" si="11"/>
        <v>2</v>
      </c>
      <c r="AQ32" s="28" t="s">
        <v>2301</v>
      </c>
      <c r="AR32" s="7"/>
      <c r="AS32" s="7" t="s">
        <v>3902</v>
      </c>
      <c r="AT32" s="7"/>
      <c r="AU32" s="7"/>
      <c r="AV32" s="7">
        <f t="shared" si="12"/>
        <v>9300</v>
      </c>
      <c r="AW32" s="28" t="s">
        <v>3189</v>
      </c>
      <c r="AX32" s="7">
        <v>1</v>
      </c>
      <c r="AY32" s="7">
        <f t="shared" si="13"/>
        <v>1210</v>
      </c>
      <c r="AZ32" s="28" t="s">
        <v>2425</v>
      </c>
      <c r="BA32" s="7">
        <v>0</v>
      </c>
      <c r="BB32" s="7">
        <v>10</v>
      </c>
      <c r="BC32" s="7">
        <v>0</v>
      </c>
      <c r="BD32" s="7">
        <v>10</v>
      </c>
      <c r="BE32" s="7"/>
      <c r="BF32" s="7">
        <f t="shared" si="14"/>
        <v>32</v>
      </c>
      <c r="BG32" s="28" t="s">
        <v>2459</v>
      </c>
      <c r="BH32" s="7">
        <f t="shared" si="15"/>
        <v>0</v>
      </c>
      <c r="BI32" s="28" t="s">
        <v>2486</v>
      </c>
      <c r="BJ32" s="7"/>
      <c r="BK32" s="7"/>
      <c r="BL32" s="7">
        <f t="shared" si="16"/>
        <v>10001</v>
      </c>
      <c r="BM32" s="28" t="s">
        <v>2489</v>
      </c>
      <c r="BN32" s="7" t="e">
        <f t="shared" si="17"/>
        <v>#VALUE!</v>
      </c>
      <c r="BO32" s="28"/>
      <c r="BP32" s="7"/>
      <c r="BQ32" s="7">
        <v>4000</v>
      </c>
      <c r="BR32" s="7" t="s">
        <v>3903</v>
      </c>
      <c r="BS32" s="7">
        <f t="shared" si="18"/>
        <v>0</v>
      </c>
      <c r="BT32" s="28" t="s">
        <v>2641</v>
      </c>
      <c r="BU32" s="7">
        <f t="shared" si="19"/>
        <v>2</v>
      </c>
      <c r="BV32" s="28" t="s">
        <v>3940</v>
      </c>
      <c r="BW32" s="54" t="s">
        <v>3941</v>
      </c>
      <c r="BX32" s="54" t="s">
        <v>3941</v>
      </c>
      <c r="BY32" s="7" t="e">
        <f t="shared" si="20"/>
        <v>#VALUE!</v>
      </c>
      <c r="BZ32" s="28"/>
      <c r="CA32" s="7" t="e">
        <f t="shared" si="21"/>
        <v>#VALUE!</v>
      </c>
      <c r="CB32" s="28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</row>
    <row r="33" spans="1:92" ht="13.5" customHeight="1">
      <c r="A33" s="7">
        <v>21</v>
      </c>
      <c r="B33" s="7">
        <v>416119</v>
      </c>
      <c r="C33" s="7">
        <f t="shared" si="22"/>
        <v>1</v>
      </c>
      <c r="D33" s="28" t="s">
        <v>2257</v>
      </c>
      <c r="E33" s="7">
        <f t="shared" si="0"/>
        <v>28</v>
      </c>
      <c r="F33" s="7" t="s">
        <v>3427</v>
      </c>
      <c r="G33" s="7">
        <f t="shared" si="1"/>
        <v>47</v>
      </c>
      <c r="H33" s="7" t="s">
        <v>3528</v>
      </c>
      <c r="I33" s="7">
        <f t="shared" si="2"/>
        <v>27</v>
      </c>
      <c r="J33" s="7" t="s">
        <v>3639</v>
      </c>
      <c r="K33" s="7">
        <f t="shared" si="3"/>
        <v>16</v>
      </c>
      <c r="L33" s="7" t="s">
        <v>3748</v>
      </c>
      <c r="M33" s="7">
        <f t="shared" si="4"/>
        <v>16</v>
      </c>
      <c r="N33" s="7" t="s">
        <v>3748</v>
      </c>
      <c r="O33" s="7">
        <v>1</v>
      </c>
      <c r="P33" s="7">
        <v>430199</v>
      </c>
      <c r="Q33" s="53"/>
      <c r="R33" s="7">
        <v>1</v>
      </c>
      <c r="S33" s="7">
        <v>1</v>
      </c>
      <c r="T33" s="53"/>
      <c r="U33" s="7">
        <v>1</v>
      </c>
      <c r="V33" s="7">
        <f t="shared" si="23"/>
        <v>14</v>
      </c>
      <c r="W33" s="28" t="s">
        <v>3900</v>
      </c>
      <c r="X33" s="7">
        <f t="shared" si="23"/>
        <v>14</v>
      </c>
      <c r="Y33" s="28" t="s">
        <v>3900</v>
      </c>
      <c r="Z33" s="7">
        <f t="shared" si="6"/>
        <v>1</v>
      </c>
      <c r="AA33" s="28" t="s">
        <v>3901</v>
      </c>
      <c r="AB33" s="7"/>
      <c r="AC33" s="7"/>
      <c r="AD33" s="7"/>
      <c r="AE33" s="7"/>
      <c r="AF33" s="7">
        <v>0</v>
      </c>
      <c r="AG33" s="7">
        <f t="shared" si="7"/>
        <v>0</v>
      </c>
      <c r="AH33" s="28" t="s">
        <v>2281</v>
      </c>
      <c r="AI33" s="7">
        <v>8</v>
      </c>
      <c r="AJ33" s="7">
        <f t="shared" si="8"/>
        <v>8</v>
      </c>
      <c r="AK33" s="28" t="s">
        <v>2291</v>
      </c>
      <c r="AL33" s="7">
        <f t="shared" si="9"/>
        <v>2</v>
      </c>
      <c r="AM33" s="28" t="s">
        <v>2295</v>
      </c>
      <c r="AN33" s="7">
        <f t="shared" si="10"/>
        <v>0</v>
      </c>
      <c r="AO33" s="28" t="s">
        <v>2297</v>
      </c>
      <c r="AP33" s="7">
        <f t="shared" si="11"/>
        <v>2</v>
      </c>
      <c r="AQ33" s="28" t="s">
        <v>2301</v>
      </c>
      <c r="AR33" s="7"/>
      <c r="AS33" s="7" t="s">
        <v>3902</v>
      </c>
      <c r="AT33" s="7"/>
      <c r="AU33" s="7"/>
      <c r="AV33" s="7">
        <f t="shared" si="12"/>
        <v>9300</v>
      </c>
      <c r="AW33" s="28" t="s">
        <v>3189</v>
      </c>
      <c r="AX33" s="7">
        <v>1</v>
      </c>
      <c r="AY33" s="7">
        <f t="shared" si="13"/>
        <v>1210</v>
      </c>
      <c r="AZ33" s="28" t="s">
        <v>2425</v>
      </c>
      <c r="BA33" s="7">
        <v>0</v>
      </c>
      <c r="BB33" s="7">
        <v>10</v>
      </c>
      <c r="BC33" s="7">
        <v>0</v>
      </c>
      <c r="BD33" s="7">
        <v>10</v>
      </c>
      <c r="BE33" s="7"/>
      <c r="BF33" s="7">
        <f t="shared" si="14"/>
        <v>32</v>
      </c>
      <c r="BG33" s="28" t="s">
        <v>2459</v>
      </c>
      <c r="BH33" s="7">
        <f t="shared" si="15"/>
        <v>0</v>
      </c>
      <c r="BI33" s="28" t="s">
        <v>2486</v>
      </c>
      <c r="BJ33" s="7"/>
      <c r="BK33" s="7"/>
      <c r="BL33" s="7">
        <f t="shared" si="16"/>
        <v>10001</v>
      </c>
      <c r="BM33" s="28" t="s">
        <v>2489</v>
      </c>
      <c r="BN33" s="7" t="e">
        <f t="shared" si="17"/>
        <v>#VALUE!</v>
      </c>
      <c r="BO33" s="28"/>
      <c r="BP33" s="7"/>
      <c r="BQ33" s="7">
        <v>4000</v>
      </c>
      <c r="BR33" s="7" t="s">
        <v>3903</v>
      </c>
      <c r="BS33" s="7">
        <f t="shared" si="18"/>
        <v>0</v>
      </c>
      <c r="BT33" s="28" t="s">
        <v>2641</v>
      </c>
      <c r="BU33" s="7">
        <f t="shared" si="19"/>
        <v>2</v>
      </c>
      <c r="BV33" s="28" t="s">
        <v>3940</v>
      </c>
      <c r="BW33" s="54" t="s">
        <v>3941</v>
      </c>
      <c r="BX33" s="54" t="s">
        <v>3941</v>
      </c>
      <c r="BY33" s="7" t="e">
        <f t="shared" si="20"/>
        <v>#VALUE!</v>
      </c>
      <c r="BZ33" s="28"/>
      <c r="CA33" s="7" t="e">
        <f t="shared" si="21"/>
        <v>#VALUE!</v>
      </c>
      <c r="CB33" s="28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</row>
    <row r="34" spans="1:92" ht="13.5" customHeight="1">
      <c r="A34" s="7">
        <v>22</v>
      </c>
      <c r="B34" s="7">
        <v>416145</v>
      </c>
      <c r="C34" s="7">
        <f t="shared" si="22"/>
        <v>1</v>
      </c>
      <c r="D34" s="28" t="s">
        <v>2257</v>
      </c>
      <c r="E34" s="7">
        <f t="shared" si="0"/>
        <v>17</v>
      </c>
      <c r="F34" s="7" t="s">
        <v>3428</v>
      </c>
      <c r="G34" s="7">
        <f t="shared" si="1"/>
        <v>30</v>
      </c>
      <c r="H34" s="7" t="s">
        <v>3529</v>
      </c>
      <c r="I34" s="7">
        <f t="shared" si="2"/>
        <v>13</v>
      </c>
      <c r="J34" s="7" t="s">
        <v>3734</v>
      </c>
      <c r="K34" s="7">
        <f t="shared" si="3"/>
        <v>17</v>
      </c>
      <c r="L34" s="7" t="s">
        <v>3428</v>
      </c>
      <c r="M34" s="7">
        <f t="shared" si="4"/>
        <v>13</v>
      </c>
      <c r="N34" s="7" t="s">
        <v>3749</v>
      </c>
      <c r="O34" s="7">
        <v>1</v>
      </c>
      <c r="P34" s="7"/>
      <c r="Q34" s="53"/>
      <c r="R34" s="7">
        <v>1</v>
      </c>
      <c r="S34" s="7">
        <v>1</v>
      </c>
      <c r="T34" s="53"/>
      <c r="U34" s="7">
        <v>1</v>
      </c>
      <c r="V34" s="7">
        <f t="shared" si="23"/>
        <v>14</v>
      </c>
      <c r="W34" s="28" t="s">
        <v>3900</v>
      </c>
      <c r="X34" s="7">
        <f t="shared" si="23"/>
        <v>14</v>
      </c>
      <c r="Y34" s="28" t="s">
        <v>3900</v>
      </c>
      <c r="Z34" s="7">
        <f t="shared" si="6"/>
        <v>1</v>
      </c>
      <c r="AA34" s="28" t="s">
        <v>3901</v>
      </c>
      <c r="AB34" s="7"/>
      <c r="AC34" s="7"/>
      <c r="AD34" s="7"/>
      <c r="AE34" s="7"/>
      <c r="AF34" s="7">
        <v>0</v>
      </c>
      <c r="AG34" s="7">
        <f t="shared" si="7"/>
        <v>0</v>
      </c>
      <c r="AH34" s="28" t="s">
        <v>2281</v>
      </c>
      <c r="AI34" s="7">
        <v>8</v>
      </c>
      <c r="AJ34" s="7">
        <f t="shared" si="8"/>
        <v>8</v>
      </c>
      <c r="AK34" s="28" t="s">
        <v>2291</v>
      </c>
      <c r="AL34" s="7">
        <f t="shared" si="9"/>
        <v>2</v>
      </c>
      <c r="AM34" s="28" t="s">
        <v>2295</v>
      </c>
      <c r="AN34" s="7">
        <f t="shared" si="10"/>
        <v>0</v>
      </c>
      <c r="AO34" s="28" t="s">
        <v>2297</v>
      </c>
      <c r="AP34" s="7">
        <f t="shared" si="11"/>
        <v>2</v>
      </c>
      <c r="AQ34" s="28" t="s">
        <v>2301</v>
      </c>
      <c r="AR34" s="7"/>
      <c r="AS34" s="7" t="s">
        <v>3902</v>
      </c>
      <c r="AT34" s="7"/>
      <c r="AU34" s="7"/>
      <c r="AV34" s="7">
        <f t="shared" si="12"/>
        <v>9300</v>
      </c>
      <c r="AW34" s="28" t="s">
        <v>3189</v>
      </c>
      <c r="AX34" s="7">
        <v>1</v>
      </c>
      <c r="AY34" s="7">
        <f t="shared" si="13"/>
        <v>1210</v>
      </c>
      <c r="AZ34" s="28" t="s">
        <v>2425</v>
      </c>
      <c r="BA34" s="7">
        <v>0</v>
      </c>
      <c r="BB34" s="7">
        <v>10</v>
      </c>
      <c r="BC34" s="7">
        <v>0</v>
      </c>
      <c r="BD34" s="7">
        <v>10</v>
      </c>
      <c r="BE34" s="7"/>
      <c r="BF34" s="7">
        <f t="shared" si="14"/>
        <v>32</v>
      </c>
      <c r="BG34" s="28" t="s">
        <v>2459</v>
      </c>
      <c r="BH34" s="7">
        <f t="shared" si="15"/>
        <v>0</v>
      </c>
      <c r="BI34" s="28" t="s">
        <v>2486</v>
      </c>
      <c r="BJ34" s="7"/>
      <c r="BK34" s="7"/>
      <c r="BL34" s="7">
        <f t="shared" si="16"/>
        <v>10001</v>
      </c>
      <c r="BM34" s="28" t="s">
        <v>2489</v>
      </c>
      <c r="BN34" s="7" t="e">
        <f t="shared" si="17"/>
        <v>#VALUE!</v>
      </c>
      <c r="BO34" s="28"/>
      <c r="BP34" s="7"/>
      <c r="BQ34" s="7">
        <v>4000</v>
      </c>
      <c r="BR34" s="7" t="s">
        <v>3903</v>
      </c>
      <c r="BS34" s="7">
        <f t="shared" si="18"/>
        <v>0</v>
      </c>
      <c r="BT34" s="28" t="s">
        <v>2641</v>
      </c>
      <c r="BU34" s="7">
        <f t="shared" si="19"/>
        <v>2</v>
      </c>
      <c r="BV34" s="28" t="s">
        <v>3940</v>
      </c>
      <c r="BW34" s="54" t="s">
        <v>3941</v>
      </c>
      <c r="BX34" s="54" t="s">
        <v>3941</v>
      </c>
      <c r="BY34" s="7" t="e">
        <f t="shared" si="20"/>
        <v>#VALUE!</v>
      </c>
      <c r="BZ34" s="28"/>
      <c r="CA34" s="7" t="e">
        <f t="shared" si="21"/>
        <v>#VALUE!</v>
      </c>
      <c r="CB34" s="28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</row>
    <row r="35" spans="1:92" ht="13.5" customHeight="1">
      <c r="A35" s="7">
        <v>23</v>
      </c>
      <c r="B35" s="7">
        <v>416146</v>
      </c>
      <c r="C35" s="7">
        <f t="shared" si="22"/>
        <v>1</v>
      </c>
      <c r="D35" s="28" t="s">
        <v>2257</v>
      </c>
      <c r="E35" s="7">
        <f t="shared" si="0"/>
        <v>25</v>
      </c>
      <c r="F35" s="6" t="s">
        <v>3429</v>
      </c>
      <c r="G35" s="7">
        <f t="shared" si="1"/>
        <v>38</v>
      </c>
      <c r="H35" s="7" t="s">
        <v>3530</v>
      </c>
      <c r="I35" s="7">
        <f t="shared" si="2"/>
        <v>24</v>
      </c>
      <c r="J35" s="7" t="s">
        <v>3640</v>
      </c>
      <c r="K35" s="7">
        <f t="shared" si="3"/>
        <v>19</v>
      </c>
      <c r="L35" s="7" t="s">
        <v>3750</v>
      </c>
      <c r="M35" s="7">
        <f t="shared" si="4"/>
        <v>19</v>
      </c>
      <c r="N35" s="7" t="s">
        <v>3750</v>
      </c>
      <c r="O35" s="7">
        <v>1</v>
      </c>
      <c r="P35" s="7"/>
      <c r="Q35" s="53"/>
      <c r="R35" s="7">
        <v>1</v>
      </c>
      <c r="S35" s="7">
        <v>1</v>
      </c>
      <c r="T35" s="53"/>
      <c r="U35" s="7">
        <v>1</v>
      </c>
      <c r="V35" s="7">
        <f t="shared" si="23"/>
        <v>14</v>
      </c>
      <c r="W35" s="28" t="s">
        <v>3900</v>
      </c>
      <c r="X35" s="7">
        <f t="shared" si="23"/>
        <v>14</v>
      </c>
      <c r="Y35" s="28" t="s">
        <v>3900</v>
      </c>
      <c r="Z35" s="7">
        <f t="shared" si="6"/>
        <v>1</v>
      </c>
      <c r="AA35" s="28" t="s">
        <v>3901</v>
      </c>
      <c r="AB35" s="7"/>
      <c r="AC35" s="7"/>
      <c r="AD35" s="7"/>
      <c r="AE35" s="7"/>
      <c r="AF35" s="7">
        <v>0</v>
      </c>
      <c r="AG35" s="7">
        <f t="shared" si="7"/>
        <v>0</v>
      </c>
      <c r="AH35" s="28" t="s">
        <v>2281</v>
      </c>
      <c r="AI35" s="7">
        <v>8</v>
      </c>
      <c r="AJ35" s="7">
        <f t="shared" si="8"/>
        <v>8</v>
      </c>
      <c r="AK35" s="28" t="s">
        <v>2291</v>
      </c>
      <c r="AL35" s="7">
        <f t="shared" si="9"/>
        <v>2</v>
      </c>
      <c r="AM35" s="28" t="s">
        <v>2295</v>
      </c>
      <c r="AN35" s="7">
        <f t="shared" si="10"/>
        <v>0</v>
      </c>
      <c r="AO35" s="28" t="s">
        <v>2297</v>
      </c>
      <c r="AP35" s="7">
        <f t="shared" si="11"/>
        <v>2</v>
      </c>
      <c r="AQ35" s="28" t="s">
        <v>2301</v>
      </c>
      <c r="AR35" s="7"/>
      <c r="AS35" s="7" t="s">
        <v>3902</v>
      </c>
      <c r="AT35" s="7"/>
      <c r="AU35" s="7"/>
      <c r="AV35" s="7">
        <f t="shared" si="12"/>
        <v>9300</v>
      </c>
      <c r="AW35" s="28" t="s">
        <v>3189</v>
      </c>
      <c r="AX35" s="7">
        <v>1</v>
      </c>
      <c r="AY35" s="7">
        <f t="shared" si="13"/>
        <v>1210</v>
      </c>
      <c r="AZ35" s="28" t="s">
        <v>2425</v>
      </c>
      <c r="BA35" s="7">
        <v>0</v>
      </c>
      <c r="BB35" s="7">
        <v>10</v>
      </c>
      <c r="BC35" s="7">
        <v>0</v>
      </c>
      <c r="BD35" s="7">
        <v>10</v>
      </c>
      <c r="BE35" s="7"/>
      <c r="BF35" s="7">
        <f t="shared" si="14"/>
        <v>32</v>
      </c>
      <c r="BG35" s="28" t="s">
        <v>2459</v>
      </c>
      <c r="BH35" s="7">
        <f t="shared" si="15"/>
        <v>0</v>
      </c>
      <c r="BI35" s="28" t="s">
        <v>2486</v>
      </c>
      <c r="BJ35" s="7"/>
      <c r="BK35" s="7"/>
      <c r="BL35" s="7">
        <f t="shared" si="16"/>
        <v>10001</v>
      </c>
      <c r="BM35" s="28" t="s">
        <v>2489</v>
      </c>
      <c r="BN35" s="7" t="e">
        <f t="shared" si="17"/>
        <v>#VALUE!</v>
      </c>
      <c r="BO35" s="28"/>
      <c r="BP35" s="7"/>
      <c r="BQ35" s="7">
        <v>4000</v>
      </c>
      <c r="BR35" s="7" t="s">
        <v>3903</v>
      </c>
      <c r="BS35" s="7">
        <f t="shared" si="18"/>
        <v>0</v>
      </c>
      <c r="BT35" s="28" t="s">
        <v>2641</v>
      </c>
      <c r="BU35" s="7">
        <f t="shared" si="19"/>
        <v>2</v>
      </c>
      <c r="BV35" s="28" t="s">
        <v>3940</v>
      </c>
      <c r="BW35" s="54" t="s">
        <v>3941</v>
      </c>
      <c r="BX35" s="54" t="s">
        <v>3941</v>
      </c>
      <c r="BY35" s="7" t="e">
        <f t="shared" si="20"/>
        <v>#VALUE!</v>
      </c>
      <c r="BZ35" s="28"/>
      <c r="CA35" s="7" t="e">
        <f t="shared" si="21"/>
        <v>#VALUE!</v>
      </c>
      <c r="CB35" s="28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</row>
    <row r="36" spans="1:92" ht="13.5" customHeight="1">
      <c r="A36" s="7">
        <v>24</v>
      </c>
      <c r="B36" s="7">
        <v>416147</v>
      </c>
      <c r="C36" s="7">
        <f t="shared" si="22"/>
        <v>1</v>
      </c>
      <c r="D36" s="28" t="s">
        <v>2257</v>
      </c>
      <c r="E36" s="7">
        <f t="shared" si="0"/>
        <v>21</v>
      </c>
      <c r="F36" s="6" t="s">
        <v>3430</v>
      </c>
      <c r="G36" s="7">
        <f t="shared" si="1"/>
        <v>41</v>
      </c>
      <c r="H36" s="7" t="s">
        <v>3531</v>
      </c>
      <c r="I36" s="7">
        <f t="shared" si="2"/>
        <v>28</v>
      </c>
      <c r="J36" s="7" t="s">
        <v>3641</v>
      </c>
      <c r="K36" s="7">
        <f t="shared" si="3"/>
        <v>16</v>
      </c>
      <c r="L36" s="7" t="s">
        <v>3751</v>
      </c>
      <c r="M36" s="7">
        <f t="shared" si="4"/>
        <v>16</v>
      </c>
      <c r="N36" s="7" t="s">
        <v>3751</v>
      </c>
      <c r="O36" s="7">
        <v>1</v>
      </c>
      <c r="P36" s="7" t="s">
        <v>3817</v>
      </c>
      <c r="Q36" s="53"/>
      <c r="R36" s="7">
        <v>1</v>
      </c>
      <c r="S36" s="7">
        <v>1</v>
      </c>
      <c r="T36" s="53"/>
      <c r="U36" s="7">
        <v>1</v>
      </c>
      <c r="V36" s="7">
        <f t="shared" si="23"/>
        <v>14</v>
      </c>
      <c r="W36" s="28" t="s">
        <v>3900</v>
      </c>
      <c r="X36" s="7">
        <f t="shared" si="23"/>
        <v>14</v>
      </c>
      <c r="Y36" s="28" t="s">
        <v>3900</v>
      </c>
      <c r="Z36" s="7">
        <f t="shared" si="6"/>
        <v>1</v>
      </c>
      <c r="AA36" s="28" t="s">
        <v>3901</v>
      </c>
      <c r="AB36" s="7"/>
      <c r="AC36" s="7"/>
      <c r="AD36" s="7"/>
      <c r="AE36" s="7"/>
      <c r="AF36" s="7">
        <v>0</v>
      </c>
      <c r="AG36" s="7">
        <f t="shared" si="7"/>
        <v>0</v>
      </c>
      <c r="AH36" s="28" t="s">
        <v>2281</v>
      </c>
      <c r="AI36" s="7">
        <v>8</v>
      </c>
      <c r="AJ36" s="7">
        <f t="shared" si="8"/>
        <v>8</v>
      </c>
      <c r="AK36" s="28" t="s">
        <v>2291</v>
      </c>
      <c r="AL36" s="7">
        <f t="shared" si="9"/>
        <v>2</v>
      </c>
      <c r="AM36" s="28" t="s">
        <v>2295</v>
      </c>
      <c r="AN36" s="7">
        <f t="shared" si="10"/>
        <v>0</v>
      </c>
      <c r="AO36" s="28" t="s">
        <v>2297</v>
      </c>
      <c r="AP36" s="7">
        <f t="shared" si="11"/>
        <v>2</v>
      </c>
      <c r="AQ36" s="28" t="s">
        <v>2301</v>
      </c>
      <c r="AR36" s="7"/>
      <c r="AS36" s="7" t="s">
        <v>3902</v>
      </c>
      <c r="AT36" s="7"/>
      <c r="AU36" s="7"/>
      <c r="AV36" s="7">
        <f t="shared" si="12"/>
        <v>9300</v>
      </c>
      <c r="AW36" s="28" t="s">
        <v>3189</v>
      </c>
      <c r="AX36" s="7">
        <v>1</v>
      </c>
      <c r="AY36" s="7">
        <f t="shared" si="13"/>
        <v>1210</v>
      </c>
      <c r="AZ36" s="28" t="s">
        <v>2425</v>
      </c>
      <c r="BA36" s="7">
        <v>0</v>
      </c>
      <c r="BB36" s="7">
        <v>10</v>
      </c>
      <c r="BC36" s="7">
        <v>0</v>
      </c>
      <c r="BD36" s="7">
        <v>10</v>
      </c>
      <c r="BE36" s="7"/>
      <c r="BF36" s="7">
        <f t="shared" si="14"/>
        <v>32</v>
      </c>
      <c r="BG36" s="28" t="s">
        <v>2459</v>
      </c>
      <c r="BH36" s="7">
        <f t="shared" si="15"/>
        <v>0</v>
      </c>
      <c r="BI36" s="28" t="s">
        <v>2486</v>
      </c>
      <c r="BJ36" s="7"/>
      <c r="BK36" s="7"/>
      <c r="BL36" s="7">
        <f t="shared" si="16"/>
        <v>10001</v>
      </c>
      <c r="BM36" s="28" t="s">
        <v>2489</v>
      </c>
      <c r="BN36" s="7" t="e">
        <f t="shared" si="17"/>
        <v>#VALUE!</v>
      </c>
      <c r="BO36" s="28"/>
      <c r="BP36" s="7"/>
      <c r="BQ36" s="7">
        <v>4000</v>
      </c>
      <c r="BR36" s="7" t="s">
        <v>3903</v>
      </c>
      <c r="BS36" s="7">
        <f t="shared" si="18"/>
        <v>0</v>
      </c>
      <c r="BT36" s="28" t="s">
        <v>2641</v>
      </c>
      <c r="BU36" s="7">
        <f t="shared" si="19"/>
        <v>2</v>
      </c>
      <c r="BV36" s="28" t="s">
        <v>3940</v>
      </c>
      <c r="BW36" s="54" t="s">
        <v>3941</v>
      </c>
      <c r="BX36" s="54" t="s">
        <v>3941</v>
      </c>
      <c r="BY36" s="7" t="e">
        <f t="shared" si="20"/>
        <v>#VALUE!</v>
      </c>
      <c r="BZ36" s="28"/>
      <c r="CA36" s="7" t="e">
        <f t="shared" si="21"/>
        <v>#VALUE!</v>
      </c>
      <c r="CB36" s="28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</row>
    <row r="37" spans="1:92" ht="13.5" customHeight="1">
      <c r="A37" s="7">
        <v>25</v>
      </c>
      <c r="B37" s="7">
        <v>416148</v>
      </c>
      <c r="C37" s="7">
        <f t="shared" si="22"/>
        <v>1</v>
      </c>
      <c r="D37" s="28" t="s">
        <v>2257</v>
      </c>
      <c r="E37" s="7">
        <f t="shared" si="0"/>
        <v>17</v>
      </c>
      <c r="F37" s="6" t="s">
        <v>3431</v>
      </c>
      <c r="G37" s="7">
        <f t="shared" si="1"/>
        <v>41</v>
      </c>
      <c r="H37" s="7" t="s">
        <v>3532</v>
      </c>
      <c r="I37" s="7">
        <f t="shared" si="2"/>
        <v>27</v>
      </c>
      <c r="J37" s="7" t="s">
        <v>3642</v>
      </c>
      <c r="K37" s="7">
        <f t="shared" si="3"/>
        <v>17</v>
      </c>
      <c r="L37" s="7" t="s">
        <v>3431</v>
      </c>
      <c r="M37" s="7">
        <f t="shared" si="4"/>
        <v>11</v>
      </c>
      <c r="N37" s="7" t="s">
        <v>3752</v>
      </c>
      <c r="O37" s="7">
        <v>1</v>
      </c>
      <c r="P37" s="7" t="s">
        <v>3818</v>
      </c>
      <c r="Q37" s="53"/>
      <c r="R37" s="7">
        <v>1</v>
      </c>
      <c r="S37" s="7">
        <v>1</v>
      </c>
      <c r="T37" s="53"/>
      <c r="U37" s="7">
        <v>1</v>
      </c>
      <c r="V37" s="7">
        <f t="shared" si="23"/>
        <v>14</v>
      </c>
      <c r="W37" s="28" t="s">
        <v>3900</v>
      </c>
      <c r="X37" s="7">
        <f t="shared" si="23"/>
        <v>14</v>
      </c>
      <c r="Y37" s="28" t="s">
        <v>3900</v>
      </c>
      <c r="Z37" s="7">
        <f t="shared" si="6"/>
        <v>1</v>
      </c>
      <c r="AA37" s="28" t="s">
        <v>3901</v>
      </c>
      <c r="AB37" s="7"/>
      <c r="AC37" s="7"/>
      <c r="AD37" s="7"/>
      <c r="AE37" s="7"/>
      <c r="AF37" s="7">
        <v>0</v>
      </c>
      <c r="AG37" s="7">
        <f t="shared" si="7"/>
        <v>0</v>
      </c>
      <c r="AH37" s="28" t="s">
        <v>2281</v>
      </c>
      <c r="AI37" s="7">
        <v>8</v>
      </c>
      <c r="AJ37" s="7">
        <f t="shared" si="8"/>
        <v>8</v>
      </c>
      <c r="AK37" s="28" t="s">
        <v>2291</v>
      </c>
      <c r="AL37" s="7">
        <f t="shared" si="9"/>
        <v>2</v>
      </c>
      <c r="AM37" s="28" t="s">
        <v>2295</v>
      </c>
      <c r="AN37" s="7">
        <f t="shared" si="10"/>
        <v>0</v>
      </c>
      <c r="AO37" s="28" t="s">
        <v>2297</v>
      </c>
      <c r="AP37" s="7">
        <f t="shared" si="11"/>
        <v>2</v>
      </c>
      <c r="AQ37" s="28" t="s">
        <v>2301</v>
      </c>
      <c r="AR37" s="7"/>
      <c r="AS37" s="7" t="s">
        <v>3902</v>
      </c>
      <c r="AT37" s="7"/>
      <c r="AU37" s="7"/>
      <c r="AV37" s="7">
        <f t="shared" si="12"/>
        <v>9300</v>
      </c>
      <c r="AW37" s="28" t="s">
        <v>3189</v>
      </c>
      <c r="AX37" s="7">
        <v>1</v>
      </c>
      <c r="AY37" s="7">
        <f t="shared" si="13"/>
        <v>1210</v>
      </c>
      <c r="AZ37" s="28" t="s">
        <v>2425</v>
      </c>
      <c r="BA37" s="7">
        <v>0</v>
      </c>
      <c r="BB37" s="7">
        <v>10</v>
      </c>
      <c r="BC37" s="7">
        <v>0</v>
      </c>
      <c r="BD37" s="7">
        <v>10</v>
      </c>
      <c r="BE37" s="7"/>
      <c r="BF37" s="7">
        <f t="shared" si="14"/>
        <v>32</v>
      </c>
      <c r="BG37" s="28" t="s">
        <v>2459</v>
      </c>
      <c r="BH37" s="7">
        <f t="shared" si="15"/>
        <v>0</v>
      </c>
      <c r="BI37" s="28" t="s">
        <v>2486</v>
      </c>
      <c r="BJ37" s="7"/>
      <c r="BK37" s="7"/>
      <c r="BL37" s="7">
        <f t="shared" si="16"/>
        <v>10001</v>
      </c>
      <c r="BM37" s="28" t="s">
        <v>2489</v>
      </c>
      <c r="BN37" s="7" t="e">
        <f t="shared" si="17"/>
        <v>#VALUE!</v>
      </c>
      <c r="BO37" s="28"/>
      <c r="BP37" s="7"/>
      <c r="BQ37" s="7">
        <v>4000</v>
      </c>
      <c r="BR37" s="7" t="s">
        <v>3903</v>
      </c>
      <c r="BS37" s="7">
        <f t="shared" si="18"/>
        <v>0</v>
      </c>
      <c r="BT37" s="28" t="s">
        <v>2641</v>
      </c>
      <c r="BU37" s="7">
        <f t="shared" si="19"/>
        <v>2</v>
      </c>
      <c r="BV37" s="28" t="s">
        <v>3940</v>
      </c>
      <c r="BW37" s="54" t="s">
        <v>3941</v>
      </c>
      <c r="BX37" s="54" t="s">
        <v>3941</v>
      </c>
      <c r="BY37" s="7" t="e">
        <f t="shared" si="20"/>
        <v>#VALUE!</v>
      </c>
      <c r="BZ37" s="28"/>
      <c r="CA37" s="7" t="e">
        <f t="shared" si="21"/>
        <v>#VALUE!</v>
      </c>
      <c r="CB37" s="28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</row>
    <row r="38" spans="1:92" ht="13.5" customHeight="1">
      <c r="A38" s="7">
        <v>26</v>
      </c>
      <c r="B38" s="7">
        <v>416149</v>
      </c>
      <c r="C38" s="7">
        <f t="shared" si="22"/>
        <v>1</v>
      </c>
      <c r="D38" s="28" t="s">
        <v>2257</v>
      </c>
      <c r="E38" s="7">
        <f t="shared" si="0"/>
        <v>23</v>
      </c>
      <c r="F38" s="6" t="s">
        <v>3432</v>
      </c>
      <c r="G38" s="7">
        <f t="shared" si="1"/>
        <v>42</v>
      </c>
      <c r="H38" s="7" t="s">
        <v>3533</v>
      </c>
      <c r="I38" s="7">
        <f t="shared" si="2"/>
        <v>28</v>
      </c>
      <c r="J38" s="7" t="s">
        <v>3643</v>
      </c>
      <c r="K38" s="7">
        <f t="shared" si="3"/>
        <v>17</v>
      </c>
      <c r="L38" s="7" t="s">
        <v>3753</v>
      </c>
      <c r="M38" s="7">
        <f t="shared" si="4"/>
        <v>17</v>
      </c>
      <c r="N38" s="7" t="s">
        <v>3753</v>
      </c>
      <c r="O38" s="7">
        <v>1</v>
      </c>
      <c r="P38" s="7" t="s">
        <v>3819</v>
      </c>
      <c r="Q38" s="53"/>
      <c r="R38" s="7">
        <v>1</v>
      </c>
      <c r="S38" s="7">
        <v>1</v>
      </c>
      <c r="T38" s="53"/>
      <c r="U38" s="7">
        <v>1</v>
      </c>
      <c r="V38" s="7">
        <f t="shared" si="23"/>
        <v>14</v>
      </c>
      <c r="W38" s="28" t="s">
        <v>3900</v>
      </c>
      <c r="X38" s="7">
        <f t="shared" si="23"/>
        <v>14</v>
      </c>
      <c r="Y38" s="28" t="s">
        <v>3900</v>
      </c>
      <c r="Z38" s="7">
        <f t="shared" si="6"/>
        <v>1</v>
      </c>
      <c r="AA38" s="28" t="s">
        <v>3901</v>
      </c>
      <c r="AB38" s="7"/>
      <c r="AC38" s="7"/>
      <c r="AD38" s="7"/>
      <c r="AE38" s="7"/>
      <c r="AF38" s="7">
        <v>0</v>
      </c>
      <c r="AG38" s="7">
        <f t="shared" si="7"/>
        <v>0</v>
      </c>
      <c r="AH38" s="28" t="s">
        <v>2281</v>
      </c>
      <c r="AI38" s="7">
        <v>8</v>
      </c>
      <c r="AJ38" s="7">
        <f t="shared" si="8"/>
        <v>8</v>
      </c>
      <c r="AK38" s="28" t="s">
        <v>2291</v>
      </c>
      <c r="AL38" s="7">
        <f t="shared" si="9"/>
        <v>2</v>
      </c>
      <c r="AM38" s="28" t="s">
        <v>2295</v>
      </c>
      <c r="AN38" s="7">
        <f t="shared" si="10"/>
        <v>0</v>
      </c>
      <c r="AO38" s="28" t="s">
        <v>2297</v>
      </c>
      <c r="AP38" s="7">
        <f t="shared" si="11"/>
        <v>2</v>
      </c>
      <c r="AQ38" s="28" t="s">
        <v>2301</v>
      </c>
      <c r="AR38" s="7"/>
      <c r="AS38" s="7" t="s">
        <v>3902</v>
      </c>
      <c r="AT38" s="7"/>
      <c r="AU38" s="7"/>
      <c r="AV38" s="7">
        <f t="shared" si="12"/>
        <v>9300</v>
      </c>
      <c r="AW38" s="28" t="s">
        <v>3189</v>
      </c>
      <c r="AX38" s="7">
        <v>1</v>
      </c>
      <c r="AY38" s="7">
        <f t="shared" si="13"/>
        <v>1210</v>
      </c>
      <c r="AZ38" s="28" t="s">
        <v>2425</v>
      </c>
      <c r="BA38" s="7">
        <v>0</v>
      </c>
      <c r="BB38" s="7">
        <v>10</v>
      </c>
      <c r="BC38" s="7">
        <v>0</v>
      </c>
      <c r="BD38" s="7">
        <v>10</v>
      </c>
      <c r="BE38" s="7"/>
      <c r="BF38" s="7">
        <f t="shared" si="14"/>
        <v>32</v>
      </c>
      <c r="BG38" s="28" t="s">
        <v>2459</v>
      </c>
      <c r="BH38" s="7">
        <f t="shared" si="15"/>
        <v>0</v>
      </c>
      <c r="BI38" s="28" t="s">
        <v>2486</v>
      </c>
      <c r="BJ38" s="7"/>
      <c r="BK38" s="7"/>
      <c r="BL38" s="7">
        <f t="shared" si="16"/>
        <v>10001</v>
      </c>
      <c r="BM38" s="28" t="s">
        <v>2489</v>
      </c>
      <c r="BN38" s="7" t="e">
        <f t="shared" si="17"/>
        <v>#VALUE!</v>
      </c>
      <c r="BO38" s="28"/>
      <c r="BP38" s="7"/>
      <c r="BQ38" s="7">
        <v>4000</v>
      </c>
      <c r="BR38" s="7" t="s">
        <v>3903</v>
      </c>
      <c r="BS38" s="7">
        <f t="shared" si="18"/>
        <v>0</v>
      </c>
      <c r="BT38" s="28" t="s">
        <v>2641</v>
      </c>
      <c r="BU38" s="7">
        <f t="shared" si="19"/>
        <v>2</v>
      </c>
      <c r="BV38" s="28" t="s">
        <v>3940</v>
      </c>
      <c r="BW38" s="54" t="s">
        <v>3941</v>
      </c>
      <c r="BX38" s="54" t="s">
        <v>3941</v>
      </c>
      <c r="BY38" s="7" t="e">
        <f t="shared" si="20"/>
        <v>#VALUE!</v>
      </c>
      <c r="BZ38" s="28"/>
      <c r="CA38" s="7" t="e">
        <f t="shared" si="21"/>
        <v>#VALUE!</v>
      </c>
      <c r="CB38" s="28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</row>
    <row r="39" spans="1:92" ht="13.5" customHeight="1">
      <c r="A39" s="7">
        <v>27</v>
      </c>
      <c r="B39" s="7">
        <v>416150</v>
      </c>
      <c r="C39" s="7">
        <f t="shared" si="22"/>
        <v>1</v>
      </c>
      <c r="D39" s="28" t="s">
        <v>2257</v>
      </c>
      <c r="E39" s="7">
        <f t="shared" si="0"/>
        <v>27</v>
      </c>
      <c r="F39" s="6" t="s">
        <v>3433</v>
      </c>
      <c r="G39" s="7">
        <f t="shared" si="1"/>
        <v>48</v>
      </c>
      <c r="H39" s="7" t="s">
        <v>3534</v>
      </c>
      <c r="I39" s="7">
        <f t="shared" si="2"/>
        <v>32</v>
      </c>
      <c r="J39" s="7" t="s">
        <v>3644</v>
      </c>
      <c r="K39" s="7">
        <f t="shared" si="3"/>
        <v>19</v>
      </c>
      <c r="L39" s="7" t="s">
        <v>3754</v>
      </c>
      <c r="M39" s="7">
        <f t="shared" si="4"/>
        <v>19</v>
      </c>
      <c r="N39" s="7" t="s">
        <v>3754</v>
      </c>
      <c r="O39" s="7">
        <v>1</v>
      </c>
      <c r="P39" s="7" t="s">
        <v>3820</v>
      </c>
      <c r="Q39" s="53"/>
      <c r="R39" s="7">
        <v>1</v>
      </c>
      <c r="S39" s="7">
        <v>1</v>
      </c>
      <c r="T39" s="53"/>
      <c r="U39" s="7">
        <v>1</v>
      </c>
      <c r="V39" s="7">
        <f t="shared" si="23"/>
        <v>14</v>
      </c>
      <c r="W39" s="28" t="s">
        <v>3900</v>
      </c>
      <c r="X39" s="7">
        <f t="shared" si="23"/>
        <v>14</v>
      </c>
      <c r="Y39" s="28" t="s">
        <v>3900</v>
      </c>
      <c r="Z39" s="7">
        <f t="shared" si="6"/>
        <v>1</v>
      </c>
      <c r="AA39" s="28" t="s">
        <v>3901</v>
      </c>
      <c r="AB39" s="7"/>
      <c r="AC39" s="7"/>
      <c r="AD39" s="7"/>
      <c r="AE39" s="7"/>
      <c r="AF39" s="7">
        <v>0</v>
      </c>
      <c r="AG39" s="7">
        <f t="shared" si="7"/>
        <v>0</v>
      </c>
      <c r="AH39" s="28" t="s">
        <v>2281</v>
      </c>
      <c r="AI39" s="7">
        <v>8</v>
      </c>
      <c r="AJ39" s="7">
        <f t="shared" si="8"/>
        <v>8</v>
      </c>
      <c r="AK39" s="28" t="s">
        <v>2291</v>
      </c>
      <c r="AL39" s="7">
        <f t="shared" si="9"/>
        <v>2</v>
      </c>
      <c r="AM39" s="28" t="s">
        <v>2295</v>
      </c>
      <c r="AN39" s="7">
        <f t="shared" si="10"/>
        <v>0</v>
      </c>
      <c r="AO39" s="28" t="s">
        <v>2297</v>
      </c>
      <c r="AP39" s="7">
        <f t="shared" si="11"/>
        <v>2</v>
      </c>
      <c r="AQ39" s="28" t="s">
        <v>2301</v>
      </c>
      <c r="AR39" s="7"/>
      <c r="AS39" s="7" t="s">
        <v>3902</v>
      </c>
      <c r="AT39" s="7"/>
      <c r="AU39" s="7"/>
      <c r="AV39" s="7">
        <f t="shared" si="12"/>
        <v>9300</v>
      </c>
      <c r="AW39" s="28" t="s">
        <v>3189</v>
      </c>
      <c r="AX39" s="7">
        <v>1</v>
      </c>
      <c r="AY39" s="7">
        <f t="shared" si="13"/>
        <v>1210</v>
      </c>
      <c r="AZ39" s="28" t="s">
        <v>2425</v>
      </c>
      <c r="BA39" s="7">
        <v>0</v>
      </c>
      <c r="BB39" s="7">
        <v>10</v>
      </c>
      <c r="BC39" s="7">
        <v>0</v>
      </c>
      <c r="BD39" s="7">
        <v>10</v>
      </c>
      <c r="BE39" s="7"/>
      <c r="BF39" s="7">
        <f t="shared" si="14"/>
        <v>32</v>
      </c>
      <c r="BG39" s="28" t="s">
        <v>2459</v>
      </c>
      <c r="BH39" s="7">
        <f t="shared" si="15"/>
        <v>0</v>
      </c>
      <c r="BI39" s="28" t="s">
        <v>2486</v>
      </c>
      <c r="BJ39" s="7"/>
      <c r="BK39" s="7"/>
      <c r="BL39" s="7">
        <f t="shared" si="16"/>
        <v>10001</v>
      </c>
      <c r="BM39" s="28" t="s">
        <v>2489</v>
      </c>
      <c r="BN39" s="7" t="e">
        <f t="shared" si="17"/>
        <v>#VALUE!</v>
      </c>
      <c r="BO39" s="28"/>
      <c r="BP39" s="7"/>
      <c r="BQ39" s="7">
        <v>4000</v>
      </c>
      <c r="BR39" s="7" t="s">
        <v>3903</v>
      </c>
      <c r="BS39" s="7">
        <f t="shared" si="18"/>
        <v>0</v>
      </c>
      <c r="BT39" s="28" t="s">
        <v>2641</v>
      </c>
      <c r="BU39" s="7">
        <f t="shared" si="19"/>
        <v>2</v>
      </c>
      <c r="BV39" s="28" t="s">
        <v>3940</v>
      </c>
      <c r="BW39" s="54" t="s">
        <v>3941</v>
      </c>
      <c r="BX39" s="54" t="s">
        <v>3941</v>
      </c>
      <c r="BY39" s="7" t="e">
        <f t="shared" si="20"/>
        <v>#VALUE!</v>
      </c>
      <c r="BZ39" s="28"/>
      <c r="CA39" s="7" t="e">
        <f t="shared" si="21"/>
        <v>#VALUE!</v>
      </c>
      <c r="CB39" s="28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</row>
    <row r="40" spans="1:92" ht="13.5" customHeight="1">
      <c r="A40" s="7">
        <v>28</v>
      </c>
      <c r="B40" s="7">
        <v>416151</v>
      </c>
      <c r="C40" s="7">
        <f t="shared" si="22"/>
        <v>1</v>
      </c>
      <c r="D40" s="28" t="s">
        <v>2257</v>
      </c>
      <c r="E40" s="7">
        <f t="shared" si="0"/>
        <v>25</v>
      </c>
      <c r="F40" s="6" t="s">
        <v>3434</v>
      </c>
      <c r="G40" s="7">
        <f t="shared" si="1"/>
        <v>42</v>
      </c>
      <c r="H40" s="7" t="s">
        <v>3535</v>
      </c>
      <c r="I40" s="7">
        <f t="shared" si="2"/>
        <v>25</v>
      </c>
      <c r="J40" s="7" t="s">
        <v>3645</v>
      </c>
      <c r="K40" s="7">
        <f t="shared" si="3"/>
        <v>16</v>
      </c>
      <c r="L40" s="7" t="s">
        <v>3755</v>
      </c>
      <c r="M40" s="7">
        <f t="shared" si="4"/>
        <v>16</v>
      </c>
      <c r="N40" s="7" t="s">
        <v>3755</v>
      </c>
      <c r="O40" s="7">
        <v>1</v>
      </c>
      <c r="P40" s="7" t="s">
        <v>3821</v>
      </c>
      <c r="Q40" s="53"/>
      <c r="R40" s="7">
        <v>1</v>
      </c>
      <c r="S40" s="7">
        <v>1</v>
      </c>
      <c r="T40" s="53"/>
      <c r="U40" s="7">
        <v>1</v>
      </c>
      <c r="V40" s="7">
        <f t="shared" si="23"/>
        <v>14</v>
      </c>
      <c r="W40" s="28" t="s">
        <v>3900</v>
      </c>
      <c r="X40" s="7">
        <f t="shared" si="23"/>
        <v>14</v>
      </c>
      <c r="Y40" s="28" t="s">
        <v>3900</v>
      </c>
      <c r="Z40" s="7">
        <f t="shared" si="6"/>
        <v>1</v>
      </c>
      <c r="AA40" s="28" t="s">
        <v>3901</v>
      </c>
      <c r="AB40" s="7"/>
      <c r="AC40" s="7"/>
      <c r="AD40" s="7"/>
      <c r="AE40" s="7"/>
      <c r="AF40" s="7">
        <v>0</v>
      </c>
      <c r="AG40" s="7">
        <f t="shared" si="7"/>
        <v>0</v>
      </c>
      <c r="AH40" s="28" t="s">
        <v>2281</v>
      </c>
      <c r="AI40" s="7">
        <v>8</v>
      </c>
      <c r="AJ40" s="7">
        <f t="shared" si="8"/>
        <v>8</v>
      </c>
      <c r="AK40" s="28" t="s">
        <v>2291</v>
      </c>
      <c r="AL40" s="7">
        <f t="shared" si="9"/>
        <v>2</v>
      </c>
      <c r="AM40" s="28" t="s">
        <v>2295</v>
      </c>
      <c r="AN40" s="7">
        <f t="shared" si="10"/>
        <v>0</v>
      </c>
      <c r="AO40" s="28" t="s">
        <v>2297</v>
      </c>
      <c r="AP40" s="7">
        <f t="shared" si="11"/>
        <v>2</v>
      </c>
      <c r="AQ40" s="28" t="s">
        <v>2301</v>
      </c>
      <c r="AR40" s="7"/>
      <c r="AS40" s="7" t="s">
        <v>3902</v>
      </c>
      <c r="AT40" s="7"/>
      <c r="AU40" s="7"/>
      <c r="AV40" s="7">
        <f t="shared" si="12"/>
        <v>9300</v>
      </c>
      <c r="AW40" s="28" t="s">
        <v>3189</v>
      </c>
      <c r="AX40" s="7">
        <v>1</v>
      </c>
      <c r="AY40" s="7">
        <f t="shared" si="13"/>
        <v>1210</v>
      </c>
      <c r="AZ40" s="28" t="s">
        <v>2425</v>
      </c>
      <c r="BA40" s="7">
        <v>0</v>
      </c>
      <c r="BB40" s="7">
        <v>10</v>
      </c>
      <c r="BC40" s="7">
        <v>0</v>
      </c>
      <c r="BD40" s="7">
        <v>10</v>
      </c>
      <c r="BE40" s="7"/>
      <c r="BF40" s="7">
        <f t="shared" si="14"/>
        <v>32</v>
      </c>
      <c r="BG40" s="28" t="s">
        <v>2459</v>
      </c>
      <c r="BH40" s="7">
        <f t="shared" si="15"/>
        <v>0</v>
      </c>
      <c r="BI40" s="28" t="s">
        <v>2486</v>
      </c>
      <c r="BJ40" s="7"/>
      <c r="BK40" s="7"/>
      <c r="BL40" s="7">
        <f t="shared" si="16"/>
        <v>10001</v>
      </c>
      <c r="BM40" s="28" t="s">
        <v>2489</v>
      </c>
      <c r="BN40" s="7" t="e">
        <f t="shared" si="17"/>
        <v>#VALUE!</v>
      </c>
      <c r="BO40" s="28"/>
      <c r="BP40" s="7"/>
      <c r="BQ40" s="7">
        <v>4000</v>
      </c>
      <c r="BR40" s="7" t="s">
        <v>3903</v>
      </c>
      <c r="BS40" s="7">
        <f t="shared" si="18"/>
        <v>0</v>
      </c>
      <c r="BT40" s="28" t="s">
        <v>2641</v>
      </c>
      <c r="BU40" s="7">
        <f t="shared" si="19"/>
        <v>2</v>
      </c>
      <c r="BV40" s="28" t="s">
        <v>3940</v>
      </c>
      <c r="BW40" s="54" t="s">
        <v>3941</v>
      </c>
      <c r="BX40" s="54" t="s">
        <v>3941</v>
      </c>
      <c r="BY40" s="7" t="e">
        <f t="shared" si="20"/>
        <v>#VALUE!</v>
      </c>
      <c r="BZ40" s="28"/>
      <c r="CA40" s="7" t="e">
        <f t="shared" si="21"/>
        <v>#VALUE!</v>
      </c>
      <c r="CB40" s="28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</row>
    <row r="41" spans="1:92" ht="13.5" customHeight="1">
      <c r="A41" s="7">
        <v>29</v>
      </c>
      <c r="B41" s="7">
        <v>416152</v>
      </c>
      <c r="C41" s="7">
        <f t="shared" si="22"/>
        <v>1</v>
      </c>
      <c r="D41" s="28" t="s">
        <v>2257</v>
      </c>
      <c r="E41" s="7">
        <f t="shared" si="0"/>
        <v>42</v>
      </c>
      <c r="F41" s="7" t="s">
        <v>3435</v>
      </c>
      <c r="G41" s="7">
        <f t="shared" si="1"/>
        <v>49</v>
      </c>
      <c r="H41" s="7" t="s">
        <v>3602</v>
      </c>
      <c r="I41" s="7">
        <f t="shared" si="2"/>
        <v>42</v>
      </c>
      <c r="J41" s="7" t="s">
        <v>3646</v>
      </c>
      <c r="K41" s="7">
        <f t="shared" si="3"/>
        <v>20</v>
      </c>
      <c r="L41" s="7" t="s">
        <v>3907</v>
      </c>
      <c r="M41" s="7">
        <f t="shared" si="4"/>
        <v>20</v>
      </c>
      <c r="N41" s="7" t="s">
        <v>3907</v>
      </c>
      <c r="O41" s="7">
        <v>1</v>
      </c>
      <c r="P41" s="7" t="s">
        <v>3822</v>
      </c>
      <c r="Q41" s="53"/>
      <c r="R41" s="7">
        <v>1</v>
      </c>
      <c r="S41" s="7">
        <v>1</v>
      </c>
      <c r="T41" s="53"/>
      <c r="U41" s="7">
        <v>1</v>
      </c>
      <c r="V41" s="7">
        <f t="shared" si="23"/>
        <v>14</v>
      </c>
      <c r="W41" s="28" t="s">
        <v>3900</v>
      </c>
      <c r="X41" s="7">
        <f t="shared" si="23"/>
        <v>14</v>
      </c>
      <c r="Y41" s="28" t="s">
        <v>3900</v>
      </c>
      <c r="Z41" s="7">
        <f t="shared" si="6"/>
        <v>1</v>
      </c>
      <c r="AA41" s="28" t="s">
        <v>3901</v>
      </c>
      <c r="AB41" s="7"/>
      <c r="AC41" s="7"/>
      <c r="AD41" s="7"/>
      <c r="AE41" s="7"/>
      <c r="AF41" s="7">
        <v>0</v>
      </c>
      <c r="AG41" s="7">
        <f t="shared" si="7"/>
        <v>0</v>
      </c>
      <c r="AH41" s="28" t="s">
        <v>2281</v>
      </c>
      <c r="AI41" s="7">
        <v>8</v>
      </c>
      <c r="AJ41" s="7">
        <f t="shared" si="8"/>
        <v>8</v>
      </c>
      <c r="AK41" s="28" t="s">
        <v>2291</v>
      </c>
      <c r="AL41" s="7">
        <f t="shared" si="9"/>
        <v>2</v>
      </c>
      <c r="AM41" s="28" t="s">
        <v>2295</v>
      </c>
      <c r="AN41" s="7">
        <f t="shared" si="10"/>
        <v>0</v>
      </c>
      <c r="AO41" s="28" t="s">
        <v>2297</v>
      </c>
      <c r="AP41" s="7">
        <f t="shared" si="11"/>
        <v>2</v>
      </c>
      <c r="AQ41" s="28" t="s">
        <v>2301</v>
      </c>
      <c r="AR41" s="7"/>
      <c r="AS41" s="7" t="s">
        <v>3902</v>
      </c>
      <c r="AT41" s="7"/>
      <c r="AU41" s="7"/>
      <c r="AV41" s="7">
        <f t="shared" si="12"/>
        <v>9300</v>
      </c>
      <c r="AW41" s="28" t="s">
        <v>3189</v>
      </c>
      <c r="AX41" s="7">
        <v>1</v>
      </c>
      <c r="AY41" s="7">
        <f t="shared" si="13"/>
        <v>1210</v>
      </c>
      <c r="AZ41" s="28" t="s">
        <v>2425</v>
      </c>
      <c r="BA41" s="7">
        <v>0</v>
      </c>
      <c r="BB41" s="7">
        <v>10</v>
      </c>
      <c r="BC41" s="7">
        <v>0</v>
      </c>
      <c r="BD41" s="7">
        <v>10</v>
      </c>
      <c r="BE41" s="7"/>
      <c r="BF41" s="7">
        <f t="shared" si="14"/>
        <v>32</v>
      </c>
      <c r="BG41" s="28" t="s">
        <v>2459</v>
      </c>
      <c r="BH41" s="7">
        <f t="shared" si="15"/>
        <v>0</v>
      </c>
      <c r="BI41" s="28" t="s">
        <v>2486</v>
      </c>
      <c r="BJ41" s="7"/>
      <c r="BK41" s="7"/>
      <c r="BL41" s="7">
        <f t="shared" si="16"/>
        <v>10001</v>
      </c>
      <c r="BM41" s="28" t="s">
        <v>2489</v>
      </c>
      <c r="BN41" s="7" t="e">
        <f t="shared" si="17"/>
        <v>#VALUE!</v>
      </c>
      <c r="BO41" s="28"/>
      <c r="BP41" s="7"/>
      <c r="BQ41" s="7">
        <v>4000</v>
      </c>
      <c r="BR41" s="7" t="s">
        <v>3903</v>
      </c>
      <c r="BS41" s="7">
        <f t="shared" si="18"/>
        <v>0</v>
      </c>
      <c r="BT41" s="28" t="s">
        <v>2641</v>
      </c>
      <c r="BU41" s="7">
        <f t="shared" si="19"/>
        <v>2</v>
      </c>
      <c r="BV41" s="28" t="s">
        <v>3940</v>
      </c>
      <c r="BW41" s="54" t="s">
        <v>3941</v>
      </c>
      <c r="BX41" s="54" t="s">
        <v>3941</v>
      </c>
      <c r="BY41" s="7" t="e">
        <f t="shared" si="20"/>
        <v>#VALUE!</v>
      </c>
      <c r="BZ41" s="28"/>
      <c r="CA41" s="7" t="e">
        <f t="shared" si="21"/>
        <v>#VALUE!</v>
      </c>
      <c r="CB41" s="28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</row>
    <row r="42" spans="1:92" ht="13.5" customHeight="1">
      <c r="A42" s="7">
        <v>30</v>
      </c>
      <c r="B42" s="7">
        <v>416153</v>
      </c>
      <c r="C42" s="7">
        <f t="shared" si="22"/>
        <v>1</v>
      </c>
      <c r="D42" s="28" t="s">
        <v>2257</v>
      </c>
      <c r="E42" s="7">
        <f t="shared" si="0"/>
        <v>21</v>
      </c>
      <c r="F42" s="7" t="s">
        <v>3436</v>
      </c>
      <c r="G42" s="7">
        <f t="shared" si="1"/>
        <v>39</v>
      </c>
      <c r="H42" s="7" t="s">
        <v>3536</v>
      </c>
      <c r="I42" s="7">
        <f t="shared" si="2"/>
        <v>26</v>
      </c>
      <c r="J42" s="7" t="s">
        <v>3647</v>
      </c>
      <c r="K42" s="7">
        <f t="shared" si="3"/>
        <v>16</v>
      </c>
      <c r="L42" s="7" t="s">
        <v>3756</v>
      </c>
      <c r="M42" s="7">
        <f t="shared" si="4"/>
        <v>16</v>
      </c>
      <c r="N42" s="7" t="s">
        <v>3756</v>
      </c>
      <c r="O42" s="7">
        <v>1</v>
      </c>
      <c r="P42" s="7" t="s">
        <v>3823</v>
      </c>
      <c r="Q42" s="53"/>
      <c r="R42" s="7">
        <v>1</v>
      </c>
      <c r="S42" s="7">
        <v>1</v>
      </c>
      <c r="T42" s="53"/>
      <c r="U42" s="7">
        <v>1</v>
      </c>
      <c r="V42" s="7">
        <f t="shared" si="23"/>
        <v>14</v>
      </c>
      <c r="W42" s="28" t="s">
        <v>3900</v>
      </c>
      <c r="X42" s="7">
        <f t="shared" si="23"/>
        <v>14</v>
      </c>
      <c r="Y42" s="28" t="s">
        <v>3900</v>
      </c>
      <c r="Z42" s="7">
        <f t="shared" si="6"/>
        <v>1</v>
      </c>
      <c r="AA42" s="28" t="s">
        <v>3901</v>
      </c>
      <c r="AB42" s="7"/>
      <c r="AC42" s="7"/>
      <c r="AD42" s="7"/>
      <c r="AE42" s="7"/>
      <c r="AF42" s="7">
        <v>0</v>
      </c>
      <c r="AG42" s="7">
        <f t="shared" si="7"/>
        <v>0</v>
      </c>
      <c r="AH42" s="28" t="s">
        <v>2281</v>
      </c>
      <c r="AI42" s="7">
        <v>8</v>
      </c>
      <c r="AJ42" s="7">
        <f t="shared" si="8"/>
        <v>8</v>
      </c>
      <c r="AK42" s="28" t="s">
        <v>2291</v>
      </c>
      <c r="AL42" s="7">
        <f t="shared" si="9"/>
        <v>2</v>
      </c>
      <c r="AM42" s="28" t="s">
        <v>2295</v>
      </c>
      <c r="AN42" s="7">
        <f t="shared" si="10"/>
        <v>0</v>
      </c>
      <c r="AO42" s="28" t="s">
        <v>2297</v>
      </c>
      <c r="AP42" s="7">
        <f t="shared" si="11"/>
        <v>2</v>
      </c>
      <c r="AQ42" s="28" t="s">
        <v>2301</v>
      </c>
      <c r="AR42" s="7"/>
      <c r="AS42" s="7" t="s">
        <v>3902</v>
      </c>
      <c r="AT42" s="7"/>
      <c r="AU42" s="7"/>
      <c r="AV42" s="7">
        <f t="shared" si="12"/>
        <v>9300</v>
      </c>
      <c r="AW42" s="28" t="s">
        <v>3189</v>
      </c>
      <c r="AX42" s="7">
        <v>1</v>
      </c>
      <c r="AY42" s="7">
        <f t="shared" si="13"/>
        <v>1210</v>
      </c>
      <c r="AZ42" s="28" t="s">
        <v>2425</v>
      </c>
      <c r="BA42" s="7">
        <v>0</v>
      </c>
      <c r="BB42" s="7">
        <v>10</v>
      </c>
      <c r="BC42" s="7">
        <v>0</v>
      </c>
      <c r="BD42" s="7">
        <v>10</v>
      </c>
      <c r="BE42" s="7"/>
      <c r="BF42" s="7">
        <f t="shared" si="14"/>
        <v>32</v>
      </c>
      <c r="BG42" s="28" t="s">
        <v>2459</v>
      </c>
      <c r="BH42" s="7">
        <f t="shared" si="15"/>
        <v>0</v>
      </c>
      <c r="BI42" s="28" t="s">
        <v>2486</v>
      </c>
      <c r="BJ42" s="7"/>
      <c r="BK42" s="7"/>
      <c r="BL42" s="7">
        <f t="shared" si="16"/>
        <v>10001</v>
      </c>
      <c r="BM42" s="28" t="s">
        <v>2489</v>
      </c>
      <c r="BN42" s="7" t="e">
        <f t="shared" si="17"/>
        <v>#VALUE!</v>
      </c>
      <c r="BO42" s="28"/>
      <c r="BP42" s="7"/>
      <c r="BQ42" s="7">
        <v>4000</v>
      </c>
      <c r="BR42" s="7" t="s">
        <v>3903</v>
      </c>
      <c r="BS42" s="7">
        <f t="shared" si="18"/>
        <v>0</v>
      </c>
      <c r="BT42" s="28" t="s">
        <v>2641</v>
      </c>
      <c r="BU42" s="7">
        <f t="shared" si="19"/>
        <v>2</v>
      </c>
      <c r="BV42" s="28" t="s">
        <v>3940</v>
      </c>
      <c r="BW42" s="54" t="s">
        <v>3941</v>
      </c>
      <c r="BX42" s="54" t="s">
        <v>3941</v>
      </c>
      <c r="BY42" s="7" t="e">
        <f t="shared" si="20"/>
        <v>#VALUE!</v>
      </c>
      <c r="BZ42" s="28"/>
      <c r="CA42" s="7" t="e">
        <f t="shared" si="21"/>
        <v>#VALUE!</v>
      </c>
      <c r="CB42" s="28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</row>
    <row r="43" spans="1:92" ht="13.5" customHeight="1">
      <c r="A43" s="7">
        <v>31</v>
      </c>
      <c r="B43" s="7">
        <v>416154</v>
      </c>
      <c r="C43" s="7">
        <f t="shared" si="22"/>
        <v>1</v>
      </c>
      <c r="D43" s="28" t="s">
        <v>2257</v>
      </c>
      <c r="E43" s="7">
        <f t="shared" si="0"/>
        <v>19</v>
      </c>
      <c r="F43" s="7" t="s">
        <v>3437</v>
      </c>
      <c r="G43" s="7">
        <f t="shared" si="1"/>
        <v>39</v>
      </c>
      <c r="H43" s="7" t="s">
        <v>3537</v>
      </c>
      <c r="I43" s="7">
        <f t="shared" si="2"/>
        <v>28</v>
      </c>
      <c r="J43" s="7" t="s">
        <v>3648</v>
      </c>
      <c r="K43" s="7">
        <f t="shared" si="3"/>
        <v>19</v>
      </c>
      <c r="L43" s="7" t="s">
        <v>3437</v>
      </c>
      <c r="M43" s="7">
        <f t="shared" si="4"/>
        <v>16</v>
      </c>
      <c r="N43" s="7" t="s">
        <v>3757</v>
      </c>
      <c r="O43" s="7">
        <v>1</v>
      </c>
      <c r="P43" s="7" t="s">
        <v>3824</v>
      </c>
      <c r="Q43" s="53"/>
      <c r="R43" s="7">
        <v>1</v>
      </c>
      <c r="S43" s="7">
        <v>1</v>
      </c>
      <c r="T43" s="53"/>
      <c r="U43" s="7">
        <v>1</v>
      </c>
      <c r="V43" s="7">
        <f t="shared" si="23"/>
        <v>14</v>
      </c>
      <c r="W43" s="28" t="s">
        <v>3900</v>
      </c>
      <c r="X43" s="7">
        <f t="shared" si="23"/>
        <v>14</v>
      </c>
      <c r="Y43" s="28" t="s">
        <v>3900</v>
      </c>
      <c r="Z43" s="7">
        <f t="shared" si="6"/>
        <v>1</v>
      </c>
      <c r="AA43" s="28" t="s">
        <v>3901</v>
      </c>
      <c r="AB43" s="7"/>
      <c r="AC43" s="7"/>
      <c r="AD43" s="7"/>
      <c r="AE43" s="7"/>
      <c r="AF43" s="7">
        <v>0</v>
      </c>
      <c r="AG43" s="7">
        <f t="shared" si="7"/>
        <v>0</v>
      </c>
      <c r="AH43" s="28" t="s">
        <v>2281</v>
      </c>
      <c r="AI43" s="7">
        <v>8</v>
      </c>
      <c r="AJ43" s="7">
        <f t="shared" si="8"/>
        <v>8</v>
      </c>
      <c r="AK43" s="28" t="s">
        <v>2291</v>
      </c>
      <c r="AL43" s="7">
        <f t="shared" si="9"/>
        <v>2</v>
      </c>
      <c r="AM43" s="28" t="s">
        <v>2295</v>
      </c>
      <c r="AN43" s="7">
        <f t="shared" si="10"/>
        <v>0</v>
      </c>
      <c r="AO43" s="28" t="s">
        <v>2297</v>
      </c>
      <c r="AP43" s="7">
        <f t="shared" si="11"/>
        <v>2</v>
      </c>
      <c r="AQ43" s="28" t="s">
        <v>2301</v>
      </c>
      <c r="AR43" s="7"/>
      <c r="AS43" s="7" t="s">
        <v>3902</v>
      </c>
      <c r="AT43" s="7"/>
      <c r="AU43" s="7"/>
      <c r="AV43" s="7">
        <f t="shared" si="12"/>
        <v>9300</v>
      </c>
      <c r="AW43" s="28" t="s">
        <v>3189</v>
      </c>
      <c r="AX43" s="7">
        <v>1</v>
      </c>
      <c r="AY43" s="7">
        <f t="shared" si="13"/>
        <v>1210</v>
      </c>
      <c r="AZ43" s="28" t="s">
        <v>2425</v>
      </c>
      <c r="BA43" s="7">
        <v>0</v>
      </c>
      <c r="BB43" s="7">
        <v>10</v>
      </c>
      <c r="BC43" s="7">
        <v>0</v>
      </c>
      <c r="BD43" s="7">
        <v>10</v>
      </c>
      <c r="BE43" s="7"/>
      <c r="BF43" s="7">
        <f t="shared" si="14"/>
        <v>32</v>
      </c>
      <c r="BG43" s="28" t="s">
        <v>2459</v>
      </c>
      <c r="BH43" s="7">
        <f t="shared" si="15"/>
        <v>0</v>
      </c>
      <c r="BI43" s="28" t="s">
        <v>2486</v>
      </c>
      <c r="BJ43" s="7"/>
      <c r="BK43" s="7"/>
      <c r="BL43" s="7">
        <f t="shared" si="16"/>
        <v>10001</v>
      </c>
      <c r="BM43" s="28" t="s">
        <v>2489</v>
      </c>
      <c r="BN43" s="7" t="e">
        <f t="shared" si="17"/>
        <v>#VALUE!</v>
      </c>
      <c r="BO43" s="28"/>
      <c r="BP43" s="7"/>
      <c r="BQ43" s="7">
        <v>4000</v>
      </c>
      <c r="BR43" s="7" t="s">
        <v>3903</v>
      </c>
      <c r="BS43" s="7">
        <f t="shared" si="18"/>
        <v>0</v>
      </c>
      <c r="BT43" s="28" t="s">
        <v>2641</v>
      </c>
      <c r="BU43" s="7">
        <f t="shared" si="19"/>
        <v>2</v>
      </c>
      <c r="BV43" s="28" t="s">
        <v>3940</v>
      </c>
      <c r="BW43" s="54" t="s">
        <v>3941</v>
      </c>
      <c r="BX43" s="54" t="s">
        <v>3941</v>
      </c>
      <c r="BY43" s="7" t="e">
        <f t="shared" si="20"/>
        <v>#VALUE!</v>
      </c>
      <c r="BZ43" s="28"/>
      <c r="CA43" s="7" t="e">
        <f t="shared" si="21"/>
        <v>#VALUE!</v>
      </c>
      <c r="CB43" s="28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</row>
    <row r="44" spans="1:92" ht="13.5" customHeight="1">
      <c r="A44" s="7">
        <v>32</v>
      </c>
      <c r="B44" s="7">
        <v>416155</v>
      </c>
      <c r="C44" s="7">
        <f t="shared" si="22"/>
        <v>1</v>
      </c>
      <c r="D44" s="28" t="s">
        <v>2257</v>
      </c>
      <c r="E44" s="7">
        <f t="shared" si="0"/>
        <v>22</v>
      </c>
      <c r="F44" s="7" t="s">
        <v>3438</v>
      </c>
      <c r="G44" s="7">
        <f t="shared" si="1"/>
        <v>42</v>
      </c>
      <c r="H44" s="7" t="s">
        <v>3538</v>
      </c>
      <c r="I44" s="7">
        <f t="shared" si="2"/>
        <v>27</v>
      </c>
      <c r="J44" s="7" t="s">
        <v>3649</v>
      </c>
      <c r="K44" s="7">
        <f t="shared" si="3"/>
        <v>15</v>
      </c>
      <c r="L44" s="7" t="s">
        <v>3758</v>
      </c>
      <c r="M44" s="7">
        <f t="shared" si="4"/>
        <v>15</v>
      </c>
      <c r="N44" s="7" t="s">
        <v>3758</v>
      </c>
      <c r="O44" s="7">
        <v>1</v>
      </c>
      <c r="P44" s="7" t="s">
        <v>3825</v>
      </c>
      <c r="Q44" s="53"/>
      <c r="R44" s="7">
        <v>1</v>
      </c>
      <c r="S44" s="7">
        <v>1</v>
      </c>
      <c r="T44" s="53"/>
      <c r="U44" s="7">
        <v>1</v>
      </c>
      <c r="V44" s="7">
        <f t="shared" si="23"/>
        <v>14</v>
      </c>
      <c r="W44" s="28" t="s">
        <v>3900</v>
      </c>
      <c r="X44" s="7">
        <f t="shared" si="23"/>
        <v>14</v>
      </c>
      <c r="Y44" s="28" t="s">
        <v>3900</v>
      </c>
      <c r="Z44" s="7">
        <f t="shared" si="6"/>
        <v>1</v>
      </c>
      <c r="AA44" s="28" t="s">
        <v>3901</v>
      </c>
      <c r="AB44" s="7"/>
      <c r="AC44" s="7"/>
      <c r="AD44" s="7"/>
      <c r="AE44" s="7"/>
      <c r="AF44" s="7">
        <v>0</v>
      </c>
      <c r="AG44" s="7">
        <f t="shared" si="7"/>
        <v>0</v>
      </c>
      <c r="AH44" s="28" t="s">
        <v>2281</v>
      </c>
      <c r="AI44" s="7">
        <v>8</v>
      </c>
      <c r="AJ44" s="7">
        <f t="shared" si="8"/>
        <v>8</v>
      </c>
      <c r="AK44" s="28" t="s">
        <v>2291</v>
      </c>
      <c r="AL44" s="7">
        <f t="shared" si="9"/>
        <v>2</v>
      </c>
      <c r="AM44" s="28" t="s">
        <v>2295</v>
      </c>
      <c r="AN44" s="7">
        <f t="shared" si="10"/>
        <v>0</v>
      </c>
      <c r="AO44" s="28" t="s">
        <v>2297</v>
      </c>
      <c r="AP44" s="7">
        <f t="shared" si="11"/>
        <v>2</v>
      </c>
      <c r="AQ44" s="28" t="s">
        <v>2301</v>
      </c>
      <c r="AR44" s="7"/>
      <c r="AS44" s="7" t="s">
        <v>3902</v>
      </c>
      <c r="AT44" s="7"/>
      <c r="AU44" s="7"/>
      <c r="AV44" s="7">
        <f t="shared" si="12"/>
        <v>9300</v>
      </c>
      <c r="AW44" s="28" t="s">
        <v>3189</v>
      </c>
      <c r="AX44" s="7">
        <v>1</v>
      </c>
      <c r="AY44" s="7">
        <f t="shared" si="13"/>
        <v>1210</v>
      </c>
      <c r="AZ44" s="28" t="s">
        <v>2425</v>
      </c>
      <c r="BA44" s="7">
        <v>0</v>
      </c>
      <c r="BB44" s="7">
        <v>10</v>
      </c>
      <c r="BC44" s="7">
        <v>0</v>
      </c>
      <c r="BD44" s="7">
        <v>10</v>
      </c>
      <c r="BE44" s="7"/>
      <c r="BF44" s="7">
        <f t="shared" si="14"/>
        <v>32</v>
      </c>
      <c r="BG44" s="28" t="s">
        <v>2459</v>
      </c>
      <c r="BH44" s="7">
        <f t="shared" si="15"/>
        <v>0</v>
      </c>
      <c r="BI44" s="28" t="s">
        <v>2486</v>
      </c>
      <c r="BJ44" s="7"/>
      <c r="BK44" s="7"/>
      <c r="BL44" s="7">
        <f t="shared" si="16"/>
        <v>10001</v>
      </c>
      <c r="BM44" s="28" t="s">
        <v>2489</v>
      </c>
      <c r="BN44" s="7" t="e">
        <f t="shared" si="17"/>
        <v>#VALUE!</v>
      </c>
      <c r="BO44" s="28"/>
      <c r="BP44" s="7"/>
      <c r="BQ44" s="7">
        <v>4000</v>
      </c>
      <c r="BR44" s="7" t="s">
        <v>3903</v>
      </c>
      <c r="BS44" s="7">
        <f t="shared" si="18"/>
        <v>0</v>
      </c>
      <c r="BT44" s="28" t="s">
        <v>2641</v>
      </c>
      <c r="BU44" s="7">
        <f t="shared" si="19"/>
        <v>2</v>
      </c>
      <c r="BV44" s="28" t="s">
        <v>3940</v>
      </c>
      <c r="BW44" s="54" t="s">
        <v>3941</v>
      </c>
      <c r="BX44" s="54" t="s">
        <v>3941</v>
      </c>
      <c r="BY44" s="7" t="e">
        <f t="shared" si="20"/>
        <v>#VALUE!</v>
      </c>
      <c r="BZ44" s="28"/>
      <c r="CA44" s="7" t="e">
        <f t="shared" si="21"/>
        <v>#VALUE!</v>
      </c>
      <c r="CB44" s="28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</row>
    <row r="45" spans="1:92" ht="13.5" customHeight="1">
      <c r="A45" s="7">
        <v>33</v>
      </c>
      <c r="B45" s="7">
        <v>416156</v>
      </c>
      <c r="C45" s="7">
        <f t="shared" si="22"/>
        <v>1</v>
      </c>
      <c r="D45" s="28" t="s">
        <v>2257</v>
      </c>
      <c r="E45" s="7">
        <f t="shared" si="0"/>
        <v>28</v>
      </c>
      <c r="F45" s="7" t="s">
        <v>3439</v>
      </c>
      <c r="G45" s="7">
        <f t="shared" si="1"/>
        <v>46</v>
      </c>
      <c r="H45" s="7" t="s">
        <v>3539</v>
      </c>
      <c r="I45" s="7">
        <f t="shared" si="2"/>
        <v>27</v>
      </c>
      <c r="J45" s="7" t="s">
        <v>3650</v>
      </c>
      <c r="K45" s="7">
        <f t="shared" si="3"/>
        <v>17</v>
      </c>
      <c r="L45" s="7" t="s">
        <v>3759</v>
      </c>
      <c r="M45" s="7">
        <f t="shared" si="4"/>
        <v>17</v>
      </c>
      <c r="N45" s="7" t="s">
        <v>3759</v>
      </c>
      <c r="O45" s="7">
        <v>1</v>
      </c>
      <c r="P45" s="7" t="s">
        <v>3826</v>
      </c>
      <c r="Q45" s="53"/>
      <c r="R45" s="7">
        <v>1</v>
      </c>
      <c r="S45" s="7">
        <v>1</v>
      </c>
      <c r="T45" s="53"/>
      <c r="U45" s="7">
        <v>1</v>
      </c>
      <c r="V45" s="7">
        <f t="shared" si="23"/>
        <v>14</v>
      </c>
      <c r="W45" s="28" t="s">
        <v>3900</v>
      </c>
      <c r="X45" s="7">
        <f t="shared" si="23"/>
        <v>14</v>
      </c>
      <c r="Y45" s="28" t="s">
        <v>3900</v>
      </c>
      <c r="Z45" s="7">
        <f t="shared" si="6"/>
        <v>1</v>
      </c>
      <c r="AA45" s="28" t="s">
        <v>3901</v>
      </c>
      <c r="AB45" s="7"/>
      <c r="AC45" s="7"/>
      <c r="AD45" s="7"/>
      <c r="AE45" s="7"/>
      <c r="AF45" s="7">
        <v>0</v>
      </c>
      <c r="AG45" s="7">
        <f t="shared" si="7"/>
        <v>0</v>
      </c>
      <c r="AH45" s="28" t="s">
        <v>2281</v>
      </c>
      <c r="AI45" s="7">
        <v>8</v>
      </c>
      <c r="AJ45" s="7">
        <f t="shared" si="8"/>
        <v>8</v>
      </c>
      <c r="AK45" s="28" t="s">
        <v>2291</v>
      </c>
      <c r="AL45" s="7">
        <f t="shared" si="9"/>
        <v>2</v>
      </c>
      <c r="AM45" s="28" t="s">
        <v>2295</v>
      </c>
      <c r="AN45" s="7">
        <f t="shared" si="10"/>
        <v>0</v>
      </c>
      <c r="AO45" s="28" t="s">
        <v>2297</v>
      </c>
      <c r="AP45" s="7">
        <f t="shared" si="11"/>
        <v>2</v>
      </c>
      <c r="AQ45" s="28" t="s">
        <v>2301</v>
      </c>
      <c r="AR45" s="7"/>
      <c r="AS45" s="7" t="s">
        <v>3902</v>
      </c>
      <c r="AT45" s="7"/>
      <c r="AU45" s="7"/>
      <c r="AV45" s="7">
        <f t="shared" si="12"/>
        <v>9300</v>
      </c>
      <c r="AW45" s="28" t="s">
        <v>3189</v>
      </c>
      <c r="AX45" s="7">
        <v>1</v>
      </c>
      <c r="AY45" s="7">
        <f t="shared" si="13"/>
        <v>1210</v>
      </c>
      <c r="AZ45" s="28" t="s">
        <v>2425</v>
      </c>
      <c r="BA45" s="7">
        <v>0</v>
      </c>
      <c r="BB45" s="7">
        <v>10</v>
      </c>
      <c r="BC45" s="7">
        <v>0</v>
      </c>
      <c r="BD45" s="7">
        <v>10</v>
      </c>
      <c r="BE45" s="7"/>
      <c r="BF45" s="7">
        <f t="shared" si="14"/>
        <v>32</v>
      </c>
      <c r="BG45" s="28" t="s">
        <v>2459</v>
      </c>
      <c r="BH45" s="7">
        <f t="shared" si="15"/>
        <v>0</v>
      </c>
      <c r="BI45" s="28" t="s">
        <v>2486</v>
      </c>
      <c r="BJ45" s="7"/>
      <c r="BK45" s="7"/>
      <c r="BL45" s="7">
        <f t="shared" si="16"/>
        <v>10001</v>
      </c>
      <c r="BM45" s="28" t="s">
        <v>2489</v>
      </c>
      <c r="BN45" s="7" t="e">
        <f t="shared" si="17"/>
        <v>#VALUE!</v>
      </c>
      <c r="BO45" s="28"/>
      <c r="BP45" s="7"/>
      <c r="BQ45" s="7">
        <v>4000</v>
      </c>
      <c r="BR45" s="7" t="s">
        <v>3903</v>
      </c>
      <c r="BS45" s="7">
        <f t="shared" si="18"/>
        <v>0</v>
      </c>
      <c r="BT45" s="28" t="s">
        <v>2641</v>
      </c>
      <c r="BU45" s="7">
        <f t="shared" si="19"/>
        <v>2</v>
      </c>
      <c r="BV45" s="28" t="s">
        <v>3940</v>
      </c>
      <c r="BW45" s="54" t="s">
        <v>3941</v>
      </c>
      <c r="BX45" s="54" t="s">
        <v>3941</v>
      </c>
      <c r="BY45" s="7" t="e">
        <f t="shared" si="20"/>
        <v>#VALUE!</v>
      </c>
      <c r="BZ45" s="28"/>
      <c r="CA45" s="7" t="e">
        <f t="shared" si="21"/>
        <v>#VALUE!</v>
      </c>
      <c r="CB45" s="28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</row>
    <row r="46" spans="1:92" ht="13.5" customHeight="1">
      <c r="A46" s="7">
        <v>34</v>
      </c>
      <c r="B46" s="7">
        <v>416157</v>
      </c>
      <c r="C46" s="7">
        <f t="shared" si="22"/>
        <v>1</v>
      </c>
      <c r="D46" s="28" t="s">
        <v>2257</v>
      </c>
      <c r="E46" s="7">
        <f t="shared" si="0"/>
        <v>47</v>
      </c>
      <c r="F46" s="7" t="s">
        <v>3440</v>
      </c>
      <c r="G46" s="7">
        <f t="shared" si="1"/>
        <v>51</v>
      </c>
      <c r="H46" s="7" t="s">
        <v>3603</v>
      </c>
      <c r="I46" s="7">
        <f t="shared" si="2"/>
        <v>44</v>
      </c>
      <c r="J46" s="7" t="s">
        <v>3651</v>
      </c>
      <c r="K46" s="7">
        <f t="shared" si="3"/>
        <v>19</v>
      </c>
      <c r="L46" s="7" t="s">
        <v>3908</v>
      </c>
      <c r="M46" s="7">
        <f t="shared" si="4"/>
        <v>19</v>
      </c>
      <c r="N46" s="7" t="s">
        <v>3908</v>
      </c>
      <c r="O46" s="7">
        <v>1</v>
      </c>
      <c r="P46" s="7" t="s">
        <v>3827</v>
      </c>
      <c r="Q46" s="53"/>
      <c r="R46" s="7">
        <v>1</v>
      </c>
      <c r="S46" s="7">
        <v>1</v>
      </c>
      <c r="T46" s="53"/>
      <c r="U46" s="7">
        <v>1</v>
      </c>
      <c r="V46" s="7">
        <f t="shared" ref="V46:X61" si="24">ABS(LEFT(W46,2))</f>
        <v>14</v>
      </c>
      <c r="W46" s="28" t="s">
        <v>3900</v>
      </c>
      <c r="X46" s="7">
        <f t="shared" si="24"/>
        <v>14</v>
      </c>
      <c r="Y46" s="28" t="s">
        <v>3900</v>
      </c>
      <c r="Z46" s="7">
        <f t="shared" si="6"/>
        <v>1</v>
      </c>
      <c r="AA46" s="28" t="s">
        <v>3901</v>
      </c>
      <c r="AB46" s="7"/>
      <c r="AC46" s="7"/>
      <c r="AD46" s="7"/>
      <c r="AE46" s="7"/>
      <c r="AF46" s="7">
        <v>0</v>
      </c>
      <c r="AG46" s="7">
        <f t="shared" si="7"/>
        <v>0</v>
      </c>
      <c r="AH46" s="28" t="s">
        <v>2281</v>
      </c>
      <c r="AI46" s="7">
        <v>8</v>
      </c>
      <c r="AJ46" s="7">
        <f t="shared" si="8"/>
        <v>8</v>
      </c>
      <c r="AK46" s="28" t="s">
        <v>2291</v>
      </c>
      <c r="AL46" s="7">
        <f t="shared" si="9"/>
        <v>2</v>
      </c>
      <c r="AM46" s="28" t="s">
        <v>2295</v>
      </c>
      <c r="AN46" s="7">
        <f t="shared" si="10"/>
        <v>0</v>
      </c>
      <c r="AO46" s="28" t="s">
        <v>2297</v>
      </c>
      <c r="AP46" s="7">
        <f t="shared" si="11"/>
        <v>2</v>
      </c>
      <c r="AQ46" s="28" t="s">
        <v>2301</v>
      </c>
      <c r="AR46" s="7"/>
      <c r="AS46" s="7" t="s">
        <v>3902</v>
      </c>
      <c r="AT46" s="7"/>
      <c r="AU46" s="7"/>
      <c r="AV46" s="7">
        <f t="shared" si="12"/>
        <v>9300</v>
      </c>
      <c r="AW46" s="28" t="s">
        <v>3189</v>
      </c>
      <c r="AX46" s="7">
        <v>1</v>
      </c>
      <c r="AY46" s="7">
        <f t="shared" si="13"/>
        <v>1210</v>
      </c>
      <c r="AZ46" s="28" t="s">
        <v>2425</v>
      </c>
      <c r="BA46" s="7">
        <v>0</v>
      </c>
      <c r="BB46" s="7">
        <v>10</v>
      </c>
      <c r="BC46" s="7">
        <v>0</v>
      </c>
      <c r="BD46" s="7">
        <v>10</v>
      </c>
      <c r="BE46" s="7"/>
      <c r="BF46" s="7">
        <f t="shared" si="14"/>
        <v>32</v>
      </c>
      <c r="BG46" s="28" t="s">
        <v>2459</v>
      </c>
      <c r="BH46" s="7">
        <f t="shared" si="15"/>
        <v>0</v>
      </c>
      <c r="BI46" s="28" t="s">
        <v>2486</v>
      </c>
      <c r="BJ46" s="7"/>
      <c r="BK46" s="7"/>
      <c r="BL46" s="7">
        <f t="shared" si="16"/>
        <v>10001</v>
      </c>
      <c r="BM46" s="28" t="s">
        <v>2489</v>
      </c>
      <c r="BN46" s="7" t="e">
        <f t="shared" si="17"/>
        <v>#VALUE!</v>
      </c>
      <c r="BO46" s="28"/>
      <c r="BP46" s="7"/>
      <c r="BQ46" s="7">
        <v>4000</v>
      </c>
      <c r="BR46" s="7" t="s">
        <v>3903</v>
      </c>
      <c r="BS46" s="7">
        <f t="shared" si="18"/>
        <v>0</v>
      </c>
      <c r="BT46" s="28" t="s">
        <v>2641</v>
      </c>
      <c r="BU46" s="7">
        <f t="shared" si="19"/>
        <v>2</v>
      </c>
      <c r="BV46" s="28" t="s">
        <v>3940</v>
      </c>
      <c r="BW46" s="54" t="s">
        <v>3941</v>
      </c>
      <c r="BX46" s="54" t="s">
        <v>3941</v>
      </c>
      <c r="BY46" s="7" t="e">
        <f t="shared" si="20"/>
        <v>#VALUE!</v>
      </c>
      <c r="BZ46" s="28"/>
      <c r="CA46" s="7" t="e">
        <f t="shared" si="21"/>
        <v>#VALUE!</v>
      </c>
      <c r="CB46" s="28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</row>
    <row r="47" spans="1:92" ht="13.5" customHeight="1">
      <c r="A47" s="7">
        <v>35</v>
      </c>
      <c r="B47" s="7">
        <v>416158</v>
      </c>
      <c r="C47" s="7">
        <f t="shared" si="22"/>
        <v>1</v>
      </c>
      <c r="D47" s="28" t="s">
        <v>2257</v>
      </c>
      <c r="E47" s="7">
        <f t="shared" si="0"/>
        <v>16</v>
      </c>
      <c r="F47" s="7" t="s">
        <v>3441</v>
      </c>
      <c r="G47" s="7">
        <f t="shared" si="1"/>
        <v>33</v>
      </c>
      <c r="H47" s="7" t="s">
        <v>3943</v>
      </c>
      <c r="I47" s="7">
        <f t="shared" si="2"/>
        <v>18</v>
      </c>
      <c r="J47" s="7" t="s">
        <v>3652</v>
      </c>
      <c r="K47" s="7">
        <f t="shared" si="3"/>
        <v>16</v>
      </c>
      <c r="L47" s="7" t="s">
        <v>3441</v>
      </c>
      <c r="M47" s="7">
        <f t="shared" si="4"/>
        <v>9</v>
      </c>
      <c r="N47" s="7" t="s">
        <v>3760</v>
      </c>
      <c r="O47" s="7">
        <v>1</v>
      </c>
      <c r="P47" s="7" t="s">
        <v>3828</v>
      </c>
      <c r="Q47" s="53"/>
      <c r="R47" s="7">
        <v>1</v>
      </c>
      <c r="S47" s="7">
        <v>1</v>
      </c>
      <c r="T47" s="53"/>
      <c r="U47" s="7">
        <v>1</v>
      </c>
      <c r="V47" s="7">
        <f t="shared" si="24"/>
        <v>14</v>
      </c>
      <c r="W47" s="28" t="s">
        <v>3900</v>
      </c>
      <c r="X47" s="7">
        <f t="shared" si="24"/>
        <v>14</v>
      </c>
      <c r="Y47" s="28" t="s">
        <v>3900</v>
      </c>
      <c r="Z47" s="7">
        <f t="shared" si="6"/>
        <v>1</v>
      </c>
      <c r="AA47" s="28" t="s">
        <v>3901</v>
      </c>
      <c r="AB47" s="7"/>
      <c r="AC47" s="7"/>
      <c r="AD47" s="7"/>
      <c r="AE47" s="7"/>
      <c r="AF47" s="7">
        <v>0</v>
      </c>
      <c r="AG47" s="7">
        <f t="shared" si="7"/>
        <v>0</v>
      </c>
      <c r="AH47" s="28" t="s">
        <v>2281</v>
      </c>
      <c r="AI47" s="7">
        <v>8</v>
      </c>
      <c r="AJ47" s="7">
        <f t="shared" si="8"/>
        <v>8</v>
      </c>
      <c r="AK47" s="28" t="s">
        <v>2291</v>
      </c>
      <c r="AL47" s="7">
        <f t="shared" si="9"/>
        <v>2</v>
      </c>
      <c r="AM47" s="28" t="s">
        <v>2295</v>
      </c>
      <c r="AN47" s="7">
        <f t="shared" si="10"/>
        <v>0</v>
      </c>
      <c r="AO47" s="28" t="s">
        <v>2297</v>
      </c>
      <c r="AP47" s="7">
        <f t="shared" si="11"/>
        <v>2</v>
      </c>
      <c r="AQ47" s="28" t="s">
        <v>2301</v>
      </c>
      <c r="AR47" s="7"/>
      <c r="AS47" s="7" t="s">
        <v>3902</v>
      </c>
      <c r="AT47" s="7"/>
      <c r="AU47" s="7"/>
      <c r="AV47" s="7">
        <f t="shared" si="12"/>
        <v>9300</v>
      </c>
      <c r="AW47" s="28" t="s">
        <v>3189</v>
      </c>
      <c r="AX47" s="7">
        <v>1</v>
      </c>
      <c r="AY47" s="7">
        <f t="shared" si="13"/>
        <v>1210</v>
      </c>
      <c r="AZ47" s="28" t="s">
        <v>2425</v>
      </c>
      <c r="BA47" s="7">
        <v>0</v>
      </c>
      <c r="BB47" s="7">
        <v>10</v>
      </c>
      <c r="BC47" s="7">
        <v>0</v>
      </c>
      <c r="BD47" s="7">
        <v>10</v>
      </c>
      <c r="BE47" s="7"/>
      <c r="BF47" s="7">
        <f t="shared" si="14"/>
        <v>32</v>
      </c>
      <c r="BG47" s="28" t="s">
        <v>2459</v>
      </c>
      <c r="BH47" s="7">
        <f t="shared" si="15"/>
        <v>0</v>
      </c>
      <c r="BI47" s="28" t="s">
        <v>2486</v>
      </c>
      <c r="BJ47" s="7"/>
      <c r="BK47" s="7"/>
      <c r="BL47" s="7">
        <f t="shared" si="16"/>
        <v>10001</v>
      </c>
      <c r="BM47" s="28" t="s">
        <v>2489</v>
      </c>
      <c r="BN47" s="7" t="e">
        <f t="shared" si="17"/>
        <v>#VALUE!</v>
      </c>
      <c r="BO47" s="28"/>
      <c r="BP47" s="7"/>
      <c r="BQ47" s="7">
        <v>4000</v>
      </c>
      <c r="BR47" s="7" t="s">
        <v>3903</v>
      </c>
      <c r="BS47" s="7">
        <f t="shared" si="18"/>
        <v>0</v>
      </c>
      <c r="BT47" s="28" t="s">
        <v>2641</v>
      </c>
      <c r="BU47" s="7">
        <f t="shared" si="19"/>
        <v>2</v>
      </c>
      <c r="BV47" s="28" t="s">
        <v>3940</v>
      </c>
      <c r="BW47" s="54" t="s">
        <v>3941</v>
      </c>
      <c r="BX47" s="54" t="s">
        <v>3941</v>
      </c>
      <c r="BY47" s="7" t="e">
        <f t="shared" si="20"/>
        <v>#VALUE!</v>
      </c>
      <c r="BZ47" s="28"/>
      <c r="CA47" s="7" t="e">
        <f t="shared" si="21"/>
        <v>#VALUE!</v>
      </c>
      <c r="CB47" s="28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</row>
    <row r="48" spans="1:92" ht="13.5" customHeight="1">
      <c r="A48" s="7">
        <v>36</v>
      </c>
      <c r="B48" s="7">
        <v>416159</v>
      </c>
      <c r="C48" s="7">
        <f t="shared" si="22"/>
        <v>1</v>
      </c>
      <c r="D48" s="28" t="s">
        <v>2257</v>
      </c>
      <c r="E48" s="7">
        <f t="shared" si="0"/>
        <v>16</v>
      </c>
      <c r="F48" s="7" t="s">
        <v>3441</v>
      </c>
      <c r="G48" s="7">
        <f t="shared" si="1"/>
        <v>33</v>
      </c>
      <c r="H48" s="7" t="s">
        <v>3540</v>
      </c>
      <c r="I48" s="7">
        <f t="shared" si="2"/>
        <v>18</v>
      </c>
      <c r="J48" s="7" t="s">
        <v>3653</v>
      </c>
      <c r="K48" s="7">
        <f t="shared" si="3"/>
        <v>16</v>
      </c>
      <c r="L48" s="7" t="s">
        <v>3441</v>
      </c>
      <c r="M48" s="7">
        <f t="shared" si="4"/>
        <v>9</v>
      </c>
      <c r="N48" s="7" t="s">
        <v>3760</v>
      </c>
      <c r="O48" s="7">
        <v>1</v>
      </c>
      <c r="P48" s="7" t="s">
        <v>3829</v>
      </c>
      <c r="Q48" s="53"/>
      <c r="R48" s="7">
        <v>1</v>
      </c>
      <c r="S48" s="7">
        <v>1</v>
      </c>
      <c r="T48" s="53"/>
      <c r="U48" s="7">
        <v>1</v>
      </c>
      <c r="V48" s="7">
        <f t="shared" si="24"/>
        <v>14</v>
      </c>
      <c r="W48" s="28" t="s">
        <v>3900</v>
      </c>
      <c r="X48" s="7">
        <f t="shared" si="24"/>
        <v>14</v>
      </c>
      <c r="Y48" s="28" t="s">
        <v>3900</v>
      </c>
      <c r="Z48" s="7">
        <f t="shared" si="6"/>
        <v>1</v>
      </c>
      <c r="AA48" s="28" t="s">
        <v>3901</v>
      </c>
      <c r="AB48" s="7"/>
      <c r="AC48" s="7"/>
      <c r="AD48" s="7"/>
      <c r="AE48" s="7"/>
      <c r="AF48" s="7">
        <v>0</v>
      </c>
      <c r="AG48" s="7">
        <f t="shared" si="7"/>
        <v>0</v>
      </c>
      <c r="AH48" s="28" t="s">
        <v>2281</v>
      </c>
      <c r="AI48" s="7">
        <v>8</v>
      </c>
      <c r="AJ48" s="7">
        <f t="shared" si="8"/>
        <v>8</v>
      </c>
      <c r="AK48" s="28" t="s">
        <v>2291</v>
      </c>
      <c r="AL48" s="7">
        <f t="shared" si="9"/>
        <v>2</v>
      </c>
      <c r="AM48" s="28" t="s">
        <v>2295</v>
      </c>
      <c r="AN48" s="7">
        <f t="shared" si="10"/>
        <v>0</v>
      </c>
      <c r="AO48" s="28" t="s">
        <v>2297</v>
      </c>
      <c r="AP48" s="7">
        <f t="shared" si="11"/>
        <v>2</v>
      </c>
      <c r="AQ48" s="28" t="s">
        <v>2301</v>
      </c>
      <c r="AR48" s="7"/>
      <c r="AS48" s="7" t="s">
        <v>3902</v>
      </c>
      <c r="AT48" s="7"/>
      <c r="AU48" s="7"/>
      <c r="AV48" s="7">
        <f t="shared" si="12"/>
        <v>9300</v>
      </c>
      <c r="AW48" s="28" t="s">
        <v>3189</v>
      </c>
      <c r="AX48" s="7">
        <v>1</v>
      </c>
      <c r="AY48" s="7">
        <f t="shared" si="13"/>
        <v>1210</v>
      </c>
      <c r="AZ48" s="28" t="s">
        <v>2425</v>
      </c>
      <c r="BA48" s="7">
        <v>0</v>
      </c>
      <c r="BB48" s="7">
        <v>10</v>
      </c>
      <c r="BC48" s="7">
        <v>0</v>
      </c>
      <c r="BD48" s="7">
        <v>10</v>
      </c>
      <c r="BE48" s="7"/>
      <c r="BF48" s="7">
        <f t="shared" si="14"/>
        <v>32</v>
      </c>
      <c r="BG48" s="28" t="s">
        <v>2459</v>
      </c>
      <c r="BH48" s="7">
        <f t="shared" si="15"/>
        <v>0</v>
      </c>
      <c r="BI48" s="28" t="s">
        <v>2486</v>
      </c>
      <c r="BJ48" s="7"/>
      <c r="BK48" s="7"/>
      <c r="BL48" s="7">
        <f t="shared" si="16"/>
        <v>10001</v>
      </c>
      <c r="BM48" s="28" t="s">
        <v>2489</v>
      </c>
      <c r="BN48" s="7" t="e">
        <f t="shared" si="17"/>
        <v>#VALUE!</v>
      </c>
      <c r="BO48" s="28"/>
      <c r="BP48" s="7"/>
      <c r="BQ48" s="7">
        <v>4000</v>
      </c>
      <c r="BR48" s="7" t="s">
        <v>3903</v>
      </c>
      <c r="BS48" s="7">
        <f t="shared" si="18"/>
        <v>0</v>
      </c>
      <c r="BT48" s="28" t="s">
        <v>2641</v>
      </c>
      <c r="BU48" s="7">
        <f t="shared" si="19"/>
        <v>2</v>
      </c>
      <c r="BV48" s="28" t="s">
        <v>3940</v>
      </c>
      <c r="BW48" s="54" t="s">
        <v>3941</v>
      </c>
      <c r="BX48" s="54" t="s">
        <v>3941</v>
      </c>
      <c r="BY48" s="7" t="e">
        <f t="shared" si="20"/>
        <v>#VALUE!</v>
      </c>
      <c r="BZ48" s="28"/>
      <c r="CA48" s="7" t="e">
        <f t="shared" si="21"/>
        <v>#VALUE!</v>
      </c>
      <c r="CB48" s="28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</row>
    <row r="49" spans="1:92" ht="13.5" customHeight="1">
      <c r="A49" s="7">
        <v>37</v>
      </c>
      <c r="B49" s="7">
        <v>416160</v>
      </c>
      <c r="C49" s="7">
        <f t="shared" si="22"/>
        <v>1</v>
      </c>
      <c r="D49" s="28" t="s">
        <v>2257</v>
      </c>
      <c r="E49" s="7">
        <f t="shared" si="0"/>
        <v>16</v>
      </c>
      <c r="F49" s="7" t="s">
        <v>3442</v>
      </c>
      <c r="G49" s="7">
        <f t="shared" si="1"/>
        <v>34</v>
      </c>
      <c r="H49" s="7" t="s">
        <v>3541</v>
      </c>
      <c r="I49" s="7">
        <f t="shared" si="2"/>
        <v>19</v>
      </c>
      <c r="J49" s="7" t="s">
        <v>3654</v>
      </c>
      <c r="K49" s="7">
        <f t="shared" si="3"/>
        <v>16</v>
      </c>
      <c r="L49" s="7" t="s">
        <v>3442</v>
      </c>
      <c r="M49" s="7">
        <f t="shared" si="4"/>
        <v>9</v>
      </c>
      <c r="N49" s="7" t="s">
        <v>3761</v>
      </c>
      <c r="O49" s="7">
        <v>1</v>
      </c>
      <c r="P49" s="7" t="s">
        <v>3830</v>
      </c>
      <c r="Q49" s="53"/>
      <c r="R49" s="7">
        <v>1</v>
      </c>
      <c r="S49" s="7">
        <v>1</v>
      </c>
      <c r="T49" s="53"/>
      <c r="U49" s="7">
        <v>1</v>
      </c>
      <c r="V49" s="7">
        <f t="shared" si="24"/>
        <v>14</v>
      </c>
      <c r="W49" s="28" t="s">
        <v>3900</v>
      </c>
      <c r="X49" s="7">
        <f t="shared" si="24"/>
        <v>14</v>
      </c>
      <c r="Y49" s="28" t="s">
        <v>3900</v>
      </c>
      <c r="Z49" s="7">
        <f t="shared" si="6"/>
        <v>1</v>
      </c>
      <c r="AA49" s="28" t="s">
        <v>3901</v>
      </c>
      <c r="AB49" s="7"/>
      <c r="AC49" s="7"/>
      <c r="AD49" s="7"/>
      <c r="AE49" s="7"/>
      <c r="AF49" s="7">
        <v>0</v>
      </c>
      <c r="AG49" s="7">
        <f t="shared" si="7"/>
        <v>0</v>
      </c>
      <c r="AH49" s="28" t="s">
        <v>2281</v>
      </c>
      <c r="AI49" s="7">
        <v>8</v>
      </c>
      <c r="AJ49" s="7">
        <f t="shared" si="8"/>
        <v>8</v>
      </c>
      <c r="AK49" s="28" t="s">
        <v>2291</v>
      </c>
      <c r="AL49" s="7">
        <f t="shared" si="9"/>
        <v>2</v>
      </c>
      <c r="AM49" s="28" t="s">
        <v>2295</v>
      </c>
      <c r="AN49" s="7">
        <f t="shared" si="10"/>
        <v>0</v>
      </c>
      <c r="AO49" s="28" t="s">
        <v>2297</v>
      </c>
      <c r="AP49" s="7">
        <f t="shared" si="11"/>
        <v>2</v>
      </c>
      <c r="AQ49" s="28" t="s">
        <v>2301</v>
      </c>
      <c r="AR49" s="7"/>
      <c r="AS49" s="7" t="s">
        <v>3902</v>
      </c>
      <c r="AT49" s="7"/>
      <c r="AU49" s="7"/>
      <c r="AV49" s="7">
        <f t="shared" si="12"/>
        <v>9300</v>
      </c>
      <c r="AW49" s="28" t="s">
        <v>3189</v>
      </c>
      <c r="AX49" s="7">
        <v>1</v>
      </c>
      <c r="AY49" s="7">
        <f t="shared" si="13"/>
        <v>1210</v>
      </c>
      <c r="AZ49" s="28" t="s">
        <v>2425</v>
      </c>
      <c r="BA49" s="7">
        <v>0</v>
      </c>
      <c r="BB49" s="7">
        <v>10</v>
      </c>
      <c r="BC49" s="7">
        <v>0</v>
      </c>
      <c r="BD49" s="7">
        <v>10</v>
      </c>
      <c r="BE49" s="7"/>
      <c r="BF49" s="7">
        <f t="shared" si="14"/>
        <v>32</v>
      </c>
      <c r="BG49" s="28" t="s">
        <v>2459</v>
      </c>
      <c r="BH49" s="7">
        <f t="shared" si="15"/>
        <v>0</v>
      </c>
      <c r="BI49" s="28" t="s">
        <v>2486</v>
      </c>
      <c r="BJ49" s="7"/>
      <c r="BK49" s="7"/>
      <c r="BL49" s="7">
        <f t="shared" si="16"/>
        <v>10001</v>
      </c>
      <c r="BM49" s="28" t="s">
        <v>2489</v>
      </c>
      <c r="BN49" s="7" t="e">
        <f t="shared" si="17"/>
        <v>#VALUE!</v>
      </c>
      <c r="BO49" s="28"/>
      <c r="BP49" s="7"/>
      <c r="BQ49" s="7">
        <v>4000</v>
      </c>
      <c r="BR49" s="7" t="s">
        <v>3903</v>
      </c>
      <c r="BS49" s="7">
        <f t="shared" si="18"/>
        <v>0</v>
      </c>
      <c r="BT49" s="28" t="s">
        <v>2641</v>
      </c>
      <c r="BU49" s="7">
        <f t="shared" si="19"/>
        <v>2</v>
      </c>
      <c r="BV49" s="28" t="s">
        <v>3940</v>
      </c>
      <c r="BW49" s="54" t="s">
        <v>3941</v>
      </c>
      <c r="BX49" s="54" t="s">
        <v>3941</v>
      </c>
      <c r="BY49" s="7" t="e">
        <f t="shared" si="20"/>
        <v>#VALUE!</v>
      </c>
      <c r="BZ49" s="28"/>
      <c r="CA49" s="7" t="e">
        <f t="shared" si="21"/>
        <v>#VALUE!</v>
      </c>
      <c r="CB49" s="28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</row>
    <row r="50" spans="1:92" ht="13.5" customHeight="1">
      <c r="A50" s="7">
        <v>38</v>
      </c>
      <c r="B50" s="7">
        <v>416161</v>
      </c>
      <c r="C50" s="7">
        <f t="shared" si="22"/>
        <v>1</v>
      </c>
      <c r="D50" s="28" t="s">
        <v>2257</v>
      </c>
      <c r="E50" s="7">
        <f t="shared" si="0"/>
        <v>20</v>
      </c>
      <c r="F50" s="7" t="s">
        <v>3443</v>
      </c>
      <c r="G50" s="7">
        <f t="shared" si="1"/>
        <v>38</v>
      </c>
      <c r="H50" s="7" t="s">
        <v>3542</v>
      </c>
      <c r="I50" s="7">
        <f t="shared" si="2"/>
        <v>20</v>
      </c>
      <c r="J50" s="7" t="s">
        <v>3655</v>
      </c>
      <c r="K50" s="7">
        <f t="shared" si="3"/>
        <v>20</v>
      </c>
      <c r="L50" s="7" t="s">
        <v>3443</v>
      </c>
      <c r="M50" s="7">
        <f t="shared" si="4"/>
        <v>10</v>
      </c>
      <c r="N50" s="7" t="s">
        <v>3762</v>
      </c>
      <c r="O50" s="7">
        <v>1</v>
      </c>
      <c r="P50" s="7" t="s">
        <v>3831</v>
      </c>
      <c r="Q50" s="53"/>
      <c r="R50" s="7">
        <v>1</v>
      </c>
      <c r="S50" s="7">
        <v>1</v>
      </c>
      <c r="T50" s="53"/>
      <c r="U50" s="7">
        <v>1</v>
      </c>
      <c r="V50" s="7">
        <f t="shared" si="24"/>
        <v>14</v>
      </c>
      <c r="W50" s="28" t="s">
        <v>3900</v>
      </c>
      <c r="X50" s="7">
        <f t="shared" si="24"/>
        <v>14</v>
      </c>
      <c r="Y50" s="28" t="s">
        <v>3900</v>
      </c>
      <c r="Z50" s="7">
        <f t="shared" si="6"/>
        <v>1</v>
      </c>
      <c r="AA50" s="28" t="s">
        <v>3901</v>
      </c>
      <c r="AB50" s="7"/>
      <c r="AC50" s="7"/>
      <c r="AD50" s="7"/>
      <c r="AE50" s="7"/>
      <c r="AF50" s="7">
        <v>0</v>
      </c>
      <c r="AG50" s="7">
        <f t="shared" si="7"/>
        <v>0</v>
      </c>
      <c r="AH50" s="28" t="s">
        <v>2281</v>
      </c>
      <c r="AI50" s="7">
        <v>8</v>
      </c>
      <c r="AJ50" s="7">
        <f t="shared" si="8"/>
        <v>8</v>
      </c>
      <c r="AK50" s="28" t="s">
        <v>2291</v>
      </c>
      <c r="AL50" s="7">
        <f t="shared" si="9"/>
        <v>2</v>
      </c>
      <c r="AM50" s="28" t="s">
        <v>2295</v>
      </c>
      <c r="AN50" s="7">
        <f t="shared" si="10"/>
        <v>0</v>
      </c>
      <c r="AO50" s="28" t="s">
        <v>2297</v>
      </c>
      <c r="AP50" s="7">
        <f t="shared" si="11"/>
        <v>2</v>
      </c>
      <c r="AQ50" s="28" t="s">
        <v>2301</v>
      </c>
      <c r="AR50" s="7"/>
      <c r="AS50" s="7" t="s">
        <v>3902</v>
      </c>
      <c r="AT50" s="7"/>
      <c r="AU50" s="7"/>
      <c r="AV50" s="7">
        <f t="shared" si="12"/>
        <v>9300</v>
      </c>
      <c r="AW50" s="28" t="s">
        <v>3189</v>
      </c>
      <c r="AX50" s="7">
        <v>1</v>
      </c>
      <c r="AY50" s="7">
        <f t="shared" si="13"/>
        <v>1210</v>
      </c>
      <c r="AZ50" s="28" t="s">
        <v>2425</v>
      </c>
      <c r="BA50" s="7">
        <v>0</v>
      </c>
      <c r="BB50" s="7">
        <v>10</v>
      </c>
      <c r="BC50" s="7">
        <v>0</v>
      </c>
      <c r="BD50" s="7">
        <v>10</v>
      </c>
      <c r="BE50" s="7"/>
      <c r="BF50" s="7">
        <f t="shared" si="14"/>
        <v>32</v>
      </c>
      <c r="BG50" s="28" t="s">
        <v>2459</v>
      </c>
      <c r="BH50" s="7">
        <f t="shared" si="15"/>
        <v>0</v>
      </c>
      <c r="BI50" s="28" t="s">
        <v>2486</v>
      </c>
      <c r="BJ50" s="7"/>
      <c r="BK50" s="7"/>
      <c r="BL50" s="7">
        <f t="shared" si="16"/>
        <v>10001</v>
      </c>
      <c r="BM50" s="28" t="s">
        <v>2489</v>
      </c>
      <c r="BN50" s="7" t="e">
        <f t="shared" si="17"/>
        <v>#VALUE!</v>
      </c>
      <c r="BO50" s="28"/>
      <c r="BP50" s="7"/>
      <c r="BQ50" s="7">
        <v>4000</v>
      </c>
      <c r="BR50" s="7" t="s">
        <v>3903</v>
      </c>
      <c r="BS50" s="7">
        <f t="shared" si="18"/>
        <v>0</v>
      </c>
      <c r="BT50" s="28" t="s">
        <v>2641</v>
      </c>
      <c r="BU50" s="7">
        <f t="shared" si="19"/>
        <v>2</v>
      </c>
      <c r="BV50" s="28" t="s">
        <v>3940</v>
      </c>
      <c r="BW50" s="54" t="s">
        <v>3941</v>
      </c>
      <c r="BX50" s="54" t="s">
        <v>3941</v>
      </c>
      <c r="BY50" s="7" t="e">
        <f t="shared" si="20"/>
        <v>#VALUE!</v>
      </c>
      <c r="BZ50" s="28"/>
      <c r="CA50" s="7" t="e">
        <f t="shared" si="21"/>
        <v>#VALUE!</v>
      </c>
      <c r="CB50" s="28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</row>
    <row r="51" spans="1:92" ht="13.5" customHeight="1">
      <c r="A51" s="7">
        <v>39</v>
      </c>
      <c r="B51" s="7">
        <v>416162</v>
      </c>
      <c r="C51" s="7">
        <f t="shared" si="22"/>
        <v>1</v>
      </c>
      <c r="D51" s="28" t="s">
        <v>2257</v>
      </c>
      <c r="E51" s="7">
        <f t="shared" si="0"/>
        <v>18</v>
      </c>
      <c r="F51" s="7" t="s">
        <v>3444</v>
      </c>
      <c r="G51" s="7">
        <f t="shared" si="1"/>
        <v>36</v>
      </c>
      <c r="H51" s="7" t="s">
        <v>3543</v>
      </c>
      <c r="I51" s="7">
        <f t="shared" si="2"/>
        <v>22</v>
      </c>
      <c r="J51" s="7" t="s">
        <v>3656</v>
      </c>
      <c r="K51" s="7">
        <f t="shared" si="3"/>
        <v>18</v>
      </c>
      <c r="L51" s="7" t="s">
        <v>3444</v>
      </c>
      <c r="M51" s="7">
        <f t="shared" si="4"/>
        <v>12</v>
      </c>
      <c r="N51" s="7" t="s">
        <v>3763</v>
      </c>
      <c r="O51" s="7">
        <v>1</v>
      </c>
      <c r="P51" s="7" t="s">
        <v>3832</v>
      </c>
      <c r="Q51" s="53"/>
      <c r="R51" s="7">
        <v>1</v>
      </c>
      <c r="S51" s="7">
        <v>1</v>
      </c>
      <c r="T51" s="53"/>
      <c r="U51" s="7">
        <v>1</v>
      </c>
      <c r="V51" s="7">
        <f t="shared" si="24"/>
        <v>14</v>
      </c>
      <c r="W51" s="28" t="s">
        <v>3900</v>
      </c>
      <c r="X51" s="7">
        <f t="shared" si="24"/>
        <v>14</v>
      </c>
      <c r="Y51" s="28" t="s">
        <v>3900</v>
      </c>
      <c r="Z51" s="7">
        <f t="shared" si="6"/>
        <v>1</v>
      </c>
      <c r="AA51" s="28" t="s">
        <v>3901</v>
      </c>
      <c r="AB51" s="7"/>
      <c r="AC51" s="7"/>
      <c r="AD51" s="7"/>
      <c r="AE51" s="7"/>
      <c r="AF51" s="7">
        <v>0</v>
      </c>
      <c r="AG51" s="7">
        <f t="shared" si="7"/>
        <v>0</v>
      </c>
      <c r="AH51" s="28" t="s">
        <v>2281</v>
      </c>
      <c r="AI51" s="7">
        <v>8</v>
      </c>
      <c r="AJ51" s="7">
        <f t="shared" si="8"/>
        <v>8</v>
      </c>
      <c r="AK51" s="28" t="s">
        <v>2291</v>
      </c>
      <c r="AL51" s="7">
        <f t="shared" si="9"/>
        <v>2</v>
      </c>
      <c r="AM51" s="28" t="s">
        <v>2295</v>
      </c>
      <c r="AN51" s="7">
        <f t="shared" si="10"/>
        <v>0</v>
      </c>
      <c r="AO51" s="28" t="s">
        <v>2297</v>
      </c>
      <c r="AP51" s="7">
        <f t="shared" si="11"/>
        <v>2</v>
      </c>
      <c r="AQ51" s="28" t="s">
        <v>2301</v>
      </c>
      <c r="AR51" s="7"/>
      <c r="AS51" s="7" t="s">
        <v>3902</v>
      </c>
      <c r="AT51" s="7"/>
      <c r="AU51" s="7"/>
      <c r="AV51" s="7">
        <f t="shared" si="12"/>
        <v>9300</v>
      </c>
      <c r="AW51" s="28" t="s">
        <v>3189</v>
      </c>
      <c r="AX51" s="7">
        <v>1</v>
      </c>
      <c r="AY51" s="7">
        <f t="shared" si="13"/>
        <v>1210</v>
      </c>
      <c r="AZ51" s="28" t="s">
        <v>2425</v>
      </c>
      <c r="BA51" s="7">
        <v>0</v>
      </c>
      <c r="BB51" s="7">
        <v>10</v>
      </c>
      <c r="BC51" s="7">
        <v>0</v>
      </c>
      <c r="BD51" s="7">
        <v>10</v>
      </c>
      <c r="BE51" s="7"/>
      <c r="BF51" s="7">
        <f t="shared" si="14"/>
        <v>32</v>
      </c>
      <c r="BG51" s="28" t="s">
        <v>2459</v>
      </c>
      <c r="BH51" s="7">
        <f t="shared" si="15"/>
        <v>0</v>
      </c>
      <c r="BI51" s="28" t="s">
        <v>2486</v>
      </c>
      <c r="BJ51" s="7"/>
      <c r="BK51" s="7"/>
      <c r="BL51" s="7">
        <f t="shared" si="16"/>
        <v>10001</v>
      </c>
      <c r="BM51" s="28" t="s">
        <v>2489</v>
      </c>
      <c r="BN51" s="7" t="e">
        <f t="shared" si="17"/>
        <v>#VALUE!</v>
      </c>
      <c r="BO51" s="28"/>
      <c r="BP51" s="7"/>
      <c r="BQ51" s="7">
        <v>4000</v>
      </c>
      <c r="BR51" s="7" t="s">
        <v>3903</v>
      </c>
      <c r="BS51" s="7">
        <f t="shared" si="18"/>
        <v>0</v>
      </c>
      <c r="BT51" s="28" t="s">
        <v>2641</v>
      </c>
      <c r="BU51" s="7">
        <f t="shared" si="19"/>
        <v>2</v>
      </c>
      <c r="BV51" s="28" t="s">
        <v>3940</v>
      </c>
      <c r="BW51" s="54" t="s">
        <v>3941</v>
      </c>
      <c r="BX51" s="54" t="s">
        <v>3941</v>
      </c>
      <c r="BY51" s="7" t="e">
        <f t="shared" si="20"/>
        <v>#VALUE!</v>
      </c>
      <c r="BZ51" s="28"/>
      <c r="CA51" s="7" t="e">
        <f t="shared" si="21"/>
        <v>#VALUE!</v>
      </c>
      <c r="CB51" s="28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</row>
    <row r="52" spans="1:92" ht="13.5" customHeight="1">
      <c r="A52" s="7">
        <v>40</v>
      </c>
      <c r="B52" s="7">
        <v>416163</v>
      </c>
      <c r="C52" s="7">
        <f t="shared" si="22"/>
        <v>1</v>
      </c>
      <c r="D52" s="28" t="s">
        <v>2257</v>
      </c>
      <c r="E52" s="7">
        <f t="shared" si="0"/>
        <v>22</v>
      </c>
      <c r="F52" s="7" t="s">
        <v>3445</v>
      </c>
      <c r="G52" s="7">
        <f t="shared" si="1"/>
        <v>39</v>
      </c>
      <c r="H52" s="7" t="s">
        <v>3544</v>
      </c>
      <c r="I52" s="7">
        <f t="shared" si="2"/>
        <v>25</v>
      </c>
      <c r="J52" s="7" t="s">
        <v>3657</v>
      </c>
      <c r="K52" s="7">
        <f t="shared" si="3"/>
        <v>16</v>
      </c>
      <c r="L52" s="7" t="s">
        <v>3764</v>
      </c>
      <c r="M52" s="7">
        <f t="shared" si="4"/>
        <v>16</v>
      </c>
      <c r="N52" s="7" t="s">
        <v>3764</v>
      </c>
      <c r="O52" s="7">
        <v>1</v>
      </c>
      <c r="P52" s="7" t="s">
        <v>3833</v>
      </c>
      <c r="Q52" s="53"/>
      <c r="R52" s="7">
        <v>1</v>
      </c>
      <c r="S52" s="7">
        <v>1</v>
      </c>
      <c r="T52" s="53"/>
      <c r="U52" s="7">
        <v>1</v>
      </c>
      <c r="V52" s="7">
        <f t="shared" si="24"/>
        <v>14</v>
      </c>
      <c r="W52" s="28" t="s">
        <v>3900</v>
      </c>
      <c r="X52" s="7">
        <f t="shared" si="24"/>
        <v>14</v>
      </c>
      <c r="Y52" s="28" t="s">
        <v>3900</v>
      </c>
      <c r="Z52" s="7">
        <f t="shared" si="6"/>
        <v>1</v>
      </c>
      <c r="AA52" s="28" t="s">
        <v>3901</v>
      </c>
      <c r="AB52" s="7"/>
      <c r="AC52" s="7"/>
      <c r="AD52" s="7"/>
      <c r="AE52" s="7"/>
      <c r="AF52" s="7">
        <v>0</v>
      </c>
      <c r="AG52" s="7">
        <f t="shared" si="7"/>
        <v>0</v>
      </c>
      <c r="AH52" s="28" t="s">
        <v>2281</v>
      </c>
      <c r="AI52" s="7">
        <v>8</v>
      </c>
      <c r="AJ52" s="7">
        <f t="shared" si="8"/>
        <v>8</v>
      </c>
      <c r="AK52" s="28" t="s">
        <v>2291</v>
      </c>
      <c r="AL52" s="7">
        <f t="shared" si="9"/>
        <v>2</v>
      </c>
      <c r="AM52" s="28" t="s">
        <v>2295</v>
      </c>
      <c r="AN52" s="7">
        <f t="shared" si="10"/>
        <v>0</v>
      </c>
      <c r="AO52" s="28" t="s">
        <v>2297</v>
      </c>
      <c r="AP52" s="7">
        <f t="shared" si="11"/>
        <v>2</v>
      </c>
      <c r="AQ52" s="28" t="s">
        <v>2301</v>
      </c>
      <c r="AR52" s="7"/>
      <c r="AS52" s="7" t="s">
        <v>3902</v>
      </c>
      <c r="AT52" s="7"/>
      <c r="AU52" s="7"/>
      <c r="AV52" s="7">
        <f t="shared" si="12"/>
        <v>9300</v>
      </c>
      <c r="AW52" s="28" t="s">
        <v>3189</v>
      </c>
      <c r="AX52" s="7">
        <v>1</v>
      </c>
      <c r="AY52" s="7">
        <f t="shared" si="13"/>
        <v>1210</v>
      </c>
      <c r="AZ52" s="28" t="s">
        <v>2425</v>
      </c>
      <c r="BA52" s="7">
        <v>0</v>
      </c>
      <c r="BB52" s="7">
        <v>10</v>
      </c>
      <c r="BC52" s="7">
        <v>0</v>
      </c>
      <c r="BD52" s="7">
        <v>10</v>
      </c>
      <c r="BE52" s="7"/>
      <c r="BF52" s="7">
        <f t="shared" si="14"/>
        <v>32</v>
      </c>
      <c r="BG52" s="28" t="s">
        <v>2459</v>
      </c>
      <c r="BH52" s="7">
        <f t="shared" si="15"/>
        <v>0</v>
      </c>
      <c r="BI52" s="28" t="s">
        <v>2486</v>
      </c>
      <c r="BJ52" s="7"/>
      <c r="BK52" s="7"/>
      <c r="BL52" s="7">
        <f t="shared" si="16"/>
        <v>10001</v>
      </c>
      <c r="BM52" s="28" t="s">
        <v>2489</v>
      </c>
      <c r="BN52" s="7" t="e">
        <f t="shared" si="17"/>
        <v>#VALUE!</v>
      </c>
      <c r="BO52" s="28"/>
      <c r="BP52" s="7"/>
      <c r="BQ52" s="7">
        <v>4000</v>
      </c>
      <c r="BR52" s="7" t="s">
        <v>3903</v>
      </c>
      <c r="BS52" s="7">
        <f t="shared" si="18"/>
        <v>0</v>
      </c>
      <c r="BT52" s="28" t="s">
        <v>2641</v>
      </c>
      <c r="BU52" s="7">
        <f t="shared" si="19"/>
        <v>2</v>
      </c>
      <c r="BV52" s="28" t="s">
        <v>3940</v>
      </c>
      <c r="BW52" s="54" t="s">
        <v>3941</v>
      </c>
      <c r="BX52" s="54" t="s">
        <v>3941</v>
      </c>
      <c r="BY52" s="7" t="e">
        <f t="shared" si="20"/>
        <v>#VALUE!</v>
      </c>
      <c r="BZ52" s="28"/>
      <c r="CA52" s="7" t="e">
        <f t="shared" si="21"/>
        <v>#VALUE!</v>
      </c>
      <c r="CB52" s="28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</row>
    <row r="53" spans="1:92" ht="13.5" customHeight="1">
      <c r="A53" s="7">
        <v>41</v>
      </c>
      <c r="B53" s="7">
        <v>416164</v>
      </c>
      <c r="C53" s="7">
        <f t="shared" si="22"/>
        <v>1</v>
      </c>
      <c r="D53" s="28" t="s">
        <v>2257</v>
      </c>
      <c r="E53" s="7">
        <f t="shared" si="0"/>
        <v>24</v>
      </c>
      <c r="F53" s="7" t="s">
        <v>3446</v>
      </c>
      <c r="G53" s="7">
        <f t="shared" si="1"/>
        <v>43</v>
      </c>
      <c r="H53" s="7" t="s">
        <v>3545</v>
      </c>
      <c r="I53" s="7">
        <f t="shared" si="2"/>
        <v>24</v>
      </c>
      <c r="J53" s="7" t="s">
        <v>3658</v>
      </c>
      <c r="K53" s="7">
        <f t="shared" si="3"/>
        <v>13</v>
      </c>
      <c r="L53" s="7" t="s">
        <v>3765</v>
      </c>
      <c r="M53" s="7">
        <f t="shared" si="4"/>
        <v>13</v>
      </c>
      <c r="N53" s="7" t="s">
        <v>3765</v>
      </c>
      <c r="O53" s="7">
        <v>1</v>
      </c>
      <c r="P53" s="7" t="s">
        <v>3834</v>
      </c>
      <c r="Q53" s="53"/>
      <c r="R53" s="7">
        <v>1</v>
      </c>
      <c r="S53" s="7">
        <v>1</v>
      </c>
      <c r="T53" s="53"/>
      <c r="U53" s="7">
        <v>1</v>
      </c>
      <c r="V53" s="7">
        <f t="shared" si="24"/>
        <v>14</v>
      </c>
      <c r="W53" s="28" t="s">
        <v>3900</v>
      </c>
      <c r="X53" s="7">
        <f t="shared" si="24"/>
        <v>14</v>
      </c>
      <c r="Y53" s="28" t="s">
        <v>3900</v>
      </c>
      <c r="Z53" s="7">
        <f t="shared" si="6"/>
        <v>1</v>
      </c>
      <c r="AA53" s="28" t="s">
        <v>3901</v>
      </c>
      <c r="AB53" s="7"/>
      <c r="AC53" s="7"/>
      <c r="AD53" s="7"/>
      <c r="AE53" s="7"/>
      <c r="AF53" s="7">
        <v>0</v>
      </c>
      <c r="AG53" s="7">
        <f t="shared" si="7"/>
        <v>0</v>
      </c>
      <c r="AH53" s="28" t="s">
        <v>2281</v>
      </c>
      <c r="AI53" s="7">
        <v>8</v>
      </c>
      <c r="AJ53" s="7">
        <f t="shared" si="8"/>
        <v>8</v>
      </c>
      <c r="AK53" s="28" t="s">
        <v>2291</v>
      </c>
      <c r="AL53" s="7">
        <f t="shared" si="9"/>
        <v>2</v>
      </c>
      <c r="AM53" s="28" t="s">
        <v>2295</v>
      </c>
      <c r="AN53" s="7">
        <f t="shared" si="10"/>
        <v>0</v>
      </c>
      <c r="AO53" s="28" t="s">
        <v>2297</v>
      </c>
      <c r="AP53" s="7">
        <f t="shared" si="11"/>
        <v>2</v>
      </c>
      <c r="AQ53" s="28" t="s">
        <v>2301</v>
      </c>
      <c r="AR53" s="7"/>
      <c r="AS53" s="7" t="s">
        <v>3902</v>
      </c>
      <c r="AT53" s="7"/>
      <c r="AU53" s="7"/>
      <c r="AV53" s="7">
        <f t="shared" si="12"/>
        <v>9300</v>
      </c>
      <c r="AW53" s="28" t="s">
        <v>3189</v>
      </c>
      <c r="AX53" s="7">
        <v>1</v>
      </c>
      <c r="AY53" s="7">
        <f t="shared" si="13"/>
        <v>1210</v>
      </c>
      <c r="AZ53" s="28" t="s">
        <v>2425</v>
      </c>
      <c r="BA53" s="7">
        <v>0</v>
      </c>
      <c r="BB53" s="7">
        <v>10</v>
      </c>
      <c r="BC53" s="7">
        <v>0</v>
      </c>
      <c r="BD53" s="7">
        <v>10</v>
      </c>
      <c r="BE53" s="7"/>
      <c r="BF53" s="7">
        <f t="shared" si="14"/>
        <v>32</v>
      </c>
      <c r="BG53" s="28" t="s">
        <v>2459</v>
      </c>
      <c r="BH53" s="7">
        <f t="shared" si="15"/>
        <v>0</v>
      </c>
      <c r="BI53" s="28" t="s">
        <v>2486</v>
      </c>
      <c r="BJ53" s="7"/>
      <c r="BK53" s="7"/>
      <c r="BL53" s="7">
        <f t="shared" si="16"/>
        <v>10001</v>
      </c>
      <c r="BM53" s="28" t="s">
        <v>2489</v>
      </c>
      <c r="BN53" s="7" t="e">
        <f t="shared" si="17"/>
        <v>#VALUE!</v>
      </c>
      <c r="BO53" s="28"/>
      <c r="BP53" s="7"/>
      <c r="BQ53" s="7">
        <v>4000</v>
      </c>
      <c r="BR53" s="7" t="s">
        <v>3903</v>
      </c>
      <c r="BS53" s="7">
        <f t="shared" si="18"/>
        <v>0</v>
      </c>
      <c r="BT53" s="28" t="s">
        <v>2641</v>
      </c>
      <c r="BU53" s="7">
        <f t="shared" si="19"/>
        <v>2</v>
      </c>
      <c r="BV53" s="28" t="s">
        <v>3940</v>
      </c>
      <c r="BW53" s="54" t="s">
        <v>3941</v>
      </c>
      <c r="BX53" s="54" t="s">
        <v>3941</v>
      </c>
      <c r="BY53" s="7" t="e">
        <f t="shared" si="20"/>
        <v>#VALUE!</v>
      </c>
      <c r="BZ53" s="28"/>
      <c r="CA53" s="7" t="e">
        <f t="shared" si="21"/>
        <v>#VALUE!</v>
      </c>
      <c r="CB53" s="28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</row>
    <row r="54" spans="1:92" ht="13.5" customHeight="1">
      <c r="A54" s="7">
        <v>42</v>
      </c>
      <c r="B54" s="7">
        <v>416165</v>
      </c>
      <c r="C54" s="7">
        <f t="shared" si="22"/>
        <v>1</v>
      </c>
      <c r="D54" s="28" t="s">
        <v>2257</v>
      </c>
      <c r="E54" s="7">
        <f t="shared" si="0"/>
        <v>30</v>
      </c>
      <c r="F54" s="7" t="s">
        <v>3447</v>
      </c>
      <c r="G54" s="7">
        <f t="shared" si="1"/>
        <v>51</v>
      </c>
      <c r="H54" s="7" t="s">
        <v>3546</v>
      </c>
      <c r="I54" s="7">
        <f t="shared" si="2"/>
        <v>37</v>
      </c>
      <c r="J54" s="7" t="s">
        <v>3659</v>
      </c>
      <c r="K54" s="7">
        <f t="shared" si="3"/>
        <v>20</v>
      </c>
      <c r="L54" s="7" t="s">
        <v>3909</v>
      </c>
      <c r="M54" s="7">
        <f t="shared" si="4"/>
        <v>20</v>
      </c>
      <c r="N54" s="7" t="s">
        <v>3909</v>
      </c>
      <c r="O54" s="7">
        <v>1</v>
      </c>
      <c r="P54" s="7" t="s">
        <v>3835</v>
      </c>
      <c r="Q54" s="53"/>
      <c r="R54" s="7">
        <v>1</v>
      </c>
      <c r="S54" s="7">
        <v>1</v>
      </c>
      <c r="T54" s="53"/>
      <c r="U54" s="7">
        <v>1</v>
      </c>
      <c r="V54" s="7">
        <f t="shared" si="24"/>
        <v>14</v>
      </c>
      <c r="W54" s="28" t="s">
        <v>3900</v>
      </c>
      <c r="X54" s="7">
        <f t="shared" si="24"/>
        <v>14</v>
      </c>
      <c r="Y54" s="28" t="s">
        <v>3900</v>
      </c>
      <c r="Z54" s="7">
        <f t="shared" si="6"/>
        <v>1</v>
      </c>
      <c r="AA54" s="28" t="s">
        <v>3901</v>
      </c>
      <c r="AB54" s="7"/>
      <c r="AC54" s="7"/>
      <c r="AD54" s="7"/>
      <c r="AE54" s="7"/>
      <c r="AF54" s="7">
        <v>0</v>
      </c>
      <c r="AG54" s="7">
        <f t="shared" si="7"/>
        <v>0</v>
      </c>
      <c r="AH54" s="28" t="s">
        <v>2281</v>
      </c>
      <c r="AI54" s="7">
        <v>8</v>
      </c>
      <c r="AJ54" s="7">
        <f t="shared" si="8"/>
        <v>8</v>
      </c>
      <c r="AK54" s="28" t="s">
        <v>2291</v>
      </c>
      <c r="AL54" s="7">
        <f t="shared" si="9"/>
        <v>2</v>
      </c>
      <c r="AM54" s="28" t="s">
        <v>2295</v>
      </c>
      <c r="AN54" s="7">
        <f t="shared" si="10"/>
        <v>0</v>
      </c>
      <c r="AO54" s="28" t="s">
        <v>2297</v>
      </c>
      <c r="AP54" s="7">
        <f t="shared" si="11"/>
        <v>2</v>
      </c>
      <c r="AQ54" s="28" t="s">
        <v>2301</v>
      </c>
      <c r="AR54" s="7"/>
      <c r="AS54" s="7" t="s">
        <v>3902</v>
      </c>
      <c r="AT54" s="7"/>
      <c r="AU54" s="7"/>
      <c r="AV54" s="7">
        <f t="shared" si="12"/>
        <v>9300</v>
      </c>
      <c r="AW54" s="28" t="s">
        <v>3189</v>
      </c>
      <c r="AX54" s="7">
        <v>1</v>
      </c>
      <c r="AY54" s="7">
        <f t="shared" si="13"/>
        <v>1210</v>
      </c>
      <c r="AZ54" s="28" t="s">
        <v>2425</v>
      </c>
      <c r="BA54" s="7">
        <v>0</v>
      </c>
      <c r="BB54" s="7">
        <v>10</v>
      </c>
      <c r="BC54" s="7">
        <v>0</v>
      </c>
      <c r="BD54" s="7">
        <v>10</v>
      </c>
      <c r="BE54" s="7"/>
      <c r="BF54" s="7">
        <f t="shared" si="14"/>
        <v>32</v>
      </c>
      <c r="BG54" s="28" t="s">
        <v>2459</v>
      </c>
      <c r="BH54" s="7">
        <f t="shared" si="15"/>
        <v>0</v>
      </c>
      <c r="BI54" s="28" t="s">
        <v>2486</v>
      </c>
      <c r="BJ54" s="7"/>
      <c r="BK54" s="7"/>
      <c r="BL54" s="7">
        <f t="shared" si="16"/>
        <v>10001</v>
      </c>
      <c r="BM54" s="28" t="s">
        <v>2489</v>
      </c>
      <c r="BN54" s="7" t="e">
        <f t="shared" si="17"/>
        <v>#VALUE!</v>
      </c>
      <c r="BO54" s="28"/>
      <c r="BP54" s="7"/>
      <c r="BQ54" s="7">
        <v>4000</v>
      </c>
      <c r="BR54" s="7" t="s">
        <v>3903</v>
      </c>
      <c r="BS54" s="7">
        <f t="shared" si="18"/>
        <v>0</v>
      </c>
      <c r="BT54" s="28" t="s">
        <v>2641</v>
      </c>
      <c r="BU54" s="7">
        <f t="shared" si="19"/>
        <v>2</v>
      </c>
      <c r="BV54" s="28" t="s">
        <v>3940</v>
      </c>
      <c r="BW54" s="54" t="s">
        <v>3941</v>
      </c>
      <c r="BX54" s="54" t="s">
        <v>3941</v>
      </c>
      <c r="BY54" s="7" t="e">
        <f t="shared" si="20"/>
        <v>#VALUE!</v>
      </c>
      <c r="BZ54" s="28"/>
      <c r="CA54" s="7" t="e">
        <f t="shared" si="21"/>
        <v>#VALUE!</v>
      </c>
      <c r="CB54" s="28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</row>
    <row r="55" spans="1:92" ht="13.5" customHeight="1">
      <c r="A55" s="7">
        <v>43</v>
      </c>
      <c r="B55" s="7">
        <v>416166</v>
      </c>
      <c r="C55" s="7">
        <f t="shared" si="22"/>
        <v>1</v>
      </c>
      <c r="D55" s="28" t="s">
        <v>2257</v>
      </c>
      <c r="E55" s="7">
        <f t="shared" si="0"/>
        <v>34</v>
      </c>
      <c r="F55" s="7" t="s">
        <v>3448</v>
      </c>
      <c r="G55" s="7">
        <f t="shared" si="1"/>
        <v>50</v>
      </c>
      <c r="H55" s="7" t="s">
        <v>3604</v>
      </c>
      <c r="I55" s="7">
        <f t="shared" si="2"/>
        <v>41</v>
      </c>
      <c r="J55" s="7" t="s">
        <v>3660</v>
      </c>
      <c r="K55" s="7">
        <f t="shared" si="3"/>
        <v>20</v>
      </c>
      <c r="L55" s="7" t="s">
        <v>3910</v>
      </c>
      <c r="M55" s="7">
        <f t="shared" si="4"/>
        <v>20</v>
      </c>
      <c r="N55" s="7" t="s">
        <v>3910</v>
      </c>
      <c r="O55" s="7">
        <v>1</v>
      </c>
      <c r="P55" s="7" t="s">
        <v>3836</v>
      </c>
      <c r="Q55" s="53"/>
      <c r="R55" s="7">
        <v>1</v>
      </c>
      <c r="S55" s="7">
        <v>1</v>
      </c>
      <c r="T55" s="53"/>
      <c r="U55" s="7">
        <v>1</v>
      </c>
      <c r="V55" s="7">
        <f t="shared" si="24"/>
        <v>14</v>
      </c>
      <c r="W55" s="28" t="s">
        <v>3900</v>
      </c>
      <c r="X55" s="7">
        <f t="shared" si="24"/>
        <v>14</v>
      </c>
      <c r="Y55" s="28" t="s">
        <v>3900</v>
      </c>
      <c r="Z55" s="7">
        <f t="shared" si="6"/>
        <v>1</v>
      </c>
      <c r="AA55" s="28" t="s">
        <v>3901</v>
      </c>
      <c r="AB55" s="7"/>
      <c r="AC55" s="7"/>
      <c r="AD55" s="7"/>
      <c r="AE55" s="7"/>
      <c r="AF55" s="7">
        <v>0</v>
      </c>
      <c r="AG55" s="7">
        <f t="shared" si="7"/>
        <v>0</v>
      </c>
      <c r="AH55" s="28" t="s">
        <v>2281</v>
      </c>
      <c r="AI55" s="7">
        <v>8</v>
      </c>
      <c r="AJ55" s="7">
        <f t="shared" si="8"/>
        <v>8</v>
      </c>
      <c r="AK55" s="28" t="s">
        <v>2291</v>
      </c>
      <c r="AL55" s="7">
        <f t="shared" si="9"/>
        <v>2</v>
      </c>
      <c r="AM55" s="28" t="s">
        <v>2295</v>
      </c>
      <c r="AN55" s="7">
        <f t="shared" si="10"/>
        <v>0</v>
      </c>
      <c r="AO55" s="28" t="s">
        <v>2297</v>
      </c>
      <c r="AP55" s="7">
        <f t="shared" si="11"/>
        <v>2</v>
      </c>
      <c r="AQ55" s="28" t="s">
        <v>2301</v>
      </c>
      <c r="AR55" s="7"/>
      <c r="AS55" s="7" t="s">
        <v>3902</v>
      </c>
      <c r="AT55" s="7"/>
      <c r="AU55" s="7"/>
      <c r="AV55" s="7">
        <f t="shared" si="12"/>
        <v>9300</v>
      </c>
      <c r="AW55" s="28" t="s">
        <v>3189</v>
      </c>
      <c r="AX55" s="7">
        <v>1</v>
      </c>
      <c r="AY55" s="7">
        <f t="shared" si="13"/>
        <v>1210</v>
      </c>
      <c r="AZ55" s="28" t="s">
        <v>2425</v>
      </c>
      <c r="BA55" s="7">
        <v>0</v>
      </c>
      <c r="BB55" s="7">
        <v>10</v>
      </c>
      <c r="BC55" s="7">
        <v>0</v>
      </c>
      <c r="BD55" s="7">
        <v>10</v>
      </c>
      <c r="BE55" s="7"/>
      <c r="BF55" s="7">
        <f t="shared" si="14"/>
        <v>32</v>
      </c>
      <c r="BG55" s="28" t="s">
        <v>2459</v>
      </c>
      <c r="BH55" s="7">
        <f t="shared" si="15"/>
        <v>0</v>
      </c>
      <c r="BI55" s="28" t="s">
        <v>2486</v>
      </c>
      <c r="BJ55" s="7"/>
      <c r="BK55" s="7"/>
      <c r="BL55" s="7">
        <f t="shared" si="16"/>
        <v>10001</v>
      </c>
      <c r="BM55" s="28" t="s">
        <v>2489</v>
      </c>
      <c r="BN55" s="7" t="e">
        <f t="shared" si="17"/>
        <v>#VALUE!</v>
      </c>
      <c r="BO55" s="28"/>
      <c r="BP55" s="7"/>
      <c r="BQ55" s="7">
        <v>4000</v>
      </c>
      <c r="BR55" s="7" t="s">
        <v>3903</v>
      </c>
      <c r="BS55" s="7">
        <f t="shared" si="18"/>
        <v>0</v>
      </c>
      <c r="BT55" s="28" t="s">
        <v>2641</v>
      </c>
      <c r="BU55" s="7">
        <f t="shared" si="19"/>
        <v>2</v>
      </c>
      <c r="BV55" s="28" t="s">
        <v>3940</v>
      </c>
      <c r="BW55" s="54" t="s">
        <v>3941</v>
      </c>
      <c r="BX55" s="54" t="s">
        <v>3941</v>
      </c>
      <c r="BY55" s="7" t="e">
        <f t="shared" si="20"/>
        <v>#VALUE!</v>
      </c>
      <c r="BZ55" s="28"/>
      <c r="CA55" s="7" t="e">
        <f t="shared" si="21"/>
        <v>#VALUE!</v>
      </c>
      <c r="CB55" s="28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</row>
    <row r="56" spans="1:92" ht="13.5" customHeight="1">
      <c r="A56" s="7">
        <v>44</v>
      </c>
      <c r="B56" s="7">
        <v>416167</v>
      </c>
      <c r="C56" s="7">
        <f t="shared" si="22"/>
        <v>1</v>
      </c>
      <c r="D56" s="28" t="s">
        <v>2257</v>
      </c>
      <c r="E56" s="7">
        <f t="shared" si="0"/>
        <v>39</v>
      </c>
      <c r="F56" s="7" t="s">
        <v>3449</v>
      </c>
      <c r="G56" s="7">
        <f t="shared" si="1"/>
        <v>51</v>
      </c>
      <c r="H56" s="7" t="s">
        <v>3605</v>
      </c>
      <c r="I56" s="7">
        <f t="shared" si="2"/>
        <v>47</v>
      </c>
      <c r="J56" s="7" t="s">
        <v>3661</v>
      </c>
      <c r="K56" s="7">
        <f t="shared" si="3"/>
        <v>20</v>
      </c>
      <c r="L56" s="7" t="s">
        <v>3911</v>
      </c>
      <c r="M56" s="7">
        <f t="shared" si="4"/>
        <v>20</v>
      </c>
      <c r="N56" s="7" t="s">
        <v>3911</v>
      </c>
      <c r="O56" s="7">
        <v>1</v>
      </c>
      <c r="P56" s="7" t="s">
        <v>3837</v>
      </c>
      <c r="Q56" s="53"/>
      <c r="R56" s="7">
        <v>1</v>
      </c>
      <c r="S56" s="7">
        <v>1</v>
      </c>
      <c r="T56" s="53"/>
      <c r="U56" s="7">
        <v>1</v>
      </c>
      <c r="V56" s="7">
        <f t="shared" si="24"/>
        <v>14</v>
      </c>
      <c r="W56" s="28" t="s">
        <v>3900</v>
      </c>
      <c r="X56" s="7">
        <f t="shared" si="24"/>
        <v>14</v>
      </c>
      <c r="Y56" s="28" t="s">
        <v>3900</v>
      </c>
      <c r="Z56" s="7">
        <f t="shared" si="6"/>
        <v>1</v>
      </c>
      <c r="AA56" s="28" t="s">
        <v>3901</v>
      </c>
      <c r="AB56" s="7"/>
      <c r="AC56" s="7"/>
      <c r="AD56" s="7"/>
      <c r="AE56" s="7"/>
      <c r="AF56" s="7">
        <v>0</v>
      </c>
      <c r="AG56" s="7">
        <f t="shared" si="7"/>
        <v>0</v>
      </c>
      <c r="AH56" s="28" t="s">
        <v>2281</v>
      </c>
      <c r="AI56" s="7">
        <v>8</v>
      </c>
      <c r="AJ56" s="7">
        <f t="shared" si="8"/>
        <v>8</v>
      </c>
      <c r="AK56" s="28" t="s">
        <v>2291</v>
      </c>
      <c r="AL56" s="7">
        <f t="shared" si="9"/>
        <v>2</v>
      </c>
      <c r="AM56" s="28" t="s">
        <v>2295</v>
      </c>
      <c r="AN56" s="7">
        <f t="shared" si="10"/>
        <v>0</v>
      </c>
      <c r="AO56" s="28" t="s">
        <v>2297</v>
      </c>
      <c r="AP56" s="7">
        <f t="shared" si="11"/>
        <v>2</v>
      </c>
      <c r="AQ56" s="28" t="s">
        <v>2301</v>
      </c>
      <c r="AR56" s="7"/>
      <c r="AS56" s="7" t="s">
        <v>3902</v>
      </c>
      <c r="AT56" s="7"/>
      <c r="AU56" s="7"/>
      <c r="AV56" s="7">
        <f t="shared" si="12"/>
        <v>9300</v>
      </c>
      <c r="AW56" s="28" t="s">
        <v>3189</v>
      </c>
      <c r="AX56" s="7">
        <v>1</v>
      </c>
      <c r="AY56" s="7">
        <f t="shared" si="13"/>
        <v>1210</v>
      </c>
      <c r="AZ56" s="28" t="s">
        <v>2425</v>
      </c>
      <c r="BA56" s="7">
        <v>0</v>
      </c>
      <c r="BB56" s="7">
        <v>10</v>
      </c>
      <c r="BC56" s="7">
        <v>0</v>
      </c>
      <c r="BD56" s="7">
        <v>10</v>
      </c>
      <c r="BE56" s="7"/>
      <c r="BF56" s="7">
        <f t="shared" si="14"/>
        <v>32</v>
      </c>
      <c r="BG56" s="28" t="s">
        <v>2459</v>
      </c>
      <c r="BH56" s="7">
        <f t="shared" si="15"/>
        <v>0</v>
      </c>
      <c r="BI56" s="28" t="s">
        <v>2486</v>
      </c>
      <c r="BJ56" s="7"/>
      <c r="BK56" s="7"/>
      <c r="BL56" s="7">
        <f t="shared" si="16"/>
        <v>10001</v>
      </c>
      <c r="BM56" s="28" t="s">
        <v>2489</v>
      </c>
      <c r="BN56" s="7" t="e">
        <f t="shared" si="17"/>
        <v>#VALUE!</v>
      </c>
      <c r="BO56" s="28"/>
      <c r="BP56" s="7"/>
      <c r="BQ56" s="7">
        <v>4000</v>
      </c>
      <c r="BR56" s="7" t="s">
        <v>3903</v>
      </c>
      <c r="BS56" s="7">
        <f t="shared" si="18"/>
        <v>0</v>
      </c>
      <c r="BT56" s="28" t="s">
        <v>2641</v>
      </c>
      <c r="BU56" s="7">
        <f t="shared" si="19"/>
        <v>2</v>
      </c>
      <c r="BV56" s="28" t="s">
        <v>3940</v>
      </c>
      <c r="BW56" s="54" t="s">
        <v>3941</v>
      </c>
      <c r="BX56" s="54" t="s">
        <v>3941</v>
      </c>
      <c r="BY56" s="7" t="e">
        <f t="shared" si="20"/>
        <v>#VALUE!</v>
      </c>
      <c r="BZ56" s="28"/>
      <c r="CA56" s="7" t="e">
        <f t="shared" si="21"/>
        <v>#VALUE!</v>
      </c>
      <c r="CB56" s="28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</row>
    <row r="57" spans="1:92" ht="13.5" customHeight="1">
      <c r="A57" s="7">
        <v>45</v>
      </c>
      <c r="B57" s="7">
        <v>416168</v>
      </c>
      <c r="C57" s="7">
        <f t="shared" si="22"/>
        <v>1</v>
      </c>
      <c r="D57" s="28" t="s">
        <v>2257</v>
      </c>
      <c r="E57" s="7">
        <f t="shared" si="0"/>
        <v>32</v>
      </c>
      <c r="F57" s="7" t="s">
        <v>3450</v>
      </c>
      <c r="G57" s="7">
        <f t="shared" si="1"/>
        <v>43</v>
      </c>
      <c r="H57" s="7" t="s">
        <v>3606</v>
      </c>
      <c r="I57" s="7">
        <f t="shared" si="2"/>
        <v>42</v>
      </c>
      <c r="J57" s="7" t="s">
        <v>3662</v>
      </c>
      <c r="K57" s="7">
        <f t="shared" si="3"/>
        <v>20</v>
      </c>
      <c r="L57" s="7" t="s">
        <v>3912</v>
      </c>
      <c r="M57" s="7">
        <f t="shared" si="4"/>
        <v>20</v>
      </c>
      <c r="N57" s="7" t="s">
        <v>3912</v>
      </c>
      <c r="O57" s="7">
        <v>1</v>
      </c>
      <c r="P57" s="7" t="s">
        <v>3838</v>
      </c>
      <c r="Q57" s="53"/>
      <c r="R57" s="7">
        <v>1</v>
      </c>
      <c r="S57" s="7">
        <v>1</v>
      </c>
      <c r="T57" s="53"/>
      <c r="U57" s="7">
        <v>1</v>
      </c>
      <c r="V57" s="7">
        <f t="shared" si="24"/>
        <v>14</v>
      </c>
      <c r="W57" s="28" t="s">
        <v>3900</v>
      </c>
      <c r="X57" s="7">
        <f t="shared" si="24"/>
        <v>14</v>
      </c>
      <c r="Y57" s="28" t="s">
        <v>3900</v>
      </c>
      <c r="Z57" s="7">
        <f t="shared" si="6"/>
        <v>1</v>
      </c>
      <c r="AA57" s="28" t="s">
        <v>3901</v>
      </c>
      <c r="AB57" s="7"/>
      <c r="AC57" s="7"/>
      <c r="AD57" s="7"/>
      <c r="AE57" s="7"/>
      <c r="AF57" s="7">
        <v>0</v>
      </c>
      <c r="AG57" s="7">
        <f t="shared" si="7"/>
        <v>0</v>
      </c>
      <c r="AH57" s="28" t="s">
        <v>2281</v>
      </c>
      <c r="AI57" s="7">
        <v>8</v>
      </c>
      <c r="AJ57" s="7">
        <f t="shared" si="8"/>
        <v>8</v>
      </c>
      <c r="AK57" s="28" t="s">
        <v>2291</v>
      </c>
      <c r="AL57" s="7">
        <f t="shared" si="9"/>
        <v>2</v>
      </c>
      <c r="AM57" s="28" t="s">
        <v>2295</v>
      </c>
      <c r="AN57" s="7">
        <f t="shared" si="10"/>
        <v>0</v>
      </c>
      <c r="AO57" s="28" t="s">
        <v>2297</v>
      </c>
      <c r="AP57" s="7">
        <f t="shared" si="11"/>
        <v>2</v>
      </c>
      <c r="AQ57" s="28" t="s">
        <v>2301</v>
      </c>
      <c r="AR57" s="7"/>
      <c r="AS57" s="7" t="s">
        <v>3902</v>
      </c>
      <c r="AT57" s="7"/>
      <c r="AU57" s="7"/>
      <c r="AV57" s="7">
        <f t="shared" si="12"/>
        <v>9300</v>
      </c>
      <c r="AW57" s="28" t="s">
        <v>3189</v>
      </c>
      <c r="AX57" s="7">
        <v>1</v>
      </c>
      <c r="AY57" s="7">
        <f t="shared" si="13"/>
        <v>1210</v>
      </c>
      <c r="AZ57" s="28" t="s">
        <v>2425</v>
      </c>
      <c r="BA57" s="7">
        <v>0</v>
      </c>
      <c r="BB57" s="7">
        <v>10</v>
      </c>
      <c r="BC57" s="7">
        <v>0</v>
      </c>
      <c r="BD57" s="7">
        <v>10</v>
      </c>
      <c r="BE57" s="7"/>
      <c r="BF57" s="7">
        <f t="shared" si="14"/>
        <v>32</v>
      </c>
      <c r="BG57" s="28" t="s">
        <v>2459</v>
      </c>
      <c r="BH57" s="7">
        <f t="shared" si="15"/>
        <v>0</v>
      </c>
      <c r="BI57" s="28" t="s">
        <v>2486</v>
      </c>
      <c r="BJ57" s="7"/>
      <c r="BK57" s="7"/>
      <c r="BL57" s="7">
        <f t="shared" si="16"/>
        <v>10001</v>
      </c>
      <c r="BM57" s="28" t="s">
        <v>2489</v>
      </c>
      <c r="BN57" s="7" t="e">
        <f t="shared" si="17"/>
        <v>#VALUE!</v>
      </c>
      <c r="BO57" s="28"/>
      <c r="BP57" s="7"/>
      <c r="BQ57" s="7">
        <v>4000</v>
      </c>
      <c r="BR57" s="7" t="s">
        <v>3903</v>
      </c>
      <c r="BS57" s="7">
        <f t="shared" si="18"/>
        <v>0</v>
      </c>
      <c r="BT57" s="28" t="s">
        <v>2641</v>
      </c>
      <c r="BU57" s="7">
        <f t="shared" si="19"/>
        <v>2</v>
      </c>
      <c r="BV57" s="28" t="s">
        <v>3940</v>
      </c>
      <c r="BW57" s="54" t="s">
        <v>3941</v>
      </c>
      <c r="BX57" s="54" t="s">
        <v>3941</v>
      </c>
      <c r="BY57" s="7" t="e">
        <f t="shared" si="20"/>
        <v>#VALUE!</v>
      </c>
      <c r="BZ57" s="28"/>
      <c r="CA57" s="7" t="e">
        <f t="shared" si="21"/>
        <v>#VALUE!</v>
      </c>
      <c r="CB57" s="28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</row>
    <row r="58" spans="1:92">
      <c r="A58" s="7">
        <v>46</v>
      </c>
      <c r="B58" s="7">
        <v>416169</v>
      </c>
      <c r="C58" s="7">
        <f t="shared" si="22"/>
        <v>1</v>
      </c>
      <c r="D58" s="28" t="s">
        <v>2257</v>
      </c>
      <c r="E58" s="7">
        <f t="shared" si="0"/>
        <v>28</v>
      </c>
      <c r="F58" s="7" t="s">
        <v>3451</v>
      </c>
      <c r="G58" s="7">
        <f t="shared" si="1"/>
        <v>49</v>
      </c>
      <c r="H58" s="7" t="s">
        <v>3547</v>
      </c>
      <c r="I58" s="7">
        <f t="shared" si="2"/>
        <v>38</v>
      </c>
      <c r="J58" s="7" t="s">
        <v>3663</v>
      </c>
      <c r="K58" s="7">
        <f t="shared" si="3"/>
        <v>20</v>
      </c>
      <c r="L58" s="7" t="s">
        <v>3913</v>
      </c>
      <c r="M58" s="7">
        <f t="shared" si="4"/>
        <v>20</v>
      </c>
      <c r="N58" s="7" t="s">
        <v>3913</v>
      </c>
      <c r="O58" s="7">
        <v>1</v>
      </c>
      <c r="P58" s="7" t="s">
        <v>3839</v>
      </c>
      <c r="Q58" s="53"/>
      <c r="R58" s="7">
        <v>1</v>
      </c>
      <c r="S58" s="7">
        <v>1</v>
      </c>
      <c r="T58" s="53"/>
      <c r="U58" s="7">
        <v>1</v>
      </c>
      <c r="V58" s="7">
        <f t="shared" si="24"/>
        <v>14</v>
      </c>
      <c r="W58" s="28" t="s">
        <v>3900</v>
      </c>
      <c r="X58" s="7">
        <f t="shared" si="24"/>
        <v>14</v>
      </c>
      <c r="Y58" s="28" t="s">
        <v>3900</v>
      </c>
      <c r="Z58" s="7">
        <f t="shared" si="6"/>
        <v>1</v>
      </c>
      <c r="AA58" s="28" t="s">
        <v>3901</v>
      </c>
      <c r="AB58" s="7"/>
      <c r="AC58" s="7"/>
      <c r="AD58" s="7"/>
      <c r="AE58" s="7"/>
      <c r="AF58" s="7">
        <v>0</v>
      </c>
      <c r="AG58" s="7">
        <f t="shared" si="7"/>
        <v>0</v>
      </c>
      <c r="AH58" s="28" t="s">
        <v>2281</v>
      </c>
      <c r="AI58" s="7">
        <v>8</v>
      </c>
      <c r="AJ58" s="7">
        <f t="shared" si="8"/>
        <v>8</v>
      </c>
      <c r="AK58" s="28" t="s">
        <v>2291</v>
      </c>
      <c r="AL58" s="7">
        <f t="shared" si="9"/>
        <v>2</v>
      </c>
      <c r="AM58" s="28" t="s">
        <v>2295</v>
      </c>
      <c r="AN58" s="7">
        <f t="shared" si="10"/>
        <v>0</v>
      </c>
      <c r="AO58" s="28" t="s">
        <v>2297</v>
      </c>
      <c r="AP58" s="7">
        <f t="shared" si="11"/>
        <v>2</v>
      </c>
      <c r="AQ58" s="28" t="s">
        <v>2301</v>
      </c>
      <c r="AR58" s="7"/>
      <c r="AS58" s="7" t="s">
        <v>3902</v>
      </c>
      <c r="AT58" s="7"/>
      <c r="AU58" s="7"/>
      <c r="AV58" s="7">
        <f t="shared" si="12"/>
        <v>9300</v>
      </c>
      <c r="AW58" s="28" t="s">
        <v>3189</v>
      </c>
      <c r="AX58" s="7">
        <v>1</v>
      </c>
      <c r="AY58" s="7">
        <f t="shared" si="13"/>
        <v>1210</v>
      </c>
      <c r="AZ58" s="28" t="s">
        <v>2425</v>
      </c>
      <c r="BA58" s="7">
        <v>0</v>
      </c>
      <c r="BB58" s="7">
        <v>10</v>
      </c>
      <c r="BC58" s="7">
        <v>0</v>
      </c>
      <c r="BD58" s="7">
        <v>10</v>
      </c>
      <c r="BE58" s="7"/>
      <c r="BF58" s="7">
        <f t="shared" si="14"/>
        <v>32</v>
      </c>
      <c r="BG58" s="28" t="s">
        <v>2459</v>
      </c>
      <c r="BH58" s="7">
        <f t="shared" si="15"/>
        <v>0</v>
      </c>
      <c r="BI58" s="28" t="s">
        <v>2486</v>
      </c>
      <c r="BJ58" s="7"/>
      <c r="BK58" s="7"/>
      <c r="BL58" s="7">
        <f t="shared" si="16"/>
        <v>10001</v>
      </c>
      <c r="BM58" s="28" t="s">
        <v>2489</v>
      </c>
      <c r="BN58" s="7" t="e">
        <f t="shared" si="17"/>
        <v>#VALUE!</v>
      </c>
      <c r="BO58" s="28"/>
      <c r="BP58" s="7"/>
      <c r="BQ58" s="7">
        <v>4000</v>
      </c>
      <c r="BR58" s="7" t="s">
        <v>3903</v>
      </c>
      <c r="BS58" s="7">
        <f t="shared" si="18"/>
        <v>0</v>
      </c>
      <c r="BT58" s="28" t="s">
        <v>2641</v>
      </c>
      <c r="BU58" s="7">
        <f t="shared" si="19"/>
        <v>2</v>
      </c>
      <c r="BV58" s="28" t="s">
        <v>3940</v>
      </c>
      <c r="BW58" s="54" t="s">
        <v>3941</v>
      </c>
      <c r="BX58" s="54" t="s">
        <v>3941</v>
      </c>
      <c r="BY58" s="7" t="e">
        <f t="shared" si="20"/>
        <v>#VALUE!</v>
      </c>
      <c r="BZ58" s="28"/>
      <c r="CA58" s="7" t="e">
        <f t="shared" si="21"/>
        <v>#VALUE!</v>
      </c>
      <c r="CB58" s="28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</row>
    <row r="59" spans="1:92">
      <c r="A59" s="7">
        <v>47</v>
      </c>
      <c r="B59" s="7">
        <v>416170</v>
      </c>
      <c r="C59" s="7">
        <f t="shared" si="22"/>
        <v>1</v>
      </c>
      <c r="D59" s="28" t="s">
        <v>2257</v>
      </c>
      <c r="E59" s="7">
        <f t="shared" si="0"/>
        <v>12</v>
      </c>
      <c r="F59" s="7" t="s">
        <v>3452</v>
      </c>
      <c r="G59" s="7">
        <f t="shared" si="1"/>
        <v>31</v>
      </c>
      <c r="H59" s="7" t="s">
        <v>3548</v>
      </c>
      <c r="I59" s="7">
        <f t="shared" si="2"/>
        <v>23</v>
      </c>
      <c r="J59" s="7" t="s">
        <v>3664</v>
      </c>
      <c r="K59" s="7">
        <f t="shared" si="3"/>
        <v>12</v>
      </c>
      <c r="L59" s="7" t="s">
        <v>3452</v>
      </c>
      <c r="M59" s="7">
        <f t="shared" si="4"/>
        <v>12</v>
      </c>
      <c r="N59" s="7" t="s">
        <v>3766</v>
      </c>
      <c r="O59" s="7">
        <v>1</v>
      </c>
      <c r="P59" s="7" t="s">
        <v>3840</v>
      </c>
      <c r="Q59" s="53"/>
      <c r="R59" s="7">
        <v>1</v>
      </c>
      <c r="S59" s="7">
        <v>1</v>
      </c>
      <c r="T59" s="53"/>
      <c r="U59" s="7">
        <v>1</v>
      </c>
      <c r="V59" s="7">
        <f t="shared" si="24"/>
        <v>14</v>
      </c>
      <c r="W59" s="28" t="s">
        <v>3900</v>
      </c>
      <c r="X59" s="7">
        <f t="shared" si="24"/>
        <v>14</v>
      </c>
      <c r="Y59" s="28" t="s">
        <v>3900</v>
      </c>
      <c r="Z59" s="7">
        <f t="shared" si="6"/>
        <v>1</v>
      </c>
      <c r="AA59" s="28" t="s">
        <v>3901</v>
      </c>
      <c r="AB59" s="7"/>
      <c r="AC59" s="7"/>
      <c r="AD59" s="7"/>
      <c r="AE59" s="7"/>
      <c r="AF59" s="7">
        <v>0</v>
      </c>
      <c r="AG59" s="7">
        <f t="shared" si="7"/>
        <v>0</v>
      </c>
      <c r="AH59" s="28" t="s">
        <v>2281</v>
      </c>
      <c r="AI59" s="7">
        <v>8</v>
      </c>
      <c r="AJ59" s="7">
        <f t="shared" si="8"/>
        <v>8</v>
      </c>
      <c r="AK59" s="28" t="s">
        <v>2291</v>
      </c>
      <c r="AL59" s="7">
        <f t="shared" si="9"/>
        <v>2</v>
      </c>
      <c r="AM59" s="28" t="s">
        <v>2295</v>
      </c>
      <c r="AN59" s="7">
        <f t="shared" si="10"/>
        <v>0</v>
      </c>
      <c r="AO59" s="28" t="s">
        <v>2297</v>
      </c>
      <c r="AP59" s="7">
        <f t="shared" si="11"/>
        <v>2</v>
      </c>
      <c r="AQ59" s="28" t="s">
        <v>2301</v>
      </c>
      <c r="AR59" s="7"/>
      <c r="AS59" s="7" t="s">
        <v>3902</v>
      </c>
      <c r="AT59" s="7"/>
      <c r="AU59" s="7"/>
      <c r="AV59" s="7">
        <f t="shared" si="12"/>
        <v>9300</v>
      </c>
      <c r="AW59" s="28" t="s">
        <v>3189</v>
      </c>
      <c r="AX59" s="7">
        <v>1</v>
      </c>
      <c r="AY59" s="7">
        <f t="shared" si="13"/>
        <v>1210</v>
      </c>
      <c r="AZ59" s="28" t="s">
        <v>2425</v>
      </c>
      <c r="BA59" s="7">
        <v>0</v>
      </c>
      <c r="BB59" s="7">
        <v>10</v>
      </c>
      <c r="BC59" s="7">
        <v>0</v>
      </c>
      <c r="BD59" s="7">
        <v>10</v>
      </c>
      <c r="BE59" s="7"/>
      <c r="BF59" s="7">
        <f t="shared" si="14"/>
        <v>32</v>
      </c>
      <c r="BG59" s="28" t="s">
        <v>2459</v>
      </c>
      <c r="BH59" s="7">
        <f t="shared" si="15"/>
        <v>0</v>
      </c>
      <c r="BI59" s="28" t="s">
        <v>2486</v>
      </c>
      <c r="BJ59" s="7"/>
      <c r="BK59" s="7"/>
      <c r="BL59" s="7">
        <f t="shared" si="16"/>
        <v>10001</v>
      </c>
      <c r="BM59" s="28" t="s">
        <v>2489</v>
      </c>
      <c r="BN59" s="7" t="e">
        <f t="shared" si="17"/>
        <v>#VALUE!</v>
      </c>
      <c r="BO59" s="28"/>
      <c r="BP59" s="7"/>
      <c r="BQ59" s="7">
        <v>4000</v>
      </c>
      <c r="BR59" s="7" t="s">
        <v>3903</v>
      </c>
      <c r="BS59" s="7">
        <f t="shared" si="18"/>
        <v>0</v>
      </c>
      <c r="BT59" s="28" t="s">
        <v>2641</v>
      </c>
      <c r="BU59" s="7">
        <f t="shared" si="19"/>
        <v>2</v>
      </c>
      <c r="BV59" s="28" t="s">
        <v>3940</v>
      </c>
      <c r="BW59" s="54" t="s">
        <v>3941</v>
      </c>
      <c r="BX59" s="54" t="s">
        <v>3941</v>
      </c>
      <c r="BY59" s="7" t="e">
        <f t="shared" si="20"/>
        <v>#VALUE!</v>
      </c>
      <c r="BZ59" s="28"/>
      <c r="CA59" s="7" t="e">
        <f t="shared" si="21"/>
        <v>#VALUE!</v>
      </c>
      <c r="CB59" s="28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</row>
    <row r="60" spans="1:92">
      <c r="A60" s="7">
        <v>48</v>
      </c>
      <c r="B60" s="7">
        <v>416171</v>
      </c>
      <c r="C60" s="7">
        <f t="shared" si="22"/>
        <v>1</v>
      </c>
      <c r="D60" s="28" t="s">
        <v>2257</v>
      </c>
      <c r="E60" s="7">
        <f t="shared" si="0"/>
        <v>12</v>
      </c>
      <c r="F60" s="7" t="s">
        <v>3452</v>
      </c>
      <c r="G60" s="7">
        <f t="shared" si="1"/>
        <v>31</v>
      </c>
      <c r="H60" s="7" t="s">
        <v>3549</v>
      </c>
      <c r="I60" s="7">
        <f t="shared" si="2"/>
        <v>23</v>
      </c>
      <c r="J60" s="7" t="s">
        <v>3665</v>
      </c>
      <c r="K60" s="7">
        <f t="shared" si="3"/>
        <v>12</v>
      </c>
      <c r="L60" s="7" t="s">
        <v>3452</v>
      </c>
      <c r="M60" s="7">
        <f t="shared" si="4"/>
        <v>12</v>
      </c>
      <c r="N60" s="7" t="s">
        <v>3766</v>
      </c>
      <c r="O60" s="7">
        <v>1</v>
      </c>
      <c r="P60" s="7" t="s">
        <v>3841</v>
      </c>
      <c r="Q60" s="53"/>
      <c r="R60" s="7">
        <v>1</v>
      </c>
      <c r="S60" s="7">
        <v>1</v>
      </c>
      <c r="T60" s="53"/>
      <c r="U60" s="7">
        <v>1</v>
      </c>
      <c r="V60" s="7">
        <f t="shared" si="24"/>
        <v>14</v>
      </c>
      <c r="W60" s="28" t="s">
        <v>3900</v>
      </c>
      <c r="X60" s="7">
        <f t="shared" si="24"/>
        <v>14</v>
      </c>
      <c r="Y60" s="28" t="s">
        <v>3900</v>
      </c>
      <c r="Z60" s="7">
        <f t="shared" si="6"/>
        <v>1</v>
      </c>
      <c r="AA60" s="28" t="s">
        <v>3901</v>
      </c>
      <c r="AB60" s="7"/>
      <c r="AC60" s="7"/>
      <c r="AD60" s="7"/>
      <c r="AE60" s="7"/>
      <c r="AF60" s="7">
        <v>0</v>
      </c>
      <c r="AG60" s="7">
        <f t="shared" si="7"/>
        <v>0</v>
      </c>
      <c r="AH60" s="28" t="s">
        <v>2281</v>
      </c>
      <c r="AI60" s="7">
        <v>8</v>
      </c>
      <c r="AJ60" s="7">
        <f t="shared" si="8"/>
        <v>8</v>
      </c>
      <c r="AK60" s="28" t="s">
        <v>2291</v>
      </c>
      <c r="AL60" s="7">
        <f t="shared" si="9"/>
        <v>2</v>
      </c>
      <c r="AM60" s="28" t="s">
        <v>2295</v>
      </c>
      <c r="AN60" s="7">
        <f t="shared" si="10"/>
        <v>0</v>
      </c>
      <c r="AO60" s="28" t="s">
        <v>2297</v>
      </c>
      <c r="AP60" s="7">
        <f t="shared" si="11"/>
        <v>2</v>
      </c>
      <c r="AQ60" s="28" t="s">
        <v>2301</v>
      </c>
      <c r="AR60" s="7"/>
      <c r="AS60" s="7" t="s">
        <v>3902</v>
      </c>
      <c r="AT60" s="7"/>
      <c r="AU60" s="7"/>
      <c r="AV60" s="7">
        <f t="shared" si="12"/>
        <v>9300</v>
      </c>
      <c r="AW60" s="28" t="s">
        <v>3189</v>
      </c>
      <c r="AX60" s="7">
        <v>1</v>
      </c>
      <c r="AY60" s="7">
        <f t="shared" si="13"/>
        <v>1210</v>
      </c>
      <c r="AZ60" s="28" t="s">
        <v>2425</v>
      </c>
      <c r="BA60" s="7">
        <v>0</v>
      </c>
      <c r="BB60" s="7">
        <v>10</v>
      </c>
      <c r="BC60" s="7">
        <v>0</v>
      </c>
      <c r="BD60" s="7">
        <v>10</v>
      </c>
      <c r="BE60" s="7"/>
      <c r="BF60" s="7">
        <f t="shared" si="14"/>
        <v>32</v>
      </c>
      <c r="BG60" s="28" t="s">
        <v>2459</v>
      </c>
      <c r="BH60" s="7">
        <f t="shared" si="15"/>
        <v>0</v>
      </c>
      <c r="BI60" s="28" t="s">
        <v>2486</v>
      </c>
      <c r="BJ60" s="7"/>
      <c r="BK60" s="7"/>
      <c r="BL60" s="7">
        <f t="shared" si="16"/>
        <v>10001</v>
      </c>
      <c r="BM60" s="28" t="s">
        <v>2489</v>
      </c>
      <c r="BN60" s="7" t="e">
        <f t="shared" si="17"/>
        <v>#VALUE!</v>
      </c>
      <c r="BO60" s="28"/>
      <c r="BP60" s="7"/>
      <c r="BQ60" s="7">
        <v>4000</v>
      </c>
      <c r="BR60" s="7" t="s">
        <v>3903</v>
      </c>
      <c r="BS60" s="7">
        <f t="shared" si="18"/>
        <v>0</v>
      </c>
      <c r="BT60" s="28" t="s">
        <v>2641</v>
      </c>
      <c r="BU60" s="7">
        <f t="shared" si="19"/>
        <v>2</v>
      </c>
      <c r="BV60" s="28" t="s">
        <v>3940</v>
      </c>
      <c r="BW60" s="54" t="s">
        <v>3941</v>
      </c>
      <c r="BX60" s="54" t="s">
        <v>3941</v>
      </c>
      <c r="BY60" s="7" t="e">
        <f t="shared" si="20"/>
        <v>#VALUE!</v>
      </c>
      <c r="BZ60" s="28"/>
      <c r="CA60" s="7" t="e">
        <f t="shared" si="21"/>
        <v>#VALUE!</v>
      </c>
      <c r="CB60" s="28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</row>
    <row r="61" spans="1:92">
      <c r="A61" s="7">
        <v>49</v>
      </c>
      <c r="B61" s="7">
        <v>416172</v>
      </c>
      <c r="C61" s="7">
        <f t="shared" si="22"/>
        <v>1</v>
      </c>
      <c r="D61" s="28" t="s">
        <v>2257</v>
      </c>
      <c r="E61" s="7">
        <f t="shared" si="0"/>
        <v>18</v>
      </c>
      <c r="F61" s="7" t="s">
        <v>3453</v>
      </c>
      <c r="G61" s="7">
        <f t="shared" si="1"/>
        <v>37</v>
      </c>
      <c r="H61" s="7" t="s">
        <v>3550</v>
      </c>
      <c r="I61" s="7">
        <f t="shared" si="2"/>
        <v>27</v>
      </c>
      <c r="J61" s="7" t="s">
        <v>3666</v>
      </c>
      <c r="K61" s="7">
        <f t="shared" si="3"/>
        <v>18</v>
      </c>
      <c r="L61" s="7" t="s">
        <v>3453</v>
      </c>
      <c r="M61" s="7">
        <f t="shared" si="4"/>
        <v>16</v>
      </c>
      <c r="N61" s="7" t="s">
        <v>3767</v>
      </c>
      <c r="O61" s="7">
        <v>1</v>
      </c>
      <c r="P61" s="7" t="s">
        <v>3842</v>
      </c>
      <c r="Q61" s="53"/>
      <c r="R61" s="7">
        <v>1</v>
      </c>
      <c r="S61" s="7">
        <v>1</v>
      </c>
      <c r="T61" s="53"/>
      <c r="U61" s="7">
        <v>1</v>
      </c>
      <c r="V61" s="7">
        <f t="shared" si="24"/>
        <v>14</v>
      </c>
      <c r="W61" s="28" t="s">
        <v>3900</v>
      </c>
      <c r="X61" s="7">
        <f t="shared" si="24"/>
        <v>14</v>
      </c>
      <c r="Y61" s="28" t="s">
        <v>3900</v>
      </c>
      <c r="Z61" s="7">
        <f t="shared" si="6"/>
        <v>1</v>
      </c>
      <c r="AA61" s="28" t="s">
        <v>3901</v>
      </c>
      <c r="AB61" s="7"/>
      <c r="AC61" s="7"/>
      <c r="AD61" s="7"/>
      <c r="AE61" s="7"/>
      <c r="AF61" s="7">
        <v>0</v>
      </c>
      <c r="AG61" s="7">
        <f t="shared" si="7"/>
        <v>0</v>
      </c>
      <c r="AH61" s="28" t="s">
        <v>2281</v>
      </c>
      <c r="AI61" s="7">
        <v>8</v>
      </c>
      <c r="AJ61" s="7">
        <f t="shared" si="8"/>
        <v>8</v>
      </c>
      <c r="AK61" s="28" t="s">
        <v>2291</v>
      </c>
      <c r="AL61" s="7">
        <f t="shared" si="9"/>
        <v>2</v>
      </c>
      <c r="AM61" s="28" t="s">
        <v>2295</v>
      </c>
      <c r="AN61" s="7">
        <f t="shared" si="10"/>
        <v>0</v>
      </c>
      <c r="AO61" s="28" t="s">
        <v>2297</v>
      </c>
      <c r="AP61" s="7">
        <f t="shared" si="11"/>
        <v>2</v>
      </c>
      <c r="AQ61" s="28" t="s">
        <v>2301</v>
      </c>
      <c r="AR61" s="7"/>
      <c r="AS61" s="7" t="s">
        <v>3902</v>
      </c>
      <c r="AT61" s="7"/>
      <c r="AU61" s="7"/>
      <c r="AV61" s="7">
        <f t="shared" si="12"/>
        <v>9300</v>
      </c>
      <c r="AW61" s="28" t="s">
        <v>3189</v>
      </c>
      <c r="AX61" s="7">
        <v>1</v>
      </c>
      <c r="AY61" s="7">
        <f t="shared" si="13"/>
        <v>1210</v>
      </c>
      <c r="AZ61" s="28" t="s">
        <v>2425</v>
      </c>
      <c r="BA61" s="7">
        <v>0</v>
      </c>
      <c r="BB61" s="7">
        <v>10</v>
      </c>
      <c r="BC61" s="7">
        <v>0</v>
      </c>
      <c r="BD61" s="7">
        <v>10</v>
      </c>
      <c r="BE61" s="7"/>
      <c r="BF61" s="7">
        <f t="shared" si="14"/>
        <v>32</v>
      </c>
      <c r="BG61" s="28" t="s">
        <v>2459</v>
      </c>
      <c r="BH61" s="7">
        <f t="shared" si="15"/>
        <v>0</v>
      </c>
      <c r="BI61" s="28" t="s">
        <v>2486</v>
      </c>
      <c r="BJ61" s="7"/>
      <c r="BK61" s="7"/>
      <c r="BL61" s="7">
        <f t="shared" si="16"/>
        <v>10001</v>
      </c>
      <c r="BM61" s="28" t="s">
        <v>2489</v>
      </c>
      <c r="BN61" s="7" t="e">
        <f t="shared" si="17"/>
        <v>#VALUE!</v>
      </c>
      <c r="BO61" s="28"/>
      <c r="BP61" s="7"/>
      <c r="BQ61" s="7">
        <v>4000</v>
      </c>
      <c r="BR61" s="7" t="s">
        <v>3903</v>
      </c>
      <c r="BS61" s="7">
        <f t="shared" si="18"/>
        <v>0</v>
      </c>
      <c r="BT61" s="28" t="s">
        <v>2641</v>
      </c>
      <c r="BU61" s="7">
        <f t="shared" si="19"/>
        <v>2</v>
      </c>
      <c r="BV61" s="28" t="s">
        <v>3940</v>
      </c>
      <c r="BW61" s="54" t="s">
        <v>3941</v>
      </c>
      <c r="BX61" s="54" t="s">
        <v>3941</v>
      </c>
      <c r="BY61" s="7" t="e">
        <f t="shared" si="20"/>
        <v>#VALUE!</v>
      </c>
      <c r="BZ61" s="28"/>
      <c r="CA61" s="7" t="e">
        <f t="shared" si="21"/>
        <v>#VALUE!</v>
      </c>
      <c r="CB61" s="28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</row>
    <row r="62" spans="1:92">
      <c r="A62" s="7">
        <v>50</v>
      </c>
      <c r="B62" s="7">
        <v>416173</v>
      </c>
      <c r="C62" s="7">
        <f t="shared" si="22"/>
        <v>1</v>
      </c>
      <c r="D62" s="28" t="s">
        <v>2257</v>
      </c>
      <c r="E62" s="7">
        <f t="shared" si="0"/>
        <v>14</v>
      </c>
      <c r="F62" s="7" t="s">
        <v>3454</v>
      </c>
      <c r="G62" s="7">
        <f t="shared" si="1"/>
        <v>33</v>
      </c>
      <c r="H62" s="7" t="s">
        <v>3551</v>
      </c>
      <c r="I62" s="7">
        <f t="shared" si="2"/>
        <v>22</v>
      </c>
      <c r="J62" s="7" t="s">
        <v>3667</v>
      </c>
      <c r="K62" s="7">
        <f t="shared" si="3"/>
        <v>14</v>
      </c>
      <c r="L62" s="7" t="s">
        <v>3454</v>
      </c>
      <c r="M62" s="7">
        <f t="shared" si="4"/>
        <v>11</v>
      </c>
      <c r="N62" s="7" t="s">
        <v>3768</v>
      </c>
      <c r="O62" s="7">
        <v>1</v>
      </c>
      <c r="P62" s="7" t="s">
        <v>3843</v>
      </c>
      <c r="Q62" s="53"/>
      <c r="R62" s="7">
        <v>1</v>
      </c>
      <c r="S62" s="7">
        <v>1</v>
      </c>
      <c r="T62" s="53"/>
      <c r="U62" s="7">
        <v>1</v>
      </c>
      <c r="V62" s="7">
        <f t="shared" ref="V62:X77" si="25">ABS(LEFT(W62,2))</f>
        <v>14</v>
      </c>
      <c r="W62" s="28" t="s">
        <v>3900</v>
      </c>
      <c r="X62" s="7">
        <f t="shared" si="25"/>
        <v>14</v>
      </c>
      <c r="Y62" s="28" t="s">
        <v>3900</v>
      </c>
      <c r="Z62" s="7">
        <f t="shared" si="6"/>
        <v>1</v>
      </c>
      <c r="AA62" s="28" t="s">
        <v>3901</v>
      </c>
      <c r="AB62" s="7"/>
      <c r="AC62" s="7"/>
      <c r="AD62" s="7"/>
      <c r="AE62" s="7"/>
      <c r="AF62" s="7">
        <v>0</v>
      </c>
      <c r="AG62" s="7">
        <f t="shared" si="7"/>
        <v>0</v>
      </c>
      <c r="AH62" s="28" t="s">
        <v>2281</v>
      </c>
      <c r="AI62" s="7">
        <v>8</v>
      </c>
      <c r="AJ62" s="7">
        <f t="shared" si="8"/>
        <v>8</v>
      </c>
      <c r="AK62" s="28" t="s">
        <v>2291</v>
      </c>
      <c r="AL62" s="7">
        <f t="shared" si="9"/>
        <v>2</v>
      </c>
      <c r="AM62" s="28" t="s">
        <v>2295</v>
      </c>
      <c r="AN62" s="7">
        <f t="shared" si="10"/>
        <v>0</v>
      </c>
      <c r="AO62" s="28" t="s">
        <v>2297</v>
      </c>
      <c r="AP62" s="7">
        <f t="shared" si="11"/>
        <v>2</v>
      </c>
      <c r="AQ62" s="28" t="s">
        <v>2301</v>
      </c>
      <c r="AR62" s="7"/>
      <c r="AS62" s="7" t="s">
        <v>3902</v>
      </c>
      <c r="AT62" s="7"/>
      <c r="AU62" s="7"/>
      <c r="AV62" s="7">
        <f t="shared" si="12"/>
        <v>9300</v>
      </c>
      <c r="AW62" s="28" t="s">
        <v>3189</v>
      </c>
      <c r="AX62" s="7">
        <v>1</v>
      </c>
      <c r="AY62" s="7">
        <f t="shared" si="13"/>
        <v>1210</v>
      </c>
      <c r="AZ62" s="28" t="s">
        <v>2425</v>
      </c>
      <c r="BA62" s="7">
        <v>0</v>
      </c>
      <c r="BB62" s="7">
        <v>10</v>
      </c>
      <c r="BC62" s="7">
        <v>0</v>
      </c>
      <c r="BD62" s="7">
        <v>10</v>
      </c>
      <c r="BE62" s="7"/>
      <c r="BF62" s="7">
        <f t="shared" si="14"/>
        <v>32</v>
      </c>
      <c r="BG62" s="28" t="s">
        <v>2459</v>
      </c>
      <c r="BH62" s="7">
        <f t="shared" si="15"/>
        <v>0</v>
      </c>
      <c r="BI62" s="28" t="s">
        <v>2486</v>
      </c>
      <c r="BJ62" s="7"/>
      <c r="BK62" s="7"/>
      <c r="BL62" s="7">
        <f t="shared" si="16"/>
        <v>10001</v>
      </c>
      <c r="BM62" s="28" t="s">
        <v>2489</v>
      </c>
      <c r="BN62" s="7" t="e">
        <f t="shared" si="17"/>
        <v>#VALUE!</v>
      </c>
      <c r="BO62" s="28"/>
      <c r="BP62" s="7"/>
      <c r="BQ62" s="7">
        <v>4000</v>
      </c>
      <c r="BR62" s="7" t="s">
        <v>3903</v>
      </c>
      <c r="BS62" s="7">
        <f t="shared" si="18"/>
        <v>0</v>
      </c>
      <c r="BT62" s="28" t="s">
        <v>2641</v>
      </c>
      <c r="BU62" s="7">
        <f t="shared" si="19"/>
        <v>2</v>
      </c>
      <c r="BV62" s="28" t="s">
        <v>3940</v>
      </c>
      <c r="BW62" s="54" t="s">
        <v>3941</v>
      </c>
      <c r="BX62" s="54" t="s">
        <v>3941</v>
      </c>
      <c r="BY62" s="7" t="e">
        <f t="shared" si="20"/>
        <v>#VALUE!</v>
      </c>
      <c r="BZ62" s="28"/>
      <c r="CA62" s="7" t="e">
        <f t="shared" si="21"/>
        <v>#VALUE!</v>
      </c>
      <c r="CB62" s="28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</row>
    <row r="63" spans="1:92">
      <c r="A63" s="7">
        <v>51</v>
      </c>
      <c r="B63" s="7">
        <v>416174</v>
      </c>
      <c r="C63" s="7">
        <f t="shared" si="22"/>
        <v>1</v>
      </c>
      <c r="D63" s="28" t="s">
        <v>2257</v>
      </c>
      <c r="E63" s="7">
        <f t="shared" si="0"/>
        <v>28</v>
      </c>
      <c r="F63" s="7" t="s">
        <v>3455</v>
      </c>
      <c r="G63" s="7">
        <f t="shared" si="1"/>
        <v>47</v>
      </c>
      <c r="H63" s="7" t="s">
        <v>3552</v>
      </c>
      <c r="I63" s="7">
        <f t="shared" si="2"/>
        <v>34</v>
      </c>
      <c r="J63" s="7" t="s">
        <v>3668</v>
      </c>
      <c r="K63" s="7">
        <f t="shared" si="3"/>
        <v>20</v>
      </c>
      <c r="L63" s="7" t="s">
        <v>3914</v>
      </c>
      <c r="M63" s="7">
        <f t="shared" si="4"/>
        <v>20</v>
      </c>
      <c r="N63" s="7" t="s">
        <v>3914</v>
      </c>
      <c r="O63" s="7">
        <v>1</v>
      </c>
      <c r="P63" s="7" t="s">
        <v>3844</v>
      </c>
      <c r="Q63" s="53"/>
      <c r="R63" s="7">
        <v>1</v>
      </c>
      <c r="S63" s="7">
        <v>1</v>
      </c>
      <c r="T63" s="53"/>
      <c r="U63" s="7">
        <v>1</v>
      </c>
      <c r="V63" s="7">
        <f t="shared" si="25"/>
        <v>14</v>
      </c>
      <c r="W63" s="28" t="s">
        <v>3900</v>
      </c>
      <c r="X63" s="7">
        <f t="shared" si="25"/>
        <v>14</v>
      </c>
      <c r="Y63" s="28" t="s">
        <v>3900</v>
      </c>
      <c r="Z63" s="7">
        <f t="shared" si="6"/>
        <v>1</v>
      </c>
      <c r="AA63" s="28" t="s">
        <v>3901</v>
      </c>
      <c r="AB63" s="7"/>
      <c r="AC63" s="7"/>
      <c r="AD63" s="7"/>
      <c r="AE63" s="7"/>
      <c r="AF63" s="7">
        <v>0</v>
      </c>
      <c r="AG63" s="7">
        <f t="shared" si="7"/>
        <v>0</v>
      </c>
      <c r="AH63" s="28" t="s">
        <v>2281</v>
      </c>
      <c r="AI63" s="7">
        <v>8</v>
      </c>
      <c r="AJ63" s="7">
        <f t="shared" si="8"/>
        <v>8</v>
      </c>
      <c r="AK63" s="28" t="s">
        <v>2291</v>
      </c>
      <c r="AL63" s="7">
        <f t="shared" si="9"/>
        <v>2</v>
      </c>
      <c r="AM63" s="28" t="s">
        <v>2295</v>
      </c>
      <c r="AN63" s="7">
        <f t="shared" si="10"/>
        <v>0</v>
      </c>
      <c r="AO63" s="28" t="s">
        <v>2297</v>
      </c>
      <c r="AP63" s="7">
        <f t="shared" si="11"/>
        <v>2</v>
      </c>
      <c r="AQ63" s="28" t="s">
        <v>2301</v>
      </c>
      <c r="AR63" s="7"/>
      <c r="AS63" s="7" t="s">
        <v>3902</v>
      </c>
      <c r="AT63" s="7"/>
      <c r="AU63" s="7"/>
      <c r="AV63" s="7">
        <f t="shared" si="12"/>
        <v>9300</v>
      </c>
      <c r="AW63" s="28" t="s">
        <v>3189</v>
      </c>
      <c r="AX63" s="7">
        <v>1</v>
      </c>
      <c r="AY63" s="7">
        <f t="shared" si="13"/>
        <v>1210</v>
      </c>
      <c r="AZ63" s="28" t="s">
        <v>2425</v>
      </c>
      <c r="BA63" s="7">
        <v>0</v>
      </c>
      <c r="BB63" s="7">
        <v>10</v>
      </c>
      <c r="BC63" s="7">
        <v>0</v>
      </c>
      <c r="BD63" s="7">
        <v>10</v>
      </c>
      <c r="BE63" s="7"/>
      <c r="BF63" s="7">
        <f t="shared" si="14"/>
        <v>32</v>
      </c>
      <c r="BG63" s="28" t="s">
        <v>2459</v>
      </c>
      <c r="BH63" s="7">
        <f t="shared" si="15"/>
        <v>0</v>
      </c>
      <c r="BI63" s="28" t="s">
        <v>2486</v>
      </c>
      <c r="BJ63" s="7"/>
      <c r="BK63" s="7"/>
      <c r="BL63" s="7">
        <f t="shared" si="16"/>
        <v>10001</v>
      </c>
      <c r="BM63" s="28" t="s">
        <v>2489</v>
      </c>
      <c r="BN63" s="7" t="e">
        <f t="shared" si="17"/>
        <v>#VALUE!</v>
      </c>
      <c r="BO63" s="28"/>
      <c r="BP63" s="7"/>
      <c r="BQ63" s="7">
        <v>4000</v>
      </c>
      <c r="BR63" s="7" t="s">
        <v>3903</v>
      </c>
      <c r="BS63" s="7">
        <f t="shared" si="18"/>
        <v>0</v>
      </c>
      <c r="BT63" s="28" t="s">
        <v>2641</v>
      </c>
      <c r="BU63" s="7">
        <f t="shared" si="19"/>
        <v>2</v>
      </c>
      <c r="BV63" s="28" t="s">
        <v>3940</v>
      </c>
      <c r="BW63" s="54" t="s">
        <v>3941</v>
      </c>
      <c r="BX63" s="54" t="s">
        <v>3941</v>
      </c>
      <c r="BY63" s="7" t="e">
        <f t="shared" si="20"/>
        <v>#VALUE!</v>
      </c>
      <c r="BZ63" s="28"/>
      <c r="CA63" s="7" t="e">
        <f t="shared" si="21"/>
        <v>#VALUE!</v>
      </c>
      <c r="CB63" s="28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</row>
    <row r="64" spans="1:92">
      <c r="A64" s="7">
        <v>52</v>
      </c>
      <c r="B64" s="7">
        <v>416175</v>
      </c>
      <c r="C64" s="7">
        <f t="shared" si="22"/>
        <v>1</v>
      </c>
      <c r="D64" s="28" t="s">
        <v>2257</v>
      </c>
      <c r="E64" s="7">
        <f t="shared" si="0"/>
        <v>30</v>
      </c>
      <c r="F64" s="7" t="s">
        <v>3456</v>
      </c>
      <c r="G64" s="7">
        <f t="shared" si="1"/>
        <v>51</v>
      </c>
      <c r="H64" s="7" t="s">
        <v>3553</v>
      </c>
      <c r="I64" s="7">
        <f t="shared" si="2"/>
        <v>37</v>
      </c>
      <c r="J64" s="7" t="s">
        <v>3669</v>
      </c>
      <c r="K64" s="7">
        <f t="shared" si="3"/>
        <v>20</v>
      </c>
      <c r="L64" s="7" t="s">
        <v>3915</v>
      </c>
      <c r="M64" s="7">
        <f t="shared" si="4"/>
        <v>20</v>
      </c>
      <c r="N64" s="7" t="s">
        <v>3915</v>
      </c>
      <c r="O64" s="7">
        <v>1</v>
      </c>
      <c r="P64" s="7" t="s">
        <v>3845</v>
      </c>
      <c r="Q64" s="53"/>
      <c r="R64" s="7">
        <v>1</v>
      </c>
      <c r="S64" s="7">
        <v>1</v>
      </c>
      <c r="T64" s="53"/>
      <c r="U64" s="7">
        <v>1</v>
      </c>
      <c r="V64" s="7">
        <f t="shared" si="25"/>
        <v>14</v>
      </c>
      <c r="W64" s="28" t="s">
        <v>3900</v>
      </c>
      <c r="X64" s="7">
        <f t="shared" si="25"/>
        <v>14</v>
      </c>
      <c r="Y64" s="28" t="s">
        <v>3900</v>
      </c>
      <c r="Z64" s="7">
        <f t="shared" si="6"/>
        <v>1</v>
      </c>
      <c r="AA64" s="28" t="s">
        <v>3901</v>
      </c>
      <c r="AB64" s="7"/>
      <c r="AC64" s="7"/>
      <c r="AD64" s="7"/>
      <c r="AE64" s="7"/>
      <c r="AF64" s="7">
        <v>0</v>
      </c>
      <c r="AG64" s="7">
        <f t="shared" si="7"/>
        <v>0</v>
      </c>
      <c r="AH64" s="28" t="s">
        <v>2281</v>
      </c>
      <c r="AI64" s="7">
        <v>8</v>
      </c>
      <c r="AJ64" s="7">
        <f t="shared" si="8"/>
        <v>8</v>
      </c>
      <c r="AK64" s="28" t="s">
        <v>2291</v>
      </c>
      <c r="AL64" s="7">
        <f t="shared" si="9"/>
        <v>2</v>
      </c>
      <c r="AM64" s="28" t="s">
        <v>2295</v>
      </c>
      <c r="AN64" s="7">
        <f t="shared" si="10"/>
        <v>0</v>
      </c>
      <c r="AO64" s="28" t="s">
        <v>2297</v>
      </c>
      <c r="AP64" s="7">
        <f t="shared" si="11"/>
        <v>2</v>
      </c>
      <c r="AQ64" s="28" t="s">
        <v>2301</v>
      </c>
      <c r="AR64" s="7"/>
      <c r="AS64" s="7" t="s">
        <v>3902</v>
      </c>
      <c r="AT64" s="7"/>
      <c r="AU64" s="7"/>
      <c r="AV64" s="7">
        <f t="shared" si="12"/>
        <v>9300</v>
      </c>
      <c r="AW64" s="28" t="s">
        <v>3189</v>
      </c>
      <c r="AX64" s="7">
        <v>1</v>
      </c>
      <c r="AY64" s="7">
        <f t="shared" si="13"/>
        <v>1210</v>
      </c>
      <c r="AZ64" s="28" t="s">
        <v>2425</v>
      </c>
      <c r="BA64" s="7">
        <v>0</v>
      </c>
      <c r="BB64" s="7">
        <v>10</v>
      </c>
      <c r="BC64" s="7">
        <v>0</v>
      </c>
      <c r="BD64" s="7">
        <v>10</v>
      </c>
      <c r="BE64" s="7"/>
      <c r="BF64" s="7">
        <f t="shared" si="14"/>
        <v>32</v>
      </c>
      <c r="BG64" s="28" t="s">
        <v>2459</v>
      </c>
      <c r="BH64" s="7">
        <f t="shared" si="15"/>
        <v>0</v>
      </c>
      <c r="BI64" s="28" t="s">
        <v>2486</v>
      </c>
      <c r="BJ64" s="7"/>
      <c r="BK64" s="7"/>
      <c r="BL64" s="7">
        <f t="shared" si="16"/>
        <v>10001</v>
      </c>
      <c r="BM64" s="28" t="s">
        <v>2489</v>
      </c>
      <c r="BN64" s="7" t="e">
        <f t="shared" si="17"/>
        <v>#VALUE!</v>
      </c>
      <c r="BO64" s="28"/>
      <c r="BP64" s="7"/>
      <c r="BQ64" s="7">
        <v>4000</v>
      </c>
      <c r="BR64" s="7" t="s">
        <v>3903</v>
      </c>
      <c r="BS64" s="7">
        <f t="shared" si="18"/>
        <v>0</v>
      </c>
      <c r="BT64" s="28" t="s">
        <v>2641</v>
      </c>
      <c r="BU64" s="7">
        <f t="shared" si="19"/>
        <v>2</v>
      </c>
      <c r="BV64" s="28" t="s">
        <v>3940</v>
      </c>
      <c r="BW64" s="54" t="s">
        <v>3941</v>
      </c>
      <c r="BX64" s="54" t="s">
        <v>3941</v>
      </c>
      <c r="BY64" s="7" t="e">
        <f t="shared" si="20"/>
        <v>#VALUE!</v>
      </c>
      <c r="BZ64" s="28"/>
      <c r="CA64" s="7" t="e">
        <f t="shared" si="21"/>
        <v>#VALUE!</v>
      </c>
      <c r="CB64" s="28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</row>
    <row r="65" spans="1:92">
      <c r="A65" s="7">
        <v>53</v>
      </c>
      <c r="B65" s="7">
        <v>416176</v>
      </c>
      <c r="C65" s="7">
        <f t="shared" si="22"/>
        <v>1</v>
      </c>
      <c r="D65" s="28" t="s">
        <v>2257</v>
      </c>
      <c r="E65" s="7">
        <f t="shared" si="0"/>
        <v>10</v>
      </c>
      <c r="F65" s="7" t="s">
        <v>3457</v>
      </c>
      <c r="G65" s="7">
        <f t="shared" si="1"/>
        <v>29</v>
      </c>
      <c r="H65" s="7" t="s">
        <v>3554</v>
      </c>
      <c r="I65" s="7">
        <f t="shared" si="2"/>
        <v>16</v>
      </c>
      <c r="J65" s="7" t="s">
        <v>3670</v>
      </c>
      <c r="K65" s="7">
        <f t="shared" si="3"/>
        <v>10</v>
      </c>
      <c r="L65" s="7" t="s">
        <v>3457</v>
      </c>
      <c r="M65" s="7">
        <f t="shared" si="4"/>
        <v>5</v>
      </c>
      <c r="N65" s="7" t="s">
        <v>3769</v>
      </c>
      <c r="O65" s="7">
        <v>1</v>
      </c>
      <c r="P65" s="7" t="s">
        <v>3846</v>
      </c>
      <c r="Q65" s="53"/>
      <c r="R65" s="7">
        <v>1</v>
      </c>
      <c r="S65" s="7">
        <v>1</v>
      </c>
      <c r="T65" s="53"/>
      <c r="U65" s="7">
        <v>1</v>
      </c>
      <c r="V65" s="7">
        <f t="shared" si="25"/>
        <v>14</v>
      </c>
      <c r="W65" s="28" t="s">
        <v>3900</v>
      </c>
      <c r="X65" s="7">
        <f t="shared" si="25"/>
        <v>14</v>
      </c>
      <c r="Y65" s="28" t="s">
        <v>3900</v>
      </c>
      <c r="Z65" s="7">
        <f t="shared" si="6"/>
        <v>1</v>
      </c>
      <c r="AA65" s="28" t="s">
        <v>3901</v>
      </c>
      <c r="AB65" s="7"/>
      <c r="AC65" s="7"/>
      <c r="AD65" s="7"/>
      <c r="AE65" s="7"/>
      <c r="AF65" s="7">
        <v>0</v>
      </c>
      <c r="AG65" s="7">
        <f t="shared" si="7"/>
        <v>0</v>
      </c>
      <c r="AH65" s="28" t="s">
        <v>2281</v>
      </c>
      <c r="AI65" s="7">
        <v>8</v>
      </c>
      <c r="AJ65" s="7">
        <f t="shared" si="8"/>
        <v>8</v>
      </c>
      <c r="AK65" s="28" t="s">
        <v>2291</v>
      </c>
      <c r="AL65" s="7">
        <f t="shared" si="9"/>
        <v>2</v>
      </c>
      <c r="AM65" s="28" t="s">
        <v>2295</v>
      </c>
      <c r="AN65" s="7">
        <f t="shared" si="10"/>
        <v>0</v>
      </c>
      <c r="AO65" s="28" t="s">
        <v>2297</v>
      </c>
      <c r="AP65" s="7">
        <f t="shared" si="11"/>
        <v>2</v>
      </c>
      <c r="AQ65" s="28" t="s">
        <v>2301</v>
      </c>
      <c r="AR65" s="7"/>
      <c r="AS65" s="7" t="s">
        <v>3902</v>
      </c>
      <c r="AT65" s="7"/>
      <c r="AU65" s="7"/>
      <c r="AV65" s="7">
        <f t="shared" si="12"/>
        <v>9300</v>
      </c>
      <c r="AW65" s="28" t="s">
        <v>3189</v>
      </c>
      <c r="AX65" s="7">
        <v>1</v>
      </c>
      <c r="AY65" s="7">
        <f t="shared" si="13"/>
        <v>1210</v>
      </c>
      <c r="AZ65" s="28" t="s">
        <v>2425</v>
      </c>
      <c r="BA65" s="7">
        <v>0</v>
      </c>
      <c r="BB65" s="7">
        <v>10</v>
      </c>
      <c r="BC65" s="7">
        <v>0</v>
      </c>
      <c r="BD65" s="7">
        <v>10</v>
      </c>
      <c r="BE65" s="7"/>
      <c r="BF65" s="7">
        <f t="shared" si="14"/>
        <v>32</v>
      </c>
      <c r="BG65" s="28" t="s">
        <v>2459</v>
      </c>
      <c r="BH65" s="7">
        <f t="shared" si="15"/>
        <v>0</v>
      </c>
      <c r="BI65" s="28" t="s">
        <v>2486</v>
      </c>
      <c r="BJ65" s="7"/>
      <c r="BK65" s="7"/>
      <c r="BL65" s="7">
        <f t="shared" si="16"/>
        <v>10001</v>
      </c>
      <c r="BM65" s="28" t="s">
        <v>2489</v>
      </c>
      <c r="BN65" s="7" t="e">
        <f t="shared" si="17"/>
        <v>#VALUE!</v>
      </c>
      <c r="BO65" s="28"/>
      <c r="BP65" s="7"/>
      <c r="BQ65" s="7">
        <v>4000</v>
      </c>
      <c r="BR65" s="7" t="s">
        <v>3903</v>
      </c>
      <c r="BS65" s="7">
        <f t="shared" si="18"/>
        <v>0</v>
      </c>
      <c r="BT65" s="28" t="s">
        <v>2641</v>
      </c>
      <c r="BU65" s="7">
        <f t="shared" si="19"/>
        <v>2</v>
      </c>
      <c r="BV65" s="28" t="s">
        <v>3940</v>
      </c>
      <c r="BW65" s="54" t="s">
        <v>3941</v>
      </c>
      <c r="BX65" s="54" t="s">
        <v>3941</v>
      </c>
      <c r="BY65" s="7" t="e">
        <f t="shared" si="20"/>
        <v>#VALUE!</v>
      </c>
      <c r="BZ65" s="28"/>
      <c r="CA65" s="7" t="e">
        <f t="shared" si="21"/>
        <v>#VALUE!</v>
      </c>
      <c r="CB65" s="28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</row>
    <row r="66" spans="1:92">
      <c r="A66" s="7">
        <v>54</v>
      </c>
      <c r="B66" s="7">
        <v>416177</v>
      </c>
      <c r="C66" s="7">
        <f t="shared" si="22"/>
        <v>1</v>
      </c>
      <c r="D66" s="28" t="s">
        <v>2257</v>
      </c>
      <c r="E66" s="7">
        <f t="shared" si="0"/>
        <v>16</v>
      </c>
      <c r="F66" s="7" t="s">
        <v>3458</v>
      </c>
      <c r="G66" s="7">
        <f t="shared" si="1"/>
        <v>35</v>
      </c>
      <c r="H66" s="7" t="s">
        <v>3555</v>
      </c>
      <c r="I66" s="7">
        <f t="shared" si="2"/>
        <v>19</v>
      </c>
      <c r="J66" s="7" t="s">
        <v>3671</v>
      </c>
      <c r="K66" s="7">
        <f t="shared" si="3"/>
        <v>16</v>
      </c>
      <c r="L66" s="7" t="s">
        <v>3458</v>
      </c>
      <c r="M66" s="7">
        <f t="shared" si="4"/>
        <v>8</v>
      </c>
      <c r="N66" s="7" t="s">
        <v>3770</v>
      </c>
      <c r="O66" s="7">
        <v>1</v>
      </c>
      <c r="P66" s="7" t="s">
        <v>3847</v>
      </c>
      <c r="Q66" s="53"/>
      <c r="R66" s="7">
        <v>1</v>
      </c>
      <c r="S66" s="7">
        <v>1</v>
      </c>
      <c r="T66" s="53"/>
      <c r="U66" s="7">
        <v>1</v>
      </c>
      <c r="V66" s="7">
        <f t="shared" si="25"/>
        <v>14</v>
      </c>
      <c r="W66" s="28" t="s">
        <v>3900</v>
      </c>
      <c r="X66" s="7">
        <f t="shared" si="25"/>
        <v>14</v>
      </c>
      <c r="Y66" s="28" t="s">
        <v>3900</v>
      </c>
      <c r="Z66" s="7">
        <f t="shared" si="6"/>
        <v>1</v>
      </c>
      <c r="AA66" s="28" t="s">
        <v>3901</v>
      </c>
      <c r="AB66" s="7"/>
      <c r="AC66" s="7"/>
      <c r="AD66" s="7"/>
      <c r="AE66" s="7"/>
      <c r="AF66" s="7">
        <v>0</v>
      </c>
      <c r="AG66" s="7">
        <f t="shared" si="7"/>
        <v>0</v>
      </c>
      <c r="AH66" s="28" t="s">
        <v>2281</v>
      </c>
      <c r="AI66" s="7">
        <v>8</v>
      </c>
      <c r="AJ66" s="7">
        <f t="shared" si="8"/>
        <v>8</v>
      </c>
      <c r="AK66" s="28" t="s">
        <v>2291</v>
      </c>
      <c r="AL66" s="7">
        <f t="shared" si="9"/>
        <v>2</v>
      </c>
      <c r="AM66" s="28" t="s">
        <v>2295</v>
      </c>
      <c r="AN66" s="7">
        <f t="shared" si="10"/>
        <v>0</v>
      </c>
      <c r="AO66" s="28" t="s">
        <v>2297</v>
      </c>
      <c r="AP66" s="7">
        <f t="shared" si="11"/>
        <v>2</v>
      </c>
      <c r="AQ66" s="28" t="s">
        <v>2301</v>
      </c>
      <c r="AR66" s="7"/>
      <c r="AS66" s="7" t="s">
        <v>3902</v>
      </c>
      <c r="AT66" s="7"/>
      <c r="AU66" s="7"/>
      <c r="AV66" s="7">
        <f t="shared" si="12"/>
        <v>9300</v>
      </c>
      <c r="AW66" s="28" t="s">
        <v>3189</v>
      </c>
      <c r="AX66" s="7">
        <v>1</v>
      </c>
      <c r="AY66" s="7">
        <f t="shared" si="13"/>
        <v>1210</v>
      </c>
      <c r="AZ66" s="28" t="s">
        <v>2425</v>
      </c>
      <c r="BA66" s="7">
        <v>0</v>
      </c>
      <c r="BB66" s="7">
        <v>10</v>
      </c>
      <c r="BC66" s="7">
        <v>0</v>
      </c>
      <c r="BD66" s="7">
        <v>10</v>
      </c>
      <c r="BE66" s="7"/>
      <c r="BF66" s="7">
        <f t="shared" si="14"/>
        <v>32</v>
      </c>
      <c r="BG66" s="28" t="s">
        <v>2459</v>
      </c>
      <c r="BH66" s="7">
        <f t="shared" si="15"/>
        <v>0</v>
      </c>
      <c r="BI66" s="28" t="s">
        <v>2486</v>
      </c>
      <c r="BJ66" s="7"/>
      <c r="BK66" s="7"/>
      <c r="BL66" s="7">
        <f t="shared" si="16"/>
        <v>10001</v>
      </c>
      <c r="BM66" s="28" t="s">
        <v>2489</v>
      </c>
      <c r="BN66" s="7" t="e">
        <f t="shared" si="17"/>
        <v>#VALUE!</v>
      </c>
      <c r="BO66" s="28"/>
      <c r="BP66" s="7"/>
      <c r="BQ66" s="7">
        <v>4000</v>
      </c>
      <c r="BR66" s="7" t="s">
        <v>3903</v>
      </c>
      <c r="BS66" s="7">
        <f t="shared" si="18"/>
        <v>0</v>
      </c>
      <c r="BT66" s="28" t="s">
        <v>2641</v>
      </c>
      <c r="BU66" s="7">
        <f t="shared" si="19"/>
        <v>2</v>
      </c>
      <c r="BV66" s="28" t="s">
        <v>3940</v>
      </c>
      <c r="BW66" s="54" t="s">
        <v>3941</v>
      </c>
      <c r="BX66" s="54" t="s">
        <v>3941</v>
      </c>
      <c r="BY66" s="7" t="e">
        <f t="shared" si="20"/>
        <v>#VALUE!</v>
      </c>
      <c r="BZ66" s="28"/>
      <c r="CA66" s="7" t="e">
        <f t="shared" si="21"/>
        <v>#VALUE!</v>
      </c>
      <c r="CB66" s="28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</row>
    <row r="67" spans="1:92">
      <c r="A67" s="7">
        <v>55</v>
      </c>
      <c r="B67" s="7">
        <v>416178</v>
      </c>
      <c r="C67" s="7">
        <f t="shared" si="22"/>
        <v>1</v>
      </c>
      <c r="D67" s="28" t="s">
        <v>2257</v>
      </c>
      <c r="E67" s="7">
        <f t="shared" si="0"/>
        <v>6</v>
      </c>
      <c r="F67" s="7" t="s">
        <v>3459</v>
      </c>
      <c r="G67" s="7">
        <f t="shared" si="1"/>
        <v>24</v>
      </c>
      <c r="H67" s="7" t="s">
        <v>3556</v>
      </c>
      <c r="I67" s="7">
        <f t="shared" si="2"/>
        <v>16</v>
      </c>
      <c r="J67" s="7" t="s">
        <v>3672</v>
      </c>
      <c r="K67" s="7">
        <f t="shared" si="3"/>
        <v>6</v>
      </c>
      <c r="L67" s="7" t="s">
        <v>3459</v>
      </c>
      <c r="M67" s="7">
        <f t="shared" si="4"/>
        <v>6</v>
      </c>
      <c r="N67" s="7" t="s">
        <v>3771</v>
      </c>
      <c r="O67" s="7">
        <v>1</v>
      </c>
      <c r="P67" s="7" t="s">
        <v>3848</v>
      </c>
      <c r="Q67" s="53"/>
      <c r="R67" s="7">
        <v>1</v>
      </c>
      <c r="S67" s="7">
        <v>1</v>
      </c>
      <c r="T67" s="53"/>
      <c r="U67" s="7">
        <v>1</v>
      </c>
      <c r="V67" s="7">
        <f t="shared" si="25"/>
        <v>14</v>
      </c>
      <c r="W67" s="28" t="s">
        <v>3900</v>
      </c>
      <c r="X67" s="7">
        <f t="shared" si="25"/>
        <v>14</v>
      </c>
      <c r="Y67" s="28" t="s">
        <v>3900</v>
      </c>
      <c r="Z67" s="7">
        <f t="shared" si="6"/>
        <v>1</v>
      </c>
      <c r="AA67" s="28" t="s">
        <v>3901</v>
      </c>
      <c r="AB67" s="7"/>
      <c r="AC67" s="7"/>
      <c r="AD67" s="7"/>
      <c r="AE67" s="7"/>
      <c r="AF67" s="7">
        <v>0</v>
      </c>
      <c r="AG67" s="7">
        <f t="shared" si="7"/>
        <v>0</v>
      </c>
      <c r="AH67" s="28" t="s">
        <v>2281</v>
      </c>
      <c r="AI67" s="7">
        <v>8</v>
      </c>
      <c r="AJ67" s="7">
        <f t="shared" si="8"/>
        <v>8</v>
      </c>
      <c r="AK67" s="28" t="s">
        <v>2291</v>
      </c>
      <c r="AL67" s="7">
        <f t="shared" si="9"/>
        <v>2</v>
      </c>
      <c r="AM67" s="28" t="s">
        <v>2295</v>
      </c>
      <c r="AN67" s="7">
        <f t="shared" si="10"/>
        <v>0</v>
      </c>
      <c r="AO67" s="28" t="s">
        <v>2297</v>
      </c>
      <c r="AP67" s="7">
        <f t="shared" si="11"/>
        <v>2</v>
      </c>
      <c r="AQ67" s="28" t="s">
        <v>2301</v>
      </c>
      <c r="AR67" s="7"/>
      <c r="AS67" s="7" t="s">
        <v>3902</v>
      </c>
      <c r="AT67" s="7"/>
      <c r="AU67" s="7"/>
      <c r="AV67" s="7">
        <f t="shared" si="12"/>
        <v>9300</v>
      </c>
      <c r="AW67" s="28" t="s">
        <v>3189</v>
      </c>
      <c r="AX67" s="7">
        <v>1</v>
      </c>
      <c r="AY67" s="7">
        <f t="shared" si="13"/>
        <v>1210</v>
      </c>
      <c r="AZ67" s="28" t="s">
        <v>2425</v>
      </c>
      <c r="BA67" s="7">
        <v>0</v>
      </c>
      <c r="BB67" s="7">
        <v>10</v>
      </c>
      <c r="BC67" s="7">
        <v>0</v>
      </c>
      <c r="BD67" s="7">
        <v>10</v>
      </c>
      <c r="BE67" s="7"/>
      <c r="BF67" s="7">
        <f t="shared" si="14"/>
        <v>32</v>
      </c>
      <c r="BG67" s="28" t="s">
        <v>2459</v>
      </c>
      <c r="BH67" s="7">
        <f t="shared" si="15"/>
        <v>0</v>
      </c>
      <c r="BI67" s="28" t="s">
        <v>2486</v>
      </c>
      <c r="BJ67" s="7"/>
      <c r="BK67" s="7"/>
      <c r="BL67" s="7">
        <f t="shared" si="16"/>
        <v>10001</v>
      </c>
      <c r="BM67" s="28" t="s">
        <v>2489</v>
      </c>
      <c r="BN67" s="7" t="e">
        <f t="shared" si="17"/>
        <v>#VALUE!</v>
      </c>
      <c r="BO67" s="28"/>
      <c r="BP67" s="7"/>
      <c r="BQ67" s="7">
        <v>4000</v>
      </c>
      <c r="BR67" s="7" t="s">
        <v>3903</v>
      </c>
      <c r="BS67" s="7">
        <f t="shared" si="18"/>
        <v>0</v>
      </c>
      <c r="BT67" s="28" t="s">
        <v>2641</v>
      </c>
      <c r="BU67" s="7">
        <f t="shared" si="19"/>
        <v>2</v>
      </c>
      <c r="BV67" s="28" t="s">
        <v>3940</v>
      </c>
      <c r="BW67" s="54" t="s">
        <v>3941</v>
      </c>
      <c r="BX67" s="54" t="s">
        <v>3941</v>
      </c>
      <c r="BY67" s="7" t="e">
        <f t="shared" si="20"/>
        <v>#VALUE!</v>
      </c>
      <c r="BZ67" s="28"/>
      <c r="CA67" s="7" t="e">
        <f t="shared" si="21"/>
        <v>#VALUE!</v>
      </c>
      <c r="CB67" s="28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</row>
    <row r="68" spans="1:92">
      <c r="A68" s="7">
        <v>56</v>
      </c>
      <c r="B68" s="7">
        <v>416179</v>
      </c>
      <c r="C68" s="7">
        <f t="shared" si="22"/>
        <v>1</v>
      </c>
      <c r="D68" s="28" t="s">
        <v>2257</v>
      </c>
      <c r="E68" s="7">
        <f t="shared" si="0"/>
        <v>14</v>
      </c>
      <c r="F68" s="7" t="s">
        <v>3460</v>
      </c>
      <c r="G68" s="7">
        <f t="shared" si="1"/>
        <v>33</v>
      </c>
      <c r="H68" s="7" t="s">
        <v>3557</v>
      </c>
      <c r="I68" s="7">
        <f t="shared" si="2"/>
        <v>26</v>
      </c>
      <c r="J68" s="7" t="s">
        <v>3673</v>
      </c>
      <c r="K68" s="7">
        <f t="shared" si="3"/>
        <v>14</v>
      </c>
      <c r="L68" s="7" t="s">
        <v>3460</v>
      </c>
      <c r="M68" s="7">
        <f t="shared" si="4"/>
        <v>15</v>
      </c>
      <c r="N68" s="7" t="s">
        <v>3772</v>
      </c>
      <c r="O68" s="7">
        <v>1</v>
      </c>
      <c r="P68" s="7" t="s">
        <v>3849</v>
      </c>
      <c r="Q68" s="53"/>
      <c r="R68" s="7">
        <v>1</v>
      </c>
      <c r="S68" s="7">
        <v>1</v>
      </c>
      <c r="T68" s="53"/>
      <c r="U68" s="7">
        <v>1</v>
      </c>
      <c r="V68" s="7">
        <f t="shared" si="25"/>
        <v>14</v>
      </c>
      <c r="W68" s="28" t="s">
        <v>3900</v>
      </c>
      <c r="X68" s="7">
        <f t="shared" si="25"/>
        <v>14</v>
      </c>
      <c r="Y68" s="28" t="s">
        <v>3900</v>
      </c>
      <c r="Z68" s="7">
        <f t="shared" si="6"/>
        <v>1</v>
      </c>
      <c r="AA68" s="28" t="s">
        <v>3901</v>
      </c>
      <c r="AB68" s="7"/>
      <c r="AC68" s="7"/>
      <c r="AD68" s="7"/>
      <c r="AE68" s="7"/>
      <c r="AF68" s="7">
        <v>0</v>
      </c>
      <c r="AG68" s="7">
        <f t="shared" si="7"/>
        <v>0</v>
      </c>
      <c r="AH68" s="28" t="s">
        <v>2281</v>
      </c>
      <c r="AI68" s="7">
        <v>8</v>
      </c>
      <c r="AJ68" s="7">
        <f t="shared" si="8"/>
        <v>8</v>
      </c>
      <c r="AK68" s="28" t="s">
        <v>2291</v>
      </c>
      <c r="AL68" s="7">
        <f t="shared" si="9"/>
        <v>2</v>
      </c>
      <c r="AM68" s="28" t="s">
        <v>2295</v>
      </c>
      <c r="AN68" s="7">
        <f t="shared" si="10"/>
        <v>0</v>
      </c>
      <c r="AO68" s="28" t="s">
        <v>2297</v>
      </c>
      <c r="AP68" s="7">
        <f t="shared" si="11"/>
        <v>2</v>
      </c>
      <c r="AQ68" s="28" t="s">
        <v>2301</v>
      </c>
      <c r="AR68" s="7"/>
      <c r="AS68" s="7" t="s">
        <v>3902</v>
      </c>
      <c r="AT68" s="7"/>
      <c r="AU68" s="7"/>
      <c r="AV68" s="7">
        <f t="shared" si="12"/>
        <v>9300</v>
      </c>
      <c r="AW68" s="28" t="s">
        <v>3189</v>
      </c>
      <c r="AX68" s="7">
        <v>1</v>
      </c>
      <c r="AY68" s="7">
        <f t="shared" si="13"/>
        <v>1210</v>
      </c>
      <c r="AZ68" s="28" t="s">
        <v>2425</v>
      </c>
      <c r="BA68" s="7">
        <v>0</v>
      </c>
      <c r="BB68" s="7">
        <v>10</v>
      </c>
      <c r="BC68" s="7">
        <v>0</v>
      </c>
      <c r="BD68" s="7">
        <v>10</v>
      </c>
      <c r="BE68" s="7"/>
      <c r="BF68" s="7">
        <f t="shared" si="14"/>
        <v>32</v>
      </c>
      <c r="BG68" s="28" t="s">
        <v>2459</v>
      </c>
      <c r="BH68" s="7">
        <f t="shared" si="15"/>
        <v>0</v>
      </c>
      <c r="BI68" s="28" t="s">
        <v>2486</v>
      </c>
      <c r="BJ68" s="7"/>
      <c r="BK68" s="7"/>
      <c r="BL68" s="7">
        <f t="shared" si="16"/>
        <v>10001</v>
      </c>
      <c r="BM68" s="28" t="s">
        <v>2489</v>
      </c>
      <c r="BN68" s="7" t="e">
        <f t="shared" si="17"/>
        <v>#VALUE!</v>
      </c>
      <c r="BO68" s="28"/>
      <c r="BP68" s="7"/>
      <c r="BQ68" s="7">
        <v>4000</v>
      </c>
      <c r="BR68" s="7" t="s">
        <v>3903</v>
      </c>
      <c r="BS68" s="7">
        <f t="shared" si="18"/>
        <v>0</v>
      </c>
      <c r="BT68" s="28" t="s">
        <v>2641</v>
      </c>
      <c r="BU68" s="7">
        <f t="shared" si="19"/>
        <v>2</v>
      </c>
      <c r="BV68" s="28" t="s">
        <v>3940</v>
      </c>
      <c r="BW68" s="54" t="s">
        <v>3941</v>
      </c>
      <c r="BX68" s="54" t="s">
        <v>3941</v>
      </c>
      <c r="BY68" s="7" t="e">
        <f t="shared" si="20"/>
        <v>#VALUE!</v>
      </c>
      <c r="BZ68" s="28"/>
      <c r="CA68" s="7" t="e">
        <f t="shared" si="21"/>
        <v>#VALUE!</v>
      </c>
      <c r="CB68" s="28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</row>
    <row r="69" spans="1:92">
      <c r="A69" s="7">
        <v>57</v>
      </c>
      <c r="B69" s="7">
        <v>416180</v>
      </c>
      <c r="C69" s="7">
        <f t="shared" si="22"/>
        <v>1</v>
      </c>
      <c r="D69" s="28" t="s">
        <v>2257</v>
      </c>
      <c r="E69" s="7">
        <f t="shared" si="0"/>
        <v>20</v>
      </c>
      <c r="F69" s="7" t="s">
        <v>3461</v>
      </c>
      <c r="G69" s="7">
        <f t="shared" si="1"/>
        <v>33</v>
      </c>
      <c r="H69" s="7" t="s">
        <v>3558</v>
      </c>
      <c r="I69" s="7">
        <f t="shared" si="2"/>
        <v>22</v>
      </c>
      <c r="J69" s="7" t="s">
        <v>3733</v>
      </c>
      <c r="K69" s="7">
        <f t="shared" si="3"/>
        <v>20</v>
      </c>
      <c r="L69" s="7" t="s">
        <v>3461</v>
      </c>
      <c r="M69" s="7">
        <f t="shared" si="4"/>
        <v>17</v>
      </c>
      <c r="N69" s="7" t="s">
        <v>3773</v>
      </c>
      <c r="O69" s="7">
        <v>1</v>
      </c>
      <c r="P69" s="7"/>
      <c r="Q69" s="53"/>
      <c r="R69" s="7">
        <v>1</v>
      </c>
      <c r="S69" s="7">
        <v>1</v>
      </c>
      <c r="T69" s="53"/>
      <c r="U69" s="7">
        <v>1</v>
      </c>
      <c r="V69" s="7">
        <f t="shared" si="25"/>
        <v>14</v>
      </c>
      <c r="W69" s="28" t="s">
        <v>3900</v>
      </c>
      <c r="X69" s="7">
        <f t="shared" si="25"/>
        <v>14</v>
      </c>
      <c r="Y69" s="28" t="s">
        <v>3900</v>
      </c>
      <c r="Z69" s="7">
        <f t="shared" si="6"/>
        <v>1</v>
      </c>
      <c r="AA69" s="28" t="s">
        <v>3901</v>
      </c>
      <c r="AB69" s="7"/>
      <c r="AC69" s="7"/>
      <c r="AD69" s="7"/>
      <c r="AE69" s="7"/>
      <c r="AF69" s="7">
        <v>0</v>
      </c>
      <c r="AG69" s="7">
        <f t="shared" si="7"/>
        <v>0</v>
      </c>
      <c r="AH69" s="28" t="s">
        <v>2281</v>
      </c>
      <c r="AI69" s="7">
        <v>8</v>
      </c>
      <c r="AJ69" s="7">
        <f t="shared" si="8"/>
        <v>8</v>
      </c>
      <c r="AK69" s="28" t="s">
        <v>2291</v>
      </c>
      <c r="AL69" s="7">
        <f t="shared" si="9"/>
        <v>2</v>
      </c>
      <c r="AM69" s="28" t="s">
        <v>2295</v>
      </c>
      <c r="AN69" s="7">
        <f t="shared" si="10"/>
        <v>0</v>
      </c>
      <c r="AO69" s="28" t="s">
        <v>2297</v>
      </c>
      <c r="AP69" s="7">
        <f t="shared" si="11"/>
        <v>2</v>
      </c>
      <c r="AQ69" s="28" t="s">
        <v>2301</v>
      </c>
      <c r="AR69" s="7"/>
      <c r="AS69" s="7" t="s">
        <v>3902</v>
      </c>
      <c r="AT69" s="7"/>
      <c r="AU69" s="7"/>
      <c r="AV69" s="7">
        <f t="shared" si="12"/>
        <v>9300</v>
      </c>
      <c r="AW69" s="28" t="s">
        <v>3189</v>
      </c>
      <c r="AX69" s="7">
        <v>1</v>
      </c>
      <c r="AY69" s="7">
        <f t="shared" si="13"/>
        <v>1210</v>
      </c>
      <c r="AZ69" s="28" t="s">
        <v>2425</v>
      </c>
      <c r="BA69" s="7">
        <v>0</v>
      </c>
      <c r="BB69" s="7">
        <v>10</v>
      </c>
      <c r="BC69" s="7">
        <v>0</v>
      </c>
      <c r="BD69" s="7">
        <v>10</v>
      </c>
      <c r="BE69" s="7"/>
      <c r="BF69" s="7">
        <f t="shared" si="14"/>
        <v>32</v>
      </c>
      <c r="BG69" s="28" t="s">
        <v>2459</v>
      </c>
      <c r="BH69" s="7">
        <f t="shared" si="15"/>
        <v>0</v>
      </c>
      <c r="BI69" s="28" t="s">
        <v>2486</v>
      </c>
      <c r="BJ69" s="7"/>
      <c r="BK69" s="7"/>
      <c r="BL69" s="7">
        <f t="shared" si="16"/>
        <v>10001</v>
      </c>
      <c r="BM69" s="28" t="s">
        <v>2489</v>
      </c>
      <c r="BN69" s="7" t="e">
        <f t="shared" si="17"/>
        <v>#VALUE!</v>
      </c>
      <c r="BO69" s="28"/>
      <c r="BP69" s="7"/>
      <c r="BQ69" s="7">
        <v>4000</v>
      </c>
      <c r="BR69" s="7" t="s">
        <v>3903</v>
      </c>
      <c r="BS69" s="7">
        <f t="shared" si="18"/>
        <v>0</v>
      </c>
      <c r="BT69" s="28" t="s">
        <v>2641</v>
      </c>
      <c r="BU69" s="7">
        <f t="shared" si="19"/>
        <v>2</v>
      </c>
      <c r="BV69" s="28" t="s">
        <v>3940</v>
      </c>
      <c r="BW69" s="54" t="s">
        <v>3941</v>
      </c>
      <c r="BX69" s="54" t="s">
        <v>3941</v>
      </c>
      <c r="BY69" s="7" t="e">
        <f t="shared" si="20"/>
        <v>#VALUE!</v>
      </c>
      <c r="BZ69" s="28"/>
      <c r="CA69" s="7" t="e">
        <f t="shared" si="21"/>
        <v>#VALUE!</v>
      </c>
      <c r="CB69" s="28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</row>
    <row r="70" spans="1:92">
      <c r="A70" s="7">
        <v>58</v>
      </c>
      <c r="B70" s="7">
        <v>416181</v>
      </c>
      <c r="C70" s="7">
        <f t="shared" si="22"/>
        <v>1</v>
      </c>
      <c r="D70" s="28" t="s">
        <v>2257</v>
      </c>
      <c r="E70" s="7">
        <f t="shared" si="0"/>
        <v>28</v>
      </c>
      <c r="F70" s="7" t="s">
        <v>3462</v>
      </c>
      <c r="G70" s="7">
        <f t="shared" si="1"/>
        <v>46</v>
      </c>
      <c r="H70" s="7" t="s">
        <v>3559</v>
      </c>
      <c r="I70" s="7">
        <f t="shared" si="2"/>
        <v>34</v>
      </c>
      <c r="J70" s="7" t="s">
        <v>3674</v>
      </c>
      <c r="K70" s="7">
        <f t="shared" si="3"/>
        <v>20</v>
      </c>
      <c r="L70" s="7" t="s">
        <v>3916</v>
      </c>
      <c r="M70" s="7">
        <f t="shared" si="4"/>
        <v>20</v>
      </c>
      <c r="N70" s="7" t="s">
        <v>3916</v>
      </c>
      <c r="O70" s="7">
        <v>1</v>
      </c>
      <c r="P70" s="7" t="s">
        <v>3850</v>
      </c>
      <c r="Q70" s="53"/>
      <c r="R70" s="7">
        <v>1</v>
      </c>
      <c r="S70" s="7">
        <v>1</v>
      </c>
      <c r="T70" s="53"/>
      <c r="U70" s="7">
        <v>1</v>
      </c>
      <c r="V70" s="7">
        <f t="shared" si="25"/>
        <v>14</v>
      </c>
      <c r="W70" s="28" t="s">
        <v>3900</v>
      </c>
      <c r="X70" s="7">
        <f t="shared" si="25"/>
        <v>14</v>
      </c>
      <c r="Y70" s="28" t="s">
        <v>3900</v>
      </c>
      <c r="Z70" s="7">
        <f t="shared" si="6"/>
        <v>1</v>
      </c>
      <c r="AA70" s="28" t="s">
        <v>3901</v>
      </c>
      <c r="AB70" s="7"/>
      <c r="AC70" s="7"/>
      <c r="AD70" s="7"/>
      <c r="AE70" s="7"/>
      <c r="AF70" s="7">
        <v>0</v>
      </c>
      <c r="AG70" s="7">
        <f t="shared" si="7"/>
        <v>0</v>
      </c>
      <c r="AH70" s="28" t="s">
        <v>2281</v>
      </c>
      <c r="AI70" s="7">
        <v>8</v>
      </c>
      <c r="AJ70" s="7">
        <f t="shared" si="8"/>
        <v>8</v>
      </c>
      <c r="AK70" s="28" t="s">
        <v>2291</v>
      </c>
      <c r="AL70" s="7">
        <f t="shared" si="9"/>
        <v>2</v>
      </c>
      <c r="AM70" s="28" t="s">
        <v>2295</v>
      </c>
      <c r="AN70" s="7">
        <f t="shared" si="10"/>
        <v>0</v>
      </c>
      <c r="AO70" s="28" t="s">
        <v>2297</v>
      </c>
      <c r="AP70" s="7">
        <f t="shared" si="11"/>
        <v>2</v>
      </c>
      <c r="AQ70" s="28" t="s">
        <v>2301</v>
      </c>
      <c r="AR70" s="7"/>
      <c r="AS70" s="7" t="s">
        <v>3902</v>
      </c>
      <c r="AT70" s="7"/>
      <c r="AU70" s="7"/>
      <c r="AV70" s="7">
        <f t="shared" si="12"/>
        <v>9300</v>
      </c>
      <c r="AW70" s="28" t="s">
        <v>3189</v>
      </c>
      <c r="AX70" s="7">
        <v>1</v>
      </c>
      <c r="AY70" s="7">
        <f t="shared" si="13"/>
        <v>1210</v>
      </c>
      <c r="AZ70" s="28" t="s">
        <v>2425</v>
      </c>
      <c r="BA70" s="7">
        <v>0</v>
      </c>
      <c r="BB70" s="7">
        <v>10</v>
      </c>
      <c r="BC70" s="7">
        <v>0</v>
      </c>
      <c r="BD70" s="7">
        <v>10</v>
      </c>
      <c r="BE70" s="7"/>
      <c r="BF70" s="7">
        <f t="shared" si="14"/>
        <v>32</v>
      </c>
      <c r="BG70" s="28" t="s">
        <v>2459</v>
      </c>
      <c r="BH70" s="7">
        <f t="shared" si="15"/>
        <v>0</v>
      </c>
      <c r="BI70" s="28" t="s">
        <v>2486</v>
      </c>
      <c r="BJ70" s="7"/>
      <c r="BK70" s="7"/>
      <c r="BL70" s="7">
        <f t="shared" si="16"/>
        <v>10001</v>
      </c>
      <c r="BM70" s="28" t="s">
        <v>2489</v>
      </c>
      <c r="BN70" s="7" t="e">
        <f t="shared" si="17"/>
        <v>#VALUE!</v>
      </c>
      <c r="BO70" s="28"/>
      <c r="BP70" s="7"/>
      <c r="BQ70" s="7">
        <v>4000</v>
      </c>
      <c r="BR70" s="7" t="s">
        <v>3903</v>
      </c>
      <c r="BS70" s="7">
        <f t="shared" si="18"/>
        <v>0</v>
      </c>
      <c r="BT70" s="28" t="s">
        <v>2641</v>
      </c>
      <c r="BU70" s="7">
        <f t="shared" si="19"/>
        <v>2</v>
      </c>
      <c r="BV70" s="28" t="s">
        <v>3940</v>
      </c>
      <c r="BW70" s="54" t="s">
        <v>3941</v>
      </c>
      <c r="BX70" s="54" t="s">
        <v>3941</v>
      </c>
      <c r="BY70" s="7" t="e">
        <f t="shared" si="20"/>
        <v>#VALUE!</v>
      </c>
      <c r="BZ70" s="28"/>
      <c r="CA70" s="7" t="e">
        <f t="shared" si="21"/>
        <v>#VALUE!</v>
      </c>
      <c r="CB70" s="28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</row>
    <row r="71" spans="1:92">
      <c r="A71" s="7">
        <v>59</v>
      </c>
      <c r="B71" s="7">
        <v>416182</v>
      </c>
      <c r="C71" s="7">
        <f t="shared" si="22"/>
        <v>1</v>
      </c>
      <c r="D71" s="28" t="s">
        <v>2257</v>
      </c>
      <c r="E71" s="7">
        <f t="shared" si="0"/>
        <v>37</v>
      </c>
      <c r="F71" s="7" t="s">
        <v>3463</v>
      </c>
      <c r="G71" s="7">
        <f t="shared" si="1"/>
        <v>50</v>
      </c>
      <c r="H71" s="7" t="s">
        <v>3607</v>
      </c>
      <c r="I71" s="7">
        <f t="shared" si="2"/>
        <v>38</v>
      </c>
      <c r="J71" s="7" t="s">
        <v>3675</v>
      </c>
      <c r="K71" s="7">
        <f t="shared" si="3"/>
        <v>20</v>
      </c>
      <c r="L71" s="7" t="s">
        <v>3917</v>
      </c>
      <c r="M71" s="7">
        <f t="shared" si="4"/>
        <v>20</v>
      </c>
      <c r="N71" s="7" t="s">
        <v>3917</v>
      </c>
      <c r="O71" s="7">
        <v>1</v>
      </c>
      <c r="P71" s="7" t="s">
        <v>3851</v>
      </c>
      <c r="Q71" s="53"/>
      <c r="R71" s="7">
        <v>1</v>
      </c>
      <c r="S71" s="7">
        <v>1</v>
      </c>
      <c r="T71" s="53"/>
      <c r="U71" s="7">
        <v>1</v>
      </c>
      <c r="V71" s="7">
        <f t="shared" si="25"/>
        <v>14</v>
      </c>
      <c r="W71" s="28" t="s">
        <v>3900</v>
      </c>
      <c r="X71" s="7">
        <f t="shared" si="25"/>
        <v>14</v>
      </c>
      <c r="Y71" s="28" t="s">
        <v>3900</v>
      </c>
      <c r="Z71" s="7">
        <f t="shared" si="6"/>
        <v>1</v>
      </c>
      <c r="AA71" s="28" t="s">
        <v>3901</v>
      </c>
      <c r="AB71" s="7"/>
      <c r="AC71" s="7"/>
      <c r="AD71" s="7"/>
      <c r="AE71" s="7"/>
      <c r="AF71" s="7">
        <v>0</v>
      </c>
      <c r="AG71" s="7">
        <f t="shared" si="7"/>
        <v>0</v>
      </c>
      <c r="AH71" s="28" t="s">
        <v>2281</v>
      </c>
      <c r="AI71" s="7">
        <v>8</v>
      </c>
      <c r="AJ71" s="7">
        <f t="shared" si="8"/>
        <v>8</v>
      </c>
      <c r="AK71" s="28" t="s">
        <v>2291</v>
      </c>
      <c r="AL71" s="7">
        <f t="shared" si="9"/>
        <v>2</v>
      </c>
      <c r="AM71" s="28" t="s">
        <v>2295</v>
      </c>
      <c r="AN71" s="7">
        <f t="shared" si="10"/>
        <v>0</v>
      </c>
      <c r="AO71" s="28" t="s">
        <v>2297</v>
      </c>
      <c r="AP71" s="7">
        <f t="shared" si="11"/>
        <v>2</v>
      </c>
      <c r="AQ71" s="28" t="s">
        <v>2301</v>
      </c>
      <c r="AR71" s="7"/>
      <c r="AS71" s="7" t="s">
        <v>3902</v>
      </c>
      <c r="AT71" s="7"/>
      <c r="AU71" s="7"/>
      <c r="AV71" s="7">
        <f t="shared" si="12"/>
        <v>9300</v>
      </c>
      <c r="AW71" s="28" t="s">
        <v>3189</v>
      </c>
      <c r="AX71" s="7">
        <v>1</v>
      </c>
      <c r="AY71" s="7">
        <f t="shared" si="13"/>
        <v>1210</v>
      </c>
      <c r="AZ71" s="28" t="s">
        <v>2425</v>
      </c>
      <c r="BA71" s="7">
        <v>0</v>
      </c>
      <c r="BB71" s="7">
        <v>10</v>
      </c>
      <c r="BC71" s="7">
        <v>0</v>
      </c>
      <c r="BD71" s="7">
        <v>10</v>
      </c>
      <c r="BE71" s="7"/>
      <c r="BF71" s="7">
        <f t="shared" si="14"/>
        <v>32</v>
      </c>
      <c r="BG71" s="28" t="s">
        <v>2459</v>
      </c>
      <c r="BH71" s="7">
        <f t="shared" si="15"/>
        <v>0</v>
      </c>
      <c r="BI71" s="28" t="s">
        <v>2486</v>
      </c>
      <c r="BJ71" s="7"/>
      <c r="BK71" s="7"/>
      <c r="BL71" s="7">
        <f t="shared" si="16"/>
        <v>10001</v>
      </c>
      <c r="BM71" s="28" t="s">
        <v>2489</v>
      </c>
      <c r="BN71" s="7" t="e">
        <f t="shared" si="17"/>
        <v>#VALUE!</v>
      </c>
      <c r="BO71" s="28"/>
      <c r="BP71" s="7"/>
      <c r="BQ71" s="7">
        <v>4000</v>
      </c>
      <c r="BR71" s="7" t="s">
        <v>3903</v>
      </c>
      <c r="BS71" s="7">
        <f t="shared" si="18"/>
        <v>0</v>
      </c>
      <c r="BT71" s="28" t="s">
        <v>2641</v>
      </c>
      <c r="BU71" s="7">
        <f t="shared" si="19"/>
        <v>2</v>
      </c>
      <c r="BV71" s="28" t="s">
        <v>3940</v>
      </c>
      <c r="BW71" s="54" t="s">
        <v>3941</v>
      </c>
      <c r="BX71" s="54" t="s">
        <v>3941</v>
      </c>
      <c r="BY71" s="7" t="e">
        <f t="shared" si="20"/>
        <v>#VALUE!</v>
      </c>
      <c r="BZ71" s="28"/>
      <c r="CA71" s="7" t="e">
        <f t="shared" si="21"/>
        <v>#VALUE!</v>
      </c>
      <c r="CB71" s="28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</row>
    <row r="72" spans="1:92">
      <c r="A72" s="7">
        <v>60</v>
      </c>
      <c r="B72" s="7">
        <v>416183</v>
      </c>
      <c r="C72" s="7">
        <f t="shared" si="22"/>
        <v>1</v>
      </c>
      <c r="D72" s="28" t="s">
        <v>2257</v>
      </c>
      <c r="E72" s="7">
        <f t="shared" si="0"/>
        <v>39</v>
      </c>
      <c r="F72" s="9" t="s">
        <v>3464</v>
      </c>
      <c r="G72" s="7">
        <f t="shared" si="1"/>
        <v>49</v>
      </c>
      <c r="H72" s="7" t="s">
        <v>3608</v>
      </c>
      <c r="I72" s="7">
        <f t="shared" si="2"/>
        <v>33</v>
      </c>
      <c r="J72" s="7" t="s">
        <v>3676</v>
      </c>
      <c r="K72" s="7">
        <f t="shared" si="3"/>
        <v>20</v>
      </c>
      <c r="L72" s="7" t="s">
        <v>3918</v>
      </c>
      <c r="M72" s="7">
        <f t="shared" si="4"/>
        <v>20</v>
      </c>
      <c r="N72" s="7" t="s">
        <v>3918</v>
      </c>
      <c r="O72" s="7">
        <v>1</v>
      </c>
      <c r="P72" s="7"/>
      <c r="Q72" s="53"/>
      <c r="R72" s="7">
        <v>1</v>
      </c>
      <c r="S72" s="7">
        <v>1</v>
      </c>
      <c r="T72" s="53"/>
      <c r="U72" s="7">
        <v>1</v>
      </c>
      <c r="V72" s="7">
        <f t="shared" si="25"/>
        <v>14</v>
      </c>
      <c r="W72" s="28" t="s">
        <v>3900</v>
      </c>
      <c r="X72" s="7">
        <f t="shared" si="25"/>
        <v>14</v>
      </c>
      <c r="Y72" s="28" t="s">
        <v>3900</v>
      </c>
      <c r="Z72" s="7">
        <f t="shared" si="6"/>
        <v>1</v>
      </c>
      <c r="AA72" s="28" t="s">
        <v>3901</v>
      </c>
      <c r="AB72" s="7"/>
      <c r="AC72" s="7"/>
      <c r="AD72" s="7"/>
      <c r="AE72" s="7"/>
      <c r="AF72" s="7">
        <v>0</v>
      </c>
      <c r="AG72" s="7">
        <f t="shared" si="7"/>
        <v>0</v>
      </c>
      <c r="AH72" s="28" t="s">
        <v>2281</v>
      </c>
      <c r="AI72" s="7">
        <v>8</v>
      </c>
      <c r="AJ72" s="7">
        <f t="shared" si="8"/>
        <v>8</v>
      </c>
      <c r="AK72" s="28" t="s">
        <v>2291</v>
      </c>
      <c r="AL72" s="7">
        <f t="shared" si="9"/>
        <v>2</v>
      </c>
      <c r="AM72" s="28" t="s">
        <v>2295</v>
      </c>
      <c r="AN72" s="7">
        <f t="shared" si="10"/>
        <v>0</v>
      </c>
      <c r="AO72" s="28" t="s">
        <v>2297</v>
      </c>
      <c r="AP72" s="7">
        <f t="shared" si="11"/>
        <v>2</v>
      </c>
      <c r="AQ72" s="28" t="s">
        <v>2301</v>
      </c>
      <c r="AR72" s="7"/>
      <c r="AS72" s="7" t="s">
        <v>3902</v>
      </c>
      <c r="AT72" s="7"/>
      <c r="AU72" s="7"/>
      <c r="AV72" s="7">
        <f t="shared" si="12"/>
        <v>9300</v>
      </c>
      <c r="AW72" s="28" t="s">
        <v>3189</v>
      </c>
      <c r="AX72" s="7">
        <v>1</v>
      </c>
      <c r="AY72" s="7">
        <f t="shared" si="13"/>
        <v>1210</v>
      </c>
      <c r="AZ72" s="28" t="s">
        <v>2425</v>
      </c>
      <c r="BA72" s="7">
        <v>0</v>
      </c>
      <c r="BB72" s="7">
        <v>10</v>
      </c>
      <c r="BC72" s="7">
        <v>0</v>
      </c>
      <c r="BD72" s="7">
        <v>10</v>
      </c>
      <c r="BE72" s="7"/>
      <c r="BF72" s="7">
        <f t="shared" si="14"/>
        <v>32</v>
      </c>
      <c r="BG72" s="28" t="s">
        <v>2459</v>
      </c>
      <c r="BH72" s="7">
        <f t="shared" si="15"/>
        <v>0</v>
      </c>
      <c r="BI72" s="28" t="s">
        <v>2486</v>
      </c>
      <c r="BJ72" s="7"/>
      <c r="BK72" s="7"/>
      <c r="BL72" s="7">
        <f t="shared" si="16"/>
        <v>10001</v>
      </c>
      <c r="BM72" s="28" t="s">
        <v>2489</v>
      </c>
      <c r="BN72" s="7" t="e">
        <f t="shared" si="17"/>
        <v>#VALUE!</v>
      </c>
      <c r="BO72" s="28"/>
      <c r="BP72" s="7"/>
      <c r="BQ72" s="7">
        <v>4000</v>
      </c>
      <c r="BR72" s="7" t="s">
        <v>3903</v>
      </c>
      <c r="BS72" s="7">
        <f t="shared" si="18"/>
        <v>0</v>
      </c>
      <c r="BT72" s="28" t="s">
        <v>2641</v>
      </c>
      <c r="BU72" s="7">
        <f t="shared" si="19"/>
        <v>2</v>
      </c>
      <c r="BV72" s="28" t="s">
        <v>3940</v>
      </c>
      <c r="BW72" s="54" t="s">
        <v>3941</v>
      </c>
      <c r="BX72" s="54" t="s">
        <v>3941</v>
      </c>
      <c r="BY72" s="7" t="e">
        <f t="shared" si="20"/>
        <v>#VALUE!</v>
      </c>
      <c r="BZ72" s="28"/>
      <c r="CA72" s="7" t="e">
        <f t="shared" si="21"/>
        <v>#VALUE!</v>
      </c>
      <c r="CB72" s="28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</row>
    <row r="73" spans="1:92">
      <c r="A73" s="7">
        <v>61</v>
      </c>
      <c r="B73" s="7">
        <v>416184</v>
      </c>
      <c r="C73" s="7">
        <f t="shared" si="22"/>
        <v>1</v>
      </c>
      <c r="D73" s="28" t="s">
        <v>2257</v>
      </c>
      <c r="E73" s="7">
        <f t="shared" si="0"/>
        <v>31</v>
      </c>
      <c r="F73" s="7" t="s">
        <v>3465</v>
      </c>
      <c r="G73" s="7">
        <f t="shared" si="1"/>
        <v>44</v>
      </c>
      <c r="H73" s="7" t="s">
        <v>3560</v>
      </c>
      <c r="I73" s="7">
        <f t="shared" si="2"/>
        <v>23</v>
      </c>
      <c r="J73" s="7" t="s">
        <v>3677</v>
      </c>
      <c r="K73" s="7">
        <f t="shared" si="3"/>
        <v>18</v>
      </c>
      <c r="L73" s="7" t="s">
        <v>3774</v>
      </c>
      <c r="M73" s="7">
        <f t="shared" si="4"/>
        <v>18</v>
      </c>
      <c r="N73" s="7" t="s">
        <v>3774</v>
      </c>
      <c r="O73" s="7">
        <v>1</v>
      </c>
      <c r="P73" s="7"/>
      <c r="Q73" s="53"/>
      <c r="R73" s="7">
        <v>1</v>
      </c>
      <c r="S73" s="7">
        <v>1</v>
      </c>
      <c r="T73" s="53"/>
      <c r="U73" s="7">
        <v>1</v>
      </c>
      <c r="V73" s="7">
        <f t="shared" si="25"/>
        <v>14</v>
      </c>
      <c r="W73" s="28" t="s">
        <v>3900</v>
      </c>
      <c r="X73" s="7">
        <f t="shared" si="25"/>
        <v>14</v>
      </c>
      <c r="Y73" s="28" t="s">
        <v>3900</v>
      </c>
      <c r="Z73" s="7">
        <f t="shared" si="6"/>
        <v>1</v>
      </c>
      <c r="AA73" s="28" t="s">
        <v>3901</v>
      </c>
      <c r="AB73" s="7"/>
      <c r="AC73" s="7"/>
      <c r="AD73" s="7"/>
      <c r="AE73" s="7"/>
      <c r="AF73" s="7">
        <v>0</v>
      </c>
      <c r="AG73" s="7">
        <f t="shared" si="7"/>
        <v>0</v>
      </c>
      <c r="AH73" s="28" t="s">
        <v>2281</v>
      </c>
      <c r="AI73" s="7">
        <v>8</v>
      </c>
      <c r="AJ73" s="7">
        <f t="shared" si="8"/>
        <v>8</v>
      </c>
      <c r="AK73" s="28" t="s">
        <v>2291</v>
      </c>
      <c r="AL73" s="7">
        <f t="shared" si="9"/>
        <v>2</v>
      </c>
      <c r="AM73" s="28" t="s">
        <v>2295</v>
      </c>
      <c r="AN73" s="7">
        <f t="shared" si="10"/>
        <v>0</v>
      </c>
      <c r="AO73" s="28" t="s">
        <v>2297</v>
      </c>
      <c r="AP73" s="7">
        <f t="shared" si="11"/>
        <v>2</v>
      </c>
      <c r="AQ73" s="28" t="s">
        <v>2301</v>
      </c>
      <c r="AR73" s="7"/>
      <c r="AS73" s="7" t="s">
        <v>3902</v>
      </c>
      <c r="AT73" s="7"/>
      <c r="AU73" s="7"/>
      <c r="AV73" s="7">
        <f t="shared" si="12"/>
        <v>9300</v>
      </c>
      <c r="AW73" s="28" t="s">
        <v>3189</v>
      </c>
      <c r="AX73" s="7">
        <v>1</v>
      </c>
      <c r="AY73" s="7">
        <f t="shared" si="13"/>
        <v>1210</v>
      </c>
      <c r="AZ73" s="28" t="s">
        <v>2425</v>
      </c>
      <c r="BA73" s="7">
        <v>0</v>
      </c>
      <c r="BB73" s="7">
        <v>10</v>
      </c>
      <c r="BC73" s="7">
        <v>0</v>
      </c>
      <c r="BD73" s="7">
        <v>10</v>
      </c>
      <c r="BE73" s="7"/>
      <c r="BF73" s="7">
        <f t="shared" si="14"/>
        <v>32</v>
      </c>
      <c r="BG73" s="28" t="s">
        <v>2459</v>
      </c>
      <c r="BH73" s="7">
        <f t="shared" si="15"/>
        <v>0</v>
      </c>
      <c r="BI73" s="28" t="s">
        <v>2486</v>
      </c>
      <c r="BJ73" s="7"/>
      <c r="BK73" s="7"/>
      <c r="BL73" s="7">
        <f t="shared" si="16"/>
        <v>10001</v>
      </c>
      <c r="BM73" s="28" t="s">
        <v>2489</v>
      </c>
      <c r="BN73" s="7" t="e">
        <f t="shared" si="17"/>
        <v>#VALUE!</v>
      </c>
      <c r="BO73" s="28"/>
      <c r="BP73" s="7"/>
      <c r="BQ73" s="7">
        <v>4000</v>
      </c>
      <c r="BR73" s="7" t="s">
        <v>3903</v>
      </c>
      <c r="BS73" s="7">
        <f t="shared" si="18"/>
        <v>0</v>
      </c>
      <c r="BT73" s="28" t="s">
        <v>2641</v>
      </c>
      <c r="BU73" s="7">
        <f t="shared" si="19"/>
        <v>2</v>
      </c>
      <c r="BV73" s="28" t="s">
        <v>3940</v>
      </c>
      <c r="BW73" s="54" t="s">
        <v>3941</v>
      </c>
      <c r="BX73" s="54" t="s">
        <v>3941</v>
      </c>
      <c r="BY73" s="7" t="e">
        <f t="shared" si="20"/>
        <v>#VALUE!</v>
      </c>
      <c r="BZ73" s="28"/>
      <c r="CA73" s="7" t="e">
        <f t="shared" si="21"/>
        <v>#VALUE!</v>
      </c>
      <c r="CB73" s="28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</row>
    <row r="74" spans="1:92">
      <c r="A74" s="7">
        <v>62</v>
      </c>
      <c r="B74" s="7">
        <v>416185</v>
      </c>
      <c r="C74" s="7">
        <f t="shared" si="22"/>
        <v>1</v>
      </c>
      <c r="D74" s="28" t="s">
        <v>2257</v>
      </c>
      <c r="E74" s="7">
        <f t="shared" si="0"/>
        <v>34</v>
      </c>
      <c r="F74" s="7" t="s">
        <v>3466</v>
      </c>
      <c r="G74" s="7">
        <f t="shared" si="1"/>
        <v>51</v>
      </c>
      <c r="H74" s="7" t="s">
        <v>3561</v>
      </c>
      <c r="I74" s="7">
        <f t="shared" si="2"/>
        <v>33</v>
      </c>
      <c r="J74" s="7" t="s">
        <v>3678</v>
      </c>
      <c r="K74" s="7">
        <f t="shared" si="3"/>
        <v>20</v>
      </c>
      <c r="L74" s="7" t="s">
        <v>3919</v>
      </c>
      <c r="M74" s="7">
        <f t="shared" si="4"/>
        <v>20</v>
      </c>
      <c r="N74" s="7" t="s">
        <v>3919</v>
      </c>
      <c r="O74" s="7">
        <v>1</v>
      </c>
      <c r="P74" s="7" t="s">
        <v>3852</v>
      </c>
      <c r="Q74" s="53"/>
      <c r="R74" s="7">
        <v>1</v>
      </c>
      <c r="S74" s="7">
        <v>1</v>
      </c>
      <c r="T74" s="53"/>
      <c r="U74" s="7">
        <v>1</v>
      </c>
      <c r="V74" s="7">
        <f t="shared" si="25"/>
        <v>14</v>
      </c>
      <c r="W74" s="28" t="s">
        <v>3900</v>
      </c>
      <c r="X74" s="7">
        <f t="shared" si="25"/>
        <v>14</v>
      </c>
      <c r="Y74" s="28" t="s">
        <v>3900</v>
      </c>
      <c r="Z74" s="7">
        <f t="shared" si="6"/>
        <v>1</v>
      </c>
      <c r="AA74" s="28" t="s">
        <v>3901</v>
      </c>
      <c r="AB74" s="7"/>
      <c r="AC74" s="7"/>
      <c r="AD74" s="7"/>
      <c r="AE74" s="7"/>
      <c r="AF74" s="7">
        <v>0</v>
      </c>
      <c r="AG74" s="7">
        <f t="shared" si="7"/>
        <v>0</v>
      </c>
      <c r="AH74" s="28" t="s">
        <v>2281</v>
      </c>
      <c r="AI74" s="7">
        <v>8</v>
      </c>
      <c r="AJ74" s="7">
        <f t="shared" si="8"/>
        <v>8</v>
      </c>
      <c r="AK74" s="28" t="s">
        <v>2291</v>
      </c>
      <c r="AL74" s="7">
        <f t="shared" si="9"/>
        <v>2</v>
      </c>
      <c r="AM74" s="28" t="s">
        <v>2295</v>
      </c>
      <c r="AN74" s="7">
        <f t="shared" si="10"/>
        <v>0</v>
      </c>
      <c r="AO74" s="28" t="s">
        <v>2297</v>
      </c>
      <c r="AP74" s="7">
        <f t="shared" si="11"/>
        <v>2</v>
      </c>
      <c r="AQ74" s="28" t="s">
        <v>2301</v>
      </c>
      <c r="AR74" s="7"/>
      <c r="AS74" s="7" t="s">
        <v>3902</v>
      </c>
      <c r="AT74" s="7"/>
      <c r="AU74" s="7"/>
      <c r="AV74" s="7">
        <f t="shared" si="12"/>
        <v>9300</v>
      </c>
      <c r="AW74" s="28" t="s">
        <v>3189</v>
      </c>
      <c r="AX74" s="7">
        <v>1</v>
      </c>
      <c r="AY74" s="7">
        <f t="shared" si="13"/>
        <v>1210</v>
      </c>
      <c r="AZ74" s="28" t="s">
        <v>2425</v>
      </c>
      <c r="BA74" s="7">
        <v>0</v>
      </c>
      <c r="BB74" s="7">
        <v>10</v>
      </c>
      <c r="BC74" s="7">
        <v>0</v>
      </c>
      <c r="BD74" s="7">
        <v>10</v>
      </c>
      <c r="BE74" s="7"/>
      <c r="BF74" s="7">
        <f t="shared" si="14"/>
        <v>32</v>
      </c>
      <c r="BG74" s="28" t="s">
        <v>2459</v>
      </c>
      <c r="BH74" s="7">
        <f t="shared" si="15"/>
        <v>0</v>
      </c>
      <c r="BI74" s="28" t="s">
        <v>2486</v>
      </c>
      <c r="BJ74" s="7"/>
      <c r="BK74" s="7"/>
      <c r="BL74" s="7">
        <f t="shared" si="16"/>
        <v>10001</v>
      </c>
      <c r="BM74" s="28" t="s">
        <v>2489</v>
      </c>
      <c r="BN74" s="7" t="e">
        <f t="shared" si="17"/>
        <v>#VALUE!</v>
      </c>
      <c r="BO74" s="28"/>
      <c r="BP74" s="7"/>
      <c r="BQ74" s="7">
        <v>4000</v>
      </c>
      <c r="BR74" s="7" t="s">
        <v>3903</v>
      </c>
      <c r="BS74" s="7">
        <f t="shared" si="18"/>
        <v>0</v>
      </c>
      <c r="BT74" s="28" t="s">
        <v>2641</v>
      </c>
      <c r="BU74" s="7">
        <f t="shared" si="19"/>
        <v>2</v>
      </c>
      <c r="BV74" s="28" t="s">
        <v>3940</v>
      </c>
      <c r="BW74" s="54" t="s">
        <v>3941</v>
      </c>
      <c r="BX74" s="54" t="s">
        <v>3941</v>
      </c>
      <c r="BY74" s="7" t="e">
        <f t="shared" si="20"/>
        <v>#VALUE!</v>
      </c>
      <c r="BZ74" s="28"/>
      <c r="CA74" s="7" t="e">
        <f t="shared" si="21"/>
        <v>#VALUE!</v>
      </c>
      <c r="CB74" s="28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</row>
    <row r="75" spans="1:92">
      <c r="A75" s="7">
        <v>63</v>
      </c>
      <c r="B75" s="7">
        <v>416186</v>
      </c>
      <c r="C75" s="7">
        <f t="shared" si="22"/>
        <v>1</v>
      </c>
      <c r="D75" s="28" t="s">
        <v>2257</v>
      </c>
      <c r="E75" s="7">
        <f t="shared" si="0"/>
        <v>18</v>
      </c>
      <c r="F75" s="7" t="s">
        <v>3467</v>
      </c>
      <c r="G75" s="7">
        <f t="shared" si="1"/>
        <v>37</v>
      </c>
      <c r="H75" s="7" t="s">
        <v>3944</v>
      </c>
      <c r="I75" s="7">
        <f t="shared" si="2"/>
        <v>23</v>
      </c>
      <c r="J75" s="7" t="s">
        <v>3679</v>
      </c>
      <c r="K75" s="7">
        <f t="shared" si="3"/>
        <v>18</v>
      </c>
      <c r="L75" s="7" t="s">
        <v>3467</v>
      </c>
      <c r="M75" s="7">
        <f t="shared" si="4"/>
        <v>12</v>
      </c>
      <c r="N75" s="7" t="s">
        <v>3775</v>
      </c>
      <c r="O75" s="7">
        <v>1</v>
      </c>
      <c r="P75" s="7" t="s">
        <v>3853</v>
      </c>
      <c r="Q75" s="53"/>
      <c r="R75" s="7">
        <v>1</v>
      </c>
      <c r="S75" s="7">
        <v>1</v>
      </c>
      <c r="T75" s="53"/>
      <c r="U75" s="7">
        <v>1</v>
      </c>
      <c r="V75" s="7">
        <f t="shared" si="25"/>
        <v>14</v>
      </c>
      <c r="W75" s="28" t="s">
        <v>3900</v>
      </c>
      <c r="X75" s="7">
        <f t="shared" si="25"/>
        <v>14</v>
      </c>
      <c r="Y75" s="28" t="s">
        <v>3900</v>
      </c>
      <c r="Z75" s="7">
        <f t="shared" si="6"/>
        <v>1</v>
      </c>
      <c r="AA75" s="28" t="s">
        <v>3901</v>
      </c>
      <c r="AB75" s="7"/>
      <c r="AC75" s="7"/>
      <c r="AD75" s="7"/>
      <c r="AE75" s="7"/>
      <c r="AF75" s="7">
        <v>0</v>
      </c>
      <c r="AG75" s="7">
        <f t="shared" si="7"/>
        <v>0</v>
      </c>
      <c r="AH75" s="28" t="s">
        <v>2281</v>
      </c>
      <c r="AI75" s="7">
        <v>8</v>
      </c>
      <c r="AJ75" s="7">
        <f t="shared" si="8"/>
        <v>8</v>
      </c>
      <c r="AK75" s="28" t="s">
        <v>2291</v>
      </c>
      <c r="AL75" s="7">
        <f t="shared" si="9"/>
        <v>2</v>
      </c>
      <c r="AM75" s="28" t="s">
        <v>2295</v>
      </c>
      <c r="AN75" s="7">
        <f t="shared" si="10"/>
        <v>0</v>
      </c>
      <c r="AO75" s="28" t="s">
        <v>2297</v>
      </c>
      <c r="AP75" s="7">
        <f t="shared" si="11"/>
        <v>2</v>
      </c>
      <c r="AQ75" s="28" t="s">
        <v>2301</v>
      </c>
      <c r="AR75" s="7"/>
      <c r="AS75" s="7" t="s">
        <v>3902</v>
      </c>
      <c r="AT75" s="7"/>
      <c r="AU75" s="7"/>
      <c r="AV75" s="7">
        <f t="shared" si="12"/>
        <v>9300</v>
      </c>
      <c r="AW75" s="28" t="s">
        <v>3189</v>
      </c>
      <c r="AX75" s="7">
        <v>1</v>
      </c>
      <c r="AY75" s="7">
        <f t="shared" si="13"/>
        <v>1210</v>
      </c>
      <c r="AZ75" s="28" t="s">
        <v>2425</v>
      </c>
      <c r="BA75" s="7">
        <v>0</v>
      </c>
      <c r="BB75" s="7">
        <v>10</v>
      </c>
      <c r="BC75" s="7">
        <v>0</v>
      </c>
      <c r="BD75" s="7">
        <v>10</v>
      </c>
      <c r="BE75" s="7"/>
      <c r="BF75" s="7">
        <f t="shared" si="14"/>
        <v>32</v>
      </c>
      <c r="BG75" s="28" t="s">
        <v>2459</v>
      </c>
      <c r="BH75" s="7">
        <f t="shared" si="15"/>
        <v>0</v>
      </c>
      <c r="BI75" s="28" t="s">
        <v>2486</v>
      </c>
      <c r="BJ75" s="7"/>
      <c r="BK75" s="7"/>
      <c r="BL75" s="7">
        <f t="shared" si="16"/>
        <v>10001</v>
      </c>
      <c r="BM75" s="28" t="s">
        <v>2489</v>
      </c>
      <c r="BN75" s="7" t="e">
        <f t="shared" si="17"/>
        <v>#VALUE!</v>
      </c>
      <c r="BO75" s="28"/>
      <c r="BP75" s="7"/>
      <c r="BQ75" s="7">
        <v>4000</v>
      </c>
      <c r="BR75" s="7" t="s">
        <v>3903</v>
      </c>
      <c r="BS75" s="7">
        <f t="shared" si="18"/>
        <v>0</v>
      </c>
      <c r="BT75" s="28" t="s">
        <v>2641</v>
      </c>
      <c r="BU75" s="7">
        <f t="shared" si="19"/>
        <v>2</v>
      </c>
      <c r="BV75" s="28" t="s">
        <v>3940</v>
      </c>
      <c r="BW75" s="54" t="s">
        <v>3941</v>
      </c>
      <c r="BX75" s="54" t="s">
        <v>3941</v>
      </c>
      <c r="BY75" s="7" t="e">
        <f t="shared" si="20"/>
        <v>#VALUE!</v>
      </c>
      <c r="BZ75" s="28"/>
      <c r="CA75" s="7" t="e">
        <f t="shared" si="21"/>
        <v>#VALUE!</v>
      </c>
      <c r="CB75" s="28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</row>
    <row r="76" spans="1:92">
      <c r="A76" s="7">
        <v>64</v>
      </c>
      <c r="B76" s="7">
        <v>416187</v>
      </c>
      <c r="C76" s="7">
        <f t="shared" si="22"/>
        <v>1</v>
      </c>
      <c r="D76" s="28" t="s">
        <v>2257</v>
      </c>
      <c r="E76" s="7">
        <f t="shared" si="0"/>
        <v>18</v>
      </c>
      <c r="F76" s="7" t="s">
        <v>3467</v>
      </c>
      <c r="G76" s="7">
        <f t="shared" si="1"/>
        <v>37</v>
      </c>
      <c r="H76" s="7" t="s">
        <v>3562</v>
      </c>
      <c r="I76" s="7">
        <f t="shared" si="2"/>
        <v>23</v>
      </c>
      <c r="J76" s="7" t="s">
        <v>3680</v>
      </c>
      <c r="K76" s="7">
        <f t="shared" si="3"/>
        <v>18</v>
      </c>
      <c r="L76" s="7" t="s">
        <v>3467</v>
      </c>
      <c r="M76" s="7">
        <f t="shared" si="4"/>
        <v>12</v>
      </c>
      <c r="N76" s="7" t="s">
        <v>3775</v>
      </c>
      <c r="O76" s="7">
        <v>1</v>
      </c>
      <c r="P76" s="7" t="s">
        <v>3854</v>
      </c>
      <c r="Q76" s="53"/>
      <c r="R76" s="7">
        <v>1</v>
      </c>
      <c r="S76" s="7">
        <v>1</v>
      </c>
      <c r="T76" s="53"/>
      <c r="U76" s="7">
        <v>1</v>
      </c>
      <c r="V76" s="7">
        <f t="shared" si="25"/>
        <v>14</v>
      </c>
      <c r="W76" s="28" t="s">
        <v>3900</v>
      </c>
      <c r="X76" s="7">
        <f t="shared" si="25"/>
        <v>14</v>
      </c>
      <c r="Y76" s="28" t="s">
        <v>3900</v>
      </c>
      <c r="Z76" s="7">
        <f t="shared" si="6"/>
        <v>1</v>
      </c>
      <c r="AA76" s="28" t="s">
        <v>3901</v>
      </c>
      <c r="AB76" s="7"/>
      <c r="AC76" s="7"/>
      <c r="AD76" s="7"/>
      <c r="AE76" s="7"/>
      <c r="AF76" s="7">
        <v>0</v>
      </c>
      <c r="AG76" s="7">
        <f t="shared" si="7"/>
        <v>0</v>
      </c>
      <c r="AH76" s="28" t="s">
        <v>2281</v>
      </c>
      <c r="AI76" s="7">
        <v>8</v>
      </c>
      <c r="AJ76" s="7">
        <f t="shared" si="8"/>
        <v>8</v>
      </c>
      <c r="AK76" s="28" t="s">
        <v>2291</v>
      </c>
      <c r="AL76" s="7">
        <f t="shared" si="9"/>
        <v>2</v>
      </c>
      <c r="AM76" s="28" t="s">
        <v>2295</v>
      </c>
      <c r="AN76" s="7">
        <f t="shared" si="10"/>
        <v>0</v>
      </c>
      <c r="AO76" s="28" t="s">
        <v>2297</v>
      </c>
      <c r="AP76" s="7">
        <f t="shared" si="11"/>
        <v>2</v>
      </c>
      <c r="AQ76" s="28" t="s">
        <v>2301</v>
      </c>
      <c r="AR76" s="7"/>
      <c r="AS76" s="7" t="s">
        <v>3902</v>
      </c>
      <c r="AT76" s="7"/>
      <c r="AU76" s="7"/>
      <c r="AV76" s="7">
        <f t="shared" si="12"/>
        <v>9300</v>
      </c>
      <c r="AW76" s="28" t="s">
        <v>3189</v>
      </c>
      <c r="AX76" s="7">
        <v>1</v>
      </c>
      <c r="AY76" s="7">
        <f t="shared" si="13"/>
        <v>1210</v>
      </c>
      <c r="AZ76" s="28" t="s">
        <v>2425</v>
      </c>
      <c r="BA76" s="7">
        <v>0</v>
      </c>
      <c r="BB76" s="7">
        <v>10</v>
      </c>
      <c r="BC76" s="7">
        <v>0</v>
      </c>
      <c r="BD76" s="7">
        <v>10</v>
      </c>
      <c r="BE76" s="7"/>
      <c r="BF76" s="7">
        <f t="shared" si="14"/>
        <v>32</v>
      </c>
      <c r="BG76" s="28" t="s">
        <v>2459</v>
      </c>
      <c r="BH76" s="7">
        <f t="shared" si="15"/>
        <v>0</v>
      </c>
      <c r="BI76" s="28" t="s">
        <v>2486</v>
      </c>
      <c r="BJ76" s="7"/>
      <c r="BK76" s="7"/>
      <c r="BL76" s="7">
        <f t="shared" si="16"/>
        <v>10001</v>
      </c>
      <c r="BM76" s="28" t="s">
        <v>2489</v>
      </c>
      <c r="BN76" s="7" t="e">
        <f t="shared" si="17"/>
        <v>#VALUE!</v>
      </c>
      <c r="BO76" s="28"/>
      <c r="BP76" s="7"/>
      <c r="BQ76" s="7">
        <v>4000</v>
      </c>
      <c r="BR76" s="7" t="s">
        <v>3903</v>
      </c>
      <c r="BS76" s="7">
        <f t="shared" si="18"/>
        <v>0</v>
      </c>
      <c r="BT76" s="28" t="s">
        <v>2641</v>
      </c>
      <c r="BU76" s="7">
        <f t="shared" si="19"/>
        <v>2</v>
      </c>
      <c r="BV76" s="28" t="s">
        <v>3940</v>
      </c>
      <c r="BW76" s="54" t="s">
        <v>3941</v>
      </c>
      <c r="BX76" s="54" t="s">
        <v>3941</v>
      </c>
      <c r="BY76" s="7" t="e">
        <f t="shared" si="20"/>
        <v>#VALUE!</v>
      </c>
      <c r="BZ76" s="28"/>
      <c r="CA76" s="7" t="e">
        <f t="shared" si="21"/>
        <v>#VALUE!</v>
      </c>
      <c r="CB76" s="28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</row>
    <row r="77" spans="1:92">
      <c r="A77" s="7">
        <v>65</v>
      </c>
      <c r="B77" s="7">
        <v>416188</v>
      </c>
      <c r="C77" s="7">
        <f t="shared" si="22"/>
        <v>1</v>
      </c>
      <c r="D77" s="28" t="s">
        <v>2257</v>
      </c>
      <c r="E77" s="7">
        <f t="shared" ref="E77:E112" si="26">LENB(F77)</f>
        <v>18</v>
      </c>
      <c r="F77" s="7" t="s">
        <v>3467</v>
      </c>
      <c r="G77" s="7">
        <f t="shared" ref="G77:G112" si="27">LENB(H77)</f>
        <v>37</v>
      </c>
      <c r="H77" s="7" t="s">
        <v>3563</v>
      </c>
      <c r="I77" s="7">
        <f t="shared" ref="I77:I112" si="28">LENB(J77)</f>
        <v>23</v>
      </c>
      <c r="J77" s="7" t="s">
        <v>3681</v>
      </c>
      <c r="K77" s="7">
        <f t="shared" ref="K77:K112" si="29">LENB(L77)</f>
        <v>18</v>
      </c>
      <c r="L77" s="7" t="s">
        <v>3467</v>
      </c>
      <c r="M77" s="7">
        <f t="shared" ref="M77:M112" si="30">LENB(N77)</f>
        <v>12</v>
      </c>
      <c r="N77" s="7" t="s">
        <v>3775</v>
      </c>
      <c r="O77" s="7">
        <v>1</v>
      </c>
      <c r="P77" s="7" t="s">
        <v>3855</v>
      </c>
      <c r="Q77" s="53"/>
      <c r="R77" s="7">
        <v>1</v>
      </c>
      <c r="S77" s="7">
        <v>1</v>
      </c>
      <c r="T77" s="53"/>
      <c r="U77" s="7">
        <v>1</v>
      </c>
      <c r="V77" s="7">
        <f t="shared" si="25"/>
        <v>14</v>
      </c>
      <c r="W77" s="28" t="s">
        <v>3900</v>
      </c>
      <c r="X77" s="7">
        <f t="shared" si="25"/>
        <v>14</v>
      </c>
      <c r="Y77" s="28" t="s">
        <v>3900</v>
      </c>
      <c r="Z77" s="7">
        <f t="shared" si="6"/>
        <v>1</v>
      </c>
      <c r="AA77" s="28" t="s">
        <v>3901</v>
      </c>
      <c r="AB77" s="7"/>
      <c r="AC77" s="7"/>
      <c r="AD77" s="7"/>
      <c r="AE77" s="7"/>
      <c r="AF77" s="7">
        <v>0</v>
      </c>
      <c r="AG77" s="7">
        <f t="shared" si="7"/>
        <v>0</v>
      </c>
      <c r="AH77" s="28" t="s">
        <v>2281</v>
      </c>
      <c r="AI77" s="7">
        <v>8</v>
      </c>
      <c r="AJ77" s="7">
        <f t="shared" si="8"/>
        <v>8</v>
      </c>
      <c r="AK77" s="28" t="s">
        <v>2291</v>
      </c>
      <c r="AL77" s="7">
        <f t="shared" si="9"/>
        <v>2</v>
      </c>
      <c r="AM77" s="28" t="s">
        <v>2295</v>
      </c>
      <c r="AN77" s="7">
        <f t="shared" si="10"/>
        <v>0</v>
      </c>
      <c r="AO77" s="28" t="s">
        <v>2297</v>
      </c>
      <c r="AP77" s="7">
        <f t="shared" si="11"/>
        <v>2</v>
      </c>
      <c r="AQ77" s="28" t="s">
        <v>2301</v>
      </c>
      <c r="AR77" s="7"/>
      <c r="AS77" s="7" t="s">
        <v>3902</v>
      </c>
      <c r="AT77" s="7"/>
      <c r="AU77" s="7"/>
      <c r="AV77" s="7">
        <f t="shared" si="12"/>
        <v>9300</v>
      </c>
      <c r="AW77" s="28" t="s">
        <v>3189</v>
      </c>
      <c r="AX77" s="7">
        <v>1</v>
      </c>
      <c r="AY77" s="7">
        <f t="shared" si="13"/>
        <v>1210</v>
      </c>
      <c r="AZ77" s="28" t="s">
        <v>2425</v>
      </c>
      <c r="BA77" s="7">
        <v>0</v>
      </c>
      <c r="BB77" s="7">
        <v>10</v>
      </c>
      <c r="BC77" s="7">
        <v>0</v>
      </c>
      <c r="BD77" s="7">
        <v>10</v>
      </c>
      <c r="BE77" s="7"/>
      <c r="BF77" s="7">
        <f t="shared" si="14"/>
        <v>32</v>
      </c>
      <c r="BG77" s="28" t="s">
        <v>2459</v>
      </c>
      <c r="BH77" s="7">
        <f t="shared" si="15"/>
        <v>0</v>
      </c>
      <c r="BI77" s="28" t="s">
        <v>2486</v>
      </c>
      <c r="BJ77" s="7"/>
      <c r="BK77" s="7"/>
      <c r="BL77" s="7">
        <f t="shared" si="16"/>
        <v>10001</v>
      </c>
      <c r="BM77" s="28" t="s">
        <v>2489</v>
      </c>
      <c r="BN77" s="7" t="e">
        <f t="shared" si="17"/>
        <v>#VALUE!</v>
      </c>
      <c r="BO77" s="28"/>
      <c r="BP77" s="7"/>
      <c r="BQ77" s="7">
        <v>4000</v>
      </c>
      <c r="BR77" s="7" t="s">
        <v>3903</v>
      </c>
      <c r="BS77" s="7">
        <f t="shared" si="18"/>
        <v>0</v>
      </c>
      <c r="BT77" s="28" t="s">
        <v>2641</v>
      </c>
      <c r="BU77" s="7">
        <f t="shared" si="19"/>
        <v>2</v>
      </c>
      <c r="BV77" s="28" t="s">
        <v>3940</v>
      </c>
      <c r="BW77" s="54" t="s">
        <v>3941</v>
      </c>
      <c r="BX77" s="54" t="s">
        <v>3941</v>
      </c>
      <c r="BY77" s="7" t="e">
        <f t="shared" si="20"/>
        <v>#VALUE!</v>
      </c>
      <c r="BZ77" s="28"/>
      <c r="CA77" s="7" t="e">
        <f t="shared" si="21"/>
        <v>#VALUE!</v>
      </c>
      <c r="CB77" s="28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</row>
    <row r="78" spans="1:92">
      <c r="A78" s="7">
        <v>66</v>
      </c>
      <c r="B78" s="7">
        <v>416189</v>
      </c>
      <c r="C78" s="7">
        <f t="shared" si="22"/>
        <v>1</v>
      </c>
      <c r="D78" s="28" t="s">
        <v>2257</v>
      </c>
      <c r="E78" s="7">
        <f t="shared" si="26"/>
        <v>18</v>
      </c>
      <c r="F78" s="7" t="s">
        <v>3467</v>
      </c>
      <c r="G78" s="7">
        <f t="shared" si="27"/>
        <v>37</v>
      </c>
      <c r="H78" s="7" t="s">
        <v>3564</v>
      </c>
      <c r="I78" s="7">
        <f t="shared" si="28"/>
        <v>23</v>
      </c>
      <c r="J78" s="7" t="s">
        <v>3682</v>
      </c>
      <c r="K78" s="7">
        <f t="shared" si="29"/>
        <v>18</v>
      </c>
      <c r="L78" s="7" t="s">
        <v>3467</v>
      </c>
      <c r="M78" s="7">
        <f t="shared" si="30"/>
        <v>12</v>
      </c>
      <c r="N78" s="7" t="s">
        <v>3775</v>
      </c>
      <c r="O78" s="7">
        <v>1</v>
      </c>
      <c r="P78" s="7" t="s">
        <v>3856</v>
      </c>
      <c r="Q78" s="53"/>
      <c r="R78" s="7">
        <v>1</v>
      </c>
      <c r="S78" s="7">
        <v>1</v>
      </c>
      <c r="T78" s="53"/>
      <c r="U78" s="7">
        <v>1</v>
      </c>
      <c r="V78" s="7">
        <f t="shared" ref="V78:X93" si="31">ABS(LEFT(W78,2))</f>
        <v>14</v>
      </c>
      <c r="W78" s="28" t="s">
        <v>3900</v>
      </c>
      <c r="X78" s="7">
        <f t="shared" si="31"/>
        <v>14</v>
      </c>
      <c r="Y78" s="28" t="s">
        <v>3900</v>
      </c>
      <c r="Z78" s="7">
        <f t="shared" ref="Z78:Z112" si="32">ABS(LEFT(AA78,1))</f>
        <v>1</v>
      </c>
      <c r="AA78" s="28" t="s">
        <v>3901</v>
      </c>
      <c r="AB78" s="7"/>
      <c r="AC78" s="7"/>
      <c r="AD78" s="7"/>
      <c r="AE78" s="7"/>
      <c r="AF78" s="7">
        <v>0</v>
      </c>
      <c r="AG78" s="7">
        <f t="shared" ref="AG78:AG112" si="33">ABS(LEFT(AH78,1))</f>
        <v>0</v>
      </c>
      <c r="AH78" s="28" t="s">
        <v>2281</v>
      </c>
      <c r="AI78" s="7">
        <v>8</v>
      </c>
      <c r="AJ78" s="7">
        <f t="shared" ref="AJ78:AJ112" si="34">ABS(LEFT(AK78,2))</f>
        <v>8</v>
      </c>
      <c r="AK78" s="28" t="s">
        <v>2291</v>
      </c>
      <c r="AL78" s="7">
        <f t="shared" ref="AL78:AL112" si="35">ABS(LEFT(AM78,1))</f>
        <v>2</v>
      </c>
      <c r="AM78" s="28" t="s">
        <v>2295</v>
      </c>
      <c r="AN78" s="7">
        <f t="shared" ref="AN78:AN112" si="36">ABS(LEFT(AO78,1))</f>
        <v>0</v>
      </c>
      <c r="AO78" s="28" t="s">
        <v>2297</v>
      </c>
      <c r="AP78" s="7">
        <f t="shared" ref="AP78:AP112" si="37">ABS(LEFT(AQ78,1))</f>
        <v>2</v>
      </c>
      <c r="AQ78" s="28" t="s">
        <v>2301</v>
      </c>
      <c r="AR78" s="7"/>
      <c r="AS78" s="7" t="s">
        <v>3902</v>
      </c>
      <c r="AT78" s="7"/>
      <c r="AU78" s="7"/>
      <c r="AV78" s="7">
        <f t="shared" ref="AV78:AV112" si="38">ABS(LEFT(AW78,10))</f>
        <v>9300</v>
      </c>
      <c r="AW78" s="28" t="s">
        <v>3189</v>
      </c>
      <c r="AX78" s="7">
        <v>1</v>
      </c>
      <c r="AY78" s="7">
        <f t="shared" ref="AY78:AY112" si="39">ABS(LEFT(AZ78,4))</f>
        <v>1210</v>
      </c>
      <c r="AZ78" s="28" t="s">
        <v>2425</v>
      </c>
      <c r="BA78" s="7">
        <v>0</v>
      </c>
      <c r="BB78" s="7">
        <v>10</v>
      </c>
      <c r="BC78" s="7">
        <v>0</v>
      </c>
      <c r="BD78" s="7">
        <v>10</v>
      </c>
      <c r="BE78" s="7"/>
      <c r="BF78" s="7">
        <f t="shared" ref="BF78:BF112" si="40">ABS(LEFT(BG78,3))</f>
        <v>32</v>
      </c>
      <c r="BG78" s="28" t="s">
        <v>2459</v>
      </c>
      <c r="BH78" s="7">
        <f t="shared" ref="BH78:BH112" si="41">ABS(LEFT(BI78,1))</f>
        <v>0</v>
      </c>
      <c r="BI78" s="28" t="s">
        <v>2486</v>
      </c>
      <c r="BJ78" s="7"/>
      <c r="BK78" s="7"/>
      <c r="BL78" s="7">
        <f t="shared" ref="BL78:BL112" si="42">ABS(LEFT(BM78,5))</f>
        <v>10001</v>
      </c>
      <c r="BM78" s="28" t="s">
        <v>2489</v>
      </c>
      <c r="BN78" s="7" t="e">
        <f t="shared" ref="BN78:BN112" si="43">ABS(LEFT(BO78,5))</f>
        <v>#VALUE!</v>
      </c>
      <c r="BO78" s="28"/>
      <c r="BP78" s="7"/>
      <c r="BQ78" s="7">
        <v>4000</v>
      </c>
      <c r="BR78" s="7" t="s">
        <v>3903</v>
      </c>
      <c r="BS78" s="7">
        <f t="shared" ref="BS78:BS112" si="44">ABS(LEFT(BT78,1))</f>
        <v>0</v>
      </c>
      <c r="BT78" s="28" t="s">
        <v>2641</v>
      </c>
      <c r="BU78" s="7">
        <f t="shared" ref="BU78:BU112" si="45">ABS(LEFT(BV78,1))</f>
        <v>2</v>
      </c>
      <c r="BV78" s="28" t="s">
        <v>3940</v>
      </c>
      <c r="BW78" s="54" t="s">
        <v>3941</v>
      </c>
      <c r="BX78" s="54" t="s">
        <v>3941</v>
      </c>
      <c r="BY78" s="7" t="e">
        <f t="shared" ref="BY78:BY112" si="46">ABS(LEFT(BZ78,1))</f>
        <v>#VALUE!</v>
      </c>
      <c r="BZ78" s="28"/>
      <c r="CA78" s="7" t="e">
        <f t="shared" ref="CA78:CA112" si="47">ABS(LEFT(CB78,1))</f>
        <v>#VALUE!</v>
      </c>
      <c r="CB78" s="28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</row>
    <row r="79" spans="1:92">
      <c r="A79" s="7">
        <v>67</v>
      </c>
      <c r="B79" s="7">
        <v>416190</v>
      </c>
      <c r="C79" s="7">
        <f t="shared" ref="C79:C112" si="48">ABS(LEFT(D79,1))</f>
        <v>1</v>
      </c>
      <c r="D79" s="28" t="s">
        <v>2257</v>
      </c>
      <c r="E79" s="7">
        <f t="shared" si="26"/>
        <v>39</v>
      </c>
      <c r="F79" s="7" t="s">
        <v>3468</v>
      </c>
      <c r="G79" s="7">
        <f t="shared" si="27"/>
        <v>50</v>
      </c>
      <c r="H79" s="7" t="s">
        <v>3609</v>
      </c>
      <c r="I79" s="7">
        <f t="shared" si="28"/>
        <v>37</v>
      </c>
      <c r="J79" s="7" t="s">
        <v>3683</v>
      </c>
      <c r="K79" s="7">
        <f t="shared" si="29"/>
        <v>20</v>
      </c>
      <c r="L79" s="7" t="s">
        <v>3920</v>
      </c>
      <c r="M79" s="7">
        <f t="shared" si="30"/>
        <v>20</v>
      </c>
      <c r="N79" s="7" t="s">
        <v>3920</v>
      </c>
      <c r="O79" s="7">
        <v>1</v>
      </c>
      <c r="P79" s="7" t="s">
        <v>3857</v>
      </c>
      <c r="Q79" s="53"/>
      <c r="R79" s="7">
        <v>1</v>
      </c>
      <c r="S79" s="7">
        <v>1</v>
      </c>
      <c r="T79" s="53"/>
      <c r="U79" s="7">
        <v>1</v>
      </c>
      <c r="V79" s="7">
        <f t="shared" si="31"/>
        <v>14</v>
      </c>
      <c r="W79" s="28" t="s">
        <v>3900</v>
      </c>
      <c r="X79" s="7">
        <f t="shared" si="31"/>
        <v>14</v>
      </c>
      <c r="Y79" s="28" t="s">
        <v>3900</v>
      </c>
      <c r="Z79" s="7">
        <f t="shared" si="32"/>
        <v>1</v>
      </c>
      <c r="AA79" s="28" t="s">
        <v>3901</v>
      </c>
      <c r="AB79" s="7"/>
      <c r="AC79" s="7"/>
      <c r="AD79" s="7"/>
      <c r="AE79" s="7"/>
      <c r="AF79" s="7">
        <v>0</v>
      </c>
      <c r="AG79" s="7">
        <f t="shared" si="33"/>
        <v>0</v>
      </c>
      <c r="AH79" s="28" t="s">
        <v>2281</v>
      </c>
      <c r="AI79" s="7">
        <v>8</v>
      </c>
      <c r="AJ79" s="7">
        <f t="shared" si="34"/>
        <v>8</v>
      </c>
      <c r="AK79" s="28" t="s">
        <v>2291</v>
      </c>
      <c r="AL79" s="7">
        <f t="shared" si="35"/>
        <v>2</v>
      </c>
      <c r="AM79" s="28" t="s">
        <v>2295</v>
      </c>
      <c r="AN79" s="7">
        <f t="shared" si="36"/>
        <v>0</v>
      </c>
      <c r="AO79" s="28" t="s">
        <v>2297</v>
      </c>
      <c r="AP79" s="7">
        <f t="shared" si="37"/>
        <v>2</v>
      </c>
      <c r="AQ79" s="28" t="s">
        <v>2301</v>
      </c>
      <c r="AR79" s="7"/>
      <c r="AS79" s="7" t="s">
        <v>3902</v>
      </c>
      <c r="AT79" s="7"/>
      <c r="AU79" s="7"/>
      <c r="AV79" s="7">
        <f t="shared" si="38"/>
        <v>9300</v>
      </c>
      <c r="AW79" s="28" t="s">
        <v>3189</v>
      </c>
      <c r="AX79" s="7">
        <v>1</v>
      </c>
      <c r="AY79" s="7">
        <f t="shared" si="39"/>
        <v>1210</v>
      </c>
      <c r="AZ79" s="28" t="s">
        <v>2425</v>
      </c>
      <c r="BA79" s="7">
        <v>0</v>
      </c>
      <c r="BB79" s="7">
        <v>10</v>
      </c>
      <c r="BC79" s="7">
        <v>0</v>
      </c>
      <c r="BD79" s="7">
        <v>10</v>
      </c>
      <c r="BE79" s="7"/>
      <c r="BF79" s="7">
        <f t="shared" si="40"/>
        <v>32</v>
      </c>
      <c r="BG79" s="28" t="s">
        <v>2459</v>
      </c>
      <c r="BH79" s="7">
        <f t="shared" si="41"/>
        <v>0</v>
      </c>
      <c r="BI79" s="28" t="s">
        <v>2486</v>
      </c>
      <c r="BJ79" s="7"/>
      <c r="BK79" s="7"/>
      <c r="BL79" s="7">
        <f t="shared" si="42"/>
        <v>10001</v>
      </c>
      <c r="BM79" s="28" t="s">
        <v>2489</v>
      </c>
      <c r="BN79" s="7" t="e">
        <f t="shared" si="43"/>
        <v>#VALUE!</v>
      </c>
      <c r="BO79" s="28"/>
      <c r="BP79" s="7"/>
      <c r="BQ79" s="7">
        <v>4000</v>
      </c>
      <c r="BR79" s="7" t="s">
        <v>3903</v>
      </c>
      <c r="BS79" s="7">
        <f t="shared" si="44"/>
        <v>0</v>
      </c>
      <c r="BT79" s="28" t="s">
        <v>2641</v>
      </c>
      <c r="BU79" s="7">
        <f t="shared" si="45"/>
        <v>2</v>
      </c>
      <c r="BV79" s="28" t="s">
        <v>3940</v>
      </c>
      <c r="BW79" s="54" t="s">
        <v>3941</v>
      </c>
      <c r="BX79" s="54" t="s">
        <v>3941</v>
      </c>
      <c r="BY79" s="7" t="e">
        <f t="shared" si="46"/>
        <v>#VALUE!</v>
      </c>
      <c r="BZ79" s="28"/>
      <c r="CA79" s="7" t="e">
        <f t="shared" si="47"/>
        <v>#VALUE!</v>
      </c>
      <c r="CB79" s="28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</row>
    <row r="80" spans="1:92">
      <c r="A80" s="7">
        <v>68</v>
      </c>
      <c r="B80" s="7">
        <v>416191</v>
      </c>
      <c r="C80" s="7">
        <f t="shared" si="48"/>
        <v>1</v>
      </c>
      <c r="D80" s="28" t="s">
        <v>2257</v>
      </c>
      <c r="E80" s="7">
        <f t="shared" si="26"/>
        <v>41</v>
      </c>
      <c r="F80" s="7" t="s">
        <v>3469</v>
      </c>
      <c r="G80" s="7">
        <f t="shared" si="27"/>
        <v>48</v>
      </c>
      <c r="H80" s="7" t="s">
        <v>3610</v>
      </c>
      <c r="I80" s="7">
        <f t="shared" si="28"/>
        <v>38</v>
      </c>
      <c r="J80" s="7" t="s">
        <v>3684</v>
      </c>
      <c r="K80" s="7">
        <f t="shared" si="29"/>
        <v>20</v>
      </c>
      <c r="L80" s="7" t="s">
        <v>3921</v>
      </c>
      <c r="M80" s="7">
        <f t="shared" si="30"/>
        <v>20</v>
      </c>
      <c r="N80" s="7" t="s">
        <v>3921</v>
      </c>
      <c r="O80" s="7">
        <v>1</v>
      </c>
      <c r="P80" s="7" t="s">
        <v>3858</v>
      </c>
      <c r="Q80" s="53"/>
      <c r="R80" s="7">
        <v>1</v>
      </c>
      <c r="S80" s="7">
        <v>1</v>
      </c>
      <c r="T80" s="53"/>
      <c r="U80" s="7">
        <v>1</v>
      </c>
      <c r="V80" s="7">
        <f t="shared" si="31"/>
        <v>14</v>
      </c>
      <c r="W80" s="28" t="s">
        <v>3900</v>
      </c>
      <c r="X80" s="7">
        <f t="shared" si="31"/>
        <v>14</v>
      </c>
      <c r="Y80" s="28" t="s">
        <v>3900</v>
      </c>
      <c r="Z80" s="7">
        <f t="shared" si="32"/>
        <v>1</v>
      </c>
      <c r="AA80" s="28" t="s">
        <v>3901</v>
      </c>
      <c r="AB80" s="7"/>
      <c r="AC80" s="7"/>
      <c r="AD80" s="7"/>
      <c r="AE80" s="7"/>
      <c r="AF80" s="7">
        <v>0</v>
      </c>
      <c r="AG80" s="7">
        <f t="shared" si="33"/>
        <v>0</v>
      </c>
      <c r="AH80" s="28" t="s">
        <v>2281</v>
      </c>
      <c r="AI80" s="7">
        <v>8</v>
      </c>
      <c r="AJ80" s="7">
        <f t="shared" si="34"/>
        <v>8</v>
      </c>
      <c r="AK80" s="28" t="s">
        <v>2291</v>
      </c>
      <c r="AL80" s="7">
        <f t="shared" si="35"/>
        <v>2</v>
      </c>
      <c r="AM80" s="28" t="s">
        <v>2295</v>
      </c>
      <c r="AN80" s="7">
        <f t="shared" si="36"/>
        <v>0</v>
      </c>
      <c r="AO80" s="28" t="s">
        <v>2297</v>
      </c>
      <c r="AP80" s="7">
        <f t="shared" si="37"/>
        <v>2</v>
      </c>
      <c r="AQ80" s="28" t="s">
        <v>2301</v>
      </c>
      <c r="AR80" s="7"/>
      <c r="AS80" s="7" t="s">
        <v>3902</v>
      </c>
      <c r="AT80" s="7"/>
      <c r="AU80" s="7"/>
      <c r="AV80" s="7">
        <f t="shared" si="38"/>
        <v>9300</v>
      </c>
      <c r="AW80" s="28" t="s">
        <v>3189</v>
      </c>
      <c r="AX80" s="7">
        <v>1</v>
      </c>
      <c r="AY80" s="7">
        <f t="shared" si="39"/>
        <v>1210</v>
      </c>
      <c r="AZ80" s="28" t="s">
        <v>2425</v>
      </c>
      <c r="BA80" s="7">
        <v>0</v>
      </c>
      <c r="BB80" s="7">
        <v>10</v>
      </c>
      <c r="BC80" s="7">
        <v>0</v>
      </c>
      <c r="BD80" s="7">
        <v>10</v>
      </c>
      <c r="BE80" s="7"/>
      <c r="BF80" s="7">
        <f t="shared" si="40"/>
        <v>32</v>
      </c>
      <c r="BG80" s="28" t="s">
        <v>2459</v>
      </c>
      <c r="BH80" s="7">
        <f t="shared" si="41"/>
        <v>0</v>
      </c>
      <c r="BI80" s="28" t="s">
        <v>2486</v>
      </c>
      <c r="BJ80" s="7"/>
      <c r="BK80" s="7"/>
      <c r="BL80" s="7">
        <f t="shared" si="42"/>
        <v>10001</v>
      </c>
      <c r="BM80" s="28" t="s">
        <v>2489</v>
      </c>
      <c r="BN80" s="7" t="e">
        <f t="shared" si="43"/>
        <v>#VALUE!</v>
      </c>
      <c r="BO80" s="28"/>
      <c r="BP80" s="7"/>
      <c r="BQ80" s="7">
        <v>4000</v>
      </c>
      <c r="BR80" s="7" t="s">
        <v>3903</v>
      </c>
      <c r="BS80" s="7">
        <f t="shared" si="44"/>
        <v>0</v>
      </c>
      <c r="BT80" s="28" t="s">
        <v>2641</v>
      </c>
      <c r="BU80" s="7">
        <f t="shared" si="45"/>
        <v>2</v>
      </c>
      <c r="BV80" s="28" t="s">
        <v>3940</v>
      </c>
      <c r="BW80" s="54" t="s">
        <v>3941</v>
      </c>
      <c r="BX80" s="54" t="s">
        <v>3941</v>
      </c>
      <c r="BY80" s="7" t="e">
        <f t="shared" si="46"/>
        <v>#VALUE!</v>
      </c>
      <c r="BZ80" s="28"/>
      <c r="CA80" s="7" t="e">
        <f t="shared" si="47"/>
        <v>#VALUE!</v>
      </c>
      <c r="CB80" s="28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</row>
    <row r="81" spans="1:92">
      <c r="A81" s="7">
        <v>69</v>
      </c>
      <c r="B81" s="7">
        <v>416192</v>
      </c>
      <c r="C81" s="7">
        <f t="shared" si="48"/>
        <v>1</v>
      </c>
      <c r="D81" s="28" t="s">
        <v>2257</v>
      </c>
      <c r="E81" s="7">
        <f t="shared" si="26"/>
        <v>18</v>
      </c>
      <c r="F81" s="7" t="s">
        <v>3470</v>
      </c>
      <c r="G81" s="7">
        <f t="shared" si="27"/>
        <v>37</v>
      </c>
      <c r="H81" s="7" t="s">
        <v>3565</v>
      </c>
      <c r="I81" s="7">
        <f t="shared" si="28"/>
        <v>26</v>
      </c>
      <c r="J81" s="7" t="s">
        <v>3685</v>
      </c>
      <c r="K81" s="7">
        <f t="shared" si="29"/>
        <v>18</v>
      </c>
      <c r="L81" s="7" t="s">
        <v>3470</v>
      </c>
      <c r="M81" s="7">
        <f t="shared" si="30"/>
        <v>15</v>
      </c>
      <c r="N81" s="7" t="s">
        <v>3776</v>
      </c>
      <c r="O81" s="7">
        <v>1</v>
      </c>
      <c r="P81" s="7" t="s">
        <v>3859</v>
      </c>
      <c r="Q81" s="53"/>
      <c r="R81" s="7">
        <v>1</v>
      </c>
      <c r="S81" s="7">
        <v>1</v>
      </c>
      <c r="T81" s="53"/>
      <c r="U81" s="7">
        <v>1</v>
      </c>
      <c r="V81" s="7">
        <f t="shared" si="31"/>
        <v>14</v>
      </c>
      <c r="W81" s="28" t="s">
        <v>3900</v>
      </c>
      <c r="X81" s="7">
        <f t="shared" si="31"/>
        <v>14</v>
      </c>
      <c r="Y81" s="28" t="s">
        <v>3900</v>
      </c>
      <c r="Z81" s="7">
        <f t="shared" si="32"/>
        <v>1</v>
      </c>
      <c r="AA81" s="28" t="s">
        <v>3901</v>
      </c>
      <c r="AB81" s="7"/>
      <c r="AC81" s="7"/>
      <c r="AD81" s="7"/>
      <c r="AE81" s="7"/>
      <c r="AF81" s="7">
        <v>0</v>
      </c>
      <c r="AG81" s="7">
        <f t="shared" si="33"/>
        <v>0</v>
      </c>
      <c r="AH81" s="28" t="s">
        <v>2281</v>
      </c>
      <c r="AI81" s="7">
        <v>8</v>
      </c>
      <c r="AJ81" s="7">
        <f t="shared" si="34"/>
        <v>8</v>
      </c>
      <c r="AK81" s="28" t="s">
        <v>2291</v>
      </c>
      <c r="AL81" s="7">
        <f t="shared" si="35"/>
        <v>2</v>
      </c>
      <c r="AM81" s="28" t="s">
        <v>2295</v>
      </c>
      <c r="AN81" s="7">
        <f t="shared" si="36"/>
        <v>0</v>
      </c>
      <c r="AO81" s="28" t="s">
        <v>2297</v>
      </c>
      <c r="AP81" s="7">
        <f t="shared" si="37"/>
        <v>2</v>
      </c>
      <c r="AQ81" s="28" t="s">
        <v>2301</v>
      </c>
      <c r="AR81" s="7"/>
      <c r="AS81" s="7" t="s">
        <v>3902</v>
      </c>
      <c r="AT81" s="7"/>
      <c r="AU81" s="7"/>
      <c r="AV81" s="7">
        <f t="shared" si="38"/>
        <v>9300</v>
      </c>
      <c r="AW81" s="28" t="s">
        <v>3189</v>
      </c>
      <c r="AX81" s="7">
        <v>1</v>
      </c>
      <c r="AY81" s="7">
        <f t="shared" si="39"/>
        <v>1210</v>
      </c>
      <c r="AZ81" s="28" t="s">
        <v>2425</v>
      </c>
      <c r="BA81" s="7">
        <v>0</v>
      </c>
      <c r="BB81" s="7">
        <v>10</v>
      </c>
      <c r="BC81" s="7">
        <v>0</v>
      </c>
      <c r="BD81" s="7">
        <v>10</v>
      </c>
      <c r="BE81" s="7"/>
      <c r="BF81" s="7">
        <f t="shared" si="40"/>
        <v>32</v>
      </c>
      <c r="BG81" s="28" t="s">
        <v>2459</v>
      </c>
      <c r="BH81" s="7">
        <f t="shared" si="41"/>
        <v>0</v>
      </c>
      <c r="BI81" s="28" t="s">
        <v>2486</v>
      </c>
      <c r="BJ81" s="7"/>
      <c r="BK81" s="7"/>
      <c r="BL81" s="7">
        <f t="shared" si="42"/>
        <v>10001</v>
      </c>
      <c r="BM81" s="28" t="s">
        <v>2489</v>
      </c>
      <c r="BN81" s="7" t="e">
        <f t="shared" si="43"/>
        <v>#VALUE!</v>
      </c>
      <c r="BO81" s="28"/>
      <c r="BP81" s="7"/>
      <c r="BQ81" s="7">
        <v>4000</v>
      </c>
      <c r="BR81" s="7" t="s">
        <v>3903</v>
      </c>
      <c r="BS81" s="7">
        <f t="shared" si="44"/>
        <v>0</v>
      </c>
      <c r="BT81" s="28" t="s">
        <v>2641</v>
      </c>
      <c r="BU81" s="7">
        <f t="shared" si="45"/>
        <v>2</v>
      </c>
      <c r="BV81" s="28" t="s">
        <v>3940</v>
      </c>
      <c r="BW81" s="54" t="s">
        <v>3941</v>
      </c>
      <c r="BX81" s="54" t="s">
        <v>3941</v>
      </c>
      <c r="BY81" s="7" t="e">
        <f t="shared" si="46"/>
        <v>#VALUE!</v>
      </c>
      <c r="BZ81" s="28"/>
      <c r="CA81" s="7" t="e">
        <f t="shared" si="47"/>
        <v>#VALUE!</v>
      </c>
      <c r="CB81" s="28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</row>
    <row r="82" spans="1:92">
      <c r="A82" s="7">
        <v>70</v>
      </c>
      <c r="B82" s="7">
        <v>416193</v>
      </c>
      <c r="C82" s="7">
        <f t="shared" si="48"/>
        <v>1</v>
      </c>
      <c r="D82" s="28" t="s">
        <v>2257</v>
      </c>
      <c r="E82" s="7">
        <f t="shared" si="26"/>
        <v>22</v>
      </c>
      <c r="F82" s="7" t="s">
        <v>3471</v>
      </c>
      <c r="G82" s="7">
        <f t="shared" si="27"/>
        <v>41</v>
      </c>
      <c r="H82" s="7" t="s">
        <v>3566</v>
      </c>
      <c r="I82" s="7">
        <f t="shared" si="28"/>
        <v>27</v>
      </c>
      <c r="J82" s="7" t="s">
        <v>3686</v>
      </c>
      <c r="K82" s="7">
        <f t="shared" si="29"/>
        <v>16</v>
      </c>
      <c r="L82" s="7" t="s">
        <v>3777</v>
      </c>
      <c r="M82" s="7">
        <f t="shared" si="30"/>
        <v>16</v>
      </c>
      <c r="N82" s="7" t="s">
        <v>3777</v>
      </c>
      <c r="O82" s="7">
        <v>1</v>
      </c>
      <c r="P82" s="7" t="s">
        <v>3860</v>
      </c>
      <c r="Q82" s="53"/>
      <c r="R82" s="7">
        <v>1</v>
      </c>
      <c r="S82" s="7">
        <v>1</v>
      </c>
      <c r="T82" s="53"/>
      <c r="U82" s="7">
        <v>1</v>
      </c>
      <c r="V82" s="7">
        <f t="shared" si="31"/>
        <v>14</v>
      </c>
      <c r="W82" s="28" t="s">
        <v>3900</v>
      </c>
      <c r="X82" s="7">
        <f t="shared" si="31"/>
        <v>14</v>
      </c>
      <c r="Y82" s="28" t="s">
        <v>3900</v>
      </c>
      <c r="Z82" s="7">
        <f t="shared" si="32"/>
        <v>1</v>
      </c>
      <c r="AA82" s="28" t="s">
        <v>3901</v>
      </c>
      <c r="AB82" s="7"/>
      <c r="AC82" s="7"/>
      <c r="AD82" s="7"/>
      <c r="AE82" s="7"/>
      <c r="AF82" s="7">
        <v>0</v>
      </c>
      <c r="AG82" s="7">
        <f t="shared" si="33"/>
        <v>0</v>
      </c>
      <c r="AH82" s="28" t="s">
        <v>2281</v>
      </c>
      <c r="AI82" s="7">
        <v>8</v>
      </c>
      <c r="AJ82" s="7">
        <f t="shared" si="34"/>
        <v>8</v>
      </c>
      <c r="AK82" s="28" t="s">
        <v>2291</v>
      </c>
      <c r="AL82" s="7">
        <f t="shared" si="35"/>
        <v>2</v>
      </c>
      <c r="AM82" s="28" t="s">
        <v>2295</v>
      </c>
      <c r="AN82" s="7">
        <f t="shared" si="36"/>
        <v>0</v>
      </c>
      <c r="AO82" s="28" t="s">
        <v>2297</v>
      </c>
      <c r="AP82" s="7">
        <f t="shared" si="37"/>
        <v>2</v>
      </c>
      <c r="AQ82" s="28" t="s">
        <v>2301</v>
      </c>
      <c r="AR82" s="7"/>
      <c r="AS82" s="7" t="s">
        <v>3902</v>
      </c>
      <c r="AT82" s="7"/>
      <c r="AU82" s="7"/>
      <c r="AV82" s="7">
        <f t="shared" si="38"/>
        <v>9300</v>
      </c>
      <c r="AW82" s="28" t="s">
        <v>3189</v>
      </c>
      <c r="AX82" s="7">
        <v>1</v>
      </c>
      <c r="AY82" s="7">
        <f t="shared" si="39"/>
        <v>1210</v>
      </c>
      <c r="AZ82" s="28" t="s">
        <v>2425</v>
      </c>
      <c r="BA82" s="7">
        <v>0</v>
      </c>
      <c r="BB82" s="7">
        <v>10</v>
      </c>
      <c r="BC82" s="7">
        <v>0</v>
      </c>
      <c r="BD82" s="7">
        <v>10</v>
      </c>
      <c r="BE82" s="7"/>
      <c r="BF82" s="7">
        <f t="shared" si="40"/>
        <v>32</v>
      </c>
      <c r="BG82" s="28" t="s">
        <v>2459</v>
      </c>
      <c r="BH82" s="7">
        <f t="shared" si="41"/>
        <v>0</v>
      </c>
      <c r="BI82" s="28" t="s">
        <v>2486</v>
      </c>
      <c r="BJ82" s="7"/>
      <c r="BK82" s="7"/>
      <c r="BL82" s="7">
        <f t="shared" si="42"/>
        <v>10001</v>
      </c>
      <c r="BM82" s="28" t="s">
        <v>2489</v>
      </c>
      <c r="BN82" s="7" t="e">
        <f t="shared" si="43"/>
        <v>#VALUE!</v>
      </c>
      <c r="BO82" s="28"/>
      <c r="BP82" s="7"/>
      <c r="BQ82" s="7">
        <v>4000</v>
      </c>
      <c r="BR82" s="7" t="s">
        <v>3903</v>
      </c>
      <c r="BS82" s="7">
        <f t="shared" si="44"/>
        <v>0</v>
      </c>
      <c r="BT82" s="28" t="s">
        <v>2641</v>
      </c>
      <c r="BU82" s="7">
        <f t="shared" si="45"/>
        <v>2</v>
      </c>
      <c r="BV82" s="28" t="s">
        <v>3940</v>
      </c>
      <c r="BW82" s="54" t="s">
        <v>3941</v>
      </c>
      <c r="BX82" s="54" t="s">
        <v>3941</v>
      </c>
      <c r="BY82" s="7" t="e">
        <f t="shared" si="46"/>
        <v>#VALUE!</v>
      </c>
      <c r="BZ82" s="28"/>
      <c r="CA82" s="7" t="e">
        <f t="shared" si="47"/>
        <v>#VALUE!</v>
      </c>
      <c r="CB82" s="28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</row>
    <row r="83" spans="1:92">
      <c r="A83" s="7">
        <v>71</v>
      </c>
      <c r="B83" s="7">
        <v>416194</v>
      </c>
      <c r="C83" s="7">
        <f t="shared" si="48"/>
        <v>1</v>
      </c>
      <c r="D83" s="28" t="s">
        <v>2257</v>
      </c>
      <c r="E83" s="7">
        <f t="shared" si="26"/>
        <v>30</v>
      </c>
      <c r="F83" s="7" t="s">
        <v>3472</v>
      </c>
      <c r="G83" s="7">
        <f t="shared" si="27"/>
        <v>48</v>
      </c>
      <c r="H83" s="7" t="s">
        <v>3567</v>
      </c>
      <c r="I83" s="7">
        <f t="shared" si="28"/>
        <v>35</v>
      </c>
      <c r="J83" s="7" t="s">
        <v>3687</v>
      </c>
      <c r="K83" s="7">
        <f t="shared" si="29"/>
        <v>20</v>
      </c>
      <c r="L83" s="7" t="s">
        <v>3922</v>
      </c>
      <c r="M83" s="7">
        <f t="shared" si="30"/>
        <v>20</v>
      </c>
      <c r="N83" s="7" t="s">
        <v>3922</v>
      </c>
      <c r="O83" s="7">
        <v>1</v>
      </c>
      <c r="P83" s="7" t="s">
        <v>3861</v>
      </c>
      <c r="Q83" s="53"/>
      <c r="R83" s="7">
        <v>1</v>
      </c>
      <c r="S83" s="7">
        <v>1</v>
      </c>
      <c r="T83" s="53"/>
      <c r="U83" s="7">
        <v>1</v>
      </c>
      <c r="V83" s="7">
        <f t="shared" si="31"/>
        <v>14</v>
      </c>
      <c r="W83" s="28" t="s">
        <v>3900</v>
      </c>
      <c r="X83" s="7">
        <f t="shared" si="31"/>
        <v>14</v>
      </c>
      <c r="Y83" s="28" t="s">
        <v>3900</v>
      </c>
      <c r="Z83" s="7">
        <f t="shared" si="32"/>
        <v>1</v>
      </c>
      <c r="AA83" s="28" t="s">
        <v>3901</v>
      </c>
      <c r="AB83" s="7"/>
      <c r="AC83" s="7"/>
      <c r="AD83" s="7"/>
      <c r="AE83" s="7"/>
      <c r="AF83" s="7">
        <v>0</v>
      </c>
      <c r="AG83" s="7">
        <f t="shared" si="33"/>
        <v>0</v>
      </c>
      <c r="AH83" s="28" t="s">
        <v>2281</v>
      </c>
      <c r="AI83" s="7">
        <v>8</v>
      </c>
      <c r="AJ83" s="7">
        <f t="shared" si="34"/>
        <v>8</v>
      </c>
      <c r="AK83" s="28" t="s">
        <v>2291</v>
      </c>
      <c r="AL83" s="7">
        <f t="shared" si="35"/>
        <v>2</v>
      </c>
      <c r="AM83" s="28" t="s">
        <v>2295</v>
      </c>
      <c r="AN83" s="7">
        <f t="shared" si="36"/>
        <v>0</v>
      </c>
      <c r="AO83" s="28" t="s">
        <v>2297</v>
      </c>
      <c r="AP83" s="7">
        <f t="shared" si="37"/>
        <v>2</v>
      </c>
      <c r="AQ83" s="28" t="s">
        <v>2301</v>
      </c>
      <c r="AR83" s="7"/>
      <c r="AS83" s="7" t="s">
        <v>3902</v>
      </c>
      <c r="AT83" s="7"/>
      <c r="AU83" s="7"/>
      <c r="AV83" s="7">
        <f t="shared" si="38"/>
        <v>9300</v>
      </c>
      <c r="AW83" s="28" t="s">
        <v>3189</v>
      </c>
      <c r="AX83" s="7">
        <v>1</v>
      </c>
      <c r="AY83" s="7">
        <f t="shared" si="39"/>
        <v>1210</v>
      </c>
      <c r="AZ83" s="28" t="s">
        <v>2425</v>
      </c>
      <c r="BA83" s="7">
        <v>0</v>
      </c>
      <c r="BB83" s="7">
        <v>10</v>
      </c>
      <c r="BC83" s="7">
        <v>0</v>
      </c>
      <c r="BD83" s="7">
        <v>10</v>
      </c>
      <c r="BE83" s="7"/>
      <c r="BF83" s="7">
        <f t="shared" si="40"/>
        <v>32</v>
      </c>
      <c r="BG83" s="28" t="s">
        <v>2459</v>
      </c>
      <c r="BH83" s="7">
        <f t="shared" si="41"/>
        <v>0</v>
      </c>
      <c r="BI83" s="28" t="s">
        <v>2486</v>
      </c>
      <c r="BJ83" s="7"/>
      <c r="BK83" s="7"/>
      <c r="BL83" s="7">
        <f t="shared" si="42"/>
        <v>10001</v>
      </c>
      <c r="BM83" s="28" t="s">
        <v>2489</v>
      </c>
      <c r="BN83" s="7" t="e">
        <f t="shared" si="43"/>
        <v>#VALUE!</v>
      </c>
      <c r="BO83" s="28"/>
      <c r="BP83" s="7"/>
      <c r="BQ83" s="7">
        <v>4000</v>
      </c>
      <c r="BR83" s="7" t="s">
        <v>3903</v>
      </c>
      <c r="BS83" s="7">
        <f t="shared" si="44"/>
        <v>0</v>
      </c>
      <c r="BT83" s="28" t="s">
        <v>2641</v>
      </c>
      <c r="BU83" s="7">
        <f t="shared" si="45"/>
        <v>2</v>
      </c>
      <c r="BV83" s="28" t="s">
        <v>3940</v>
      </c>
      <c r="BW83" s="54" t="s">
        <v>3941</v>
      </c>
      <c r="BX83" s="54" t="s">
        <v>3941</v>
      </c>
      <c r="BY83" s="7" t="e">
        <f t="shared" si="46"/>
        <v>#VALUE!</v>
      </c>
      <c r="BZ83" s="28"/>
      <c r="CA83" s="7" t="e">
        <f t="shared" si="47"/>
        <v>#VALUE!</v>
      </c>
      <c r="CB83" s="28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7">
        <v>72</v>
      </c>
      <c r="B84" s="7">
        <v>416195</v>
      </c>
      <c r="C84" s="7">
        <f t="shared" si="48"/>
        <v>1</v>
      </c>
      <c r="D84" s="28" t="s">
        <v>2257</v>
      </c>
      <c r="E84" s="7">
        <f t="shared" si="26"/>
        <v>32</v>
      </c>
      <c r="F84" s="7" t="s">
        <v>3473</v>
      </c>
      <c r="G84" s="7">
        <f t="shared" si="27"/>
        <v>51</v>
      </c>
      <c r="H84" s="7" t="s">
        <v>3568</v>
      </c>
      <c r="I84" s="7">
        <f t="shared" si="28"/>
        <v>35</v>
      </c>
      <c r="J84" s="7" t="s">
        <v>3688</v>
      </c>
      <c r="K84" s="7">
        <f t="shared" si="29"/>
        <v>20</v>
      </c>
      <c r="L84" s="7" t="s">
        <v>3923</v>
      </c>
      <c r="M84" s="7">
        <f t="shared" si="30"/>
        <v>20</v>
      </c>
      <c r="N84" s="7" t="s">
        <v>3923</v>
      </c>
      <c r="O84" s="7">
        <v>1</v>
      </c>
      <c r="P84" s="7" t="s">
        <v>3862</v>
      </c>
      <c r="Q84" s="53"/>
      <c r="R84" s="7">
        <v>1</v>
      </c>
      <c r="S84" s="7">
        <v>1</v>
      </c>
      <c r="T84" s="53"/>
      <c r="U84" s="7">
        <v>1</v>
      </c>
      <c r="V84" s="7">
        <f t="shared" si="31"/>
        <v>14</v>
      </c>
      <c r="W84" s="28" t="s">
        <v>3900</v>
      </c>
      <c r="X84" s="7">
        <f t="shared" si="31"/>
        <v>14</v>
      </c>
      <c r="Y84" s="28" t="s">
        <v>3900</v>
      </c>
      <c r="Z84" s="7">
        <f t="shared" si="32"/>
        <v>1</v>
      </c>
      <c r="AA84" s="28" t="s">
        <v>3901</v>
      </c>
      <c r="AB84" s="7"/>
      <c r="AC84" s="7"/>
      <c r="AD84" s="7"/>
      <c r="AE84" s="7"/>
      <c r="AF84" s="7">
        <v>0</v>
      </c>
      <c r="AG84" s="7">
        <f t="shared" si="33"/>
        <v>0</v>
      </c>
      <c r="AH84" s="28" t="s">
        <v>2281</v>
      </c>
      <c r="AI84" s="7">
        <v>8</v>
      </c>
      <c r="AJ84" s="7">
        <f t="shared" si="34"/>
        <v>8</v>
      </c>
      <c r="AK84" s="28" t="s">
        <v>2291</v>
      </c>
      <c r="AL84" s="7">
        <f t="shared" si="35"/>
        <v>2</v>
      </c>
      <c r="AM84" s="28" t="s">
        <v>2295</v>
      </c>
      <c r="AN84" s="7">
        <f t="shared" si="36"/>
        <v>0</v>
      </c>
      <c r="AO84" s="28" t="s">
        <v>2297</v>
      </c>
      <c r="AP84" s="7">
        <f t="shared" si="37"/>
        <v>2</v>
      </c>
      <c r="AQ84" s="28" t="s">
        <v>2301</v>
      </c>
      <c r="AR84" s="7"/>
      <c r="AS84" s="7" t="s">
        <v>3902</v>
      </c>
      <c r="AT84" s="7"/>
      <c r="AU84" s="7"/>
      <c r="AV84" s="7">
        <f t="shared" si="38"/>
        <v>9300</v>
      </c>
      <c r="AW84" s="28" t="s">
        <v>3189</v>
      </c>
      <c r="AX84" s="7">
        <v>1</v>
      </c>
      <c r="AY84" s="7">
        <f t="shared" si="39"/>
        <v>1210</v>
      </c>
      <c r="AZ84" s="28" t="s">
        <v>2425</v>
      </c>
      <c r="BA84" s="7">
        <v>0</v>
      </c>
      <c r="BB84" s="7">
        <v>10</v>
      </c>
      <c r="BC84" s="7">
        <v>0</v>
      </c>
      <c r="BD84" s="7">
        <v>10</v>
      </c>
      <c r="BE84" s="7"/>
      <c r="BF84" s="7">
        <f t="shared" si="40"/>
        <v>32</v>
      </c>
      <c r="BG84" s="28" t="s">
        <v>2459</v>
      </c>
      <c r="BH84" s="7">
        <f t="shared" si="41"/>
        <v>0</v>
      </c>
      <c r="BI84" s="28" t="s">
        <v>2486</v>
      </c>
      <c r="BJ84" s="7"/>
      <c r="BK84" s="7"/>
      <c r="BL84" s="7">
        <f t="shared" si="42"/>
        <v>10001</v>
      </c>
      <c r="BM84" s="28" t="s">
        <v>2489</v>
      </c>
      <c r="BN84" s="7" t="e">
        <f t="shared" si="43"/>
        <v>#VALUE!</v>
      </c>
      <c r="BO84" s="28"/>
      <c r="BP84" s="7"/>
      <c r="BQ84" s="7">
        <v>4000</v>
      </c>
      <c r="BR84" s="7" t="s">
        <v>3903</v>
      </c>
      <c r="BS84" s="7">
        <f t="shared" si="44"/>
        <v>0</v>
      </c>
      <c r="BT84" s="28" t="s">
        <v>2641</v>
      </c>
      <c r="BU84" s="7">
        <f t="shared" si="45"/>
        <v>2</v>
      </c>
      <c r="BV84" s="28" t="s">
        <v>3940</v>
      </c>
      <c r="BW84" s="54" t="s">
        <v>3941</v>
      </c>
      <c r="BX84" s="54" t="s">
        <v>3941</v>
      </c>
      <c r="BY84" s="7" t="e">
        <f t="shared" si="46"/>
        <v>#VALUE!</v>
      </c>
      <c r="BZ84" s="28"/>
      <c r="CA84" s="7" t="e">
        <f t="shared" si="47"/>
        <v>#VALUE!</v>
      </c>
      <c r="CB84" s="28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</row>
    <row r="85" spans="1:92">
      <c r="A85" s="7">
        <v>73</v>
      </c>
      <c r="B85" s="7">
        <v>416196</v>
      </c>
      <c r="C85" s="7">
        <f t="shared" si="48"/>
        <v>1</v>
      </c>
      <c r="D85" s="28" t="s">
        <v>2257</v>
      </c>
      <c r="E85" s="7">
        <f t="shared" si="26"/>
        <v>32</v>
      </c>
      <c r="F85" s="7" t="s">
        <v>3473</v>
      </c>
      <c r="G85" s="7">
        <f t="shared" si="27"/>
        <v>51</v>
      </c>
      <c r="H85" s="7" t="s">
        <v>3569</v>
      </c>
      <c r="I85" s="7">
        <f t="shared" si="28"/>
        <v>35</v>
      </c>
      <c r="J85" s="7" t="s">
        <v>3689</v>
      </c>
      <c r="K85" s="7">
        <f t="shared" si="29"/>
        <v>20</v>
      </c>
      <c r="L85" s="7" t="s">
        <v>3924</v>
      </c>
      <c r="M85" s="7">
        <f t="shared" si="30"/>
        <v>20</v>
      </c>
      <c r="N85" s="7" t="s">
        <v>3924</v>
      </c>
      <c r="O85" s="7">
        <v>1</v>
      </c>
      <c r="P85" s="7" t="s">
        <v>3863</v>
      </c>
      <c r="Q85" s="53"/>
      <c r="R85" s="7">
        <v>1</v>
      </c>
      <c r="S85" s="7">
        <v>1</v>
      </c>
      <c r="T85" s="53"/>
      <c r="U85" s="7">
        <v>1</v>
      </c>
      <c r="V85" s="7">
        <f t="shared" si="31"/>
        <v>14</v>
      </c>
      <c r="W85" s="28" t="s">
        <v>3900</v>
      </c>
      <c r="X85" s="7">
        <f t="shared" si="31"/>
        <v>14</v>
      </c>
      <c r="Y85" s="28" t="s">
        <v>3900</v>
      </c>
      <c r="Z85" s="7">
        <f t="shared" si="32"/>
        <v>1</v>
      </c>
      <c r="AA85" s="28" t="s">
        <v>3901</v>
      </c>
      <c r="AB85" s="7"/>
      <c r="AC85" s="7"/>
      <c r="AD85" s="7"/>
      <c r="AE85" s="7"/>
      <c r="AF85" s="7">
        <v>0</v>
      </c>
      <c r="AG85" s="7">
        <f t="shared" si="33"/>
        <v>0</v>
      </c>
      <c r="AH85" s="28" t="s">
        <v>2281</v>
      </c>
      <c r="AI85" s="7">
        <v>8</v>
      </c>
      <c r="AJ85" s="7">
        <f t="shared" si="34"/>
        <v>8</v>
      </c>
      <c r="AK85" s="28" t="s">
        <v>2291</v>
      </c>
      <c r="AL85" s="7">
        <f t="shared" si="35"/>
        <v>2</v>
      </c>
      <c r="AM85" s="28" t="s">
        <v>2295</v>
      </c>
      <c r="AN85" s="7">
        <f t="shared" si="36"/>
        <v>0</v>
      </c>
      <c r="AO85" s="28" t="s">
        <v>2297</v>
      </c>
      <c r="AP85" s="7">
        <f t="shared" si="37"/>
        <v>2</v>
      </c>
      <c r="AQ85" s="28" t="s">
        <v>2301</v>
      </c>
      <c r="AR85" s="7"/>
      <c r="AS85" s="7" t="s">
        <v>3902</v>
      </c>
      <c r="AT85" s="7"/>
      <c r="AU85" s="7"/>
      <c r="AV85" s="7">
        <f t="shared" si="38"/>
        <v>9300</v>
      </c>
      <c r="AW85" s="28" t="s">
        <v>3189</v>
      </c>
      <c r="AX85" s="7">
        <v>1</v>
      </c>
      <c r="AY85" s="7">
        <f t="shared" si="39"/>
        <v>1210</v>
      </c>
      <c r="AZ85" s="28" t="s">
        <v>2425</v>
      </c>
      <c r="BA85" s="7">
        <v>0</v>
      </c>
      <c r="BB85" s="7">
        <v>10</v>
      </c>
      <c r="BC85" s="7">
        <v>0</v>
      </c>
      <c r="BD85" s="7">
        <v>10</v>
      </c>
      <c r="BE85" s="7"/>
      <c r="BF85" s="7">
        <f t="shared" si="40"/>
        <v>32</v>
      </c>
      <c r="BG85" s="28" t="s">
        <v>2459</v>
      </c>
      <c r="BH85" s="7">
        <f t="shared" si="41"/>
        <v>0</v>
      </c>
      <c r="BI85" s="28" t="s">
        <v>2486</v>
      </c>
      <c r="BJ85" s="7"/>
      <c r="BK85" s="7"/>
      <c r="BL85" s="7">
        <f t="shared" si="42"/>
        <v>10001</v>
      </c>
      <c r="BM85" s="28" t="s">
        <v>2489</v>
      </c>
      <c r="BN85" s="7" t="e">
        <f t="shared" si="43"/>
        <v>#VALUE!</v>
      </c>
      <c r="BO85" s="28"/>
      <c r="BP85" s="7"/>
      <c r="BQ85" s="7">
        <v>4000</v>
      </c>
      <c r="BR85" s="7" t="s">
        <v>3903</v>
      </c>
      <c r="BS85" s="7">
        <f t="shared" si="44"/>
        <v>0</v>
      </c>
      <c r="BT85" s="28" t="s">
        <v>2641</v>
      </c>
      <c r="BU85" s="7">
        <f t="shared" si="45"/>
        <v>2</v>
      </c>
      <c r="BV85" s="28" t="s">
        <v>3940</v>
      </c>
      <c r="BW85" s="54" t="s">
        <v>3941</v>
      </c>
      <c r="BX85" s="54" t="s">
        <v>3941</v>
      </c>
      <c r="BY85" s="7" t="e">
        <f t="shared" si="46"/>
        <v>#VALUE!</v>
      </c>
      <c r="BZ85" s="28"/>
      <c r="CA85" s="7" t="e">
        <f t="shared" si="47"/>
        <v>#VALUE!</v>
      </c>
      <c r="CB85" s="28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</row>
    <row r="86" spans="1:92">
      <c r="A86" s="7">
        <v>74</v>
      </c>
      <c r="B86" s="7">
        <v>416197</v>
      </c>
      <c r="C86" s="7">
        <f t="shared" si="48"/>
        <v>1</v>
      </c>
      <c r="D86" s="28" t="s">
        <v>2257</v>
      </c>
      <c r="E86" s="7">
        <f t="shared" si="26"/>
        <v>16</v>
      </c>
      <c r="F86" s="7" t="s">
        <v>3474</v>
      </c>
      <c r="G86" s="7">
        <f t="shared" si="27"/>
        <v>34</v>
      </c>
      <c r="H86" s="7" t="s">
        <v>3570</v>
      </c>
      <c r="I86" s="7">
        <f t="shared" si="28"/>
        <v>19</v>
      </c>
      <c r="J86" s="7" t="s">
        <v>3690</v>
      </c>
      <c r="K86" s="7">
        <f t="shared" si="29"/>
        <v>16</v>
      </c>
      <c r="L86" s="7" t="s">
        <v>3474</v>
      </c>
      <c r="M86" s="7">
        <f t="shared" si="30"/>
        <v>9</v>
      </c>
      <c r="N86" s="7" t="s">
        <v>3778</v>
      </c>
      <c r="O86" s="7">
        <v>1</v>
      </c>
      <c r="P86" s="7" t="s">
        <v>3864</v>
      </c>
      <c r="Q86" s="53"/>
      <c r="R86" s="7">
        <v>1</v>
      </c>
      <c r="S86" s="7">
        <v>1</v>
      </c>
      <c r="T86" s="53"/>
      <c r="U86" s="7">
        <v>1</v>
      </c>
      <c r="V86" s="7">
        <f t="shared" si="31"/>
        <v>14</v>
      </c>
      <c r="W86" s="28" t="s">
        <v>3900</v>
      </c>
      <c r="X86" s="7">
        <f t="shared" si="31"/>
        <v>14</v>
      </c>
      <c r="Y86" s="28" t="s">
        <v>3900</v>
      </c>
      <c r="Z86" s="7">
        <f t="shared" si="32"/>
        <v>1</v>
      </c>
      <c r="AA86" s="28" t="s">
        <v>3901</v>
      </c>
      <c r="AB86" s="7"/>
      <c r="AC86" s="7"/>
      <c r="AD86" s="7"/>
      <c r="AE86" s="7"/>
      <c r="AF86" s="7">
        <v>0</v>
      </c>
      <c r="AG86" s="7">
        <f t="shared" si="33"/>
        <v>0</v>
      </c>
      <c r="AH86" s="28" t="s">
        <v>2281</v>
      </c>
      <c r="AI86" s="7">
        <v>8</v>
      </c>
      <c r="AJ86" s="7">
        <f t="shared" si="34"/>
        <v>8</v>
      </c>
      <c r="AK86" s="28" t="s">
        <v>2291</v>
      </c>
      <c r="AL86" s="7">
        <f t="shared" si="35"/>
        <v>2</v>
      </c>
      <c r="AM86" s="28" t="s">
        <v>2295</v>
      </c>
      <c r="AN86" s="7">
        <f t="shared" si="36"/>
        <v>0</v>
      </c>
      <c r="AO86" s="28" t="s">
        <v>2297</v>
      </c>
      <c r="AP86" s="7">
        <f t="shared" si="37"/>
        <v>2</v>
      </c>
      <c r="AQ86" s="28" t="s">
        <v>2301</v>
      </c>
      <c r="AR86" s="7"/>
      <c r="AS86" s="7" t="s">
        <v>3902</v>
      </c>
      <c r="AT86" s="7"/>
      <c r="AU86" s="7"/>
      <c r="AV86" s="7">
        <f t="shared" si="38"/>
        <v>9300</v>
      </c>
      <c r="AW86" s="28" t="s">
        <v>3189</v>
      </c>
      <c r="AX86" s="7">
        <v>1</v>
      </c>
      <c r="AY86" s="7">
        <f t="shared" si="39"/>
        <v>1210</v>
      </c>
      <c r="AZ86" s="28" t="s">
        <v>2425</v>
      </c>
      <c r="BA86" s="7">
        <v>0</v>
      </c>
      <c r="BB86" s="7">
        <v>10</v>
      </c>
      <c r="BC86" s="7">
        <v>0</v>
      </c>
      <c r="BD86" s="7">
        <v>10</v>
      </c>
      <c r="BE86" s="7"/>
      <c r="BF86" s="7">
        <f t="shared" si="40"/>
        <v>32</v>
      </c>
      <c r="BG86" s="28" t="s">
        <v>2459</v>
      </c>
      <c r="BH86" s="7">
        <f t="shared" si="41"/>
        <v>0</v>
      </c>
      <c r="BI86" s="28" t="s">
        <v>2486</v>
      </c>
      <c r="BJ86" s="7"/>
      <c r="BK86" s="7"/>
      <c r="BL86" s="7">
        <f t="shared" si="42"/>
        <v>10001</v>
      </c>
      <c r="BM86" s="28" t="s">
        <v>2489</v>
      </c>
      <c r="BN86" s="7" t="e">
        <f t="shared" si="43"/>
        <v>#VALUE!</v>
      </c>
      <c r="BO86" s="28"/>
      <c r="BP86" s="7"/>
      <c r="BQ86" s="7">
        <v>4000</v>
      </c>
      <c r="BR86" s="7" t="s">
        <v>3903</v>
      </c>
      <c r="BS86" s="7">
        <f t="shared" si="44"/>
        <v>0</v>
      </c>
      <c r="BT86" s="28" t="s">
        <v>2641</v>
      </c>
      <c r="BU86" s="7">
        <f t="shared" si="45"/>
        <v>2</v>
      </c>
      <c r="BV86" s="28" t="s">
        <v>3940</v>
      </c>
      <c r="BW86" s="54" t="s">
        <v>3941</v>
      </c>
      <c r="BX86" s="54" t="s">
        <v>3941</v>
      </c>
      <c r="BY86" s="7" t="e">
        <f t="shared" si="46"/>
        <v>#VALUE!</v>
      </c>
      <c r="BZ86" s="28"/>
      <c r="CA86" s="7" t="e">
        <f t="shared" si="47"/>
        <v>#VALUE!</v>
      </c>
      <c r="CB86" s="28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</row>
    <row r="87" spans="1:92">
      <c r="A87" s="7">
        <v>75</v>
      </c>
      <c r="B87" s="7">
        <v>416198</v>
      </c>
      <c r="C87" s="7">
        <f t="shared" si="48"/>
        <v>1</v>
      </c>
      <c r="D87" s="28" t="s">
        <v>2257</v>
      </c>
      <c r="E87" s="7">
        <f t="shared" si="26"/>
        <v>20</v>
      </c>
      <c r="F87" s="7" t="s">
        <v>3475</v>
      </c>
      <c r="G87" s="7">
        <f t="shared" si="27"/>
        <v>40</v>
      </c>
      <c r="H87" s="7" t="s">
        <v>3571</v>
      </c>
      <c r="I87" s="7">
        <f t="shared" si="28"/>
        <v>29</v>
      </c>
      <c r="J87" s="7" t="s">
        <v>3691</v>
      </c>
      <c r="K87" s="7">
        <f t="shared" si="29"/>
        <v>20</v>
      </c>
      <c r="L87" s="7" t="s">
        <v>3475</v>
      </c>
      <c r="M87" s="7">
        <f t="shared" si="30"/>
        <v>17</v>
      </c>
      <c r="N87" s="7" t="s">
        <v>3779</v>
      </c>
      <c r="O87" s="7">
        <v>1</v>
      </c>
      <c r="P87" s="7" t="s">
        <v>3865</v>
      </c>
      <c r="Q87" s="53"/>
      <c r="R87" s="7">
        <v>1</v>
      </c>
      <c r="S87" s="7">
        <v>1</v>
      </c>
      <c r="T87" s="53"/>
      <c r="U87" s="7">
        <v>1</v>
      </c>
      <c r="V87" s="7">
        <f t="shared" si="31"/>
        <v>14</v>
      </c>
      <c r="W87" s="28" t="s">
        <v>3900</v>
      </c>
      <c r="X87" s="7">
        <f t="shared" si="31"/>
        <v>14</v>
      </c>
      <c r="Y87" s="28" t="s">
        <v>3900</v>
      </c>
      <c r="Z87" s="7">
        <f t="shared" si="32"/>
        <v>1</v>
      </c>
      <c r="AA87" s="28" t="s">
        <v>3901</v>
      </c>
      <c r="AB87" s="7"/>
      <c r="AC87" s="7"/>
      <c r="AD87" s="7"/>
      <c r="AE87" s="7"/>
      <c r="AF87" s="7">
        <v>0</v>
      </c>
      <c r="AG87" s="7">
        <f t="shared" si="33"/>
        <v>0</v>
      </c>
      <c r="AH87" s="28" t="s">
        <v>2281</v>
      </c>
      <c r="AI87" s="7">
        <v>8</v>
      </c>
      <c r="AJ87" s="7">
        <f t="shared" si="34"/>
        <v>8</v>
      </c>
      <c r="AK87" s="28" t="s">
        <v>2291</v>
      </c>
      <c r="AL87" s="7">
        <f t="shared" si="35"/>
        <v>2</v>
      </c>
      <c r="AM87" s="28" t="s">
        <v>2295</v>
      </c>
      <c r="AN87" s="7">
        <f t="shared" si="36"/>
        <v>0</v>
      </c>
      <c r="AO87" s="28" t="s">
        <v>2297</v>
      </c>
      <c r="AP87" s="7">
        <f t="shared" si="37"/>
        <v>2</v>
      </c>
      <c r="AQ87" s="28" t="s">
        <v>2301</v>
      </c>
      <c r="AR87" s="7"/>
      <c r="AS87" s="7" t="s">
        <v>3902</v>
      </c>
      <c r="AT87" s="7"/>
      <c r="AU87" s="7"/>
      <c r="AV87" s="7">
        <f t="shared" si="38"/>
        <v>9300</v>
      </c>
      <c r="AW87" s="28" t="s">
        <v>3189</v>
      </c>
      <c r="AX87" s="7">
        <v>1</v>
      </c>
      <c r="AY87" s="7">
        <f t="shared" si="39"/>
        <v>1210</v>
      </c>
      <c r="AZ87" s="28" t="s">
        <v>2425</v>
      </c>
      <c r="BA87" s="7">
        <v>0</v>
      </c>
      <c r="BB87" s="7">
        <v>10</v>
      </c>
      <c r="BC87" s="7">
        <v>0</v>
      </c>
      <c r="BD87" s="7">
        <v>10</v>
      </c>
      <c r="BE87" s="7"/>
      <c r="BF87" s="7">
        <f t="shared" si="40"/>
        <v>32</v>
      </c>
      <c r="BG87" s="28" t="s">
        <v>2459</v>
      </c>
      <c r="BH87" s="7">
        <f t="shared" si="41"/>
        <v>0</v>
      </c>
      <c r="BI87" s="28" t="s">
        <v>2486</v>
      </c>
      <c r="BJ87" s="7"/>
      <c r="BK87" s="7"/>
      <c r="BL87" s="7">
        <f t="shared" si="42"/>
        <v>10001</v>
      </c>
      <c r="BM87" s="28" t="s">
        <v>2489</v>
      </c>
      <c r="BN87" s="7" t="e">
        <f t="shared" si="43"/>
        <v>#VALUE!</v>
      </c>
      <c r="BO87" s="28"/>
      <c r="BP87" s="7"/>
      <c r="BQ87" s="7">
        <v>4000</v>
      </c>
      <c r="BR87" s="7" t="s">
        <v>3903</v>
      </c>
      <c r="BS87" s="7">
        <f t="shared" si="44"/>
        <v>0</v>
      </c>
      <c r="BT87" s="28" t="s">
        <v>2641</v>
      </c>
      <c r="BU87" s="7">
        <f t="shared" si="45"/>
        <v>2</v>
      </c>
      <c r="BV87" s="28" t="s">
        <v>3940</v>
      </c>
      <c r="BW87" s="54" t="s">
        <v>3941</v>
      </c>
      <c r="BX87" s="54" t="s">
        <v>3941</v>
      </c>
      <c r="BY87" s="7" t="e">
        <f t="shared" si="46"/>
        <v>#VALUE!</v>
      </c>
      <c r="BZ87" s="28"/>
      <c r="CA87" s="7" t="e">
        <f t="shared" si="47"/>
        <v>#VALUE!</v>
      </c>
      <c r="CB87" s="28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</row>
    <row r="88" spans="1:92">
      <c r="A88" s="7">
        <v>76</v>
      </c>
      <c r="B88" s="7">
        <v>416199</v>
      </c>
      <c r="C88" s="7">
        <f t="shared" si="48"/>
        <v>1</v>
      </c>
      <c r="D88" s="28" t="s">
        <v>2257</v>
      </c>
      <c r="E88" s="7">
        <f t="shared" si="26"/>
        <v>8</v>
      </c>
      <c r="F88" s="7" t="s">
        <v>3476</v>
      </c>
      <c r="G88" s="7">
        <f t="shared" si="27"/>
        <v>27</v>
      </c>
      <c r="H88" s="7" t="s">
        <v>3572</v>
      </c>
      <c r="I88" s="7">
        <f t="shared" si="28"/>
        <v>18</v>
      </c>
      <c r="J88" s="7" t="s">
        <v>3692</v>
      </c>
      <c r="K88" s="7">
        <f t="shared" si="29"/>
        <v>8</v>
      </c>
      <c r="L88" s="7" t="s">
        <v>3476</v>
      </c>
      <c r="M88" s="7">
        <f t="shared" si="30"/>
        <v>7</v>
      </c>
      <c r="N88" s="7" t="s">
        <v>3780</v>
      </c>
      <c r="O88" s="7">
        <v>1</v>
      </c>
      <c r="P88" s="7">
        <v>630003</v>
      </c>
      <c r="Q88" s="53"/>
      <c r="R88" s="7">
        <v>1</v>
      </c>
      <c r="S88" s="7">
        <v>1</v>
      </c>
      <c r="T88" s="53"/>
      <c r="U88" s="7">
        <v>1</v>
      </c>
      <c r="V88" s="7">
        <f t="shared" si="31"/>
        <v>14</v>
      </c>
      <c r="W88" s="28" t="s">
        <v>3900</v>
      </c>
      <c r="X88" s="7">
        <f t="shared" si="31"/>
        <v>14</v>
      </c>
      <c r="Y88" s="28" t="s">
        <v>3900</v>
      </c>
      <c r="Z88" s="7">
        <f t="shared" si="32"/>
        <v>1</v>
      </c>
      <c r="AA88" s="28" t="s">
        <v>3901</v>
      </c>
      <c r="AB88" s="7"/>
      <c r="AC88" s="7"/>
      <c r="AD88" s="7"/>
      <c r="AE88" s="7"/>
      <c r="AF88" s="7">
        <v>0</v>
      </c>
      <c r="AG88" s="7">
        <f t="shared" si="33"/>
        <v>0</v>
      </c>
      <c r="AH88" s="28" t="s">
        <v>2281</v>
      </c>
      <c r="AI88" s="7">
        <v>8</v>
      </c>
      <c r="AJ88" s="7">
        <f t="shared" si="34"/>
        <v>8</v>
      </c>
      <c r="AK88" s="28" t="s">
        <v>2291</v>
      </c>
      <c r="AL88" s="7">
        <f t="shared" si="35"/>
        <v>2</v>
      </c>
      <c r="AM88" s="28" t="s">
        <v>2295</v>
      </c>
      <c r="AN88" s="7">
        <f t="shared" si="36"/>
        <v>0</v>
      </c>
      <c r="AO88" s="28" t="s">
        <v>2297</v>
      </c>
      <c r="AP88" s="7">
        <f t="shared" si="37"/>
        <v>2</v>
      </c>
      <c r="AQ88" s="28" t="s">
        <v>2301</v>
      </c>
      <c r="AR88" s="7"/>
      <c r="AS88" s="7" t="s">
        <v>3902</v>
      </c>
      <c r="AT88" s="7"/>
      <c r="AU88" s="7"/>
      <c r="AV88" s="7">
        <f t="shared" si="38"/>
        <v>9300</v>
      </c>
      <c r="AW88" s="28" t="s">
        <v>3189</v>
      </c>
      <c r="AX88" s="7">
        <v>1</v>
      </c>
      <c r="AY88" s="7">
        <f t="shared" si="39"/>
        <v>1210</v>
      </c>
      <c r="AZ88" s="28" t="s">
        <v>2425</v>
      </c>
      <c r="BA88" s="7">
        <v>0</v>
      </c>
      <c r="BB88" s="7">
        <v>10</v>
      </c>
      <c r="BC88" s="7">
        <v>0</v>
      </c>
      <c r="BD88" s="7">
        <v>10</v>
      </c>
      <c r="BE88" s="7"/>
      <c r="BF88" s="7">
        <f t="shared" si="40"/>
        <v>32</v>
      </c>
      <c r="BG88" s="28" t="s">
        <v>2459</v>
      </c>
      <c r="BH88" s="7">
        <f t="shared" si="41"/>
        <v>0</v>
      </c>
      <c r="BI88" s="28" t="s">
        <v>2486</v>
      </c>
      <c r="BJ88" s="7"/>
      <c r="BK88" s="7"/>
      <c r="BL88" s="7">
        <f t="shared" si="42"/>
        <v>10001</v>
      </c>
      <c r="BM88" s="28" t="s">
        <v>2489</v>
      </c>
      <c r="BN88" s="7" t="e">
        <f t="shared" si="43"/>
        <v>#VALUE!</v>
      </c>
      <c r="BO88" s="28"/>
      <c r="BP88" s="7"/>
      <c r="BQ88" s="7">
        <v>4000</v>
      </c>
      <c r="BR88" s="7" t="s">
        <v>3903</v>
      </c>
      <c r="BS88" s="7">
        <f t="shared" si="44"/>
        <v>0</v>
      </c>
      <c r="BT88" s="28" t="s">
        <v>2641</v>
      </c>
      <c r="BU88" s="7">
        <f t="shared" si="45"/>
        <v>2</v>
      </c>
      <c r="BV88" s="28" t="s">
        <v>3940</v>
      </c>
      <c r="BW88" s="54" t="s">
        <v>3941</v>
      </c>
      <c r="BX88" s="54" t="s">
        <v>3941</v>
      </c>
      <c r="BY88" s="7" t="e">
        <f t="shared" si="46"/>
        <v>#VALUE!</v>
      </c>
      <c r="BZ88" s="28"/>
      <c r="CA88" s="7" t="e">
        <f t="shared" si="47"/>
        <v>#VALUE!</v>
      </c>
      <c r="CB88" s="28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</row>
    <row r="89" spans="1:92">
      <c r="A89" s="7">
        <v>77</v>
      </c>
      <c r="B89" s="7">
        <v>416200</v>
      </c>
      <c r="C89" s="7">
        <f t="shared" si="48"/>
        <v>1</v>
      </c>
      <c r="D89" s="28" t="s">
        <v>2257</v>
      </c>
      <c r="E89" s="7">
        <f t="shared" si="26"/>
        <v>20</v>
      </c>
      <c r="F89" s="6" t="s">
        <v>3477</v>
      </c>
      <c r="G89" s="7">
        <f t="shared" si="27"/>
        <v>44</v>
      </c>
      <c r="H89" s="7" t="s">
        <v>3573</v>
      </c>
      <c r="I89" s="7">
        <f t="shared" si="28"/>
        <v>35</v>
      </c>
      <c r="J89" s="7" t="s">
        <v>3693</v>
      </c>
      <c r="K89" s="7">
        <f t="shared" si="29"/>
        <v>20</v>
      </c>
      <c r="L89" s="7" t="s">
        <v>3477</v>
      </c>
      <c r="M89" s="7">
        <f t="shared" si="30"/>
        <v>19</v>
      </c>
      <c r="N89" s="7" t="s">
        <v>3781</v>
      </c>
      <c r="O89" s="7">
        <v>1</v>
      </c>
      <c r="P89" s="7" t="s">
        <v>3866</v>
      </c>
      <c r="Q89" s="53"/>
      <c r="R89" s="7">
        <v>1</v>
      </c>
      <c r="S89" s="7">
        <v>1</v>
      </c>
      <c r="T89" s="53"/>
      <c r="U89" s="7">
        <v>1</v>
      </c>
      <c r="V89" s="7">
        <f t="shared" si="31"/>
        <v>14</v>
      </c>
      <c r="W89" s="28" t="s">
        <v>3900</v>
      </c>
      <c r="X89" s="7">
        <f t="shared" si="31"/>
        <v>14</v>
      </c>
      <c r="Y89" s="28" t="s">
        <v>3900</v>
      </c>
      <c r="Z89" s="7">
        <f t="shared" si="32"/>
        <v>1</v>
      </c>
      <c r="AA89" s="28" t="s">
        <v>3901</v>
      </c>
      <c r="AB89" s="7"/>
      <c r="AC89" s="7"/>
      <c r="AD89" s="7"/>
      <c r="AE89" s="7"/>
      <c r="AF89" s="7">
        <v>0</v>
      </c>
      <c r="AG89" s="7">
        <f t="shared" si="33"/>
        <v>0</v>
      </c>
      <c r="AH89" s="28" t="s">
        <v>2281</v>
      </c>
      <c r="AI89" s="7">
        <v>8</v>
      </c>
      <c r="AJ89" s="7">
        <f t="shared" si="34"/>
        <v>8</v>
      </c>
      <c r="AK89" s="28" t="s">
        <v>2291</v>
      </c>
      <c r="AL89" s="7">
        <f t="shared" si="35"/>
        <v>2</v>
      </c>
      <c r="AM89" s="28" t="s">
        <v>2295</v>
      </c>
      <c r="AN89" s="7">
        <f t="shared" si="36"/>
        <v>0</v>
      </c>
      <c r="AO89" s="28" t="s">
        <v>2297</v>
      </c>
      <c r="AP89" s="7">
        <f t="shared" si="37"/>
        <v>2</v>
      </c>
      <c r="AQ89" s="28" t="s">
        <v>2301</v>
      </c>
      <c r="AR89" s="7"/>
      <c r="AS89" s="7" t="s">
        <v>3902</v>
      </c>
      <c r="AT89" s="7"/>
      <c r="AU89" s="7"/>
      <c r="AV89" s="7">
        <f t="shared" si="38"/>
        <v>9300</v>
      </c>
      <c r="AW89" s="28" t="s">
        <v>3189</v>
      </c>
      <c r="AX89" s="7">
        <v>1</v>
      </c>
      <c r="AY89" s="7">
        <f t="shared" si="39"/>
        <v>1210</v>
      </c>
      <c r="AZ89" s="28" t="s">
        <v>2425</v>
      </c>
      <c r="BA89" s="7">
        <v>0</v>
      </c>
      <c r="BB89" s="7">
        <v>10</v>
      </c>
      <c r="BC89" s="7">
        <v>0</v>
      </c>
      <c r="BD89" s="7">
        <v>10</v>
      </c>
      <c r="BE89" s="7"/>
      <c r="BF89" s="7">
        <f t="shared" si="40"/>
        <v>32</v>
      </c>
      <c r="BG89" s="28" t="s">
        <v>2459</v>
      </c>
      <c r="BH89" s="7">
        <f t="shared" si="41"/>
        <v>0</v>
      </c>
      <c r="BI89" s="28" t="s">
        <v>2486</v>
      </c>
      <c r="BJ89" s="7"/>
      <c r="BK89" s="7"/>
      <c r="BL89" s="7">
        <f t="shared" si="42"/>
        <v>10001</v>
      </c>
      <c r="BM89" s="28" t="s">
        <v>2489</v>
      </c>
      <c r="BN89" s="7" t="e">
        <f t="shared" si="43"/>
        <v>#VALUE!</v>
      </c>
      <c r="BO89" s="28"/>
      <c r="BP89" s="7"/>
      <c r="BQ89" s="7">
        <v>4000</v>
      </c>
      <c r="BR89" s="7" t="s">
        <v>3903</v>
      </c>
      <c r="BS89" s="7">
        <f t="shared" si="44"/>
        <v>0</v>
      </c>
      <c r="BT89" s="28" t="s">
        <v>2641</v>
      </c>
      <c r="BU89" s="7">
        <f t="shared" si="45"/>
        <v>2</v>
      </c>
      <c r="BV89" s="28" t="s">
        <v>3940</v>
      </c>
      <c r="BW89" s="54" t="s">
        <v>3941</v>
      </c>
      <c r="BX89" s="54" t="s">
        <v>3941</v>
      </c>
      <c r="BY89" s="7" t="e">
        <f t="shared" si="46"/>
        <v>#VALUE!</v>
      </c>
      <c r="BZ89" s="28"/>
      <c r="CA89" s="7" t="e">
        <f t="shared" si="47"/>
        <v>#VALUE!</v>
      </c>
      <c r="CB89" s="28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</row>
    <row r="90" spans="1:92">
      <c r="A90" s="7">
        <v>78</v>
      </c>
      <c r="B90" s="7">
        <v>416201</v>
      </c>
      <c r="C90" s="7">
        <f t="shared" si="48"/>
        <v>1</v>
      </c>
      <c r="D90" s="28" t="s">
        <v>2257</v>
      </c>
      <c r="E90" s="7">
        <f t="shared" si="26"/>
        <v>21</v>
      </c>
      <c r="F90" s="6" t="s">
        <v>3478</v>
      </c>
      <c r="G90" s="7">
        <f t="shared" si="27"/>
        <v>37</v>
      </c>
      <c r="H90" s="7" t="s">
        <v>3574</v>
      </c>
      <c r="I90" s="7">
        <f t="shared" si="28"/>
        <v>25</v>
      </c>
      <c r="J90" s="7" t="s">
        <v>3694</v>
      </c>
      <c r="K90" s="7">
        <f t="shared" si="29"/>
        <v>17</v>
      </c>
      <c r="L90" s="7" t="s">
        <v>3782</v>
      </c>
      <c r="M90" s="7">
        <f t="shared" si="30"/>
        <v>17</v>
      </c>
      <c r="N90" s="7" t="s">
        <v>3782</v>
      </c>
      <c r="O90" s="7">
        <v>1</v>
      </c>
      <c r="P90" s="7" t="s">
        <v>3867</v>
      </c>
      <c r="Q90" s="53"/>
      <c r="R90" s="7">
        <v>1</v>
      </c>
      <c r="S90" s="7">
        <v>1</v>
      </c>
      <c r="T90" s="53"/>
      <c r="U90" s="7">
        <v>1</v>
      </c>
      <c r="V90" s="7">
        <f t="shared" si="31"/>
        <v>14</v>
      </c>
      <c r="W90" s="28" t="s">
        <v>3900</v>
      </c>
      <c r="X90" s="7">
        <f t="shared" si="31"/>
        <v>14</v>
      </c>
      <c r="Y90" s="28" t="s">
        <v>3900</v>
      </c>
      <c r="Z90" s="7">
        <f t="shared" si="32"/>
        <v>1</v>
      </c>
      <c r="AA90" s="28" t="s">
        <v>3901</v>
      </c>
      <c r="AB90" s="7"/>
      <c r="AC90" s="7"/>
      <c r="AD90" s="7"/>
      <c r="AE90" s="7"/>
      <c r="AF90" s="7">
        <v>0</v>
      </c>
      <c r="AG90" s="7">
        <f t="shared" si="33"/>
        <v>0</v>
      </c>
      <c r="AH90" s="28" t="s">
        <v>2281</v>
      </c>
      <c r="AI90" s="7">
        <v>8</v>
      </c>
      <c r="AJ90" s="7">
        <f t="shared" si="34"/>
        <v>8</v>
      </c>
      <c r="AK90" s="28" t="s">
        <v>2291</v>
      </c>
      <c r="AL90" s="7">
        <f t="shared" si="35"/>
        <v>2</v>
      </c>
      <c r="AM90" s="28" t="s">
        <v>2295</v>
      </c>
      <c r="AN90" s="7">
        <f t="shared" si="36"/>
        <v>0</v>
      </c>
      <c r="AO90" s="28" t="s">
        <v>2297</v>
      </c>
      <c r="AP90" s="7">
        <f t="shared" si="37"/>
        <v>2</v>
      </c>
      <c r="AQ90" s="28" t="s">
        <v>2301</v>
      </c>
      <c r="AR90" s="7"/>
      <c r="AS90" s="7" t="s">
        <v>3902</v>
      </c>
      <c r="AT90" s="7"/>
      <c r="AU90" s="7"/>
      <c r="AV90" s="7">
        <f t="shared" si="38"/>
        <v>9300</v>
      </c>
      <c r="AW90" s="28" t="s">
        <v>3189</v>
      </c>
      <c r="AX90" s="7">
        <v>1</v>
      </c>
      <c r="AY90" s="7">
        <f t="shared" si="39"/>
        <v>1210</v>
      </c>
      <c r="AZ90" s="28" t="s">
        <v>2425</v>
      </c>
      <c r="BA90" s="7">
        <v>0</v>
      </c>
      <c r="BB90" s="7">
        <v>10</v>
      </c>
      <c r="BC90" s="7">
        <v>0</v>
      </c>
      <c r="BD90" s="7">
        <v>10</v>
      </c>
      <c r="BE90" s="7"/>
      <c r="BF90" s="7">
        <f t="shared" si="40"/>
        <v>32</v>
      </c>
      <c r="BG90" s="28" t="s">
        <v>2459</v>
      </c>
      <c r="BH90" s="7">
        <f t="shared" si="41"/>
        <v>0</v>
      </c>
      <c r="BI90" s="28" t="s">
        <v>2486</v>
      </c>
      <c r="BJ90" s="7"/>
      <c r="BK90" s="7"/>
      <c r="BL90" s="7">
        <f t="shared" si="42"/>
        <v>10001</v>
      </c>
      <c r="BM90" s="28" t="s">
        <v>2489</v>
      </c>
      <c r="BN90" s="7" t="e">
        <f t="shared" si="43"/>
        <v>#VALUE!</v>
      </c>
      <c r="BO90" s="28"/>
      <c r="BP90" s="7"/>
      <c r="BQ90" s="7">
        <v>4000</v>
      </c>
      <c r="BR90" s="7" t="s">
        <v>3903</v>
      </c>
      <c r="BS90" s="7">
        <f t="shared" si="44"/>
        <v>0</v>
      </c>
      <c r="BT90" s="28" t="s">
        <v>2641</v>
      </c>
      <c r="BU90" s="7">
        <f t="shared" si="45"/>
        <v>2</v>
      </c>
      <c r="BV90" s="28" t="s">
        <v>3940</v>
      </c>
      <c r="BW90" s="54" t="s">
        <v>3941</v>
      </c>
      <c r="BX90" s="54" t="s">
        <v>3941</v>
      </c>
      <c r="BY90" s="7" t="e">
        <f t="shared" si="46"/>
        <v>#VALUE!</v>
      </c>
      <c r="BZ90" s="28"/>
      <c r="CA90" s="7" t="e">
        <f t="shared" si="47"/>
        <v>#VALUE!</v>
      </c>
      <c r="CB90" s="28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7">
        <v>79</v>
      </c>
      <c r="B91" s="7">
        <v>416202</v>
      </c>
      <c r="C91" s="7">
        <f t="shared" si="48"/>
        <v>1</v>
      </c>
      <c r="D91" s="28" t="s">
        <v>2257</v>
      </c>
      <c r="E91" s="7">
        <f t="shared" si="26"/>
        <v>14</v>
      </c>
      <c r="F91" s="6" t="s">
        <v>3479</v>
      </c>
      <c r="G91" s="7">
        <f t="shared" si="27"/>
        <v>34</v>
      </c>
      <c r="H91" s="7" t="s">
        <v>3575</v>
      </c>
      <c r="I91" s="7">
        <f t="shared" si="28"/>
        <v>23</v>
      </c>
      <c r="J91" s="7" t="s">
        <v>3695</v>
      </c>
      <c r="K91" s="7">
        <f t="shared" si="29"/>
        <v>14</v>
      </c>
      <c r="L91" s="7" t="s">
        <v>3479</v>
      </c>
      <c r="M91" s="7">
        <f t="shared" si="30"/>
        <v>11</v>
      </c>
      <c r="N91" s="7" t="s">
        <v>3783</v>
      </c>
      <c r="O91" s="7">
        <v>1</v>
      </c>
      <c r="P91" s="7" t="s">
        <v>3868</v>
      </c>
      <c r="Q91" s="53"/>
      <c r="R91" s="7">
        <v>1</v>
      </c>
      <c r="S91" s="7">
        <v>1</v>
      </c>
      <c r="T91" s="53"/>
      <c r="U91" s="7">
        <v>1</v>
      </c>
      <c r="V91" s="7">
        <f t="shared" si="31"/>
        <v>14</v>
      </c>
      <c r="W91" s="28" t="s">
        <v>3900</v>
      </c>
      <c r="X91" s="7">
        <f t="shared" si="31"/>
        <v>14</v>
      </c>
      <c r="Y91" s="28" t="s">
        <v>3900</v>
      </c>
      <c r="Z91" s="7">
        <f t="shared" si="32"/>
        <v>1</v>
      </c>
      <c r="AA91" s="28" t="s">
        <v>3901</v>
      </c>
      <c r="AB91" s="7"/>
      <c r="AC91" s="7"/>
      <c r="AD91" s="7"/>
      <c r="AE91" s="7"/>
      <c r="AF91" s="7">
        <v>0</v>
      </c>
      <c r="AG91" s="7">
        <f t="shared" si="33"/>
        <v>0</v>
      </c>
      <c r="AH91" s="28" t="s">
        <v>2281</v>
      </c>
      <c r="AI91" s="7">
        <v>8</v>
      </c>
      <c r="AJ91" s="7">
        <f t="shared" si="34"/>
        <v>8</v>
      </c>
      <c r="AK91" s="28" t="s">
        <v>2291</v>
      </c>
      <c r="AL91" s="7">
        <f t="shared" si="35"/>
        <v>2</v>
      </c>
      <c r="AM91" s="28" t="s">
        <v>2295</v>
      </c>
      <c r="AN91" s="7">
        <f t="shared" si="36"/>
        <v>0</v>
      </c>
      <c r="AO91" s="28" t="s">
        <v>2297</v>
      </c>
      <c r="AP91" s="7">
        <f t="shared" si="37"/>
        <v>2</v>
      </c>
      <c r="AQ91" s="28" t="s">
        <v>2301</v>
      </c>
      <c r="AR91" s="7"/>
      <c r="AS91" s="7" t="s">
        <v>3902</v>
      </c>
      <c r="AT91" s="7"/>
      <c r="AU91" s="7"/>
      <c r="AV91" s="7">
        <f t="shared" si="38"/>
        <v>9300</v>
      </c>
      <c r="AW91" s="28" t="s">
        <v>3189</v>
      </c>
      <c r="AX91" s="7">
        <v>1</v>
      </c>
      <c r="AY91" s="7">
        <f t="shared" si="39"/>
        <v>1210</v>
      </c>
      <c r="AZ91" s="28" t="s">
        <v>2425</v>
      </c>
      <c r="BA91" s="7">
        <v>0</v>
      </c>
      <c r="BB91" s="7">
        <v>10</v>
      </c>
      <c r="BC91" s="7">
        <v>0</v>
      </c>
      <c r="BD91" s="7">
        <v>10</v>
      </c>
      <c r="BE91" s="7"/>
      <c r="BF91" s="7">
        <f t="shared" si="40"/>
        <v>32</v>
      </c>
      <c r="BG91" s="28" t="s">
        <v>2459</v>
      </c>
      <c r="BH91" s="7">
        <f t="shared" si="41"/>
        <v>0</v>
      </c>
      <c r="BI91" s="28" t="s">
        <v>2486</v>
      </c>
      <c r="BJ91" s="7"/>
      <c r="BK91" s="7"/>
      <c r="BL91" s="7">
        <f t="shared" si="42"/>
        <v>10001</v>
      </c>
      <c r="BM91" s="28" t="s">
        <v>2489</v>
      </c>
      <c r="BN91" s="7" t="e">
        <f t="shared" si="43"/>
        <v>#VALUE!</v>
      </c>
      <c r="BO91" s="28"/>
      <c r="BP91" s="7"/>
      <c r="BQ91" s="7">
        <v>4000</v>
      </c>
      <c r="BR91" s="7" t="s">
        <v>3903</v>
      </c>
      <c r="BS91" s="7">
        <f t="shared" si="44"/>
        <v>0</v>
      </c>
      <c r="BT91" s="28" t="s">
        <v>2641</v>
      </c>
      <c r="BU91" s="7">
        <f t="shared" si="45"/>
        <v>2</v>
      </c>
      <c r="BV91" s="28" t="s">
        <v>3940</v>
      </c>
      <c r="BW91" s="54" t="s">
        <v>3941</v>
      </c>
      <c r="BX91" s="54" t="s">
        <v>3941</v>
      </c>
      <c r="BY91" s="7" t="e">
        <f t="shared" si="46"/>
        <v>#VALUE!</v>
      </c>
      <c r="BZ91" s="28"/>
      <c r="CA91" s="7" t="e">
        <f t="shared" si="47"/>
        <v>#VALUE!</v>
      </c>
      <c r="CB91" s="28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</row>
    <row r="92" spans="1:92">
      <c r="A92" s="7">
        <v>80</v>
      </c>
      <c r="B92" s="7">
        <v>416203</v>
      </c>
      <c r="C92" s="7">
        <f t="shared" si="48"/>
        <v>1</v>
      </c>
      <c r="D92" s="28" t="s">
        <v>2257</v>
      </c>
      <c r="E92" s="7">
        <f t="shared" si="26"/>
        <v>39</v>
      </c>
      <c r="F92" s="6" t="s">
        <v>3480</v>
      </c>
      <c r="G92" s="7">
        <f t="shared" si="27"/>
        <v>50</v>
      </c>
      <c r="H92" s="7" t="s">
        <v>3611</v>
      </c>
      <c r="I92" s="7">
        <f t="shared" si="28"/>
        <v>49</v>
      </c>
      <c r="J92" s="7" t="s">
        <v>3696</v>
      </c>
      <c r="K92" s="7">
        <f t="shared" si="29"/>
        <v>20</v>
      </c>
      <c r="L92" s="7" t="s">
        <v>3925</v>
      </c>
      <c r="M92" s="7">
        <f t="shared" si="30"/>
        <v>20</v>
      </c>
      <c r="N92" s="7" t="s">
        <v>3925</v>
      </c>
      <c r="O92" s="7">
        <v>1</v>
      </c>
      <c r="P92" s="7" t="s">
        <v>3869</v>
      </c>
      <c r="Q92" s="53"/>
      <c r="R92" s="7">
        <v>1</v>
      </c>
      <c r="S92" s="7">
        <v>1</v>
      </c>
      <c r="T92" s="53"/>
      <c r="U92" s="7">
        <v>1</v>
      </c>
      <c r="V92" s="7">
        <f t="shared" si="31"/>
        <v>14</v>
      </c>
      <c r="W92" s="28" t="s">
        <v>3900</v>
      </c>
      <c r="X92" s="7">
        <f t="shared" si="31"/>
        <v>14</v>
      </c>
      <c r="Y92" s="28" t="s">
        <v>3900</v>
      </c>
      <c r="Z92" s="7">
        <f t="shared" si="32"/>
        <v>1</v>
      </c>
      <c r="AA92" s="28" t="s">
        <v>3901</v>
      </c>
      <c r="AB92" s="7"/>
      <c r="AC92" s="7"/>
      <c r="AD92" s="7"/>
      <c r="AE92" s="7"/>
      <c r="AF92" s="7">
        <v>0</v>
      </c>
      <c r="AG92" s="7">
        <f t="shared" si="33"/>
        <v>0</v>
      </c>
      <c r="AH92" s="28" t="s">
        <v>2281</v>
      </c>
      <c r="AI92" s="7">
        <v>8</v>
      </c>
      <c r="AJ92" s="7">
        <f t="shared" si="34"/>
        <v>8</v>
      </c>
      <c r="AK92" s="28" t="s">
        <v>2291</v>
      </c>
      <c r="AL92" s="7">
        <f t="shared" si="35"/>
        <v>2</v>
      </c>
      <c r="AM92" s="28" t="s">
        <v>2295</v>
      </c>
      <c r="AN92" s="7">
        <f t="shared" si="36"/>
        <v>0</v>
      </c>
      <c r="AO92" s="28" t="s">
        <v>2297</v>
      </c>
      <c r="AP92" s="7">
        <f t="shared" si="37"/>
        <v>2</v>
      </c>
      <c r="AQ92" s="28" t="s">
        <v>2301</v>
      </c>
      <c r="AR92" s="7"/>
      <c r="AS92" s="7" t="s">
        <v>3902</v>
      </c>
      <c r="AT92" s="7"/>
      <c r="AU92" s="7"/>
      <c r="AV92" s="7">
        <f t="shared" si="38"/>
        <v>9300</v>
      </c>
      <c r="AW92" s="28" t="s">
        <v>3189</v>
      </c>
      <c r="AX92" s="7">
        <v>1</v>
      </c>
      <c r="AY92" s="7">
        <f t="shared" si="39"/>
        <v>1210</v>
      </c>
      <c r="AZ92" s="28" t="s">
        <v>2425</v>
      </c>
      <c r="BA92" s="7">
        <v>0</v>
      </c>
      <c r="BB92" s="7">
        <v>10</v>
      </c>
      <c r="BC92" s="7">
        <v>0</v>
      </c>
      <c r="BD92" s="7">
        <v>10</v>
      </c>
      <c r="BE92" s="7"/>
      <c r="BF92" s="7">
        <f t="shared" si="40"/>
        <v>32</v>
      </c>
      <c r="BG92" s="28" t="s">
        <v>2459</v>
      </c>
      <c r="BH92" s="7">
        <f t="shared" si="41"/>
        <v>0</v>
      </c>
      <c r="BI92" s="28" t="s">
        <v>2486</v>
      </c>
      <c r="BJ92" s="7"/>
      <c r="BK92" s="7"/>
      <c r="BL92" s="7">
        <f t="shared" si="42"/>
        <v>10001</v>
      </c>
      <c r="BM92" s="28" t="s">
        <v>2489</v>
      </c>
      <c r="BN92" s="7" t="e">
        <f t="shared" si="43"/>
        <v>#VALUE!</v>
      </c>
      <c r="BO92" s="28"/>
      <c r="BP92" s="7"/>
      <c r="BQ92" s="7">
        <v>4000</v>
      </c>
      <c r="BR92" s="7" t="s">
        <v>3903</v>
      </c>
      <c r="BS92" s="7">
        <f t="shared" si="44"/>
        <v>0</v>
      </c>
      <c r="BT92" s="28" t="s">
        <v>2641</v>
      </c>
      <c r="BU92" s="7">
        <f t="shared" si="45"/>
        <v>2</v>
      </c>
      <c r="BV92" s="28" t="s">
        <v>3940</v>
      </c>
      <c r="BW92" s="54" t="s">
        <v>3941</v>
      </c>
      <c r="BX92" s="54" t="s">
        <v>3941</v>
      </c>
      <c r="BY92" s="7" t="e">
        <f t="shared" si="46"/>
        <v>#VALUE!</v>
      </c>
      <c r="BZ92" s="28"/>
      <c r="CA92" s="7" t="e">
        <f t="shared" si="47"/>
        <v>#VALUE!</v>
      </c>
      <c r="CB92" s="28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</row>
    <row r="93" spans="1:92">
      <c r="A93" s="7">
        <v>81</v>
      </c>
      <c r="B93" s="7">
        <v>416204</v>
      </c>
      <c r="C93" s="7">
        <f t="shared" si="48"/>
        <v>1</v>
      </c>
      <c r="D93" s="28" t="s">
        <v>2257</v>
      </c>
      <c r="E93" s="7">
        <f t="shared" si="26"/>
        <v>32</v>
      </c>
      <c r="F93" s="6" t="s">
        <v>3481</v>
      </c>
      <c r="G93" s="7">
        <f t="shared" si="27"/>
        <v>51</v>
      </c>
      <c r="H93" s="7" t="s">
        <v>3576</v>
      </c>
      <c r="I93" s="7">
        <f t="shared" si="28"/>
        <v>40</v>
      </c>
      <c r="J93" s="7" t="s">
        <v>3697</v>
      </c>
      <c r="K93" s="7">
        <f t="shared" si="29"/>
        <v>20</v>
      </c>
      <c r="L93" s="7" t="s">
        <v>3926</v>
      </c>
      <c r="M93" s="7">
        <f t="shared" si="30"/>
        <v>20</v>
      </c>
      <c r="N93" s="7" t="s">
        <v>3926</v>
      </c>
      <c r="O93" s="7">
        <v>1</v>
      </c>
      <c r="P93" s="7" t="s">
        <v>3870</v>
      </c>
      <c r="Q93" s="53"/>
      <c r="R93" s="7">
        <v>1</v>
      </c>
      <c r="S93" s="7">
        <v>1</v>
      </c>
      <c r="T93" s="53"/>
      <c r="U93" s="7">
        <v>1</v>
      </c>
      <c r="V93" s="7">
        <f t="shared" si="31"/>
        <v>14</v>
      </c>
      <c r="W93" s="28" t="s">
        <v>3900</v>
      </c>
      <c r="X93" s="7">
        <f t="shared" si="31"/>
        <v>14</v>
      </c>
      <c r="Y93" s="28" t="s">
        <v>3900</v>
      </c>
      <c r="Z93" s="7">
        <f t="shared" si="32"/>
        <v>1</v>
      </c>
      <c r="AA93" s="28" t="s">
        <v>3901</v>
      </c>
      <c r="AB93" s="7"/>
      <c r="AC93" s="7"/>
      <c r="AD93" s="7"/>
      <c r="AE93" s="7"/>
      <c r="AF93" s="7">
        <v>0</v>
      </c>
      <c r="AG93" s="7">
        <f t="shared" si="33"/>
        <v>0</v>
      </c>
      <c r="AH93" s="28" t="s">
        <v>2281</v>
      </c>
      <c r="AI93" s="7">
        <v>8</v>
      </c>
      <c r="AJ93" s="7">
        <f t="shared" si="34"/>
        <v>8</v>
      </c>
      <c r="AK93" s="28" t="s">
        <v>2291</v>
      </c>
      <c r="AL93" s="7">
        <f t="shared" si="35"/>
        <v>2</v>
      </c>
      <c r="AM93" s="28" t="s">
        <v>2295</v>
      </c>
      <c r="AN93" s="7">
        <f t="shared" si="36"/>
        <v>0</v>
      </c>
      <c r="AO93" s="28" t="s">
        <v>2297</v>
      </c>
      <c r="AP93" s="7">
        <f t="shared" si="37"/>
        <v>2</v>
      </c>
      <c r="AQ93" s="28" t="s">
        <v>2301</v>
      </c>
      <c r="AR93" s="7"/>
      <c r="AS93" s="7" t="s">
        <v>3902</v>
      </c>
      <c r="AT93" s="7"/>
      <c r="AU93" s="7"/>
      <c r="AV93" s="7">
        <f t="shared" si="38"/>
        <v>9300</v>
      </c>
      <c r="AW93" s="28" t="s">
        <v>3189</v>
      </c>
      <c r="AX93" s="7">
        <v>1</v>
      </c>
      <c r="AY93" s="7">
        <f t="shared" si="39"/>
        <v>1210</v>
      </c>
      <c r="AZ93" s="28" t="s">
        <v>2425</v>
      </c>
      <c r="BA93" s="7">
        <v>0</v>
      </c>
      <c r="BB93" s="7">
        <v>10</v>
      </c>
      <c r="BC93" s="7">
        <v>0</v>
      </c>
      <c r="BD93" s="7">
        <v>10</v>
      </c>
      <c r="BE93" s="7"/>
      <c r="BF93" s="7">
        <f t="shared" si="40"/>
        <v>32</v>
      </c>
      <c r="BG93" s="28" t="s">
        <v>2459</v>
      </c>
      <c r="BH93" s="7">
        <f t="shared" si="41"/>
        <v>0</v>
      </c>
      <c r="BI93" s="28" t="s">
        <v>2486</v>
      </c>
      <c r="BJ93" s="7"/>
      <c r="BK93" s="7"/>
      <c r="BL93" s="7">
        <f t="shared" si="42"/>
        <v>10001</v>
      </c>
      <c r="BM93" s="28" t="s">
        <v>2489</v>
      </c>
      <c r="BN93" s="7" t="e">
        <f t="shared" si="43"/>
        <v>#VALUE!</v>
      </c>
      <c r="BO93" s="28"/>
      <c r="BP93" s="7"/>
      <c r="BQ93" s="7">
        <v>4000</v>
      </c>
      <c r="BR93" s="7" t="s">
        <v>3903</v>
      </c>
      <c r="BS93" s="7">
        <f t="shared" si="44"/>
        <v>0</v>
      </c>
      <c r="BT93" s="28" t="s">
        <v>2641</v>
      </c>
      <c r="BU93" s="7">
        <f t="shared" si="45"/>
        <v>2</v>
      </c>
      <c r="BV93" s="28" t="s">
        <v>3940</v>
      </c>
      <c r="BW93" s="54" t="s">
        <v>3941</v>
      </c>
      <c r="BX93" s="54" t="s">
        <v>3941</v>
      </c>
      <c r="BY93" s="7" t="e">
        <f t="shared" si="46"/>
        <v>#VALUE!</v>
      </c>
      <c r="BZ93" s="28"/>
      <c r="CA93" s="7" t="e">
        <f t="shared" si="47"/>
        <v>#VALUE!</v>
      </c>
      <c r="CB93" s="28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</row>
    <row r="94" spans="1:92">
      <c r="A94" s="7">
        <v>82</v>
      </c>
      <c r="B94" s="7">
        <v>416205</v>
      </c>
      <c r="C94" s="7">
        <f t="shared" si="48"/>
        <v>1</v>
      </c>
      <c r="D94" s="28" t="s">
        <v>2257</v>
      </c>
      <c r="E94" s="7">
        <f t="shared" si="26"/>
        <v>26</v>
      </c>
      <c r="F94" s="7" t="s">
        <v>3482</v>
      </c>
      <c r="G94" s="7">
        <f t="shared" si="27"/>
        <v>43</v>
      </c>
      <c r="H94" s="7" t="s">
        <v>3577</v>
      </c>
      <c r="I94" s="7">
        <f t="shared" si="28"/>
        <v>31</v>
      </c>
      <c r="J94" s="7" t="s">
        <v>3698</v>
      </c>
      <c r="K94" s="7">
        <f t="shared" si="29"/>
        <v>20</v>
      </c>
      <c r="L94" s="7" t="s">
        <v>3927</v>
      </c>
      <c r="M94" s="7">
        <f t="shared" si="30"/>
        <v>20</v>
      </c>
      <c r="N94" s="7" t="s">
        <v>3927</v>
      </c>
      <c r="O94" s="7">
        <v>1</v>
      </c>
      <c r="P94" s="7" t="s">
        <v>3871</v>
      </c>
      <c r="Q94" s="53"/>
      <c r="R94" s="7">
        <v>1</v>
      </c>
      <c r="S94" s="7">
        <v>1</v>
      </c>
      <c r="T94" s="53"/>
      <c r="U94" s="7">
        <v>1</v>
      </c>
      <c r="V94" s="7">
        <f t="shared" ref="V94:X109" si="49">ABS(LEFT(W94,2))</f>
        <v>14</v>
      </c>
      <c r="W94" s="28" t="s">
        <v>3900</v>
      </c>
      <c r="X94" s="7">
        <f t="shared" si="49"/>
        <v>14</v>
      </c>
      <c r="Y94" s="28" t="s">
        <v>3900</v>
      </c>
      <c r="Z94" s="7">
        <f t="shared" si="32"/>
        <v>1</v>
      </c>
      <c r="AA94" s="28" t="s">
        <v>3901</v>
      </c>
      <c r="AB94" s="7"/>
      <c r="AC94" s="7"/>
      <c r="AD94" s="7"/>
      <c r="AE94" s="7"/>
      <c r="AF94" s="7">
        <v>0</v>
      </c>
      <c r="AG94" s="7">
        <f t="shared" si="33"/>
        <v>0</v>
      </c>
      <c r="AH94" s="28" t="s">
        <v>2281</v>
      </c>
      <c r="AI94" s="7">
        <v>8</v>
      </c>
      <c r="AJ94" s="7">
        <f t="shared" si="34"/>
        <v>8</v>
      </c>
      <c r="AK94" s="28" t="s">
        <v>2291</v>
      </c>
      <c r="AL94" s="7">
        <f t="shared" si="35"/>
        <v>2</v>
      </c>
      <c r="AM94" s="28" t="s">
        <v>2295</v>
      </c>
      <c r="AN94" s="7">
        <f t="shared" si="36"/>
        <v>0</v>
      </c>
      <c r="AO94" s="28" t="s">
        <v>2297</v>
      </c>
      <c r="AP94" s="7">
        <f t="shared" si="37"/>
        <v>2</v>
      </c>
      <c r="AQ94" s="28" t="s">
        <v>2301</v>
      </c>
      <c r="AR94" s="7"/>
      <c r="AS94" s="7" t="s">
        <v>3902</v>
      </c>
      <c r="AT94" s="7"/>
      <c r="AU94" s="7"/>
      <c r="AV94" s="7">
        <f t="shared" si="38"/>
        <v>9300</v>
      </c>
      <c r="AW94" s="28" t="s">
        <v>3189</v>
      </c>
      <c r="AX94" s="7">
        <v>1</v>
      </c>
      <c r="AY94" s="7">
        <f t="shared" si="39"/>
        <v>1210</v>
      </c>
      <c r="AZ94" s="28" t="s">
        <v>2425</v>
      </c>
      <c r="BA94" s="7">
        <v>0</v>
      </c>
      <c r="BB94" s="7">
        <v>10</v>
      </c>
      <c r="BC94" s="7">
        <v>0</v>
      </c>
      <c r="BD94" s="7">
        <v>10</v>
      </c>
      <c r="BE94" s="7"/>
      <c r="BF94" s="7">
        <f t="shared" si="40"/>
        <v>32</v>
      </c>
      <c r="BG94" s="28" t="s">
        <v>2459</v>
      </c>
      <c r="BH94" s="7">
        <f t="shared" si="41"/>
        <v>0</v>
      </c>
      <c r="BI94" s="28" t="s">
        <v>2486</v>
      </c>
      <c r="BJ94" s="7"/>
      <c r="BK94" s="7"/>
      <c r="BL94" s="7">
        <f t="shared" si="42"/>
        <v>10001</v>
      </c>
      <c r="BM94" s="28" t="s">
        <v>2489</v>
      </c>
      <c r="BN94" s="7" t="e">
        <f t="shared" si="43"/>
        <v>#VALUE!</v>
      </c>
      <c r="BO94" s="28"/>
      <c r="BP94" s="7"/>
      <c r="BQ94" s="7">
        <v>4000</v>
      </c>
      <c r="BR94" s="7" t="s">
        <v>3903</v>
      </c>
      <c r="BS94" s="7">
        <f t="shared" si="44"/>
        <v>0</v>
      </c>
      <c r="BT94" s="28" t="s">
        <v>2641</v>
      </c>
      <c r="BU94" s="7">
        <f t="shared" si="45"/>
        <v>2</v>
      </c>
      <c r="BV94" s="28" t="s">
        <v>3940</v>
      </c>
      <c r="BW94" s="54" t="s">
        <v>3941</v>
      </c>
      <c r="BX94" s="54" t="s">
        <v>3941</v>
      </c>
      <c r="BY94" s="7" t="e">
        <f t="shared" si="46"/>
        <v>#VALUE!</v>
      </c>
      <c r="BZ94" s="28"/>
      <c r="CA94" s="7" t="e">
        <f t="shared" si="47"/>
        <v>#VALUE!</v>
      </c>
      <c r="CB94" s="28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</row>
    <row r="95" spans="1:92">
      <c r="A95" s="7">
        <v>83</v>
      </c>
      <c r="B95" s="7">
        <v>416206</v>
      </c>
      <c r="C95" s="7">
        <f t="shared" si="48"/>
        <v>1</v>
      </c>
      <c r="D95" s="28" t="s">
        <v>2257</v>
      </c>
      <c r="E95" s="7">
        <f t="shared" si="26"/>
        <v>12</v>
      </c>
      <c r="F95" s="7" t="s">
        <v>3483</v>
      </c>
      <c r="G95" s="7">
        <f t="shared" si="27"/>
        <v>31</v>
      </c>
      <c r="H95" s="7" t="s">
        <v>3619</v>
      </c>
      <c r="I95" s="7">
        <f t="shared" si="28"/>
        <v>23</v>
      </c>
      <c r="J95" s="7" t="s">
        <v>3699</v>
      </c>
      <c r="K95" s="7">
        <f t="shared" si="29"/>
        <v>12</v>
      </c>
      <c r="L95" s="7" t="s">
        <v>3483</v>
      </c>
      <c r="M95" s="7">
        <f t="shared" si="30"/>
        <v>12</v>
      </c>
      <c r="N95" s="7" t="s">
        <v>3784</v>
      </c>
      <c r="O95" s="7">
        <v>1</v>
      </c>
      <c r="P95" s="7">
        <v>106803</v>
      </c>
      <c r="Q95" s="53"/>
      <c r="R95" s="7">
        <v>1</v>
      </c>
      <c r="S95" s="7">
        <v>1</v>
      </c>
      <c r="T95" s="53"/>
      <c r="U95" s="7">
        <v>1</v>
      </c>
      <c r="V95" s="7">
        <f t="shared" si="49"/>
        <v>14</v>
      </c>
      <c r="W95" s="28" t="s">
        <v>3900</v>
      </c>
      <c r="X95" s="7">
        <f t="shared" si="49"/>
        <v>14</v>
      </c>
      <c r="Y95" s="28" t="s">
        <v>3900</v>
      </c>
      <c r="Z95" s="7">
        <f t="shared" si="32"/>
        <v>1</v>
      </c>
      <c r="AA95" s="28" t="s">
        <v>3901</v>
      </c>
      <c r="AB95" s="7"/>
      <c r="AC95" s="7"/>
      <c r="AD95" s="7"/>
      <c r="AE95" s="7"/>
      <c r="AF95" s="7">
        <v>0</v>
      </c>
      <c r="AG95" s="7">
        <f t="shared" si="33"/>
        <v>0</v>
      </c>
      <c r="AH95" s="28" t="s">
        <v>2281</v>
      </c>
      <c r="AI95" s="7">
        <v>8</v>
      </c>
      <c r="AJ95" s="7">
        <f t="shared" si="34"/>
        <v>8</v>
      </c>
      <c r="AK95" s="28" t="s">
        <v>2291</v>
      </c>
      <c r="AL95" s="7">
        <f t="shared" si="35"/>
        <v>2</v>
      </c>
      <c r="AM95" s="28" t="s">
        <v>2295</v>
      </c>
      <c r="AN95" s="7">
        <f t="shared" si="36"/>
        <v>0</v>
      </c>
      <c r="AO95" s="28" t="s">
        <v>2297</v>
      </c>
      <c r="AP95" s="7">
        <f t="shared" si="37"/>
        <v>2</v>
      </c>
      <c r="AQ95" s="28" t="s">
        <v>2301</v>
      </c>
      <c r="AR95" s="7"/>
      <c r="AS95" s="7" t="s">
        <v>3902</v>
      </c>
      <c r="AT95" s="7"/>
      <c r="AU95" s="7"/>
      <c r="AV95" s="7">
        <f t="shared" si="38"/>
        <v>9300</v>
      </c>
      <c r="AW95" s="28" t="s">
        <v>3189</v>
      </c>
      <c r="AX95" s="7">
        <v>1</v>
      </c>
      <c r="AY95" s="7">
        <f t="shared" si="39"/>
        <v>1210</v>
      </c>
      <c r="AZ95" s="28" t="s">
        <v>2425</v>
      </c>
      <c r="BA95" s="7">
        <v>0</v>
      </c>
      <c r="BB95" s="7">
        <v>10</v>
      </c>
      <c r="BC95" s="7">
        <v>0</v>
      </c>
      <c r="BD95" s="7">
        <v>10</v>
      </c>
      <c r="BE95" s="7"/>
      <c r="BF95" s="7">
        <f t="shared" si="40"/>
        <v>32</v>
      </c>
      <c r="BG95" s="28" t="s">
        <v>2459</v>
      </c>
      <c r="BH95" s="7">
        <f t="shared" si="41"/>
        <v>0</v>
      </c>
      <c r="BI95" s="28" t="s">
        <v>2486</v>
      </c>
      <c r="BJ95" s="7"/>
      <c r="BK95" s="7"/>
      <c r="BL95" s="7">
        <f t="shared" si="42"/>
        <v>10001</v>
      </c>
      <c r="BM95" s="28" t="s">
        <v>2489</v>
      </c>
      <c r="BN95" s="7" t="e">
        <f t="shared" si="43"/>
        <v>#VALUE!</v>
      </c>
      <c r="BO95" s="28"/>
      <c r="BP95" s="7"/>
      <c r="BQ95" s="7">
        <v>4000</v>
      </c>
      <c r="BR95" s="7" t="s">
        <v>3903</v>
      </c>
      <c r="BS95" s="7">
        <f t="shared" si="44"/>
        <v>0</v>
      </c>
      <c r="BT95" s="28" t="s">
        <v>2641</v>
      </c>
      <c r="BU95" s="7">
        <f t="shared" si="45"/>
        <v>2</v>
      </c>
      <c r="BV95" s="28" t="s">
        <v>3940</v>
      </c>
      <c r="BW95" s="54" t="s">
        <v>3941</v>
      </c>
      <c r="BX95" s="54" t="s">
        <v>3941</v>
      </c>
      <c r="BY95" s="7" t="e">
        <f t="shared" si="46"/>
        <v>#VALUE!</v>
      </c>
      <c r="BZ95" s="28"/>
      <c r="CA95" s="7" t="e">
        <f t="shared" si="47"/>
        <v>#VALUE!</v>
      </c>
      <c r="CB95" s="28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</row>
    <row r="96" spans="1:92">
      <c r="A96" s="7">
        <v>84</v>
      </c>
      <c r="B96" s="7">
        <v>416207</v>
      </c>
      <c r="C96" s="7">
        <f t="shared" si="48"/>
        <v>1</v>
      </c>
      <c r="D96" s="28" t="s">
        <v>2257</v>
      </c>
      <c r="E96" s="7">
        <f t="shared" si="26"/>
        <v>15</v>
      </c>
      <c r="F96" s="7" t="s">
        <v>3484</v>
      </c>
      <c r="G96" s="7">
        <f t="shared" si="27"/>
        <v>28</v>
      </c>
      <c r="H96" s="7" t="s">
        <v>3578</v>
      </c>
      <c r="I96" s="7">
        <f t="shared" si="28"/>
        <v>21</v>
      </c>
      <c r="J96" s="7" t="s">
        <v>3700</v>
      </c>
      <c r="K96" s="7">
        <f t="shared" si="29"/>
        <v>15</v>
      </c>
      <c r="L96" s="7" t="s">
        <v>3484</v>
      </c>
      <c r="M96" s="7">
        <f t="shared" si="30"/>
        <v>16</v>
      </c>
      <c r="N96" s="7" t="s">
        <v>3785</v>
      </c>
      <c r="O96" s="7">
        <v>1</v>
      </c>
      <c r="P96" s="7"/>
      <c r="Q96" s="53"/>
      <c r="R96" s="7">
        <v>1</v>
      </c>
      <c r="S96" s="7">
        <v>1</v>
      </c>
      <c r="T96" s="53"/>
      <c r="U96" s="7">
        <v>1</v>
      </c>
      <c r="V96" s="7">
        <f t="shared" si="49"/>
        <v>14</v>
      </c>
      <c r="W96" s="28" t="s">
        <v>3900</v>
      </c>
      <c r="X96" s="7">
        <f t="shared" si="49"/>
        <v>14</v>
      </c>
      <c r="Y96" s="28" t="s">
        <v>3900</v>
      </c>
      <c r="Z96" s="7">
        <f t="shared" si="32"/>
        <v>1</v>
      </c>
      <c r="AA96" s="28" t="s">
        <v>3901</v>
      </c>
      <c r="AB96" s="7"/>
      <c r="AC96" s="7"/>
      <c r="AD96" s="7"/>
      <c r="AE96" s="7"/>
      <c r="AF96" s="7">
        <v>0</v>
      </c>
      <c r="AG96" s="7">
        <f t="shared" si="33"/>
        <v>0</v>
      </c>
      <c r="AH96" s="28" t="s">
        <v>2281</v>
      </c>
      <c r="AI96" s="7">
        <v>8</v>
      </c>
      <c r="AJ96" s="7">
        <f t="shared" si="34"/>
        <v>8</v>
      </c>
      <c r="AK96" s="28" t="s">
        <v>2291</v>
      </c>
      <c r="AL96" s="7">
        <f t="shared" si="35"/>
        <v>2</v>
      </c>
      <c r="AM96" s="28" t="s">
        <v>2295</v>
      </c>
      <c r="AN96" s="7">
        <f t="shared" si="36"/>
        <v>0</v>
      </c>
      <c r="AO96" s="28" t="s">
        <v>2297</v>
      </c>
      <c r="AP96" s="7">
        <f t="shared" si="37"/>
        <v>2</v>
      </c>
      <c r="AQ96" s="28" t="s">
        <v>2301</v>
      </c>
      <c r="AR96" s="7"/>
      <c r="AS96" s="7" t="s">
        <v>3902</v>
      </c>
      <c r="AT96" s="7"/>
      <c r="AU96" s="7"/>
      <c r="AV96" s="7">
        <f t="shared" si="38"/>
        <v>9300</v>
      </c>
      <c r="AW96" s="28" t="s">
        <v>3189</v>
      </c>
      <c r="AX96" s="7">
        <v>1</v>
      </c>
      <c r="AY96" s="7">
        <f t="shared" si="39"/>
        <v>1210</v>
      </c>
      <c r="AZ96" s="28" t="s">
        <v>2425</v>
      </c>
      <c r="BA96" s="7">
        <v>0</v>
      </c>
      <c r="BB96" s="7">
        <v>10</v>
      </c>
      <c r="BC96" s="7">
        <v>0</v>
      </c>
      <c r="BD96" s="7">
        <v>10</v>
      </c>
      <c r="BE96" s="7"/>
      <c r="BF96" s="7">
        <f t="shared" si="40"/>
        <v>32</v>
      </c>
      <c r="BG96" s="28" t="s">
        <v>2459</v>
      </c>
      <c r="BH96" s="7">
        <f t="shared" si="41"/>
        <v>0</v>
      </c>
      <c r="BI96" s="28" t="s">
        <v>2486</v>
      </c>
      <c r="BJ96" s="7"/>
      <c r="BK96" s="7"/>
      <c r="BL96" s="7">
        <f t="shared" si="42"/>
        <v>10001</v>
      </c>
      <c r="BM96" s="28" t="s">
        <v>2489</v>
      </c>
      <c r="BN96" s="7" t="e">
        <f t="shared" si="43"/>
        <v>#VALUE!</v>
      </c>
      <c r="BO96" s="28"/>
      <c r="BP96" s="7"/>
      <c r="BQ96" s="7">
        <v>4000</v>
      </c>
      <c r="BR96" s="7" t="s">
        <v>3903</v>
      </c>
      <c r="BS96" s="7">
        <f t="shared" si="44"/>
        <v>0</v>
      </c>
      <c r="BT96" s="28" t="s">
        <v>2641</v>
      </c>
      <c r="BU96" s="7">
        <f t="shared" si="45"/>
        <v>2</v>
      </c>
      <c r="BV96" s="28" t="s">
        <v>3940</v>
      </c>
      <c r="BW96" s="54" t="s">
        <v>3941</v>
      </c>
      <c r="BX96" s="54" t="s">
        <v>3941</v>
      </c>
      <c r="BY96" s="7" t="e">
        <f t="shared" si="46"/>
        <v>#VALUE!</v>
      </c>
      <c r="BZ96" s="28"/>
      <c r="CA96" s="7" t="e">
        <f t="shared" si="47"/>
        <v>#VALUE!</v>
      </c>
      <c r="CB96" s="28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</row>
    <row r="97" spans="1:92">
      <c r="A97" s="7">
        <v>85</v>
      </c>
      <c r="B97" s="7">
        <v>416208</v>
      </c>
      <c r="C97" s="7">
        <f t="shared" si="48"/>
        <v>1</v>
      </c>
      <c r="D97" s="28" t="s">
        <v>2257</v>
      </c>
      <c r="E97" s="7">
        <f t="shared" si="26"/>
        <v>16</v>
      </c>
      <c r="F97" s="7" t="s">
        <v>3485</v>
      </c>
      <c r="G97" s="7">
        <f t="shared" si="27"/>
        <v>35</v>
      </c>
      <c r="H97" s="7" t="s">
        <v>3579</v>
      </c>
      <c r="I97" s="7">
        <f t="shared" si="28"/>
        <v>23</v>
      </c>
      <c r="J97" s="7" t="s">
        <v>3701</v>
      </c>
      <c r="K97" s="7">
        <f t="shared" si="29"/>
        <v>16</v>
      </c>
      <c r="L97" s="7" t="s">
        <v>3485</v>
      </c>
      <c r="M97" s="7">
        <f t="shared" si="30"/>
        <v>12</v>
      </c>
      <c r="N97" s="7" t="s">
        <v>3786</v>
      </c>
      <c r="O97" s="7">
        <v>1</v>
      </c>
      <c r="P97" s="7" t="s">
        <v>3872</v>
      </c>
      <c r="Q97" s="53"/>
      <c r="R97" s="7">
        <v>1</v>
      </c>
      <c r="S97" s="7">
        <v>1</v>
      </c>
      <c r="T97" s="53"/>
      <c r="U97" s="7">
        <v>1</v>
      </c>
      <c r="V97" s="7">
        <f t="shared" si="49"/>
        <v>14</v>
      </c>
      <c r="W97" s="28" t="s">
        <v>3900</v>
      </c>
      <c r="X97" s="7">
        <f t="shared" si="49"/>
        <v>14</v>
      </c>
      <c r="Y97" s="28" t="s">
        <v>3900</v>
      </c>
      <c r="Z97" s="7">
        <f t="shared" si="32"/>
        <v>1</v>
      </c>
      <c r="AA97" s="28" t="s">
        <v>3901</v>
      </c>
      <c r="AB97" s="7"/>
      <c r="AC97" s="7"/>
      <c r="AD97" s="7"/>
      <c r="AE97" s="7"/>
      <c r="AF97" s="7">
        <v>0</v>
      </c>
      <c r="AG97" s="7">
        <f t="shared" si="33"/>
        <v>0</v>
      </c>
      <c r="AH97" s="28" t="s">
        <v>2281</v>
      </c>
      <c r="AI97" s="7">
        <v>8</v>
      </c>
      <c r="AJ97" s="7">
        <f t="shared" si="34"/>
        <v>8</v>
      </c>
      <c r="AK97" s="28" t="s">
        <v>2291</v>
      </c>
      <c r="AL97" s="7">
        <f t="shared" si="35"/>
        <v>2</v>
      </c>
      <c r="AM97" s="28" t="s">
        <v>2295</v>
      </c>
      <c r="AN97" s="7">
        <f t="shared" si="36"/>
        <v>0</v>
      </c>
      <c r="AO97" s="28" t="s">
        <v>2297</v>
      </c>
      <c r="AP97" s="7">
        <f t="shared" si="37"/>
        <v>2</v>
      </c>
      <c r="AQ97" s="28" t="s">
        <v>2301</v>
      </c>
      <c r="AR97" s="7"/>
      <c r="AS97" s="7" t="s">
        <v>3902</v>
      </c>
      <c r="AT97" s="7"/>
      <c r="AU97" s="7"/>
      <c r="AV97" s="7">
        <f t="shared" si="38"/>
        <v>9300</v>
      </c>
      <c r="AW97" s="28" t="s">
        <v>3189</v>
      </c>
      <c r="AX97" s="7">
        <v>1</v>
      </c>
      <c r="AY97" s="7">
        <f t="shared" si="39"/>
        <v>1210</v>
      </c>
      <c r="AZ97" s="28" t="s">
        <v>2425</v>
      </c>
      <c r="BA97" s="7">
        <v>0</v>
      </c>
      <c r="BB97" s="7">
        <v>10</v>
      </c>
      <c r="BC97" s="7">
        <v>0</v>
      </c>
      <c r="BD97" s="7">
        <v>10</v>
      </c>
      <c r="BE97" s="7"/>
      <c r="BF97" s="7">
        <f t="shared" si="40"/>
        <v>32</v>
      </c>
      <c r="BG97" s="28" t="s">
        <v>2459</v>
      </c>
      <c r="BH97" s="7">
        <f t="shared" si="41"/>
        <v>0</v>
      </c>
      <c r="BI97" s="28" t="s">
        <v>2486</v>
      </c>
      <c r="BJ97" s="7"/>
      <c r="BK97" s="7"/>
      <c r="BL97" s="7">
        <f t="shared" si="42"/>
        <v>10001</v>
      </c>
      <c r="BM97" s="28" t="s">
        <v>2489</v>
      </c>
      <c r="BN97" s="7" t="e">
        <f t="shared" si="43"/>
        <v>#VALUE!</v>
      </c>
      <c r="BO97" s="28"/>
      <c r="BP97" s="7"/>
      <c r="BQ97" s="7">
        <v>4000</v>
      </c>
      <c r="BR97" s="7" t="s">
        <v>3903</v>
      </c>
      <c r="BS97" s="7">
        <f t="shared" si="44"/>
        <v>0</v>
      </c>
      <c r="BT97" s="28" t="s">
        <v>2641</v>
      </c>
      <c r="BU97" s="7">
        <f t="shared" si="45"/>
        <v>2</v>
      </c>
      <c r="BV97" s="28" t="s">
        <v>3940</v>
      </c>
      <c r="BW97" s="54" t="s">
        <v>3941</v>
      </c>
      <c r="BX97" s="54" t="s">
        <v>3941</v>
      </c>
      <c r="BY97" s="7" t="e">
        <f t="shared" si="46"/>
        <v>#VALUE!</v>
      </c>
      <c r="BZ97" s="28"/>
      <c r="CA97" s="7" t="e">
        <f t="shared" si="47"/>
        <v>#VALUE!</v>
      </c>
      <c r="CB97" s="28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</row>
    <row r="98" spans="1:92">
      <c r="A98" s="7">
        <v>86</v>
      </c>
      <c r="B98" s="7">
        <v>416209</v>
      </c>
      <c r="C98" s="7">
        <f t="shared" si="48"/>
        <v>1</v>
      </c>
      <c r="D98" s="28" t="s">
        <v>2257</v>
      </c>
      <c r="E98" s="7">
        <f t="shared" si="26"/>
        <v>10</v>
      </c>
      <c r="F98" s="7" t="s">
        <v>3486</v>
      </c>
      <c r="G98" s="7">
        <f t="shared" si="27"/>
        <v>28</v>
      </c>
      <c r="H98" s="7" t="s">
        <v>3580</v>
      </c>
      <c r="I98" s="7">
        <f t="shared" si="28"/>
        <v>18</v>
      </c>
      <c r="J98" s="7" t="s">
        <v>3702</v>
      </c>
      <c r="K98" s="7">
        <f t="shared" si="29"/>
        <v>10</v>
      </c>
      <c r="L98" s="7" t="s">
        <v>3486</v>
      </c>
      <c r="M98" s="7">
        <f t="shared" si="30"/>
        <v>8</v>
      </c>
      <c r="N98" s="7" t="s">
        <v>3787</v>
      </c>
      <c r="O98" s="7">
        <v>1</v>
      </c>
      <c r="P98" s="7" t="s">
        <v>3873</v>
      </c>
      <c r="Q98" s="53"/>
      <c r="R98" s="7">
        <v>1</v>
      </c>
      <c r="S98" s="7">
        <v>1</v>
      </c>
      <c r="T98" s="53"/>
      <c r="U98" s="7">
        <v>1</v>
      </c>
      <c r="V98" s="7">
        <f t="shared" si="49"/>
        <v>14</v>
      </c>
      <c r="W98" s="28" t="s">
        <v>3900</v>
      </c>
      <c r="X98" s="7">
        <f t="shared" si="49"/>
        <v>14</v>
      </c>
      <c r="Y98" s="28" t="s">
        <v>3900</v>
      </c>
      <c r="Z98" s="7">
        <f t="shared" si="32"/>
        <v>1</v>
      </c>
      <c r="AA98" s="28" t="s">
        <v>3901</v>
      </c>
      <c r="AB98" s="7"/>
      <c r="AC98" s="7"/>
      <c r="AD98" s="7"/>
      <c r="AE98" s="7"/>
      <c r="AF98" s="7">
        <v>0</v>
      </c>
      <c r="AG98" s="7">
        <f t="shared" si="33"/>
        <v>0</v>
      </c>
      <c r="AH98" s="28" t="s">
        <v>2281</v>
      </c>
      <c r="AI98" s="7">
        <v>8</v>
      </c>
      <c r="AJ98" s="7">
        <f t="shared" si="34"/>
        <v>8</v>
      </c>
      <c r="AK98" s="28" t="s">
        <v>2291</v>
      </c>
      <c r="AL98" s="7">
        <f t="shared" si="35"/>
        <v>2</v>
      </c>
      <c r="AM98" s="28" t="s">
        <v>2295</v>
      </c>
      <c r="AN98" s="7">
        <f t="shared" si="36"/>
        <v>0</v>
      </c>
      <c r="AO98" s="28" t="s">
        <v>2297</v>
      </c>
      <c r="AP98" s="7">
        <f t="shared" si="37"/>
        <v>2</v>
      </c>
      <c r="AQ98" s="28" t="s">
        <v>2301</v>
      </c>
      <c r="AR98" s="7"/>
      <c r="AS98" s="7" t="s">
        <v>3902</v>
      </c>
      <c r="AT98" s="7"/>
      <c r="AU98" s="7"/>
      <c r="AV98" s="7">
        <f t="shared" si="38"/>
        <v>8461</v>
      </c>
      <c r="AW98" s="28" t="s">
        <v>3284</v>
      </c>
      <c r="AX98" s="7">
        <v>1</v>
      </c>
      <c r="AY98" s="7">
        <f t="shared" si="39"/>
        <v>1210</v>
      </c>
      <c r="AZ98" s="28" t="s">
        <v>2425</v>
      </c>
      <c r="BA98" s="7">
        <v>0</v>
      </c>
      <c r="BB98" s="7">
        <v>10</v>
      </c>
      <c r="BC98" s="7">
        <v>0</v>
      </c>
      <c r="BD98" s="7">
        <v>10</v>
      </c>
      <c r="BE98" s="7"/>
      <c r="BF98" s="7">
        <f t="shared" si="40"/>
        <v>32</v>
      </c>
      <c r="BG98" s="28" t="s">
        <v>2459</v>
      </c>
      <c r="BH98" s="7">
        <f t="shared" si="41"/>
        <v>0</v>
      </c>
      <c r="BI98" s="28" t="s">
        <v>2486</v>
      </c>
      <c r="BJ98" s="7"/>
      <c r="BK98" s="7"/>
      <c r="BL98" s="7">
        <f t="shared" si="42"/>
        <v>10001</v>
      </c>
      <c r="BM98" s="28" t="s">
        <v>2489</v>
      </c>
      <c r="BN98" s="7" t="e">
        <f t="shared" si="43"/>
        <v>#VALUE!</v>
      </c>
      <c r="BO98" s="28"/>
      <c r="BP98" s="7"/>
      <c r="BQ98" s="7">
        <v>4000</v>
      </c>
      <c r="BR98" s="7" t="s">
        <v>3903</v>
      </c>
      <c r="BS98" s="7">
        <f t="shared" si="44"/>
        <v>0</v>
      </c>
      <c r="BT98" s="28" t="s">
        <v>2641</v>
      </c>
      <c r="BU98" s="7">
        <f t="shared" si="45"/>
        <v>2</v>
      </c>
      <c r="BV98" s="28" t="s">
        <v>3940</v>
      </c>
      <c r="BW98" s="54" t="s">
        <v>3941</v>
      </c>
      <c r="BX98" s="54" t="s">
        <v>3941</v>
      </c>
      <c r="BY98" s="7" t="e">
        <f t="shared" si="46"/>
        <v>#VALUE!</v>
      </c>
      <c r="BZ98" s="28"/>
      <c r="CA98" s="7" t="e">
        <f t="shared" si="47"/>
        <v>#VALUE!</v>
      </c>
      <c r="CB98" s="28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</row>
    <row r="99" spans="1:92">
      <c r="A99" s="7">
        <v>87</v>
      </c>
      <c r="B99" s="7">
        <v>416210</v>
      </c>
      <c r="C99" s="7">
        <f t="shared" si="48"/>
        <v>1</v>
      </c>
      <c r="D99" s="28" t="s">
        <v>2257</v>
      </c>
      <c r="E99" s="7">
        <f t="shared" si="26"/>
        <v>19</v>
      </c>
      <c r="F99" s="7" t="s">
        <v>3487</v>
      </c>
      <c r="G99" s="7">
        <f t="shared" si="27"/>
        <v>38</v>
      </c>
      <c r="H99" s="7" t="s">
        <v>3581</v>
      </c>
      <c r="I99" s="7">
        <f t="shared" si="28"/>
        <v>26</v>
      </c>
      <c r="J99" s="7" t="s">
        <v>3703</v>
      </c>
      <c r="K99" s="7">
        <f t="shared" si="29"/>
        <v>19</v>
      </c>
      <c r="L99" s="7" t="s">
        <v>3487</v>
      </c>
      <c r="M99" s="7">
        <f t="shared" si="30"/>
        <v>15</v>
      </c>
      <c r="N99" s="7" t="s">
        <v>3788</v>
      </c>
      <c r="O99" s="7">
        <v>1</v>
      </c>
      <c r="P99" s="7" t="s">
        <v>3874</v>
      </c>
      <c r="Q99" s="53"/>
      <c r="R99" s="7">
        <v>1</v>
      </c>
      <c r="S99" s="7">
        <v>1</v>
      </c>
      <c r="T99" s="53"/>
      <c r="U99" s="7">
        <v>1</v>
      </c>
      <c r="V99" s="7">
        <f t="shared" si="49"/>
        <v>14</v>
      </c>
      <c r="W99" s="28" t="s">
        <v>3900</v>
      </c>
      <c r="X99" s="7">
        <f t="shared" si="49"/>
        <v>14</v>
      </c>
      <c r="Y99" s="28" t="s">
        <v>3900</v>
      </c>
      <c r="Z99" s="7">
        <f t="shared" si="32"/>
        <v>1</v>
      </c>
      <c r="AA99" s="28" t="s">
        <v>3901</v>
      </c>
      <c r="AB99" s="7"/>
      <c r="AC99" s="7"/>
      <c r="AD99" s="7"/>
      <c r="AE99" s="7"/>
      <c r="AF99" s="7">
        <v>0</v>
      </c>
      <c r="AG99" s="7">
        <f t="shared" si="33"/>
        <v>0</v>
      </c>
      <c r="AH99" s="28" t="s">
        <v>2281</v>
      </c>
      <c r="AI99" s="7">
        <v>8</v>
      </c>
      <c r="AJ99" s="7">
        <f t="shared" si="34"/>
        <v>8</v>
      </c>
      <c r="AK99" s="28" t="s">
        <v>2291</v>
      </c>
      <c r="AL99" s="7">
        <f t="shared" si="35"/>
        <v>2</v>
      </c>
      <c r="AM99" s="28" t="s">
        <v>2295</v>
      </c>
      <c r="AN99" s="7">
        <f t="shared" si="36"/>
        <v>0</v>
      </c>
      <c r="AO99" s="28" t="s">
        <v>2297</v>
      </c>
      <c r="AP99" s="7">
        <f t="shared" si="37"/>
        <v>2</v>
      </c>
      <c r="AQ99" s="28" t="s">
        <v>2301</v>
      </c>
      <c r="AR99" s="7"/>
      <c r="AS99" s="7" t="s">
        <v>3902</v>
      </c>
      <c r="AT99" s="7"/>
      <c r="AU99" s="7"/>
      <c r="AV99" s="7">
        <f t="shared" si="38"/>
        <v>8461</v>
      </c>
      <c r="AW99" s="28" t="s">
        <v>3284</v>
      </c>
      <c r="AX99" s="7">
        <v>1</v>
      </c>
      <c r="AY99" s="7">
        <f t="shared" si="39"/>
        <v>1210</v>
      </c>
      <c r="AZ99" s="28" t="s">
        <v>2425</v>
      </c>
      <c r="BA99" s="7">
        <v>0</v>
      </c>
      <c r="BB99" s="7">
        <v>10</v>
      </c>
      <c r="BC99" s="7">
        <v>0</v>
      </c>
      <c r="BD99" s="7">
        <v>10</v>
      </c>
      <c r="BE99" s="7"/>
      <c r="BF99" s="7">
        <f t="shared" si="40"/>
        <v>32</v>
      </c>
      <c r="BG99" s="28" t="s">
        <v>2459</v>
      </c>
      <c r="BH99" s="7">
        <f t="shared" si="41"/>
        <v>0</v>
      </c>
      <c r="BI99" s="28" t="s">
        <v>2486</v>
      </c>
      <c r="BJ99" s="7"/>
      <c r="BK99" s="7"/>
      <c r="BL99" s="7">
        <f t="shared" si="42"/>
        <v>10001</v>
      </c>
      <c r="BM99" s="28" t="s">
        <v>2489</v>
      </c>
      <c r="BN99" s="7" t="e">
        <f t="shared" si="43"/>
        <v>#VALUE!</v>
      </c>
      <c r="BO99" s="28"/>
      <c r="BP99" s="7"/>
      <c r="BQ99" s="7">
        <v>4000</v>
      </c>
      <c r="BR99" s="7" t="s">
        <v>3903</v>
      </c>
      <c r="BS99" s="7">
        <f t="shared" si="44"/>
        <v>0</v>
      </c>
      <c r="BT99" s="28" t="s">
        <v>2641</v>
      </c>
      <c r="BU99" s="7">
        <f t="shared" si="45"/>
        <v>2</v>
      </c>
      <c r="BV99" s="28" t="s">
        <v>3940</v>
      </c>
      <c r="BW99" s="54" t="s">
        <v>3941</v>
      </c>
      <c r="BX99" s="54" t="s">
        <v>3941</v>
      </c>
      <c r="BY99" s="7" t="e">
        <f t="shared" si="46"/>
        <v>#VALUE!</v>
      </c>
      <c r="BZ99" s="28"/>
      <c r="CA99" s="7" t="e">
        <f t="shared" si="47"/>
        <v>#VALUE!</v>
      </c>
      <c r="CB99" s="28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</row>
    <row r="100" spans="1:92">
      <c r="A100" s="7">
        <v>88</v>
      </c>
      <c r="B100" s="7">
        <v>416211</v>
      </c>
      <c r="C100" s="7">
        <f t="shared" si="48"/>
        <v>1</v>
      </c>
      <c r="D100" s="28" t="s">
        <v>2257</v>
      </c>
      <c r="E100" s="7">
        <f t="shared" si="26"/>
        <v>19</v>
      </c>
      <c r="F100" s="7" t="s">
        <v>3488</v>
      </c>
      <c r="G100" s="7">
        <f t="shared" si="27"/>
        <v>38</v>
      </c>
      <c r="H100" s="7" t="s">
        <v>3582</v>
      </c>
      <c r="I100" s="7">
        <f t="shared" si="28"/>
        <v>24</v>
      </c>
      <c r="J100" s="7" t="s">
        <v>3704</v>
      </c>
      <c r="K100" s="7">
        <f t="shared" si="29"/>
        <v>19</v>
      </c>
      <c r="L100" s="7" t="s">
        <v>3488</v>
      </c>
      <c r="M100" s="7">
        <f t="shared" si="30"/>
        <v>13</v>
      </c>
      <c r="N100" s="7" t="s">
        <v>3789</v>
      </c>
      <c r="O100" s="7">
        <v>1</v>
      </c>
      <c r="P100" s="7" t="s">
        <v>3875</v>
      </c>
      <c r="Q100" s="53"/>
      <c r="R100" s="7">
        <v>1</v>
      </c>
      <c r="S100" s="7">
        <v>1</v>
      </c>
      <c r="T100" s="53"/>
      <c r="U100" s="7">
        <v>1</v>
      </c>
      <c r="V100" s="7">
        <f t="shared" si="49"/>
        <v>14</v>
      </c>
      <c r="W100" s="28" t="s">
        <v>3900</v>
      </c>
      <c r="X100" s="7">
        <f t="shared" si="49"/>
        <v>14</v>
      </c>
      <c r="Y100" s="28" t="s">
        <v>3900</v>
      </c>
      <c r="Z100" s="7">
        <f t="shared" si="32"/>
        <v>1</v>
      </c>
      <c r="AA100" s="28" t="s">
        <v>3901</v>
      </c>
      <c r="AB100" s="7"/>
      <c r="AC100" s="7"/>
      <c r="AD100" s="7"/>
      <c r="AE100" s="7"/>
      <c r="AF100" s="7">
        <v>0</v>
      </c>
      <c r="AG100" s="7">
        <f t="shared" si="33"/>
        <v>0</v>
      </c>
      <c r="AH100" s="28" t="s">
        <v>2281</v>
      </c>
      <c r="AI100" s="7">
        <v>8</v>
      </c>
      <c r="AJ100" s="7">
        <f t="shared" si="34"/>
        <v>8</v>
      </c>
      <c r="AK100" s="28" t="s">
        <v>2291</v>
      </c>
      <c r="AL100" s="7">
        <f t="shared" si="35"/>
        <v>2</v>
      </c>
      <c r="AM100" s="28" t="s">
        <v>2295</v>
      </c>
      <c r="AN100" s="7">
        <f t="shared" si="36"/>
        <v>0</v>
      </c>
      <c r="AO100" s="28" t="s">
        <v>2297</v>
      </c>
      <c r="AP100" s="7">
        <f t="shared" si="37"/>
        <v>2</v>
      </c>
      <c r="AQ100" s="28" t="s">
        <v>2301</v>
      </c>
      <c r="AR100" s="7"/>
      <c r="AS100" s="7" t="s">
        <v>3902</v>
      </c>
      <c r="AT100" s="7"/>
      <c r="AU100" s="7"/>
      <c r="AV100" s="7">
        <f t="shared" si="38"/>
        <v>8461</v>
      </c>
      <c r="AW100" s="28" t="s">
        <v>3284</v>
      </c>
      <c r="AX100" s="7">
        <v>1</v>
      </c>
      <c r="AY100" s="7">
        <f t="shared" si="39"/>
        <v>1210</v>
      </c>
      <c r="AZ100" s="28" t="s">
        <v>2425</v>
      </c>
      <c r="BA100" s="7">
        <v>0</v>
      </c>
      <c r="BB100" s="7">
        <v>10</v>
      </c>
      <c r="BC100" s="7">
        <v>0</v>
      </c>
      <c r="BD100" s="7">
        <v>10</v>
      </c>
      <c r="BE100" s="7"/>
      <c r="BF100" s="7">
        <f t="shared" si="40"/>
        <v>32</v>
      </c>
      <c r="BG100" s="28" t="s">
        <v>2459</v>
      </c>
      <c r="BH100" s="7">
        <f t="shared" si="41"/>
        <v>0</v>
      </c>
      <c r="BI100" s="28" t="s">
        <v>2486</v>
      </c>
      <c r="BJ100" s="7"/>
      <c r="BK100" s="7"/>
      <c r="BL100" s="7">
        <f t="shared" si="42"/>
        <v>10001</v>
      </c>
      <c r="BM100" s="28" t="s">
        <v>2489</v>
      </c>
      <c r="BN100" s="7" t="e">
        <f t="shared" si="43"/>
        <v>#VALUE!</v>
      </c>
      <c r="BO100" s="28"/>
      <c r="BP100" s="7"/>
      <c r="BQ100" s="7">
        <v>4000</v>
      </c>
      <c r="BR100" s="7" t="s">
        <v>3903</v>
      </c>
      <c r="BS100" s="7">
        <f t="shared" si="44"/>
        <v>0</v>
      </c>
      <c r="BT100" s="28" t="s">
        <v>2641</v>
      </c>
      <c r="BU100" s="7">
        <f t="shared" si="45"/>
        <v>2</v>
      </c>
      <c r="BV100" s="28" t="s">
        <v>3940</v>
      </c>
      <c r="BW100" s="54" t="s">
        <v>3941</v>
      </c>
      <c r="BX100" s="54" t="s">
        <v>3941</v>
      </c>
      <c r="BY100" s="7" t="e">
        <f t="shared" si="46"/>
        <v>#VALUE!</v>
      </c>
      <c r="BZ100" s="28"/>
      <c r="CA100" s="7" t="e">
        <f t="shared" si="47"/>
        <v>#VALUE!</v>
      </c>
      <c r="CB100" s="28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</row>
    <row r="101" spans="1:92">
      <c r="A101" s="7">
        <v>89</v>
      </c>
      <c r="B101" s="7">
        <v>416212</v>
      </c>
      <c r="C101" s="7">
        <f t="shared" si="48"/>
        <v>1</v>
      </c>
      <c r="D101" s="28" t="s">
        <v>2257</v>
      </c>
      <c r="E101" s="7">
        <f t="shared" si="26"/>
        <v>36</v>
      </c>
      <c r="F101" s="7" t="s">
        <v>3489</v>
      </c>
      <c r="G101" s="7">
        <f t="shared" si="27"/>
        <v>43</v>
      </c>
      <c r="H101" s="7" t="s">
        <v>3612</v>
      </c>
      <c r="I101" s="7">
        <f t="shared" si="28"/>
        <v>47</v>
      </c>
      <c r="J101" s="7" t="s">
        <v>3705</v>
      </c>
      <c r="K101" s="7">
        <f t="shared" si="29"/>
        <v>20</v>
      </c>
      <c r="L101" s="7" t="s">
        <v>3928</v>
      </c>
      <c r="M101" s="7">
        <f t="shared" si="30"/>
        <v>20</v>
      </c>
      <c r="N101" s="7" t="s">
        <v>3928</v>
      </c>
      <c r="O101" s="7">
        <v>1</v>
      </c>
      <c r="P101" s="7" t="s">
        <v>3876</v>
      </c>
      <c r="Q101" s="53"/>
      <c r="R101" s="7">
        <v>1</v>
      </c>
      <c r="S101" s="7">
        <v>1</v>
      </c>
      <c r="T101" s="53"/>
      <c r="U101" s="7">
        <v>1</v>
      </c>
      <c r="V101" s="7">
        <f t="shared" si="49"/>
        <v>14</v>
      </c>
      <c r="W101" s="28" t="s">
        <v>3900</v>
      </c>
      <c r="X101" s="7">
        <f t="shared" si="49"/>
        <v>14</v>
      </c>
      <c r="Y101" s="28" t="s">
        <v>3900</v>
      </c>
      <c r="Z101" s="7">
        <f t="shared" si="32"/>
        <v>1</v>
      </c>
      <c r="AA101" s="28" t="s">
        <v>3901</v>
      </c>
      <c r="AB101" s="7"/>
      <c r="AC101" s="7"/>
      <c r="AD101" s="7"/>
      <c r="AE101" s="7"/>
      <c r="AF101" s="7">
        <v>0</v>
      </c>
      <c r="AG101" s="7">
        <f t="shared" si="33"/>
        <v>0</v>
      </c>
      <c r="AH101" s="28" t="s">
        <v>2281</v>
      </c>
      <c r="AI101" s="7">
        <v>8</v>
      </c>
      <c r="AJ101" s="7">
        <f t="shared" si="34"/>
        <v>8</v>
      </c>
      <c r="AK101" s="28" t="s">
        <v>2291</v>
      </c>
      <c r="AL101" s="7">
        <f t="shared" si="35"/>
        <v>2</v>
      </c>
      <c r="AM101" s="28" t="s">
        <v>2295</v>
      </c>
      <c r="AN101" s="7">
        <f t="shared" si="36"/>
        <v>0</v>
      </c>
      <c r="AO101" s="28" t="s">
        <v>2297</v>
      </c>
      <c r="AP101" s="7">
        <f t="shared" si="37"/>
        <v>2</v>
      </c>
      <c r="AQ101" s="28" t="s">
        <v>2301</v>
      </c>
      <c r="AR101" s="7"/>
      <c r="AS101" s="7" t="s">
        <v>3902</v>
      </c>
      <c r="AT101" s="7"/>
      <c r="AU101" s="7"/>
      <c r="AV101" s="7">
        <f t="shared" si="38"/>
        <v>8461</v>
      </c>
      <c r="AW101" s="28" t="s">
        <v>3284</v>
      </c>
      <c r="AX101" s="7">
        <v>1</v>
      </c>
      <c r="AY101" s="7">
        <f t="shared" si="39"/>
        <v>1202</v>
      </c>
      <c r="AZ101" s="28" t="s">
        <v>2417</v>
      </c>
      <c r="BA101" s="7">
        <v>0</v>
      </c>
      <c r="BB101" s="7">
        <v>10</v>
      </c>
      <c r="BC101" s="7">
        <v>0</v>
      </c>
      <c r="BD101" s="7">
        <v>10</v>
      </c>
      <c r="BE101" s="7"/>
      <c r="BF101" s="7">
        <f t="shared" si="40"/>
        <v>31</v>
      </c>
      <c r="BG101" s="28" t="s">
        <v>2458</v>
      </c>
      <c r="BH101" s="7">
        <f t="shared" si="41"/>
        <v>0</v>
      </c>
      <c r="BI101" s="28" t="s">
        <v>2486</v>
      </c>
      <c r="BJ101" s="7"/>
      <c r="BK101" s="7"/>
      <c r="BL101" s="7">
        <f t="shared" si="42"/>
        <v>10001</v>
      </c>
      <c r="BM101" s="28" t="s">
        <v>2489</v>
      </c>
      <c r="BN101" s="7" t="e">
        <f t="shared" si="43"/>
        <v>#VALUE!</v>
      </c>
      <c r="BO101" s="28"/>
      <c r="BP101" s="7"/>
      <c r="BQ101" s="7">
        <v>4000</v>
      </c>
      <c r="BR101" s="7" t="s">
        <v>3903</v>
      </c>
      <c r="BS101" s="7">
        <f t="shared" si="44"/>
        <v>0</v>
      </c>
      <c r="BT101" s="28" t="s">
        <v>2641</v>
      </c>
      <c r="BU101" s="7">
        <f t="shared" si="45"/>
        <v>2</v>
      </c>
      <c r="BV101" s="28" t="s">
        <v>3940</v>
      </c>
      <c r="BW101" s="54" t="s">
        <v>3941</v>
      </c>
      <c r="BX101" s="54" t="s">
        <v>3941</v>
      </c>
      <c r="BY101" s="7" t="e">
        <f t="shared" si="46"/>
        <v>#VALUE!</v>
      </c>
      <c r="BZ101" s="28"/>
      <c r="CA101" s="7" t="e">
        <f t="shared" si="47"/>
        <v>#VALUE!</v>
      </c>
      <c r="CB101" s="28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</row>
    <row r="102" spans="1:92">
      <c r="A102" s="7">
        <v>90</v>
      </c>
      <c r="B102" s="7">
        <v>416213</v>
      </c>
      <c r="C102" s="7">
        <f t="shared" si="48"/>
        <v>1</v>
      </c>
      <c r="D102" s="28" t="s">
        <v>2257</v>
      </c>
      <c r="E102" s="7">
        <f t="shared" si="26"/>
        <v>33</v>
      </c>
      <c r="F102" s="7" t="s">
        <v>3490</v>
      </c>
      <c r="G102" s="7">
        <f t="shared" si="27"/>
        <v>51</v>
      </c>
      <c r="H102" s="7" t="s">
        <v>3583</v>
      </c>
      <c r="I102" s="7">
        <f t="shared" si="28"/>
        <v>32</v>
      </c>
      <c r="J102" s="7" t="s">
        <v>3706</v>
      </c>
      <c r="K102" s="7">
        <f t="shared" si="29"/>
        <v>20</v>
      </c>
      <c r="L102" s="7" t="s">
        <v>3929</v>
      </c>
      <c r="M102" s="7">
        <f t="shared" si="30"/>
        <v>20</v>
      </c>
      <c r="N102" s="7" t="s">
        <v>3929</v>
      </c>
      <c r="O102" s="7">
        <v>1</v>
      </c>
      <c r="P102" s="7" t="s">
        <v>3877</v>
      </c>
      <c r="Q102" s="53"/>
      <c r="R102" s="7">
        <v>1</v>
      </c>
      <c r="S102" s="7">
        <v>1</v>
      </c>
      <c r="T102" s="53"/>
      <c r="U102" s="7">
        <v>1</v>
      </c>
      <c r="V102" s="7">
        <f t="shared" si="49"/>
        <v>14</v>
      </c>
      <c r="W102" s="28" t="s">
        <v>3900</v>
      </c>
      <c r="X102" s="7">
        <f t="shared" si="49"/>
        <v>14</v>
      </c>
      <c r="Y102" s="28" t="s">
        <v>3900</v>
      </c>
      <c r="Z102" s="7">
        <f t="shared" si="32"/>
        <v>1</v>
      </c>
      <c r="AA102" s="28" t="s">
        <v>3901</v>
      </c>
      <c r="AB102" s="7"/>
      <c r="AC102" s="7"/>
      <c r="AD102" s="7"/>
      <c r="AE102" s="7"/>
      <c r="AF102" s="7">
        <v>0</v>
      </c>
      <c r="AG102" s="7">
        <f t="shared" si="33"/>
        <v>0</v>
      </c>
      <c r="AH102" s="28" t="s">
        <v>2281</v>
      </c>
      <c r="AI102" s="7">
        <v>8</v>
      </c>
      <c r="AJ102" s="7">
        <f t="shared" si="34"/>
        <v>8</v>
      </c>
      <c r="AK102" s="28" t="s">
        <v>2291</v>
      </c>
      <c r="AL102" s="7">
        <f t="shared" si="35"/>
        <v>2</v>
      </c>
      <c r="AM102" s="28" t="s">
        <v>2295</v>
      </c>
      <c r="AN102" s="7">
        <f t="shared" si="36"/>
        <v>0</v>
      </c>
      <c r="AO102" s="28" t="s">
        <v>2297</v>
      </c>
      <c r="AP102" s="7">
        <f t="shared" si="37"/>
        <v>2</v>
      </c>
      <c r="AQ102" s="28" t="s">
        <v>2301</v>
      </c>
      <c r="AR102" s="7"/>
      <c r="AS102" s="7" t="s">
        <v>3902</v>
      </c>
      <c r="AT102" s="7"/>
      <c r="AU102" s="7"/>
      <c r="AV102" s="7">
        <f t="shared" si="38"/>
        <v>8461</v>
      </c>
      <c r="AW102" s="28" t="s">
        <v>3284</v>
      </c>
      <c r="AX102" s="7">
        <v>1</v>
      </c>
      <c r="AY102" s="7">
        <f t="shared" si="39"/>
        <v>1202</v>
      </c>
      <c r="AZ102" s="28" t="s">
        <v>2417</v>
      </c>
      <c r="BA102" s="7">
        <v>0</v>
      </c>
      <c r="BB102" s="7">
        <v>10</v>
      </c>
      <c r="BC102" s="7">
        <v>0</v>
      </c>
      <c r="BD102" s="7">
        <v>10</v>
      </c>
      <c r="BE102" s="7"/>
      <c r="BF102" s="7">
        <f t="shared" si="40"/>
        <v>31</v>
      </c>
      <c r="BG102" s="28" t="s">
        <v>2458</v>
      </c>
      <c r="BH102" s="7">
        <f t="shared" si="41"/>
        <v>0</v>
      </c>
      <c r="BI102" s="28" t="s">
        <v>2486</v>
      </c>
      <c r="BJ102" s="7"/>
      <c r="BK102" s="7"/>
      <c r="BL102" s="7">
        <f t="shared" si="42"/>
        <v>10001</v>
      </c>
      <c r="BM102" s="28" t="s">
        <v>2489</v>
      </c>
      <c r="BN102" s="7" t="e">
        <f t="shared" si="43"/>
        <v>#VALUE!</v>
      </c>
      <c r="BO102" s="28"/>
      <c r="BP102" s="7"/>
      <c r="BQ102" s="7">
        <v>4000</v>
      </c>
      <c r="BR102" s="7" t="s">
        <v>3903</v>
      </c>
      <c r="BS102" s="7">
        <f t="shared" si="44"/>
        <v>0</v>
      </c>
      <c r="BT102" s="28" t="s">
        <v>2641</v>
      </c>
      <c r="BU102" s="7">
        <f t="shared" si="45"/>
        <v>2</v>
      </c>
      <c r="BV102" s="28" t="s">
        <v>3940</v>
      </c>
      <c r="BW102" s="54" t="s">
        <v>3941</v>
      </c>
      <c r="BX102" s="54" t="s">
        <v>3941</v>
      </c>
      <c r="BY102" s="7" t="e">
        <f t="shared" si="46"/>
        <v>#VALUE!</v>
      </c>
      <c r="BZ102" s="28"/>
      <c r="CA102" s="7" t="e">
        <f t="shared" si="47"/>
        <v>#VALUE!</v>
      </c>
      <c r="CB102" s="28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</row>
    <row r="103" spans="1:92">
      <c r="A103" s="7">
        <v>91</v>
      </c>
      <c r="B103" s="7">
        <v>416214</v>
      </c>
      <c r="C103" s="7">
        <f t="shared" si="48"/>
        <v>1</v>
      </c>
      <c r="D103" s="28" t="s">
        <v>2257</v>
      </c>
      <c r="E103" s="7">
        <f t="shared" si="26"/>
        <v>30</v>
      </c>
      <c r="F103" s="7" t="s">
        <v>3491</v>
      </c>
      <c r="G103" s="7">
        <f t="shared" si="27"/>
        <v>51</v>
      </c>
      <c r="H103" s="7" t="s">
        <v>3729</v>
      </c>
      <c r="I103" s="7">
        <f t="shared" si="28"/>
        <v>40</v>
      </c>
      <c r="J103" s="7" t="s">
        <v>3731</v>
      </c>
      <c r="K103" s="7">
        <f t="shared" si="29"/>
        <v>20</v>
      </c>
      <c r="L103" s="7" t="s">
        <v>3930</v>
      </c>
      <c r="M103" s="7">
        <f t="shared" si="30"/>
        <v>20</v>
      </c>
      <c r="N103" s="7" t="s">
        <v>3930</v>
      </c>
      <c r="O103" s="7">
        <v>1</v>
      </c>
      <c r="P103" s="7" t="s">
        <v>3878</v>
      </c>
      <c r="Q103" s="53"/>
      <c r="R103" s="7">
        <v>1</v>
      </c>
      <c r="S103" s="7">
        <v>1</v>
      </c>
      <c r="T103" s="53"/>
      <c r="U103" s="7">
        <v>1</v>
      </c>
      <c r="V103" s="7">
        <f t="shared" si="49"/>
        <v>14</v>
      </c>
      <c r="W103" s="28" t="s">
        <v>3900</v>
      </c>
      <c r="X103" s="7">
        <f t="shared" si="49"/>
        <v>14</v>
      </c>
      <c r="Y103" s="28" t="s">
        <v>3900</v>
      </c>
      <c r="Z103" s="7">
        <f t="shared" si="32"/>
        <v>1</v>
      </c>
      <c r="AA103" s="28" t="s">
        <v>3901</v>
      </c>
      <c r="AB103" s="7"/>
      <c r="AC103" s="7"/>
      <c r="AD103" s="7"/>
      <c r="AE103" s="7"/>
      <c r="AF103" s="7">
        <v>0</v>
      </c>
      <c r="AG103" s="7">
        <f t="shared" si="33"/>
        <v>0</v>
      </c>
      <c r="AH103" s="28" t="s">
        <v>2281</v>
      </c>
      <c r="AI103" s="7">
        <v>8</v>
      </c>
      <c r="AJ103" s="7">
        <f t="shared" si="34"/>
        <v>8</v>
      </c>
      <c r="AK103" s="28" t="s">
        <v>2291</v>
      </c>
      <c r="AL103" s="7">
        <f t="shared" si="35"/>
        <v>2</v>
      </c>
      <c r="AM103" s="28" t="s">
        <v>2295</v>
      </c>
      <c r="AN103" s="7">
        <f t="shared" si="36"/>
        <v>0</v>
      </c>
      <c r="AO103" s="28" t="s">
        <v>2297</v>
      </c>
      <c r="AP103" s="7">
        <f t="shared" si="37"/>
        <v>2</v>
      </c>
      <c r="AQ103" s="28" t="s">
        <v>2301</v>
      </c>
      <c r="AR103" s="7"/>
      <c r="AS103" s="7" t="s">
        <v>3902</v>
      </c>
      <c r="AT103" s="7"/>
      <c r="AU103" s="7"/>
      <c r="AV103" s="7">
        <f t="shared" si="38"/>
        <v>8461</v>
      </c>
      <c r="AW103" s="28" t="s">
        <v>3284</v>
      </c>
      <c r="AX103" s="7">
        <v>1</v>
      </c>
      <c r="AY103" s="7">
        <f t="shared" si="39"/>
        <v>1210</v>
      </c>
      <c r="AZ103" s="28" t="s">
        <v>2425</v>
      </c>
      <c r="BA103" s="7">
        <v>0</v>
      </c>
      <c r="BB103" s="7">
        <v>10</v>
      </c>
      <c r="BC103" s="7">
        <v>0</v>
      </c>
      <c r="BD103" s="7">
        <v>10</v>
      </c>
      <c r="BE103" s="7"/>
      <c r="BF103" s="7">
        <f t="shared" si="40"/>
        <v>32</v>
      </c>
      <c r="BG103" s="28" t="s">
        <v>2459</v>
      </c>
      <c r="BH103" s="7">
        <f t="shared" si="41"/>
        <v>0</v>
      </c>
      <c r="BI103" s="28" t="s">
        <v>2486</v>
      </c>
      <c r="BJ103" s="7"/>
      <c r="BK103" s="7"/>
      <c r="BL103" s="7">
        <f t="shared" si="42"/>
        <v>10001</v>
      </c>
      <c r="BM103" s="28" t="s">
        <v>2489</v>
      </c>
      <c r="BN103" s="7" t="e">
        <f t="shared" si="43"/>
        <v>#VALUE!</v>
      </c>
      <c r="BO103" s="28"/>
      <c r="BP103" s="7"/>
      <c r="BQ103" s="7">
        <v>4000</v>
      </c>
      <c r="BR103" s="7" t="s">
        <v>3903</v>
      </c>
      <c r="BS103" s="7">
        <f t="shared" si="44"/>
        <v>0</v>
      </c>
      <c r="BT103" s="28" t="s">
        <v>2641</v>
      </c>
      <c r="BU103" s="7">
        <f t="shared" si="45"/>
        <v>2</v>
      </c>
      <c r="BV103" s="28" t="s">
        <v>3940</v>
      </c>
      <c r="BW103" s="54" t="s">
        <v>3941</v>
      </c>
      <c r="BX103" s="54" t="s">
        <v>3941</v>
      </c>
      <c r="BY103" s="7" t="e">
        <f t="shared" si="46"/>
        <v>#VALUE!</v>
      </c>
      <c r="BZ103" s="28"/>
      <c r="CA103" s="7" t="e">
        <f t="shared" si="47"/>
        <v>#VALUE!</v>
      </c>
      <c r="CB103" s="28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</row>
    <row r="104" spans="1:92">
      <c r="A104" s="7">
        <v>92</v>
      </c>
      <c r="B104" s="7">
        <v>416215</v>
      </c>
      <c r="C104" s="7">
        <f t="shared" si="48"/>
        <v>1</v>
      </c>
      <c r="D104" s="28" t="s">
        <v>2257</v>
      </c>
      <c r="E104" s="7">
        <f t="shared" si="26"/>
        <v>28</v>
      </c>
      <c r="F104" s="7" t="s">
        <v>3492</v>
      </c>
      <c r="G104" s="7">
        <f t="shared" si="27"/>
        <v>49</v>
      </c>
      <c r="H104" s="7" t="s">
        <v>3730</v>
      </c>
      <c r="I104" s="7">
        <f t="shared" si="28"/>
        <v>40</v>
      </c>
      <c r="J104" s="7" t="s">
        <v>3732</v>
      </c>
      <c r="K104" s="7">
        <f t="shared" si="29"/>
        <v>20</v>
      </c>
      <c r="L104" s="7" t="s">
        <v>3931</v>
      </c>
      <c r="M104" s="7">
        <f t="shared" si="30"/>
        <v>20</v>
      </c>
      <c r="N104" s="7" t="s">
        <v>3931</v>
      </c>
      <c r="O104" s="7">
        <v>1</v>
      </c>
      <c r="P104" s="7" t="s">
        <v>3879</v>
      </c>
      <c r="Q104" s="53"/>
      <c r="R104" s="7">
        <v>1</v>
      </c>
      <c r="S104" s="7">
        <v>1</v>
      </c>
      <c r="T104" s="53"/>
      <c r="U104" s="7">
        <v>1</v>
      </c>
      <c r="V104" s="7">
        <f t="shared" si="49"/>
        <v>14</v>
      </c>
      <c r="W104" s="28" t="s">
        <v>3900</v>
      </c>
      <c r="X104" s="7">
        <f t="shared" si="49"/>
        <v>14</v>
      </c>
      <c r="Y104" s="28" t="s">
        <v>3900</v>
      </c>
      <c r="Z104" s="7">
        <f t="shared" si="32"/>
        <v>1</v>
      </c>
      <c r="AA104" s="28" t="s">
        <v>3901</v>
      </c>
      <c r="AB104" s="7"/>
      <c r="AC104" s="7"/>
      <c r="AD104" s="7"/>
      <c r="AE104" s="7"/>
      <c r="AF104" s="7">
        <v>0</v>
      </c>
      <c r="AG104" s="7">
        <f t="shared" si="33"/>
        <v>0</v>
      </c>
      <c r="AH104" s="28" t="s">
        <v>2281</v>
      </c>
      <c r="AI104" s="7">
        <v>8</v>
      </c>
      <c r="AJ104" s="7">
        <f t="shared" si="34"/>
        <v>8</v>
      </c>
      <c r="AK104" s="28" t="s">
        <v>2291</v>
      </c>
      <c r="AL104" s="7">
        <f t="shared" si="35"/>
        <v>2</v>
      </c>
      <c r="AM104" s="28" t="s">
        <v>2295</v>
      </c>
      <c r="AN104" s="7">
        <f t="shared" si="36"/>
        <v>0</v>
      </c>
      <c r="AO104" s="28" t="s">
        <v>2297</v>
      </c>
      <c r="AP104" s="7">
        <f t="shared" si="37"/>
        <v>2</v>
      </c>
      <c r="AQ104" s="28" t="s">
        <v>2301</v>
      </c>
      <c r="AR104" s="7"/>
      <c r="AS104" s="7" t="s">
        <v>3902</v>
      </c>
      <c r="AT104" s="7"/>
      <c r="AU104" s="7"/>
      <c r="AV104" s="7">
        <f t="shared" si="38"/>
        <v>8461</v>
      </c>
      <c r="AW104" s="28" t="s">
        <v>3284</v>
      </c>
      <c r="AX104" s="7">
        <v>1</v>
      </c>
      <c r="AY104" s="7">
        <f t="shared" si="39"/>
        <v>1210</v>
      </c>
      <c r="AZ104" s="28" t="s">
        <v>2425</v>
      </c>
      <c r="BA104" s="7">
        <v>0</v>
      </c>
      <c r="BB104" s="7">
        <v>10</v>
      </c>
      <c r="BC104" s="7">
        <v>0</v>
      </c>
      <c r="BD104" s="7">
        <v>10</v>
      </c>
      <c r="BE104" s="7"/>
      <c r="BF104" s="7">
        <f t="shared" si="40"/>
        <v>32</v>
      </c>
      <c r="BG104" s="28" t="s">
        <v>2459</v>
      </c>
      <c r="BH104" s="7">
        <f t="shared" si="41"/>
        <v>0</v>
      </c>
      <c r="BI104" s="28" t="s">
        <v>2486</v>
      </c>
      <c r="BJ104" s="7"/>
      <c r="BK104" s="7"/>
      <c r="BL104" s="7">
        <f t="shared" si="42"/>
        <v>10001</v>
      </c>
      <c r="BM104" s="28" t="s">
        <v>2489</v>
      </c>
      <c r="BN104" s="7" t="e">
        <f t="shared" si="43"/>
        <v>#VALUE!</v>
      </c>
      <c r="BO104" s="28"/>
      <c r="BP104" s="7"/>
      <c r="BQ104" s="7">
        <v>4000</v>
      </c>
      <c r="BR104" s="7" t="s">
        <v>3903</v>
      </c>
      <c r="BS104" s="7">
        <f t="shared" si="44"/>
        <v>0</v>
      </c>
      <c r="BT104" s="28" t="s">
        <v>2641</v>
      </c>
      <c r="BU104" s="7">
        <f t="shared" si="45"/>
        <v>2</v>
      </c>
      <c r="BV104" s="28" t="s">
        <v>3940</v>
      </c>
      <c r="BW104" s="54" t="s">
        <v>3941</v>
      </c>
      <c r="BX104" s="54" t="s">
        <v>3941</v>
      </c>
      <c r="BY104" s="7" t="e">
        <f t="shared" si="46"/>
        <v>#VALUE!</v>
      </c>
      <c r="BZ104" s="28"/>
      <c r="CA104" s="7" t="e">
        <f t="shared" si="47"/>
        <v>#VALUE!</v>
      </c>
      <c r="CB104" s="28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</row>
    <row r="105" spans="1:92">
      <c r="A105" s="7">
        <v>93</v>
      </c>
      <c r="B105" s="7">
        <v>416216</v>
      </c>
      <c r="C105" s="7">
        <f t="shared" si="48"/>
        <v>1</v>
      </c>
      <c r="D105" s="28" t="s">
        <v>2257</v>
      </c>
      <c r="E105" s="7">
        <f t="shared" si="26"/>
        <v>26</v>
      </c>
      <c r="F105" s="6" t="s">
        <v>3493</v>
      </c>
      <c r="G105" s="7">
        <f t="shared" si="27"/>
        <v>39</v>
      </c>
      <c r="H105" s="7" t="s">
        <v>3584</v>
      </c>
      <c r="I105" s="7">
        <f t="shared" si="28"/>
        <v>24</v>
      </c>
      <c r="J105" s="7" t="s">
        <v>3707</v>
      </c>
      <c r="K105" s="7">
        <f t="shared" si="29"/>
        <v>19</v>
      </c>
      <c r="L105" s="7" t="s">
        <v>3790</v>
      </c>
      <c r="M105" s="7">
        <f t="shared" si="30"/>
        <v>19</v>
      </c>
      <c r="N105" s="7" t="s">
        <v>3790</v>
      </c>
      <c r="O105" s="7">
        <v>1</v>
      </c>
      <c r="P105" s="7"/>
      <c r="Q105" s="53"/>
      <c r="R105" s="7">
        <v>1</v>
      </c>
      <c r="S105" s="7">
        <v>1</v>
      </c>
      <c r="T105" s="53"/>
      <c r="U105" s="7">
        <v>1</v>
      </c>
      <c r="V105" s="7">
        <f t="shared" si="49"/>
        <v>14</v>
      </c>
      <c r="W105" s="28" t="s">
        <v>3900</v>
      </c>
      <c r="X105" s="7">
        <f t="shared" si="49"/>
        <v>14</v>
      </c>
      <c r="Y105" s="28" t="s">
        <v>3900</v>
      </c>
      <c r="Z105" s="7">
        <f t="shared" si="32"/>
        <v>1</v>
      </c>
      <c r="AA105" s="28" t="s">
        <v>3901</v>
      </c>
      <c r="AB105" s="7"/>
      <c r="AC105" s="7"/>
      <c r="AD105" s="7"/>
      <c r="AE105" s="7"/>
      <c r="AF105" s="7">
        <v>0</v>
      </c>
      <c r="AG105" s="7">
        <f t="shared" si="33"/>
        <v>0</v>
      </c>
      <c r="AH105" s="28" t="s">
        <v>2281</v>
      </c>
      <c r="AI105" s="7">
        <v>8</v>
      </c>
      <c r="AJ105" s="7">
        <f t="shared" si="34"/>
        <v>8</v>
      </c>
      <c r="AK105" s="28" t="s">
        <v>2291</v>
      </c>
      <c r="AL105" s="7">
        <f t="shared" si="35"/>
        <v>2</v>
      </c>
      <c r="AM105" s="28" t="s">
        <v>2295</v>
      </c>
      <c r="AN105" s="7">
        <f t="shared" si="36"/>
        <v>0</v>
      </c>
      <c r="AO105" s="28" t="s">
        <v>2297</v>
      </c>
      <c r="AP105" s="7">
        <f t="shared" si="37"/>
        <v>2</v>
      </c>
      <c r="AQ105" s="28" t="s">
        <v>2301</v>
      </c>
      <c r="AR105" s="7"/>
      <c r="AS105" s="7" t="s">
        <v>3902</v>
      </c>
      <c r="AT105" s="7"/>
      <c r="AU105" s="7"/>
      <c r="AV105" s="7">
        <f t="shared" si="38"/>
        <v>8461</v>
      </c>
      <c r="AW105" s="28" t="s">
        <v>3284</v>
      </c>
      <c r="AX105" s="7">
        <v>1</v>
      </c>
      <c r="AY105" s="7">
        <f t="shared" si="39"/>
        <v>1210</v>
      </c>
      <c r="AZ105" s="28" t="s">
        <v>2425</v>
      </c>
      <c r="BA105" s="7">
        <v>0</v>
      </c>
      <c r="BB105" s="7">
        <v>10</v>
      </c>
      <c r="BC105" s="7">
        <v>0</v>
      </c>
      <c r="BD105" s="7">
        <v>10</v>
      </c>
      <c r="BE105" s="7"/>
      <c r="BF105" s="7">
        <f t="shared" si="40"/>
        <v>32</v>
      </c>
      <c r="BG105" s="28" t="s">
        <v>2459</v>
      </c>
      <c r="BH105" s="7">
        <f t="shared" si="41"/>
        <v>0</v>
      </c>
      <c r="BI105" s="28" t="s">
        <v>2486</v>
      </c>
      <c r="BJ105" s="7"/>
      <c r="BK105" s="7"/>
      <c r="BL105" s="7">
        <f t="shared" si="42"/>
        <v>10001</v>
      </c>
      <c r="BM105" s="28" t="s">
        <v>2489</v>
      </c>
      <c r="BN105" s="7" t="e">
        <f t="shared" si="43"/>
        <v>#VALUE!</v>
      </c>
      <c r="BO105" s="28"/>
      <c r="BP105" s="7"/>
      <c r="BQ105" s="7">
        <v>4000</v>
      </c>
      <c r="BR105" s="7" t="s">
        <v>3903</v>
      </c>
      <c r="BS105" s="7">
        <f t="shared" si="44"/>
        <v>0</v>
      </c>
      <c r="BT105" s="28" t="s">
        <v>2641</v>
      </c>
      <c r="BU105" s="7">
        <f t="shared" si="45"/>
        <v>2</v>
      </c>
      <c r="BV105" s="28" t="s">
        <v>3940</v>
      </c>
      <c r="BW105" s="54" t="s">
        <v>3941</v>
      </c>
      <c r="BX105" s="54" t="s">
        <v>3941</v>
      </c>
      <c r="BY105" s="7" t="e">
        <f t="shared" si="46"/>
        <v>#VALUE!</v>
      </c>
      <c r="BZ105" s="28"/>
      <c r="CA105" s="7" t="e">
        <f t="shared" si="47"/>
        <v>#VALUE!</v>
      </c>
      <c r="CB105" s="28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</row>
    <row r="106" spans="1:92">
      <c r="A106" s="7">
        <v>94</v>
      </c>
      <c r="B106" s="7">
        <v>416217</v>
      </c>
      <c r="C106" s="7">
        <f t="shared" si="48"/>
        <v>1</v>
      </c>
      <c r="D106" s="28" t="s">
        <v>2257</v>
      </c>
      <c r="E106" s="7">
        <f t="shared" si="26"/>
        <v>30</v>
      </c>
      <c r="F106" s="6" t="s">
        <v>3494</v>
      </c>
      <c r="G106" s="7">
        <f t="shared" si="27"/>
        <v>49</v>
      </c>
      <c r="H106" s="7" t="s">
        <v>3585</v>
      </c>
      <c r="I106" s="7">
        <f t="shared" si="28"/>
        <v>37</v>
      </c>
      <c r="J106" s="7" t="s">
        <v>3708</v>
      </c>
      <c r="K106" s="7">
        <f t="shared" si="29"/>
        <v>20</v>
      </c>
      <c r="L106" s="7" t="s">
        <v>3932</v>
      </c>
      <c r="M106" s="7">
        <f t="shared" si="30"/>
        <v>20</v>
      </c>
      <c r="N106" s="7" t="s">
        <v>3932</v>
      </c>
      <c r="O106" s="7">
        <v>1</v>
      </c>
      <c r="P106" s="7" t="s">
        <v>3880</v>
      </c>
      <c r="Q106" s="53"/>
      <c r="R106" s="7">
        <v>1</v>
      </c>
      <c r="S106" s="7">
        <v>1</v>
      </c>
      <c r="T106" s="53"/>
      <c r="U106" s="7">
        <v>1</v>
      </c>
      <c r="V106" s="7">
        <f t="shared" si="49"/>
        <v>14</v>
      </c>
      <c r="W106" s="28" t="s">
        <v>3900</v>
      </c>
      <c r="X106" s="7">
        <f t="shared" si="49"/>
        <v>14</v>
      </c>
      <c r="Y106" s="28" t="s">
        <v>3900</v>
      </c>
      <c r="Z106" s="7">
        <f t="shared" si="32"/>
        <v>1</v>
      </c>
      <c r="AA106" s="28" t="s">
        <v>3901</v>
      </c>
      <c r="AB106" s="7"/>
      <c r="AC106" s="7"/>
      <c r="AD106" s="7"/>
      <c r="AE106" s="7"/>
      <c r="AF106" s="7">
        <v>0</v>
      </c>
      <c r="AG106" s="7">
        <f t="shared" si="33"/>
        <v>0</v>
      </c>
      <c r="AH106" s="28" t="s">
        <v>2281</v>
      </c>
      <c r="AI106" s="7">
        <v>8</v>
      </c>
      <c r="AJ106" s="7">
        <f t="shared" si="34"/>
        <v>8</v>
      </c>
      <c r="AK106" s="28" t="s">
        <v>2291</v>
      </c>
      <c r="AL106" s="7">
        <f t="shared" si="35"/>
        <v>2</v>
      </c>
      <c r="AM106" s="28" t="s">
        <v>2295</v>
      </c>
      <c r="AN106" s="7">
        <f t="shared" si="36"/>
        <v>0</v>
      </c>
      <c r="AO106" s="28" t="s">
        <v>2297</v>
      </c>
      <c r="AP106" s="7">
        <f t="shared" si="37"/>
        <v>2</v>
      </c>
      <c r="AQ106" s="28" t="s">
        <v>2301</v>
      </c>
      <c r="AR106" s="7"/>
      <c r="AS106" s="7" t="s">
        <v>3902</v>
      </c>
      <c r="AT106" s="7"/>
      <c r="AU106" s="7"/>
      <c r="AV106" s="7">
        <f t="shared" si="38"/>
        <v>8461</v>
      </c>
      <c r="AW106" s="28" t="s">
        <v>3284</v>
      </c>
      <c r="AX106" s="7">
        <v>1</v>
      </c>
      <c r="AY106" s="7">
        <f t="shared" si="39"/>
        <v>1210</v>
      </c>
      <c r="AZ106" s="28" t="s">
        <v>2425</v>
      </c>
      <c r="BA106" s="7">
        <v>0</v>
      </c>
      <c r="BB106" s="7">
        <v>10</v>
      </c>
      <c r="BC106" s="7">
        <v>0</v>
      </c>
      <c r="BD106" s="7">
        <v>10</v>
      </c>
      <c r="BE106" s="7"/>
      <c r="BF106" s="7">
        <f t="shared" si="40"/>
        <v>32</v>
      </c>
      <c r="BG106" s="28" t="s">
        <v>2459</v>
      </c>
      <c r="BH106" s="7">
        <f t="shared" si="41"/>
        <v>0</v>
      </c>
      <c r="BI106" s="28" t="s">
        <v>2486</v>
      </c>
      <c r="BJ106" s="7"/>
      <c r="BK106" s="7"/>
      <c r="BL106" s="7">
        <f t="shared" si="42"/>
        <v>10001</v>
      </c>
      <c r="BM106" s="28" t="s">
        <v>2489</v>
      </c>
      <c r="BN106" s="7" t="e">
        <f t="shared" si="43"/>
        <v>#VALUE!</v>
      </c>
      <c r="BO106" s="28"/>
      <c r="BP106" s="7"/>
      <c r="BQ106" s="7">
        <v>4000</v>
      </c>
      <c r="BR106" s="7" t="s">
        <v>3903</v>
      </c>
      <c r="BS106" s="7">
        <f t="shared" si="44"/>
        <v>0</v>
      </c>
      <c r="BT106" s="28" t="s">
        <v>2641</v>
      </c>
      <c r="BU106" s="7">
        <f t="shared" si="45"/>
        <v>2</v>
      </c>
      <c r="BV106" s="28" t="s">
        <v>3940</v>
      </c>
      <c r="BW106" s="54" t="s">
        <v>3941</v>
      </c>
      <c r="BX106" s="54" t="s">
        <v>3941</v>
      </c>
      <c r="BY106" s="7" t="e">
        <f t="shared" si="46"/>
        <v>#VALUE!</v>
      </c>
      <c r="BZ106" s="28"/>
      <c r="CA106" s="7" t="e">
        <f t="shared" si="47"/>
        <v>#VALUE!</v>
      </c>
      <c r="CB106" s="28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</row>
    <row r="107" spans="1:92">
      <c r="A107" s="7">
        <v>95</v>
      </c>
      <c r="B107" s="7">
        <v>416218</v>
      </c>
      <c r="C107" s="7">
        <f t="shared" si="48"/>
        <v>1</v>
      </c>
      <c r="D107" s="28" t="s">
        <v>2257</v>
      </c>
      <c r="E107" s="7">
        <f t="shared" si="26"/>
        <v>20</v>
      </c>
      <c r="F107" s="6" t="s">
        <v>3495</v>
      </c>
      <c r="G107" s="7">
        <f t="shared" si="27"/>
        <v>41</v>
      </c>
      <c r="H107" s="7" t="s">
        <v>3586</v>
      </c>
      <c r="I107" s="7">
        <f t="shared" si="28"/>
        <v>26</v>
      </c>
      <c r="J107" s="7" t="s">
        <v>3709</v>
      </c>
      <c r="K107" s="7">
        <f t="shared" si="29"/>
        <v>20</v>
      </c>
      <c r="L107" s="7" t="s">
        <v>3495</v>
      </c>
      <c r="M107" s="7">
        <f t="shared" si="30"/>
        <v>13</v>
      </c>
      <c r="N107" s="7" t="s">
        <v>3791</v>
      </c>
      <c r="O107" s="7">
        <v>1</v>
      </c>
      <c r="P107" s="7" t="s">
        <v>3881</v>
      </c>
      <c r="Q107" s="53"/>
      <c r="R107" s="7">
        <v>1</v>
      </c>
      <c r="S107" s="7">
        <v>1</v>
      </c>
      <c r="T107" s="53"/>
      <c r="U107" s="7">
        <v>1</v>
      </c>
      <c r="V107" s="7">
        <f t="shared" si="49"/>
        <v>14</v>
      </c>
      <c r="W107" s="28" t="s">
        <v>3900</v>
      </c>
      <c r="X107" s="7">
        <f t="shared" si="49"/>
        <v>14</v>
      </c>
      <c r="Y107" s="28" t="s">
        <v>3900</v>
      </c>
      <c r="Z107" s="7">
        <f t="shared" si="32"/>
        <v>1</v>
      </c>
      <c r="AA107" s="28" t="s">
        <v>3901</v>
      </c>
      <c r="AB107" s="7"/>
      <c r="AC107" s="7"/>
      <c r="AD107" s="7"/>
      <c r="AE107" s="7"/>
      <c r="AF107" s="7">
        <v>0</v>
      </c>
      <c r="AG107" s="7">
        <f t="shared" si="33"/>
        <v>0</v>
      </c>
      <c r="AH107" s="28" t="s">
        <v>2281</v>
      </c>
      <c r="AI107" s="7">
        <v>8</v>
      </c>
      <c r="AJ107" s="7">
        <f t="shared" si="34"/>
        <v>8</v>
      </c>
      <c r="AK107" s="28" t="s">
        <v>2291</v>
      </c>
      <c r="AL107" s="7">
        <f t="shared" si="35"/>
        <v>2</v>
      </c>
      <c r="AM107" s="28" t="s">
        <v>2295</v>
      </c>
      <c r="AN107" s="7">
        <f t="shared" si="36"/>
        <v>0</v>
      </c>
      <c r="AO107" s="28" t="s">
        <v>2297</v>
      </c>
      <c r="AP107" s="7">
        <f t="shared" si="37"/>
        <v>2</v>
      </c>
      <c r="AQ107" s="28" t="s">
        <v>2301</v>
      </c>
      <c r="AR107" s="7"/>
      <c r="AS107" s="7" t="s">
        <v>3902</v>
      </c>
      <c r="AT107" s="7"/>
      <c r="AU107" s="7"/>
      <c r="AV107" s="7">
        <f t="shared" si="38"/>
        <v>8461</v>
      </c>
      <c r="AW107" s="28" t="s">
        <v>3284</v>
      </c>
      <c r="AX107" s="7">
        <v>1</v>
      </c>
      <c r="AY107" s="7">
        <f t="shared" si="39"/>
        <v>1210</v>
      </c>
      <c r="AZ107" s="28" t="s">
        <v>2425</v>
      </c>
      <c r="BA107" s="7">
        <v>0</v>
      </c>
      <c r="BB107" s="7">
        <v>10</v>
      </c>
      <c r="BC107" s="7">
        <v>0</v>
      </c>
      <c r="BD107" s="7">
        <v>10</v>
      </c>
      <c r="BE107" s="7"/>
      <c r="BF107" s="7">
        <f t="shared" si="40"/>
        <v>32</v>
      </c>
      <c r="BG107" s="28" t="s">
        <v>2459</v>
      </c>
      <c r="BH107" s="7">
        <f t="shared" si="41"/>
        <v>0</v>
      </c>
      <c r="BI107" s="28" t="s">
        <v>2486</v>
      </c>
      <c r="BJ107" s="7"/>
      <c r="BK107" s="7"/>
      <c r="BL107" s="7">
        <f t="shared" si="42"/>
        <v>10001</v>
      </c>
      <c r="BM107" s="28" t="s">
        <v>2489</v>
      </c>
      <c r="BN107" s="7" t="e">
        <f t="shared" si="43"/>
        <v>#VALUE!</v>
      </c>
      <c r="BO107" s="28"/>
      <c r="BP107" s="7"/>
      <c r="BQ107" s="7">
        <v>4000</v>
      </c>
      <c r="BR107" s="7" t="s">
        <v>3903</v>
      </c>
      <c r="BS107" s="7">
        <f t="shared" si="44"/>
        <v>0</v>
      </c>
      <c r="BT107" s="28" t="s">
        <v>2641</v>
      </c>
      <c r="BU107" s="7">
        <f t="shared" si="45"/>
        <v>2</v>
      </c>
      <c r="BV107" s="28" t="s">
        <v>3940</v>
      </c>
      <c r="BW107" s="54" t="s">
        <v>3941</v>
      </c>
      <c r="BX107" s="54" t="s">
        <v>3941</v>
      </c>
      <c r="BY107" s="7" t="e">
        <f t="shared" si="46"/>
        <v>#VALUE!</v>
      </c>
      <c r="BZ107" s="28"/>
      <c r="CA107" s="7" t="e">
        <f t="shared" si="47"/>
        <v>#VALUE!</v>
      </c>
      <c r="CB107" s="28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</row>
    <row r="108" spans="1:92">
      <c r="A108" s="7">
        <v>96</v>
      </c>
      <c r="B108" s="7">
        <v>416219</v>
      </c>
      <c r="C108" s="7">
        <f t="shared" si="48"/>
        <v>1</v>
      </c>
      <c r="D108" s="28" t="s">
        <v>2257</v>
      </c>
      <c r="E108" s="7">
        <f t="shared" si="26"/>
        <v>35</v>
      </c>
      <c r="F108" s="6" t="s">
        <v>3496</v>
      </c>
      <c r="G108" s="7">
        <f t="shared" si="27"/>
        <v>36</v>
      </c>
      <c r="H108" s="7" t="s">
        <v>3613</v>
      </c>
      <c r="I108" s="7">
        <f t="shared" si="28"/>
        <v>40</v>
      </c>
      <c r="J108" s="7" t="s">
        <v>3710</v>
      </c>
      <c r="K108" s="7">
        <f t="shared" si="29"/>
        <v>20</v>
      </c>
      <c r="L108" s="7" t="s">
        <v>3933</v>
      </c>
      <c r="M108" s="7">
        <f t="shared" si="30"/>
        <v>20</v>
      </c>
      <c r="N108" s="7" t="s">
        <v>3933</v>
      </c>
      <c r="O108" s="7">
        <v>1</v>
      </c>
      <c r="P108" s="7" t="s">
        <v>3882</v>
      </c>
      <c r="Q108" s="53"/>
      <c r="R108" s="7">
        <v>1</v>
      </c>
      <c r="S108" s="7">
        <v>1</v>
      </c>
      <c r="T108" s="53"/>
      <c r="U108" s="7">
        <v>1</v>
      </c>
      <c r="V108" s="7">
        <f t="shared" si="49"/>
        <v>14</v>
      </c>
      <c r="W108" s="28" t="s">
        <v>3900</v>
      </c>
      <c r="X108" s="7">
        <f t="shared" si="49"/>
        <v>14</v>
      </c>
      <c r="Y108" s="28" t="s">
        <v>3900</v>
      </c>
      <c r="Z108" s="7">
        <f t="shared" si="32"/>
        <v>1</v>
      </c>
      <c r="AA108" s="28" t="s">
        <v>3901</v>
      </c>
      <c r="AB108" s="7"/>
      <c r="AC108" s="7"/>
      <c r="AD108" s="7"/>
      <c r="AE108" s="7"/>
      <c r="AF108" s="7">
        <v>0</v>
      </c>
      <c r="AG108" s="7">
        <f t="shared" si="33"/>
        <v>0</v>
      </c>
      <c r="AH108" s="28" t="s">
        <v>2281</v>
      </c>
      <c r="AI108" s="7">
        <v>8</v>
      </c>
      <c r="AJ108" s="7">
        <f t="shared" si="34"/>
        <v>8</v>
      </c>
      <c r="AK108" s="28" t="s">
        <v>2291</v>
      </c>
      <c r="AL108" s="7">
        <f t="shared" si="35"/>
        <v>2</v>
      </c>
      <c r="AM108" s="28" t="s">
        <v>2295</v>
      </c>
      <c r="AN108" s="7">
        <f t="shared" si="36"/>
        <v>0</v>
      </c>
      <c r="AO108" s="28" t="s">
        <v>2297</v>
      </c>
      <c r="AP108" s="7">
        <f t="shared" si="37"/>
        <v>2</v>
      </c>
      <c r="AQ108" s="28" t="s">
        <v>2301</v>
      </c>
      <c r="AR108" s="7"/>
      <c r="AS108" s="7" t="s">
        <v>3902</v>
      </c>
      <c r="AT108" s="7"/>
      <c r="AU108" s="7"/>
      <c r="AV108" s="7">
        <f t="shared" si="38"/>
        <v>8461</v>
      </c>
      <c r="AW108" s="28" t="s">
        <v>3284</v>
      </c>
      <c r="AX108" s="7">
        <v>1</v>
      </c>
      <c r="AY108" s="7">
        <f t="shared" si="39"/>
        <v>1210</v>
      </c>
      <c r="AZ108" s="28" t="s">
        <v>2425</v>
      </c>
      <c r="BA108" s="7">
        <v>0</v>
      </c>
      <c r="BB108" s="7">
        <v>10</v>
      </c>
      <c r="BC108" s="7">
        <v>0</v>
      </c>
      <c r="BD108" s="7">
        <v>10</v>
      </c>
      <c r="BE108" s="7"/>
      <c r="BF108" s="7">
        <f t="shared" si="40"/>
        <v>32</v>
      </c>
      <c r="BG108" s="28" t="s">
        <v>2459</v>
      </c>
      <c r="BH108" s="7">
        <f t="shared" si="41"/>
        <v>0</v>
      </c>
      <c r="BI108" s="28" t="s">
        <v>2486</v>
      </c>
      <c r="BJ108" s="7"/>
      <c r="BK108" s="7"/>
      <c r="BL108" s="7">
        <f t="shared" si="42"/>
        <v>10001</v>
      </c>
      <c r="BM108" s="28" t="s">
        <v>2489</v>
      </c>
      <c r="BN108" s="7" t="e">
        <f t="shared" si="43"/>
        <v>#VALUE!</v>
      </c>
      <c r="BO108" s="28"/>
      <c r="BP108" s="7"/>
      <c r="BQ108" s="7">
        <v>4000</v>
      </c>
      <c r="BR108" s="7" t="s">
        <v>3903</v>
      </c>
      <c r="BS108" s="7">
        <f t="shared" si="44"/>
        <v>0</v>
      </c>
      <c r="BT108" s="28" t="s">
        <v>2641</v>
      </c>
      <c r="BU108" s="7">
        <f t="shared" si="45"/>
        <v>2</v>
      </c>
      <c r="BV108" s="28" t="s">
        <v>3940</v>
      </c>
      <c r="BW108" s="54" t="s">
        <v>3941</v>
      </c>
      <c r="BX108" s="54" t="s">
        <v>3941</v>
      </c>
      <c r="BY108" s="7" t="e">
        <f t="shared" si="46"/>
        <v>#VALUE!</v>
      </c>
      <c r="BZ108" s="28"/>
      <c r="CA108" s="7" t="e">
        <f t="shared" si="47"/>
        <v>#VALUE!</v>
      </c>
      <c r="CB108" s="28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</row>
    <row r="109" spans="1:92">
      <c r="A109" s="7">
        <v>97</v>
      </c>
      <c r="B109" s="7">
        <v>416220</v>
      </c>
      <c r="C109" s="7">
        <f t="shared" si="48"/>
        <v>1</v>
      </c>
      <c r="D109" s="28" t="s">
        <v>2257</v>
      </c>
      <c r="E109" s="7">
        <f t="shared" si="26"/>
        <v>24</v>
      </c>
      <c r="F109" s="6" t="s">
        <v>3497</v>
      </c>
      <c r="G109" s="7">
        <f t="shared" si="27"/>
        <v>43</v>
      </c>
      <c r="H109" s="7" t="s">
        <v>3587</v>
      </c>
      <c r="I109" s="7">
        <f t="shared" si="28"/>
        <v>33</v>
      </c>
      <c r="J109" s="7" t="s">
        <v>3711</v>
      </c>
      <c r="K109" s="7">
        <f t="shared" si="29"/>
        <v>20</v>
      </c>
      <c r="L109" s="7" t="s">
        <v>3934</v>
      </c>
      <c r="M109" s="7">
        <f t="shared" si="30"/>
        <v>20</v>
      </c>
      <c r="N109" s="7" t="s">
        <v>3934</v>
      </c>
      <c r="O109" s="7">
        <v>1</v>
      </c>
      <c r="P109" s="7" t="s">
        <v>3883</v>
      </c>
      <c r="Q109" s="53"/>
      <c r="R109" s="7">
        <v>1</v>
      </c>
      <c r="S109" s="7">
        <v>1</v>
      </c>
      <c r="T109" s="53"/>
      <c r="U109" s="7">
        <v>1</v>
      </c>
      <c r="V109" s="7">
        <f t="shared" si="49"/>
        <v>14</v>
      </c>
      <c r="W109" s="28" t="s">
        <v>3900</v>
      </c>
      <c r="X109" s="7">
        <f t="shared" si="49"/>
        <v>14</v>
      </c>
      <c r="Y109" s="28" t="s">
        <v>3900</v>
      </c>
      <c r="Z109" s="7">
        <f t="shared" si="32"/>
        <v>1</v>
      </c>
      <c r="AA109" s="28" t="s">
        <v>3901</v>
      </c>
      <c r="AB109" s="7"/>
      <c r="AC109" s="7"/>
      <c r="AD109" s="7"/>
      <c r="AE109" s="7"/>
      <c r="AF109" s="7">
        <v>0</v>
      </c>
      <c r="AG109" s="7">
        <f t="shared" si="33"/>
        <v>0</v>
      </c>
      <c r="AH109" s="28" t="s">
        <v>2281</v>
      </c>
      <c r="AI109" s="7">
        <v>8</v>
      </c>
      <c r="AJ109" s="7">
        <f t="shared" si="34"/>
        <v>8</v>
      </c>
      <c r="AK109" s="28" t="s">
        <v>2291</v>
      </c>
      <c r="AL109" s="7">
        <f t="shared" si="35"/>
        <v>2</v>
      </c>
      <c r="AM109" s="28" t="s">
        <v>2295</v>
      </c>
      <c r="AN109" s="7">
        <f t="shared" si="36"/>
        <v>0</v>
      </c>
      <c r="AO109" s="28" t="s">
        <v>2297</v>
      </c>
      <c r="AP109" s="7">
        <f t="shared" si="37"/>
        <v>2</v>
      </c>
      <c r="AQ109" s="28" t="s">
        <v>2301</v>
      </c>
      <c r="AR109" s="7"/>
      <c r="AS109" s="7" t="s">
        <v>3902</v>
      </c>
      <c r="AT109" s="7"/>
      <c r="AU109" s="7"/>
      <c r="AV109" s="7">
        <f t="shared" si="38"/>
        <v>8461</v>
      </c>
      <c r="AW109" s="28" t="s">
        <v>3284</v>
      </c>
      <c r="AX109" s="7">
        <v>1</v>
      </c>
      <c r="AY109" s="7">
        <f t="shared" si="39"/>
        <v>1210</v>
      </c>
      <c r="AZ109" s="28" t="s">
        <v>2425</v>
      </c>
      <c r="BA109" s="7">
        <v>0</v>
      </c>
      <c r="BB109" s="7">
        <v>10</v>
      </c>
      <c r="BC109" s="7">
        <v>0</v>
      </c>
      <c r="BD109" s="7">
        <v>10</v>
      </c>
      <c r="BE109" s="7"/>
      <c r="BF109" s="7">
        <f t="shared" si="40"/>
        <v>32</v>
      </c>
      <c r="BG109" s="28" t="s">
        <v>2459</v>
      </c>
      <c r="BH109" s="7">
        <f t="shared" si="41"/>
        <v>0</v>
      </c>
      <c r="BI109" s="28" t="s">
        <v>2486</v>
      </c>
      <c r="BJ109" s="7"/>
      <c r="BK109" s="7"/>
      <c r="BL109" s="7">
        <f t="shared" si="42"/>
        <v>10001</v>
      </c>
      <c r="BM109" s="28" t="s">
        <v>2489</v>
      </c>
      <c r="BN109" s="7" t="e">
        <f t="shared" si="43"/>
        <v>#VALUE!</v>
      </c>
      <c r="BO109" s="28"/>
      <c r="BP109" s="7"/>
      <c r="BQ109" s="7">
        <v>4000</v>
      </c>
      <c r="BR109" s="7" t="s">
        <v>3903</v>
      </c>
      <c r="BS109" s="7">
        <f t="shared" si="44"/>
        <v>0</v>
      </c>
      <c r="BT109" s="28" t="s">
        <v>2641</v>
      </c>
      <c r="BU109" s="7">
        <f t="shared" si="45"/>
        <v>2</v>
      </c>
      <c r="BV109" s="28" t="s">
        <v>3940</v>
      </c>
      <c r="BW109" s="54" t="s">
        <v>3941</v>
      </c>
      <c r="BX109" s="54" t="s">
        <v>3941</v>
      </c>
      <c r="BY109" s="7" t="e">
        <f t="shared" si="46"/>
        <v>#VALUE!</v>
      </c>
      <c r="BZ109" s="28"/>
      <c r="CA109" s="7" t="e">
        <f t="shared" si="47"/>
        <v>#VALUE!</v>
      </c>
      <c r="CB109" s="28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</row>
    <row r="110" spans="1:92">
      <c r="A110" s="7">
        <v>98</v>
      </c>
      <c r="B110" s="7">
        <v>416221</v>
      </c>
      <c r="C110" s="7">
        <f t="shared" si="48"/>
        <v>1</v>
      </c>
      <c r="D110" s="28" t="s">
        <v>2257</v>
      </c>
      <c r="E110" s="7">
        <f t="shared" si="26"/>
        <v>45</v>
      </c>
      <c r="F110" s="6" t="s">
        <v>3498</v>
      </c>
      <c r="G110" s="7">
        <f t="shared" si="27"/>
        <v>50</v>
      </c>
      <c r="H110" s="7" t="s">
        <v>3614</v>
      </c>
      <c r="I110" s="7">
        <f t="shared" si="28"/>
        <v>43</v>
      </c>
      <c r="J110" s="7" t="s">
        <v>3712</v>
      </c>
      <c r="K110" s="7">
        <f t="shared" si="29"/>
        <v>20</v>
      </c>
      <c r="L110" s="7" t="s">
        <v>3935</v>
      </c>
      <c r="M110" s="7">
        <f t="shared" si="30"/>
        <v>20</v>
      </c>
      <c r="N110" s="7" t="s">
        <v>3935</v>
      </c>
      <c r="O110" s="7">
        <v>1</v>
      </c>
      <c r="P110" s="7" t="s">
        <v>3884</v>
      </c>
      <c r="Q110" s="53"/>
      <c r="R110" s="7">
        <v>1</v>
      </c>
      <c r="S110" s="7">
        <v>1</v>
      </c>
      <c r="T110" s="53"/>
      <c r="U110" s="7">
        <v>1</v>
      </c>
      <c r="V110" s="7">
        <f t="shared" ref="V110:X112" si="50">ABS(LEFT(W110,2))</f>
        <v>14</v>
      </c>
      <c r="W110" s="28" t="s">
        <v>3900</v>
      </c>
      <c r="X110" s="7">
        <f t="shared" si="50"/>
        <v>14</v>
      </c>
      <c r="Y110" s="28" t="s">
        <v>3900</v>
      </c>
      <c r="Z110" s="7">
        <f t="shared" si="32"/>
        <v>1</v>
      </c>
      <c r="AA110" s="28" t="s">
        <v>3901</v>
      </c>
      <c r="AB110" s="7"/>
      <c r="AC110" s="7"/>
      <c r="AD110" s="7"/>
      <c r="AE110" s="7"/>
      <c r="AF110" s="7">
        <v>0</v>
      </c>
      <c r="AG110" s="7">
        <f t="shared" si="33"/>
        <v>0</v>
      </c>
      <c r="AH110" s="28" t="s">
        <v>2281</v>
      </c>
      <c r="AI110" s="7">
        <v>8</v>
      </c>
      <c r="AJ110" s="7">
        <f t="shared" si="34"/>
        <v>8</v>
      </c>
      <c r="AK110" s="28" t="s">
        <v>2291</v>
      </c>
      <c r="AL110" s="7">
        <f t="shared" si="35"/>
        <v>2</v>
      </c>
      <c r="AM110" s="28" t="s">
        <v>2295</v>
      </c>
      <c r="AN110" s="7">
        <f t="shared" si="36"/>
        <v>0</v>
      </c>
      <c r="AO110" s="28" t="s">
        <v>2297</v>
      </c>
      <c r="AP110" s="7">
        <f t="shared" si="37"/>
        <v>2</v>
      </c>
      <c r="AQ110" s="28" t="s">
        <v>2301</v>
      </c>
      <c r="AR110" s="7"/>
      <c r="AS110" s="7" t="s">
        <v>3902</v>
      </c>
      <c r="AT110" s="7"/>
      <c r="AU110" s="7"/>
      <c r="AV110" s="7">
        <f t="shared" si="38"/>
        <v>8461</v>
      </c>
      <c r="AW110" s="28" t="s">
        <v>3284</v>
      </c>
      <c r="AX110" s="7">
        <v>1</v>
      </c>
      <c r="AY110" s="7">
        <f t="shared" si="39"/>
        <v>1200</v>
      </c>
      <c r="AZ110" s="28" t="s">
        <v>2415</v>
      </c>
      <c r="BA110" s="7">
        <v>0</v>
      </c>
      <c r="BB110" s="7">
        <v>10</v>
      </c>
      <c r="BC110" s="7">
        <v>0</v>
      </c>
      <c r="BD110" s="7">
        <v>10</v>
      </c>
      <c r="BE110" s="7"/>
      <c r="BF110" s="7">
        <f t="shared" si="40"/>
        <v>31</v>
      </c>
      <c r="BG110" s="28" t="s">
        <v>2458</v>
      </c>
      <c r="BH110" s="7">
        <f t="shared" si="41"/>
        <v>0</v>
      </c>
      <c r="BI110" s="28" t="s">
        <v>2486</v>
      </c>
      <c r="BJ110" s="7"/>
      <c r="BK110" s="7"/>
      <c r="BL110" s="7">
        <f t="shared" si="42"/>
        <v>10001</v>
      </c>
      <c r="BM110" s="28" t="s">
        <v>2489</v>
      </c>
      <c r="BN110" s="7" t="e">
        <f t="shared" si="43"/>
        <v>#VALUE!</v>
      </c>
      <c r="BO110" s="28"/>
      <c r="BP110" s="7"/>
      <c r="BQ110" s="7">
        <v>4000</v>
      </c>
      <c r="BR110" s="7" t="s">
        <v>3903</v>
      </c>
      <c r="BS110" s="7">
        <f t="shared" si="44"/>
        <v>0</v>
      </c>
      <c r="BT110" s="28" t="s">
        <v>2641</v>
      </c>
      <c r="BU110" s="7">
        <f t="shared" si="45"/>
        <v>2</v>
      </c>
      <c r="BV110" s="28" t="s">
        <v>3940</v>
      </c>
      <c r="BW110" s="54" t="s">
        <v>3941</v>
      </c>
      <c r="BX110" s="54" t="s">
        <v>3941</v>
      </c>
      <c r="BY110" s="7" t="e">
        <f t="shared" si="46"/>
        <v>#VALUE!</v>
      </c>
      <c r="BZ110" s="28"/>
      <c r="CA110" s="7" t="e">
        <f t="shared" si="47"/>
        <v>#VALUE!</v>
      </c>
      <c r="CB110" s="28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</row>
    <row r="111" spans="1:92">
      <c r="A111" s="7">
        <v>99</v>
      </c>
      <c r="B111" s="7">
        <v>416222</v>
      </c>
      <c r="C111" s="7">
        <f t="shared" si="48"/>
        <v>1</v>
      </c>
      <c r="D111" s="28" t="s">
        <v>2257</v>
      </c>
      <c r="E111" s="7">
        <f t="shared" si="26"/>
        <v>43</v>
      </c>
      <c r="F111" s="6" t="s">
        <v>3499</v>
      </c>
      <c r="G111" s="7">
        <f t="shared" si="27"/>
        <v>45</v>
      </c>
      <c r="H111" s="7" t="s">
        <v>3615</v>
      </c>
      <c r="I111" s="7">
        <f t="shared" si="28"/>
        <v>35</v>
      </c>
      <c r="J111" s="7" t="s">
        <v>3713</v>
      </c>
      <c r="K111" s="7">
        <f t="shared" si="29"/>
        <v>20</v>
      </c>
      <c r="L111" s="7" t="s">
        <v>3936</v>
      </c>
      <c r="M111" s="7">
        <f t="shared" si="30"/>
        <v>20</v>
      </c>
      <c r="N111" s="7" t="s">
        <v>3936</v>
      </c>
      <c r="O111" s="7">
        <v>1</v>
      </c>
      <c r="P111" s="7" t="s">
        <v>3885</v>
      </c>
      <c r="Q111" s="53"/>
      <c r="R111" s="7">
        <v>1</v>
      </c>
      <c r="S111" s="7">
        <v>1</v>
      </c>
      <c r="T111" s="53"/>
      <c r="U111" s="7">
        <v>1</v>
      </c>
      <c r="V111" s="7">
        <f t="shared" si="50"/>
        <v>14</v>
      </c>
      <c r="W111" s="28" t="s">
        <v>3900</v>
      </c>
      <c r="X111" s="7">
        <f t="shared" si="50"/>
        <v>14</v>
      </c>
      <c r="Y111" s="28" t="s">
        <v>3900</v>
      </c>
      <c r="Z111" s="7">
        <f t="shared" si="32"/>
        <v>1</v>
      </c>
      <c r="AA111" s="28" t="s">
        <v>3901</v>
      </c>
      <c r="AB111" s="7"/>
      <c r="AC111" s="7"/>
      <c r="AD111" s="7"/>
      <c r="AE111" s="7"/>
      <c r="AF111" s="7">
        <v>0</v>
      </c>
      <c r="AG111" s="7">
        <f t="shared" si="33"/>
        <v>0</v>
      </c>
      <c r="AH111" s="28" t="s">
        <v>2281</v>
      </c>
      <c r="AI111" s="7">
        <v>8</v>
      </c>
      <c r="AJ111" s="7">
        <f t="shared" si="34"/>
        <v>8</v>
      </c>
      <c r="AK111" s="28" t="s">
        <v>2291</v>
      </c>
      <c r="AL111" s="7">
        <f t="shared" si="35"/>
        <v>2</v>
      </c>
      <c r="AM111" s="28" t="s">
        <v>2295</v>
      </c>
      <c r="AN111" s="7">
        <f t="shared" si="36"/>
        <v>0</v>
      </c>
      <c r="AO111" s="28" t="s">
        <v>2297</v>
      </c>
      <c r="AP111" s="7">
        <f t="shared" si="37"/>
        <v>2</v>
      </c>
      <c r="AQ111" s="28" t="s">
        <v>2301</v>
      </c>
      <c r="AR111" s="7"/>
      <c r="AS111" s="7" t="s">
        <v>3902</v>
      </c>
      <c r="AT111" s="7"/>
      <c r="AU111" s="7"/>
      <c r="AV111" s="7">
        <f t="shared" si="38"/>
        <v>8461</v>
      </c>
      <c r="AW111" s="28" t="s">
        <v>3284</v>
      </c>
      <c r="AX111" s="7">
        <v>1</v>
      </c>
      <c r="AY111" s="7">
        <f t="shared" si="39"/>
        <v>1200</v>
      </c>
      <c r="AZ111" s="28" t="s">
        <v>2415</v>
      </c>
      <c r="BA111" s="7">
        <v>0</v>
      </c>
      <c r="BB111" s="7">
        <v>10</v>
      </c>
      <c r="BC111" s="7">
        <v>0</v>
      </c>
      <c r="BD111" s="7">
        <v>10</v>
      </c>
      <c r="BE111" s="7"/>
      <c r="BF111" s="7">
        <f t="shared" si="40"/>
        <v>31</v>
      </c>
      <c r="BG111" s="28" t="s">
        <v>2458</v>
      </c>
      <c r="BH111" s="7">
        <f t="shared" si="41"/>
        <v>0</v>
      </c>
      <c r="BI111" s="28" t="s">
        <v>2486</v>
      </c>
      <c r="BJ111" s="7"/>
      <c r="BK111" s="7"/>
      <c r="BL111" s="7">
        <f t="shared" si="42"/>
        <v>10001</v>
      </c>
      <c r="BM111" s="28" t="s">
        <v>2489</v>
      </c>
      <c r="BN111" s="7" t="e">
        <f t="shared" si="43"/>
        <v>#VALUE!</v>
      </c>
      <c r="BO111" s="28"/>
      <c r="BP111" s="7"/>
      <c r="BQ111" s="7">
        <v>4000</v>
      </c>
      <c r="BR111" s="7" t="s">
        <v>3903</v>
      </c>
      <c r="BS111" s="7">
        <f t="shared" si="44"/>
        <v>0</v>
      </c>
      <c r="BT111" s="28" t="s">
        <v>2641</v>
      </c>
      <c r="BU111" s="7">
        <f t="shared" si="45"/>
        <v>2</v>
      </c>
      <c r="BV111" s="28" t="s">
        <v>3940</v>
      </c>
      <c r="BW111" s="54" t="s">
        <v>3941</v>
      </c>
      <c r="BX111" s="54" t="s">
        <v>3941</v>
      </c>
      <c r="BY111" s="7" t="e">
        <f t="shared" si="46"/>
        <v>#VALUE!</v>
      </c>
      <c r="BZ111" s="28"/>
      <c r="CA111" s="7" t="e">
        <f t="shared" si="47"/>
        <v>#VALUE!</v>
      </c>
      <c r="CB111" s="28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</row>
    <row r="112" spans="1:92">
      <c r="A112" s="7">
        <v>100</v>
      </c>
      <c r="B112" s="7">
        <v>416223</v>
      </c>
      <c r="C112" s="7">
        <f t="shared" si="48"/>
        <v>1</v>
      </c>
      <c r="D112" s="28" t="s">
        <v>2257</v>
      </c>
      <c r="E112" s="7">
        <f t="shared" si="26"/>
        <v>22</v>
      </c>
      <c r="F112" s="6" t="s">
        <v>3500</v>
      </c>
      <c r="G112" s="7">
        <f t="shared" si="27"/>
        <v>42</v>
      </c>
      <c r="H112" s="7" t="s">
        <v>3588</v>
      </c>
      <c r="I112" s="7">
        <f t="shared" si="28"/>
        <v>26</v>
      </c>
      <c r="J112" s="7" t="s">
        <v>3714</v>
      </c>
      <c r="K112" s="7">
        <f t="shared" si="29"/>
        <v>14</v>
      </c>
      <c r="L112" s="7" t="s">
        <v>3792</v>
      </c>
      <c r="M112" s="7">
        <f t="shared" si="30"/>
        <v>14</v>
      </c>
      <c r="N112" s="7" t="s">
        <v>3792</v>
      </c>
      <c r="O112" s="7">
        <v>1</v>
      </c>
      <c r="P112" s="7" t="s">
        <v>3886</v>
      </c>
      <c r="Q112" s="53"/>
      <c r="R112" s="7">
        <v>1</v>
      </c>
      <c r="S112" s="7">
        <v>1</v>
      </c>
      <c r="T112" s="53"/>
      <c r="U112" s="7">
        <v>1</v>
      </c>
      <c r="V112" s="7">
        <f t="shared" si="50"/>
        <v>14</v>
      </c>
      <c r="W112" s="28" t="s">
        <v>3900</v>
      </c>
      <c r="X112" s="7">
        <f t="shared" si="50"/>
        <v>14</v>
      </c>
      <c r="Y112" s="28" t="s">
        <v>3900</v>
      </c>
      <c r="Z112" s="7">
        <f t="shared" si="32"/>
        <v>1</v>
      </c>
      <c r="AA112" s="28" t="s">
        <v>3901</v>
      </c>
      <c r="AB112" s="7"/>
      <c r="AC112" s="7"/>
      <c r="AD112" s="7"/>
      <c r="AE112" s="7"/>
      <c r="AF112" s="7">
        <v>0</v>
      </c>
      <c r="AG112" s="7">
        <f t="shared" si="33"/>
        <v>0</v>
      </c>
      <c r="AH112" s="28" t="s">
        <v>2281</v>
      </c>
      <c r="AI112" s="7">
        <v>8</v>
      </c>
      <c r="AJ112" s="7">
        <f t="shared" si="34"/>
        <v>8</v>
      </c>
      <c r="AK112" s="28" t="s">
        <v>2291</v>
      </c>
      <c r="AL112" s="7">
        <f t="shared" si="35"/>
        <v>2</v>
      </c>
      <c r="AM112" s="28" t="s">
        <v>2295</v>
      </c>
      <c r="AN112" s="7">
        <f t="shared" si="36"/>
        <v>0</v>
      </c>
      <c r="AO112" s="28" t="s">
        <v>2297</v>
      </c>
      <c r="AP112" s="7">
        <f t="shared" si="37"/>
        <v>2</v>
      </c>
      <c r="AQ112" s="28" t="s">
        <v>2301</v>
      </c>
      <c r="AR112" s="7"/>
      <c r="AS112" s="7" t="s">
        <v>3902</v>
      </c>
      <c r="AT112" s="7"/>
      <c r="AU112" s="7"/>
      <c r="AV112" s="7">
        <f t="shared" si="38"/>
        <v>8461</v>
      </c>
      <c r="AW112" s="28" t="s">
        <v>3284</v>
      </c>
      <c r="AX112" s="7">
        <v>1</v>
      </c>
      <c r="AY112" s="7">
        <f t="shared" si="39"/>
        <v>1200</v>
      </c>
      <c r="AZ112" s="28" t="s">
        <v>2415</v>
      </c>
      <c r="BA112" s="7">
        <v>0</v>
      </c>
      <c r="BB112" s="7">
        <v>10</v>
      </c>
      <c r="BC112" s="7">
        <v>0</v>
      </c>
      <c r="BD112" s="7">
        <v>10</v>
      </c>
      <c r="BE112" s="7"/>
      <c r="BF112" s="7">
        <f t="shared" si="40"/>
        <v>31</v>
      </c>
      <c r="BG112" s="28" t="s">
        <v>2458</v>
      </c>
      <c r="BH112" s="7">
        <f t="shared" si="41"/>
        <v>0</v>
      </c>
      <c r="BI112" s="28" t="s">
        <v>2486</v>
      </c>
      <c r="BJ112" s="7"/>
      <c r="BK112" s="7"/>
      <c r="BL112" s="7">
        <f t="shared" si="42"/>
        <v>10001</v>
      </c>
      <c r="BM112" s="28" t="s">
        <v>2489</v>
      </c>
      <c r="BN112" s="7" t="e">
        <f t="shared" si="43"/>
        <v>#VALUE!</v>
      </c>
      <c r="BO112" s="28"/>
      <c r="BP112" s="7"/>
      <c r="BQ112" s="7">
        <v>4000</v>
      </c>
      <c r="BR112" s="7" t="s">
        <v>3903</v>
      </c>
      <c r="BS112" s="7">
        <f t="shared" si="44"/>
        <v>0</v>
      </c>
      <c r="BT112" s="28" t="s">
        <v>2641</v>
      </c>
      <c r="BU112" s="7">
        <f t="shared" si="45"/>
        <v>2</v>
      </c>
      <c r="BV112" s="28" t="s">
        <v>3940</v>
      </c>
      <c r="BW112" s="54" t="s">
        <v>3941</v>
      </c>
      <c r="BX112" s="54" t="s">
        <v>3941</v>
      </c>
      <c r="BY112" s="7" t="e">
        <f t="shared" si="46"/>
        <v>#VALUE!</v>
      </c>
      <c r="BZ112" s="28"/>
      <c r="CA112" s="7" t="e">
        <f t="shared" si="47"/>
        <v>#VALUE!</v>
      </c>
      <c r="CB112" s="28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</row>
    <row r="113" spans="1:92">
      <c r="A113" s="7">
        <v>101</v>
      </c>
      <c r="B113" s="7">
        <v>416224</v>
      </c>
      <c r="C113" s="7">
        <f t="shared" ref="C113:C139" si="51">ABS(LEFT(D113,1))</f>
        <v>1</v>
      </c>
      <c r="D113" s="28" t="s">
        <v>2257</v>
      </c>
      <c r="E113" s="7">
        <f t="shared" ref="E113:E139" si="52">LENB(F113)</f>
        <v>56</v>
      </c>
      <c r="F113" s="6" t="s">
        <v>3501</v>
      </c>
      <c r="G113" s="7">
        <f t="shared" ref="G113:G139" si="53">LENB(H113)</f>
        <v>47</v>
      </c>
      <c r="H113" s="7" t="s">
        <v>3616</v>
      </c>
      <c r="I113" s="7">
        <f t="shared" ref="I113:I139" si="54">LENB(J113)</f>
        <v>44</v>
      </c>
      <c r="J113" s="7" t="s">
        <v>3715</v>
      </c>
      <c r="K113" s="7">
        <f t="shared" ref="K113:K125" si="55">LENB(L113)</f>
        <v>20</v>
      </c>
      <c r="L113" s="7" t="s">
        <v>3937</v>
      </c>
      <c r="M113" s="7">
        <f t="shared" ref="M113:M125" si="56">LENB(N113)</f>
        <v>20</v>
      </c>
      <c r="N113" s="7" t="s">
        <v>3937</v>
      </c>
      <c r="O113" s="7">
        <v>1</v>
      </c>
      <c r="P113" s="7" t="s">
        <v>3887</v>
      </c>
      <c r="Q113" s="53"/>
      <c r="R113" s="7">
        <v>1</v>
      </c>
      <c r="S113" s="7">
        <v>1</v>
      </c>
      <c r="T113" s="53"/>
      <c r="U113" s="7">
        <v>1</v>
      </c>
      <c r="V113" s="7">
        <f t="shared" ref="V113:V139" si="57">ABS(LEFT(W113,2))</f>
        <v>14</v>
      </c>
      <c r="W113" s="28" t="s">
        <v>3900</v>
      </c>
      <c r="X113" s="7">
        <f t="shared" ref="X113:X139" si="58">ABS(LEFT(Y113,2))</f>
        <v>14</v>
      </c>
      <c r="Y113" s="28" t="s">
        <v>3900</v>
      </c>
      <c r="Z113" s="7">
        <f t="shared" ref="Z113:Z139" si="59">ABS(LEFT(AA113,1))</f>
        <v>1</v>
      </c>
      <c r="AA113" s="28" t="s">
        <v>3901</v>
      </c>
      <c r="AB113" s="7"/>
      <c r="AC113" s="7"/>
      <c r="AD113" s="7"/>
      <c r="AE113" s="7"/>
      <c r="AF113" s="7">
        <v>0</v>
      </c>
      <c r="AG113" s="7">
        <f t="shared" ref="AG113:AG139" si="60">ABS(LEFT(AH113,1))</f>
        <v>0</v>
      </c>
      <c r="AH113" s="28" t="s">
        <v>2281</v>
      </c>
      <c r="AI113" s="7">
        <v>8</v>
      </c>
      <c r="AJ113" s="7">
        <f t="shared" ref="AJ113:AJ139" si="61">ABS(LEFT(AK113,2))</f>
        <v>8</v>
      </c>
      <c r="AK113" s="28" t="s">
        <v>2291</v>
      </c>
      <c r="AL113" s="7">
        <f t="shared" ref="AL113:AL139" si="62">ABS(LEFT(AM113,1))</f>
        <v>2</v>
      </c>
      <c r="AM113" s="28" t="s">
        <v>2295</v>
      </c>
      <c r="AN113" s="7">
        <f t="shared" ref="AN113:AN139" si="63">ABS(LEFT(AO113,1))</f>
        <v>0</v>
      </c>
      <c r="AO113" s="28" t="s">
        <v>2297</v>
      </c>
      <c r="AP113" s="7">
        <f t="shared" ref="AP113:AP139" si="64">ABS(LEFT(AQ113,1))</f>
        <v>2</v>
      </c>
      <c r="AQ113" s="28" t="s">
        <v>2301</v>
      </c>
      <c r="AR113" s="7"/>
      <c r="AS113" s="7" t="s">
        <v>3902</v>
      </c>
      <c r="AT113" s="7"/>
      <c r="AU113" s="7"/>
      <c r="AV113" s="7">
        <f t="shared" ref="AV113:AV139" si="65">ABS(LEFT(AW113,10))</f>
        <v>8461</v>
      </c>
      <c r="AW113" s="28" t="s">
        <v>3284</v>
      </c>
      <c r="AX113" s="7">
        <v>2</v>
      </c>
      <c r="AY113" s="7">
        <f t="shared" ref="AY113:AY139" si="66">ABS(LEFT(AZ113,4))</f>
        <v>1200</v>
      </c>
      <c r="AZ113" s="28" t="s">
        <v>2415</v>
      </c>
      <c r="BA113" s="7">
        <v>0</v>
      </c>
      <c r="BB113" s="7">
        <v>10</v>
      </c>
      <c r="BC113" s="7">
        <v>0</v>
      </c>
      <c r="BD113" s="7">
        <v>10</v>
      </c>
      <c r="BE113" s="7"/>
      <c r="BF113" s="7">
        <f t="shared" ref="BF113:BF139" si="67">ABS(LEFT(BG113,3))</f>
        <v>31</v>
      </c>
      <c r="BG113" s="28" t="s">
        <v>2458</v>
      </c>
      <c r="BH113" s="7">
        <f t="shared" ref="BH113:BH139" si="68">ABS(LEFT(BI113,1))</f>
        <v>0</v>
      </c>
      <c r="BI113" s="28" t="s">
        <v>2486</v>
      </c>
      <c r="BJ113" s="7"/>
      <c r="BK113" s="7"/>
      <c r="BL113" s="7">
        <f t="shared" ref="BL113:BL139" si="69">ABS(LEFT(BM113,5))</f>
        <v>10001</v>
      </c>
      <c r="BM113" s="28" t="s">
        <v>2489</v>
      </c>
      <c r="BN113" s="7" t="e">
        <f t="shared" ref="BN113:BN139" si="70">ABS(LEFT(BO113,5))</f>
        <v>#VALUE!</v>
      </c>
      <c r="BO113" s="28"/>
      <c r="BP113" s="7"/>
      <c r="BQ113" s="7">
        <v>4000</v>
      </c>
      <c r="BR113" s="7" t="s">
        <v>3903</v>
      </c>
      <c r="BS113" s="7">
        <f t="shared" ref="BS113:BS139" si="71">ABS(LEFT(BT113,1))</f>
        <v>0</v>
      </c>
      <c r="BT113" s="28" t="s">
        <v>2641</v>
      </c>
      <c r="BU113" s="7">
        <f t="shared" ref="BU113:BU139" si="72">ABS(LEFT(BV113,1))</f>
        <v>2</v>
      </c>
      <c r="BV113" s="28" t="s">
        <v>3940</v>
      </c>
      <c r="BW113" s="54" t="s">
        <v>3941</v>
      </c>
      <c r="BX113" s="54" t="s">
        <v>3941</v>
      </c>
      <c r="BY113" s="7" t="e">
        <f t="shared" ref="BY113:BY139" si="73">ABS(LEFT(BZ113,1))</f>
        <v>#VALUE!</v>
      </c>
      <c r="BZ113" s="28"/>
      <c r="CA113" s="7" t="e">
        <f t="shared" ref="CA113:CA139" si="74">ABS(LEFT(CB113,1))</f>
        <v>#VALUE!</v>
      </c>
      <c r="CB113" s="28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</row>
    <row r="114" spans="1:92">
      <c r="A114" s="7">
        <v>102</v>
      </c>
      <c r="B114" s="7">
        <v>416225</v>
      </c>
      <c r="C114" s="7">
        <f t="shared" si="51"/>
        <v>1</v>
      </c>
      <c r="D114" s="28" t="s">
        <v>2257</v>
      </c>
      <c r="E114" s="7">
        <f t="shared" si="52"/>
        <v>14</v>
      </c>
      <c r="F114" s="6" t="s">
        <v>3415</v>
      </c>
      <c r="G114" s="7">
        <f t="shared" si="53"/>
        <v>31</v>
      </c>
      <c r="H114" s="7" t="s">
        <v>3589</v>
      </c>
      <c r="I114" s="7">
        <f t="shared" si="54"/>
        <v>17</v>
      </c>
      <c r="J114" s="7" t="s">
        <v>3716</v>
      </c>
      <c r="K114" s="7">
        <f t="shared" si="55"/>
        <v>14</v>
      </c>
      <c r="L114" s="7" t="s">
        <v>3415</v>
      </c>
      <c r="M114" s="7">
        <f t="shared" si="56"/>
        <v>8</v>
      </c>
      <c r="N114" s="7" t="s">
        <v>3740</v>
      </c>
      <c r="O114" s="7">
        <v>1</v>
      </c>
      <c r="P114" s="7" t="s">
        <v>3888</v>
      </c>
      <c r="Q114" s="53"/>
      <c r="R114" s="7">
        <v>1</v>
      </c>
      <c r="S114" s="7">
        <v>1</v>
      </c>
      <c r="T114" s="53"/>
      <c r="U114" s="7">
        <v>1</v>
      </c>
      <c r="V114" s="7">
        <f t="shared" si="57"/>
        <v>14</v>
      </c>
      <c r="W114" s="28" t="s">
        <v>3900</v>
      </c>
      <c r="X114" s="7">
        <f t="shared" si="58"/>
        <v>14</v>
      </c>
      <c r="Y114" s="28" t="s">
        <v>3900</v>
      </c>
      <c r="Z114" s="7">
        <f t="shared" si="59"/>
        <v>1</v>
      </c>
      <c r="AA114" s="28" t="s">
        <v>3901</v>
      </c>
      <c r="AB114" s="7"/>
      <c r="AC114" s="7"/>
      <c r="AD114" s="7"/>
      <c r="AE114" s="7"/>
      <c r="AF114" s="7">
        <v>0</v>
      </c>
      <c r="AG114" s="7">
        <f t="shared" si="60"/>
        <v>0</v>
      </c>
      <c r="AH114" s="28" t="s">
        <v>2281</v>
      </c>
      <c r="AI114" s="7">
        <v>8</v>
      </c>
      <c r="AJ114" s="7">
        <f t="shared" si="61"/>
        <v>8</v>
      </c>
      <c r="AK114" s="28" t="s">
        <v>2291</v>
      </c>
      <c r="AL114" s="7">
        <f t="shared" si="62"/>
        <v>2</v>
      </c>
      <c r="AM114" s="28" t="s">
        <v>2295</v>
      </c>
      <c r="AN114" s="7">
        <f t="shared" si="63"/>
        <v>0</v>
      </c>
      <c r="AO114" s="28" t="s">
        <v>2297</v>
      </c>
      <c r="AP114" s="7">
        <f t="shared" si="64"/>
        <v>2</v>
      </c>
      <c r="AQ114" s="28" t="s">
        <v>2301</v>
      </c>
      <c r="AR114" s="7"/>
      <c r="AS114" s="7" t="s">
        <v>3902</v>
      </c>
      <c r="AT114" s="7"/>
      <c r="AU114" s="7"/>
      <c r="AV114" s="7">
        <f t="shared" si="65"/>
        <v>8902</v>
      </c>
      <c r="AW114" s="28" t="s">
        <v>3140</v>
      </c>
      <c r="AX114" s="7">
        <v>3</v>
      </c>
      <c r="AY114" s="7">
        <f t="shared" si="66"/>
        <v>1203</v>
      </c>
      <c r="AZ114" s="28" t="s">
        <v>2418</v>
      </c>
      <c r="BA114" s="7">
        <v>0</v>
      </c>
      <c r="BB114" s="7">
        <v>10</v>
      </c>
      <c r="BC114" s="7">
        <v>0</v>
      </c>
      <c r="BD114" s="7">
        <v>10</v>
      </c>
      <c r="BE114" s="7"/>
      <c r="BF114" s="7">
        <f t="shared" si="67"/>
        <v>31</v>
      </c>
      <c r="BG114" s="28" t="s">
        <v>2458</v>
      </c>
      <c r="BH114" s="7">
        <f t="shared" si="68"/>
        <v>0</v>
      </c>
      <c r="BI114" s="28" t="s">
        <v>2486</v>
      </c>
      <c r="BJ114" s="7"/>
      <c r="BK114" s="7"/>
      <c r="BL114" s="7">
        <f t="shared" si="69"/>
        <v>10001</v>
      </c>
      <c r="BM114" s="28" t="s">
        <v>2489</v>
      </c>
      <c r="BN114" s="7" t="e">
        <f t="shared" si="70"/>
        <v>#VALUE!</v>
      </c>
      <c r="BO114" s="28"/>
      <c r="BP114" s="7"/>
      <c r="BQ114" s="7">
        <v>4000</v>
      </c>
      <c r="BR114" s="7" t="s">
        <v>3903</v>
      </c>
      <c r="BS114" s="7">
        <f t="shared" si="71"/>
        <v>0</v>
      </c>
      <c r="BT114" s="28" t="s">
        <v>2641</v>
      </c>
      <c r="BU114" s="7">
        <f t="shared" si="72"/>
        <v>2</v>
      </c>
      <c r="BV114" s="28" t="s">
        <v>3940</v>
      </c>
      <c r="BW114" s="54" t="s">
        <v>3941</v>
      </c>
      <c r="BX114" s="54" t="s">
        <v>3941</v>
      </c>
      <c r="BY114" s="7" t="e">
        <f t="shared" si="73"/>
        <v>#VALUE!</v>
      </c>
      <c r="BZ114" s="28"/>
      <c r="CA114" s="7" t="e">
        <f t="shared" si="74"/>
        <v>#VALUE!</v>
      </c>
      <c r="CB114" s="28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</row>
    <row r="115" spans="1:92">
      <c r="A115" s="7">
        <v>103</v>
      </c>
      <c r="B115" s="7">
        <v>416226</v>
      </c>
      <c r="C115" s="7">
        <f t="shared" si="51"/>
        <v>1</v>
      </c>
      <c r="D115" s="28" t="s">
        <v>2257</v>
      </c>
      <c r="E115" s="7">
        <f t="shared" si="52"/>
        <v>14</v>
      </c>
      <c r="F115" s="6" t="s">
        <v>3415</v>
      </c>
      <c r="G115" s="7">
        <f t="shared" si="53"/>
        <v>31</v>
      </c>
      <c r="H115" s="7" t="s">
        <v>3590</v>
      </c>
      <c r="I115" s="7">
        <f t="shared" si="54"/>
        <v>17</v>
      </c>
      <c r="J115" s="7" t="s">
        <v>3717</v>
      </c>
      <c r="K115" s="7">
        <f t="shared" si="55"/>
        <v>14</v>
      </c>
      <c r="L115" s="7" t="s">
        <v>3415</v>
      </c>
      <c r="M115" s="7">
        <f t="shared" si="56"/>
        <v>8</v>
      </c>
      <c r="N115" s="7" t="s">
        <v>3740</v>
      </c>
      <c r="O115" s="7">
        <v>1</v>
      </c>
      <c r="P115" s="7" t="s">
        <v>3889</v>
      </c>
      <c r="Q115" s="53"/>
      <c r="R115" s="7">
        <v>1</v>
      </c>
      <c r="S115" s="7">
        <v>1</v>
      </c>
      <c r="T115" s="53"/>
      <c r="U115" s="7">
        <v>1</v>
      </c>
      <c r="V115" s="7">
        <f t="shared" si="57"/>
        <v>14</v>
      </c>
      <c r="W115" s="28" t="s">
        <v>3900</v>
      </c>
      <c r="X115" s="7">
        <f t="shared" si="58"/>
        <v>14</v>
      </c>
      <c r="Y115" s="28" t="s">
        <v>3900</v>
      </c>
      <c r="Z115" s="7">
        <f t="shared" si="59"/>
        <v>1</v>
      </c>
      <c r="AA115" s="28" t="s">
        <v>3901</v>
      </c>
      <c r="AB115" s="7"/>
      <c r="AC115" s="7"/>
      <c r="AD115" s="7"/>
      <c r="AE115" s="7"/>
      <c r="AF115" s="7">
        <v>0</v>
      </c>
      <c r="AG115" s="7">
        <f t="shared" si="60"/>
        <v>0</v>
      </c>
      <c r="AH115" s="28" t="s">
        <v>2281</v>
      </c>
      <c r="AI115" s="7">
        <v>8</v>
      </c>
      <c r="AJ115" s="7">
        <f t="shared" si="61"/>
        <v>8</v>
      </c>
      <c r="AK115" s="28" t="s">
        <v>2291</v>
      </c>
      <c r="AL115" s="7">
        <f t="shared" si="62"/>
        <v>2</v>
      </c>
      <c r="AM115" s="28" t="s">
        <v>2295</v>
      </c>
      <c r="AN115" s="7">
        <f t="shared" si="63"/>
        <v>0</v>
      </c>
      <c r="AO115" s="28" t="s">
        <v>2297</v>
      </c>
      <c r="AP115" s="7">
        <f t="shared" si="64"/>
        <v>2</v>
      </c>
      <c r="AQ115" s="28" t="s">
        <v>2301</v>
      </c>
      <c r="AR115" s="7"/>
      <c r="AS115" s="7" t="s">
        <v>3902</v>
      </c>
      <c r="AT115" s="7"/>
      <c r="AU115" s="7"/>
      <c r="AV115" s="7">
        <f t="shared" si="65"/>
        <v>8902</v>
      </c>
      <c r="AW115" s="28" t="s">
        <v>3140</v>
      </c>
      <c r="AX115" s="7">
        <v>4</v>
      </c>
      <c r="AY115" s="7">
        <f t="shared" si="66"/>
        <v>1203</v>
      </c>
      <c r="AZ115" s="28" t="s">
        <v>2418</v>
      </c>
      <c r="BA115" s="7">
        <v>0</v>
      </c>
      <c r="BB115" s="7">
        <v>10</v>
      </c>
      <c r="BC115" s="7">
        <v>0</v>
      </c>
      <c r="BD115" s="7">
        <v>10</v>
      </c>
      <c r="BE115" s="7"/>
      <c r="BF115" s="7">
        <f t="shared" si="67"/>
        <v>31</v>
      </c>
      <c r="BG115" s="28" t="s">
        <v>2458</v>
      </c>
      <c r="BH115" s="7">
        <f t="shared" si="68"/>
        <v>0</v>
      </c>
      <c r="BI115" s="28" t="s">
        <v>2486</v>
      </c>
      <c r="BJ115" s="7"/>
      <c r="BK115" s="7"/>
      <c r="BL115" s="7">
        <f t="shared" si="69"/>
        <v>10001</v>
      </c>
      <c r="BM115" s="28" t="s">
        <v>2489</v>
      </c>
      <c r="BN115" s="7" t="e">
        <f t="shared" si="70"/>
        <v>#VALUE!</v>
      </c>
      <c r="BO115" s="28"/>
      <c r="BP115" s="7"/>
      <c r="BQ115" s="7">
        <v>4000</v>
      </c>
      <c r="BR115" s="7" t="s">
        <v>3903</v>
      </c>
      <c r="BS115" s="7">
        <f t="shared" si="71"/>
        <v>0</v>
      </c>
      <c r="BT115" s="28" t="s">
        <v>2641</v>
      </c>
      <c r="BU115" s="7">
        <f t="shared" si="72"/>
        <v>2</v>
      </c>
      <c r="BV115" s="28" t="s">
        <v>3940</v>
      </c>
      <c r="BW115" s="54" t="s">
        <v>3941</v>
      </c>
      <c r="BX115" s="54" t="s">
        <v>3941</v>
      </c>
      <c r="BY115" s="7" t="e">
        <f t="shared" si="73"/>
        <v>#VALUE!</v>
      </c>
      <c r="BZ115" s="28"/>
      <c r="CA115" s="7" t="e">
        <f t="shared" si="74"/>
        <v>#VALUE!</v>
      </c>
      <c r="CB115" s="28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</row>
    <row r="116" spans="1:92">
      <c r="A116" s="7">
        <v>104</v>
      </c>
      <c r="B116" s="7">
        <v>416227</v>
      </c>
      <c r="C116" s="7">
        <f t="shared" si="51"/>
        <v>1</v>
      </c>
      <c r="D116" s="28" t="s">
        <v>2257</v>
      </c>
      <c r="E116" s="7">
        <f t="shared" si="52"/>
        <v>14</v>
      </c>
      <c r="F116" s="6" t="s">
        <v>3502</v>
      </c>
      <c r="G116" s="7">
        <f t="shared" si="53"/>
        <v>32</v>
      </c>
      <c r="H116" s="7" t="s">
        <v>3591</v>
      </c>
      <c r="I116" s="7">
        <f t="shared" si="54"/>
        <v>19</v>
      </c>
      <c r="J116" s="7" t="s">
        <v>3718</v>
      </c>
      <c r="K116" s="7">
        <f t="shared" si="55"/>
        <v>14</v>
      </c>
      <c r="L116" s="7" t="s">
        <v>3502</v>
      </c>
      <c r="M116" s="7">
        <f t="shared" si="56"/>
        <v>9</v>
      </c>
      <c r="N116" s="7" t="s">
        <v>3793</v>
      </c>
      <c r="O116" s="7">
        <v>1</v>
      </c>
      <c r="P116" s="7" t="s">
        <v>3890</v>
      </c>
      <c r="Q116" s="53"/>
      <c r="R116" s="7">
        <v>1</v>
      </c>
      <c r="S116" s="7">
        <v>1</v>
      </c>
      <c r="T116" s="53"/>
      <c r="U116" s="7">
        <v>1</v>
      </c>
      <c r="V116" s="7">
        <f t="shared" si="57"/>
        <v>14</v>
      </c>
      <c r="W116" s="28" t="s">
        <v>3900</v>
      </c>
      <c r="X116" s="7">
        <f t="shared" si="58"/>
        <v>14</v>
      </c>
      <c r="Y116" s="28" t="s">
        <v>3900</v>
      </c>
      <c r="Z116" s="7">
        <f t="shared" si="59"/>
        <v>1</v>
      </c>
      <c r="AA116" s="28" t="s">
        <v>3901</v>
      </c>
      <c r="AB116" s="7"/>
      <c r="AC116" s="7"/>
      <c r="AD116" s="7"/>
      <c r="AE116" s="7"/>
      <c r="AF116" s="7">
        <v>0</v>
      </c>
      <c r="AG116" s="7">
        <f t="shared" si="60"/>
        <v>0</v>
      </c>
      <c r="AH116" s="28" t="s">
        <v>2281</v>
      </c>
      <c r="AI116" s="7">
        <v>8</v>
      </c>
      <c r="AJ116" s="7">
        <f t="shared" si="61"/>
        <v>8</v>
      </c>
      <c r="AK116" s="28" t="s">
        <v>2291</v>
      </c>
      <c r="AL116" s="7">
        <f t="shared" si="62"/>
        <v>2</v>
      </c>
      <c r="AM116" s="28" t="s">
        <v>2295</v>
      </c>
      <c r="AN116" s="7">
        <f t="shared" si="63"/>
        <v>0</v>
      </c>
      <c r="AO116" s="28" t="s">
        <v>2297</v>
      </c>
      <c r="AP116" s="7">
        <f t="shared" si="64"/>
        <v>2</v>
      </c>
      <c r="AQ116" s="28" t="s">
        <v>2301</v>
      </c>
      <c r="AR116" s="7"/>
      <c r="AS116" s="7" t="s">
        <v>3902</v>
      </c>
      <c r="AT116" s="7"/>
      <c r="AU116" s="7"/>
      <c r="AV116" s="7">
        <f t="shared" si="65"/>
        <v>8902</v>
      </c>
      <c r="AW116" s="28" t="s">
        <v>3140</v>
      </c>
      <c r="AX116" s="7">
        <v>5</v>
      </c>
      <c r="AY116" s="7">
        <f t="shared" si="66"/>
        <v>1203</v>
      </c>
      <c r="AZ116" s="28" t="s">
        <v>2418</v>
      </c>
      <c r="BA116" s="7">
        <v>0</v>
      </c>
      <c r="BB116" s="7">
        <v>10</v>
      </c>
      <c r="BC116" s="7">
        <v>0</v>
      </c>
      <c r="BD116" s="7">
        <v>10</v>
      </c>
      <c r="BE116" s="7"/>
      <c r="BF116" s="7">
        <f t="shared" si="67"/>
        <v>31</v>
      </c>
      <c r="BG116" s="28" t="s">
        <v>2458</v>
      </c>
      <c r="BH116" s="7">
        <f t="shared" si="68"/>
        <v>0</v>
      </c>
      <c r="BI116" s="28" t="s">
        <v>2486</v>
      </c>
      <c r="BJ116" s="7"/>
      <c r="BK116" s="7"/>
      <c r="BL116" s="7">
        <f t="shared" si="69"/>
        <v>10001</v>
      </c>
      <c r="BM116" s="28" t="s">
        <v>2489</v>
      </c>
      <c r="BN116" s="7" t="e">
        <f t="shared" si="70"/>
        <v>#VALUE!</v>
      </c>
      <c r="BO116" s="28"/>
      <c r="BP116" s="7"/>
      <c r="BQ116" s="7">
        <v>4000</v>
      </c>
      <c r="BR116" s="7" t="s">
        <v>3903</v>
      </c>
      <c r="BS116" s="7">
        <f t="shared" si="71"/>
        <v>0</v>
      </c>
      <c r="BT116" s="28" t="s">
        <v>2641</v>
      </c>
      <c r="BU116" s="7">
        <f t="shared" si="72"/>
        <v>2</v>
      </c>
      <c r="BV116" s="28" t="s">
        <v>3940</v>
      </c>
      <c r="BW116" s="54" t="s">
        <v>3941</v>
      </c>
      <c r="BX116" s="54" t="s">
        <v>3941</v>
      </c>
      <c r="BY116" s="7" t="e">
        <f t="shared" si="73"/>
        <v>#VALUE!</v>
      </c>
      <c r="BZ116" s="28"/>
      <c r="CA116" s="7" t="e">
        <f t="shared" si="74"/>
        <v>#VALUE!</v>
      </c>
      <c r="CB116" s="28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</row>
    <row r="117" spans="1:92">
      <c r="A117" s="7">
        <v>105</v>
      </c>
      <c r="B117" s="7">
        <v>416228</v>
      </c>
      <c r="C117" s="7">
        <f t="shared" si="51"/>
        <v>1</v>
      </c>
      <c r="D117" s="28" t="s">
        <v>2257</v>
      </c>
      <c r="E117" s="7">
        <f t="shared" si="52"/>
        <v>24</v>
      </c>
      <c r="F117" s="6" t="s">
        <v>3503</v>
      </c>
      <c r="G117" s="7">
        <f t="shared" si="53"/>
        <v>44</v>
      </c>
      <c r="H117" s="7" t="s">
        <v>3592</v>
      </c>
      <c r="I117" s="7">
        <f t="shared" si="54"/>
        <v>25</v>
      </c>
      <c r="J117" s="7" t="s">
        <v>3719</v>
      </c>
      <c r="K117" s="7">
        <f t="shared" si="55"/>
        <v>13</v>
      </c>
      <c r="L117" s="7" t="s">
        <v>3794</v>
      </c>
      <c r="M117" s="7">
        <f t="shared" si="56"/>
        <v>13</v>
      </c>
      <c r="N117" s="7" t="s">
        <v>3794</v>
      </c>
      <c r="O117" s="7">
        <v>1</v>
      </c>
      <c r="P117" s="7" t="s">
        <v>3891</v>
      </c>
      <c r="Q117" s="53"/>
      <c r="R117" s="7">
        <v>1</v>
      </c>
      <c r="S117" s="7">
        <v>1</v>
      </c>
      <c r="T117" s="53"/>
      <c r="U117" s="7">
        <v>1</v>
      </c>
      <c r="V117" s="7">
        <f t="shared" si="57"/>
        <v>14</v>
      </c>
      <c r="W117" s="28" t="s">
        <v>3900</v>
      </c>
      <c r="X117" s="7">
        <f t="shared" si="58"/>
        <v>14</v>
      </c>
      <c r="Y117" s="28" t="s">
        <v>3900</v>
      </c>
      <c r="Z117" s="7">
        <f t="shared" si="59"/>
        <v>1</v>
      </c>
      <c r="AA117" s="28" t="s">
        <v>3901</v>
      </c>
      <c r="AB117" s="7"/>
      <c r="AC117" s="7"/>
      <c r="AD117" s="7"/>
      <c r="AE117" s="7"/>
      <c r="AF117" s="7">
        <v>0</v>
      </c>
      <c r="AG117" s="7">
        <f t="shared" si="60"/>
        <v>0</v>
      </c>
      <c r="AH117" s="28" t="s">
        <v>2281</v>
      </c>
      <c r="AI117" s="7">
        <v>8</v>
      </c>
      <c r="AJ117" s="7">
        <f t="shared" si="61"/>
        <v>8</v>
      </c>
      <c r="AK117" s="28" t="s">
        <v>2291</v>
      </c>
      <c r="AL117" s="7">
        <f t="shared" si="62"/>
        <v>2</v>
      </c>
      <c r="AM117" s="28" t="s">
        <v>2295</v>
      </c>
      <c r="AN117" s="7">
        <f t="shared" si="63"/>
        <v>0</v>
      </c>
      <c r="AO117" s="28" t="s">
        <v>2297</v>
      </c>
      <c r="AP117" s="7">
        <f t="shared" si="64"/>
        <v>2</v>
      </c>
      <c r="AQ117" s="28" t="s">
        <v>2301</v>
      </c>
      <c r="AR117" s="7"/>
      <c r="AS117" s="7" t="s">
        <v>3902</v>
      </c>
      <c r="AT117" s="7"/>
      <c r="AU117" s="7"/>
      <c r="AV117" s="7">
        <f t="shared" si="65"/>
        <v>8902</v>
      </c>
      <c r="AW117" s="28" t="s">
        <v>3140</v>
      </c>
      <c r="AX117" s="7">
        <v>6</v>
      </c>
      <c r="AY117" s="7">
        <f t="shared" si="66"/>
        <v>1203</v>
      </c>
      <c r="AZ117" s="28" t="s">
        <v>2418</v>
      </c>
      <c r="BA117" s="7">
        <v>0</v>
      </c>
      <c r="BB117" s="7">
        <v>10</v>
      </c>
      <c r="BC117" s="7">
        <v>0</v>
      </c>
      <c r="BD117" s="7">
        <v>10</v>
      </c>
      <c r="BE117" s="7"/>
      <c r="BF117" s="7">
        <f t="shared" si="67"/>
        <v>31</v>
      </c>
      <c r="BG117" s="28" t="s">
        <v>2458</v>
      </c>
      <c r="BH117" s="7">
        <f t="shared" si="68"/>
        <v>0</v>
      </c>
      <c r="BI117" s="28" t="s">
        <v>2486</v>
      </c>
      <c r="BJ117" s="7"/>
      <c r="BK117" s="7"/>
      <c r="BL117" s="7">
        <f t="shared" si="69"/>
        <v>10001</v>
      </c>
      <c r="BM117" s="28" t="s">
        <v>2489</v>
      </c>
      <c r="BN117" s="7" t="e">
        <f t="shared" si="70"/>
        <v>#VALUE!</v>
      </c>
      <c r="BO117" s="28"/>
      <c r="BP117" s="7"/>
      <c r="BQ117" s="7">
        <v>4000</v>
      </c>
      <c r="BR117" s="7" t="s">
        <v>3903</v>
      </c>
      <c r="BS117" s="7">
        <f t="shared" si="71"/>
        <v>0</v>
      </c>
      <c r="BT117" s="28" t="s">
        <v>2641</v>
      </c>
      <c r="BU117" s="7">
        <f t="shared" si="72"/>
        <v>2</v>
      </c>
      <c r="BV117" s="28" t="s">
        <v>3940</v>
      </c>
      <c r="BW117" s="54" t="s">
        <v>3941</v>
      </c>
      <c r="BX117" s="54" t="s">
        <v>3941</v>
      </c>
      <c r="BY117" s="7" t="e">
        <f t="shared" si="73"/>
        <v>#VALUE!</v>
      </c>
      <c r="BZ117" s="28"/>
      <c r="CA117" s="7" t="e">
        <f t="shared" si="74"/>
        <v>#VALUE!</v>
      </c>
      <c r="CB117" s="28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</row>
    <row r="118" spans="1:92">
      <c r="A118" s="7">
        <v>106</v>
      </c>
      <c r="B118" s="7">
        <v>416229</v>
      </c>
      <c r="C118" s="7">
        <f t="shared" si="51"/>
        <v>1</v>
      </c>
      <c r="D118" s="28" t="s">
        <v>2257</v>
      </c>
      <c r="E118" s="7">
        <f t="shared" si="52"/>
        <v>24</v>
      </c>
      <c r="F118" s="6" t="s">
        <v>3504</v>
      </c>
      <c r="G118" s="7">
        <f t="shared" si="53"/>
        <v>44</v>
      </c>
      <c r="H118" s="7" t="s">
        <v>3593</v>
      </c>
      <c r="I118" s="7">
        <f t="shared" si="54"/>
        <v>30</v>
      </c>
      <c r="J118" s="7" t="s">
        <v>3720</v>
      </c>
      <c r="K118" s="7">
        <f t="shared" si="55"/>
        <v>18</v>
      </c>
      <c r="L118" s="7" t="s">
        <v>3795</v>
      </c>
      <c r="M118" s="7">
        <f t="shared" si="56"/>
        <v>18</v>
      </c>
      <c r="N118" s="7" t="s">
        <v>3795</v>
      </c>
      <c r="O118" s="7">
        <v>1</v>
      </c>
      <c r="P118" s="7" t="s">
        <v>3892</v>
      </c>
      <c r="Q118" s="53"/>
      <c r="R118" s="7">
        <v>1</v>
      </c>
      <c r="S118" s="7">
        <v>1</v>
      </c>
      <c r="T118" s="53"/>
      <c r="U118" s="7">
        <v>1</v>
      </c>
      <c r="V118" s="7">
        <f t="shared" si="57"/>
        <v>14</v>
      </c>
      <c r="W118" s="28" t="s">
        <v>3900</v>
      </c>
      <c r="X118" s="7">
        <f t="shared" si="58"/>
        <v>14</v>
      </c>
      <c r="Y118" s="28" t="s">
        <v>3900</v>
      </c>
      <c r="Z118" s="7">
        <f t="shared" si="59"/>
        <v>1</v>
      </c>
      <c r="AA118" s="28" t="s">
        <v>3901</v>
      </c>
      <c r="AB118" s="7"/>
      <c r="AC118" s="7"/>
      <c r="AD118" s="7"/>
      <c r="AE118" s="7"/>
      <c r="AF118" s="7">
        <v>0</v>
      </c>
      <c r="AG118" s="7">
        <f t="shared" si="60"/>
        <v>0</v>
      </c>
      <c r="AH118" s="28" t="s">
        <v>2281</v>
      </c>
      <c r="AI118" s="7">
        <v>8</v>
      </c>
      <c r="AJ118" s="7">
        <f t="shared" si="61"/>
        <v>8</v>
      </c>
      <c r="AK118" s="28" t="s">
        <v>2291</v>
      </c>
      <c r="AL118" s="7">
        <f t="shared" si="62"/>
        <v>2</v>
      </c>
      <c r="AM118" s="28" t="s">
        <v>2295</v>
      </c>
      <c r="AN118" s="7">
        <f t="shared" si="63"/>
        <v>0</v>
      </c>
      <c r="AO118" s="28" t="s">
        <v>2297</v>
      </c>
      <c r="AP118" s="7">
        <f t="shared" si="64"/>
        <v>2</v>
      </c>
      <c r="AQ118" s="28" t="s">
        <v>2301</v>
      </c>
      <c r="AR118" s="7"/>
      <c r="AS118" s="7" t="s">
        <v>3902</v>
      </c>
      <c r="AT118" s="7"/>
      <c r="AU118" s="7"/>
      <c r="AV118" s="7">
        <f t="shared" si="65"/>
        <v>8902</v>
      </c>
      <c r="AW118" s="28" t="s">
        <v>3140</v>
      </c>
      <c r="AX118" s="7">
        <v>7</v>
      </c>
      <c r="AY118" s="7">
        <f t="shared" si="66"/>
        <v>1203</v>
      </c>
      <c r="AZ118" s="28" t="s">
        <v>2418</v>
      </c>
      <c r="BA118" s="7">
        <v>0</v>
      </c>
      <c r="BB118" s="7">
        <v>10</v>
      </c>
      <c r="BC118" s="7">
        <v>0</v>
      </c>
      <c r="BD118" s="7">
        <v>10</v>
      </c>
      <c r="BE118" s="7"/>
      <c r="BF118" s="7">
        <f t="shared" si="67"/>
        <v>31</v>
      </c>
      <c r="BG118" s="28" t="s">
        <v>2458</v>
      </c>
      <c r="BH118" s="7">
        <f t="shared" si="68"/>
        <v>0</v>
      </c>
      <c r="BI118" s="28" t="s">
        <v>2486</v>
      </c>
      <c r="BJ118" s="7"/>
      <c r="BK118" s="7"/>
      <c r="BL118" s="7">
        <f t="shared" si="69"/>
        <v>10001</v>
      </c>
      <c r="BM118" s="28" t="s">
        <v>2489</v>
      </c>
      <c r="BN118" s="7" t="e">
        <f t="shared" si="70"/>
        <v>#VALUE!</v>
      </c>
      <c r="BO118" s="28"/>
      <c r="BP118" s="7"/>
      <c r="BQ118" s="7">
        <v>4000</v>
      </c>
      <c r="BR118" s="7" t="s">
        <v>3903</v>
      </c>
      <c r="BS118" s="7">
        <f t="shared" si="71"/>
        <v>0</v>
      </c>
      <c r="BT118" s="28" t="s">
        <v>2641</v>
      </c>
      <c r="BU118" s="7">
        <f t="shared" si="72"/>
        <v>2</v>
      </c>
      <c r="BV118" s="28" t="s">
        <v>3940</v>
      </c>
      <c r="BW118" s="54" t="s">
        <v>3941</v>
      </c>
      <c r="BX118" s="54" t="s">
        <v>3941</v>
      </c>
      <c r="BY118" s="7" t="e">
        <f t="shared" si="73"/>
        <v>#VALUE!</v>
      </c>
      <c r="BZ118" s="28"/>
      <c r="CA118" s="7" t="e">
        <f t="shared" si="74"/>
        <v>#VALUE!</v>
      </c>
      <c r="CB118" s="28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</row>
    <row r="119" spans="1:92">
      <c r="A119" s="7">
        <v>107</v>
      </c>
      <c r="B119" s="7">
        <v>416230</v>
      </c>
      <c r="C119" s="7">
        <f t="shared" si="51"/>
        <v>1</v>
      </c>
      <c r="D119" s="28" t="s">
        <v>2257</v>
      </c>
      <c r="E119" s="7">
        <f t="shared" si="52"/>
        <v>19</v>
      </c>
      <c r="F119" s="6" t="s">
        <v>3505</v>
      </c>
      <c r="G119" s="7">
        <f t="shared" si="53"/>
        <v>39</v>
      </c>
      <c r="H119" s="7" t="s">
        <v>3594</v>
      </c>
      <c r="I119" s="7">
        <f t="shared" si="54"/>
        <v>30</v>
      </c>
      <c r="J119" s="7" t="s">
        <v>3721</v>
      </c>
      <c r="K119" s="7">
        <f t="shared" si="55"/>
        <v>19</v>
      </c>
      <c r="L119" s="7" t="s">
        <v>3505</v>
      </c>
      <c r="M119" s="7">
        <f t="shared" si="56"/>
        <v>18</v>
      </c>
      <c r="N119" s="7" t="s">
        <v>3796</v>
      </c>
      <c r="O119" s="7">
        <v>1</v>
      </c>
      <c r="P119" s="7" t="s">
        <v>3893</v>
      </c>
      <c r="Q119" s="53"/>
      <c r="R119" s="7">
        <v>1</v>
      </c>
      <c r="S119" s="7">
        <v>1</v>
      </c>
      <c r="T119" s="53"/>
      <c r="U119" s="7">
        <v>1</v>
      </c>
      <c r="V119" s="7">
        <f t="shared" si="57"/>
        <v>14</v>
      </c>
      <c r="W119" s="28" t="s">
        <v>3900</v>
      </c>
      <c r="X119" s="7">
        <f t="shared" si="58"/>
        <v>14</v>
      </c>
      <c r="Y119" s="28" t="s">
        <v>3900</v>
      </c>
      <c r="Z119" s="7">
        <f t="shared" si="59"/>
        <v>1</v>
      </c>
      <c r="AA119" s="28" t="s">
        <v>3901</v>
      </c>
      <c r="AB119" s="7"/>
      <c r="AC119" s="7"/>
      <c r="AD119" s="7"/>
      <c r="AE119" s="7"/>
      <c r="AF119" s="7">
        <v>0</v>
      </c>
      <c r="AG119" s="7">
        <f t="shared" si="60"/>
        <v>0</v>
      </c>
      <c r="AH119" s="28" t="s">
        <v>2281</v>
      </c>
      <c r="AI119" s="7">
        <v>8</v>
      </c>
      <c r="AJ119" s="7">
        <f t="shared" si="61"/>
        <v>8</v>
      </c>
      <c r="AK119" s="28" t="s">
        <v>2291</v>
      </c>
      <c r="AL119" s="7">
        <f t="shared" si="62"/>
        <v>2</v>
      </c>
      <c r="AM119" s="28" t="s">
        <v>2295</v>
      </c>
      <c r="AN119" s="7">
        <f t="shared" si="63"/>
        <v>0</v>
      </c>
      <c r="AO119" s="28" t="s">
        <v>2297</v>
      </c>
      <c r="AP119" s="7">
        <f t="shared" si="64"/>
        <v>2</v>
      </c>
      <c r="AQ119" s="28" t="s">
        <v>2301</v>
      </c>
      <c r="AR119" s="7"/>
      <c r="AS119" s="7" t="s">
        <v>3902</v>
      </c>
      <c r="AT119" s="7"/>
      <c r="AU119" s="7"/>
      <c r="AV119" s="7">
        <f t="shared" si="65"/>
        <v>8902</v>
      </c>
      <c r="AW119" s="28" t="s">
        <v>3140</v>
      </c>
      <c r="AX119" s="7">
        <v>8</v>
      </c>
      <c r="AY119" s="7">
        <f t="shared" si="66"/>
        <v>1203</v>
      </c>
      <c r="AZ119" s="28" t="s">
        <v>2418</v>
      </c>
      <c r="BA119" s="7">
        <v>0</v>
      </c>
      <c r="BB119" s="7">
        <v>10</v>
      </c>
      <c r="BC119" s="7">
        <v>0</v>
      </c>
      <c r="BD119" s="7">
        <v>10</v>
      </c>
      <c r="BE119" s="7"/>
      <c r="BF119" s="7">
        <f t="shared" si="67"/>
        <v>31</v>
      </c>
      <c r="BG119" s="28" t="s">
        <v>2458</v>
      </c>
      <c r="BH119" s="7">
        <f t="shared" si="68"/>
        <v>0</v>
      </c>
      <c r="BI119" s="28" t="s">
        <v>2486</v>
      </c>
      <c r="BJ119" s="7"/>
      <c r="BK119" s="7"/>
      <c r="BL119" s="7">
        <f t="shared" si="69"/>
        <v>10001</v>
      </c>
      <c r="BM119" s="28" t="s">
        <v>2489</v>
      </c>
      <c r="BN119" s="7" t="e">
        <f t="shared" si="70"/>
        <v>#VALUE!</v>
      </c>
      <c r="BO119" s="28"/>
      <c r="BP119" s="7"/>
      <c r="BQ119" s="7">
        <v>4000</v>
      </c>
      <c r="BR119" s="7" t="s">
        <v>3903</v>
      </c>
      <c r="BS119" s="7">
        <f t="shared" si="71"/>
        <v>0</v>
      </c>
      <c r="BT119" s="28" t="s">
        <v>2641</v>
      </c>
      <c r="BU119" s="7">
        <f t="shared" si="72"/>
        <v>2</v>
      </c>
      <c r="BV119" s="28" t="s">
        <v>3940</v>
      </c>
      <c r="BW119" s="54" t="s">
        <v>3941</v>
      </c>
      <c r="BX119" s="54" t="s">
        <v>3941</v>
      </c>
      <c r="BY119" s="7" t="e">
        <f t="shared" si="73"/>
        <v>#VALUE!</v>
      </c>
      <c r="BZ119" s="28"/>
      <c r="CA119" s="7" t="e">
        <f t="shared" si="74"/>
        <v>#VALUE!</v>
      </c>
      <c r="CB119" s="28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</row>
    <row r="120" spans="1:92">
      <c r="A120" s="7">
        <v>108</v>
      </c>
      <c r="B120" s="7">
        <v>416231</v>
      </c>
      <c r="C120" s="7">
        <f t="shared" si="51"/>
        <v>0</v>
      </c>
      <c r="D120" s="28" t="s">
        <v>2255</v>
      </c>
      <c r="E120" s="7">
        <f t="shared" si="52"/>
        <v>35</v>
      </c>
      <c r="F120" s="6" t="s">
        <v>3506</v>
      </c>
      <c r="G120" s="7">
        <f t="shared" si="53"/>
        <v>44</v>
      </c>
      <c r="H120" s="7" t="s">
        <v>3617</v>
      </c>
      <c r="I120" s="7">
        <f t="shared" si="54"/>
        <v>28</v>
      </c>
      <c r="J120" s="7" t="s">
        <v>3728</v>
      </c>
      <c r="K120" s="7">
        <f t="shared" si="55"/>
        <v>20</v>
      </c>
      <c r="L120" s="7" t="s">
        <v>3937</v>
      </c>
      <c r="M120" s="7">
        <f t="shared" si="56"/>
        <v>20</v>
      </c>
      <c r="N120" s="7" t="s">
        <v>3937</v>
      </c>
      <c r="O120" s="7">
        <v>1</v>
      </c>
      <c r="P120" s="7" t="s">
        <v>3894</v>
      </c>
      <c r="Q120" s="53"/>
      <c r="R120" s="7">
        <v>1</v>
      </c>
      <c r="S120" s="7">
        <v>1</v>
      </c>
      <c r="T120" s="53"/>
      <c r="U120" s="7">
        <v>1</v>
      </c>
      <c r="V120" s="7">
        <f t="shared" si="57"/>
        <v>14</v>
      </c>
      <c r="W120" s="28" t="s">
        <v>3900</v>
      </c>
      <c r="X120" s="7">
        <f t="shared" si="58"/>
        <v>14</v>
      </c>
      <c r="Y120" s="28" t="s">
        <v>3900</v>
      </c>
      <c r="Z120" s="7">
        <f t="shared" si="59"/>
        <v>1</v>
      </c>
      <c r="AA120" s="28" t="s">
        <v>3901</v>
      </c>
      <c r="AB120" s="7"/>
      <c r="AC120" s="7"/>
      <c r="AD120" s="7"/>
      <c r="AE120" s="7"/>
      <c r="AF120" s="7">
        <v>0</v>
      </c>
      <c r="AG120" s="7">
        <f t="shared" si="60"/>
        <v>0</v>
      </c>
      <c r="AH120" s="28" t="s">
        <v>2281</v>
      </c>
      <c r="AI120" s="7">
        <v>8</v>
      </c>
      <c r="AJ120" s="7">
        <f t="shared" si="61"/>
        <v>8</v>
      </c>
      <c r="AK120" s="28" t="s">
        <v>2291</v>
      </c>
      <c r="AL120" s="7">
        <f t="shared" si="62"/>
        <v>2</v>
      </c>
      <c r="AM120" s="28" t="s">
        <v>2295</v>
      </c>
      <c r="AN120" s="7">
        <f t="shared" si="63"/>
        <v>0</v>
      </c>
      <c r="AO120" s="28" t="s">
        <v>2297</v>
      </c>
      <c r="AP120" s="7">
        <f t="shared" si="64"/>
        <v>2</v>
      </c>
      <c r="AQ120" s="28" t="s">
        <v>2301</v>
      </c>
      <c r="AR120" s="7"/>
      <c r="AS120" s="7" t="s">
        <v>3902</v>
      </c>
      <c r="AT120" s="7"/>
      <c r="AU120" s="7"/>
      <c r="AV120" s="7">
        <f t="shared" si="65"/>
        <v>8902</v>
      </c>
      <c r="AW120" s="28" t="s">
        <v>3140</v>
      </c>
      <c r="AX120" s="7">
        <v>9</v>
      </c>
      <c r="AY120" s="7">
        <f t="shared" si="66"/>
        <v>1203</v>
      </c>
      <c r="AZ120" s="28" t="s">
        <v>2418</v>
      </c>
      <c r="BA120" s="7">
        <v>0</v>
      </c>
      <c r="BB120" s="7">
        <v>10</v>
      </c>
      <c r="BC120" s="7">
        <v>0</v>
      </c>
      <c r="BD120" s="7">
        <v>10</v>
      </c>
      <c r="BE120" s="7"/>
      <c r="BF120" s="7">
        <f t="shared" si="67"/>
        <v>31</v>
      </c>
      <c r="BG120" s="28" t="s">
        <v>2458</v>
      </c>
      <c r="BH120" s="7">
        <f t="shared" si="68"/>
        <v>0</v>
      </c>
      <c r="BI120" s="28" t="s">
        <v>2486</v>
      </c>
      <c r="BJ120" s="7"/>
      <c r="BK120" s="7"/>
      <c r="BL120" s="7">
        <f t="shared" si="69"/>
        <v>10001</v>
      </c>
      <c r="BM120" s="28" t="s">
        <v>2489</v>
      </c>
      <c r="BN120" s="7" t="e">
        <f t="shared" si="70"/>
        <v>#VALUE!</v>
      </c>
      <c r="BO120" s="28"/>
      <c r="BP120" s="7"/>
      <c r="BQ120" s="7">
        <v>4000</v>
      </c>
      <c r="BR120" s="7" t="s">
        <v>3903</v>
      </c>
      <c r="BS120" s="7">
        <f t="shared" si="71"/>
        <v>0</v>
      </c>
      <c r="BT120" s="28" t="s">
        <v>2641</v>
      </c>
      <c r="BU120" s="7">
        <f t="shared" si="72"/>
        <v>2</v>
      </c>
      <c r="BV120" s="28" t="s">
        <v>3940</v>
      </c>
      <c r="BW120" s="54" t="s">
        <v>3941</v>
      </c>
      <c r="BX120" s="54" t="s">
        <v>3941</v>
      </c>
      <c r="BY120" s="7" t="e">
        <f t="shared" si="73"/>
        <v>#VALUE!</v>
      </c>
      <c r="BZ120" s="28"/>
      <c r="CA120" s="7" t="e">
        <f t="shared" si="74"/>
        <v>#VALUE!</v>
      </c>
      <c r="CB120" s="28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</row>
    <row r="121" spans="1:92">
      <c r="A121" s="7">
        <v>109</v>
      </c>
      <c r="B121" s="7">
        <v>416232</v>
      </c>
      <c r="C121" s="7">
        <f t="shared" si="51"/>
        <v>0</v>
      </c>
      <c r="D121" s="28" t="s">
        <v>2255</v>
      </c>
      <c r="E121" s="7">
        <f t="shared" si="52"/>
        <v>26</v>
      </c>
      <c r="F121" s="6" t="s">
        <v>3507</v>
      </c>
      <c r="G121" s="7">
        <f t="shared" si="53"/>
        <v>44</v>
      </c>
      <c r="H121" s="7" t="s">
        <v>3595</v>
      </c>
      <c r="I121" s="7">
        <f t="shared" si="54"/>
        <v>26</v>
      </c>
      <c r="J121" s="7" t="s">
        <v>3722</v>
      </c>
      <c r="K121" s="7">
        <f t="shared" si="55"/>
        <v>16</v>
      </c>
      <c r="L121" s="7" t="s">
        <v>3797</v>
      </c>
      <c r="M121" s="7">
        <f t="shared" si="56"/>
        <v>16</v>
      </c>
      <c r="N121" s="7" t="s">
        <v>3797</v>
      </c>
      <c r="O121" s="7">
        <v>1</v>
      </c>
      <c r="P121" s="7" t="s">
        <v>3895</v>
      </c>
      <c r="Q121" s="53"/>
      <c r="R121" s="7">
        <v>1</v>
      </c>
      <c r="S121" s="7">
        <v>1</v>
      </c>
      <c r="T121" s="53"/>
      <c r="U121" s="7">
        <v>1</v>
      </c>
      <c r="V121" s="7">
        <f t="shared" si="57"/>
        <v>14</v>
      </c>
      <c r="W121" s="28" t="s">
        <v>3900</v>
      </c>
      <c r="X121" s="7">
        <f t="shared" si="58"/>
        <v>14</v>
      </c>
      <c r="Y121" s="28" t="s">
        <v>3900</v>
      </c>
      <c r="Z121" s="7">
        <f t="shared" si="59"/>
        <v>1</v>
      </c>
      <c r="AA121" s="28" t="s">
        <v>3901</v>
      </c>
      <c r="AB121" s="7"/>
      <c r="AC121" s="7"/>
      <c r="AD121" s="7"/>
      <c r="AE121" s="7"/>
      <c r="AF121" s="7">
        <v>0</v>
      </c>
      <c r="AG121" s="7">
        <f t="shared" si="60"/>
        <v>0</v>
      </c>
      <c r="AH121" s="28" t="s">
        <v>2281</v>
      </c>
      <c r="AI121" s="7">
        <v>8</v>
      </c>
      <c r="AJ121" s="7">
        <f t="shared" si="61"/>
        <v>8</v>
      </c>
      <c r="AK121" s="28" t="s">
        <v>2291</v>
      </c>
      <c r="AL121" s="7">
        <f t="shared" si="62"/>
        <v>2</v>
      </c>
      <c r="AM121" s="28" t="s">
        <v>2295</v>
      </c>
      <c r="AN121" s="7">
        <f t="shared" si="63"/>
        <v>0</v>
      </c>
      <c r="AO121" s="28" t="s">
        <v>2297</v>
      </c>
      <c r="AP121" s="7">
        <f t="shared" si="64"/>
        <v>2</v>
      </c>
      <c r="AQ121" s="28" t="s">
        <v>2301</v>
      </c>
      <c r="AR121" s="7"/>
      <c r="AS121" s="7" t="s">
        <v>3902</v>
      </c>
      <c r="AT121" s="7"/>
      <c r="AU121" s="7"/>
      <c r="AV121" s="7">
        <f t="shared" si="65"/>
        <v>8461</v>
      </c>
      <c r="AW121" s="28" t="s">
        <v>3284</v>
      </c>
      <c r="AX121" s="7">
        <v>10</v>
      </c>
      <c r="AY121" s="7">
        <f t="shared" si="66"/>
        <v>1208</v>
      </c>
      <c r="AZ121" s="28" t="s">
        <v>2423</v>
      </c>
      <c r="BA121" s="7">
        <v>0</v>
      </c>
      <c r="BB121" s="7">
        <v>10</v>
      </c>
      <c r="BC121" s="7">
        <v>0</v>
      </c>
      <c r="BD121" s="7">
        <v>10</v>
      </c>
      <c r="BE121" s="7"/>
      <c r="BF121" s="7">
        <f t="shared" si="67"/>
        <v>32</v>
      </c>
      <c r="BG121" s="28" t="s">
        <v>2459</v>
      </c>
      <c r="BH121" s="7">
        <f t="shared" si="68"/>
        <v>0</v>
      </c>
      <c r="BI121" s="28" t="s">
        <v>2486</v>
      </c>
      <c r="BJ121" s="7"/>
      <c r="BK121" s="7"/>
      <c r="BL121" s="7">
        <f t="shared" si="69"/>
        <v>10001</v>
      </c>
      <c r="BM121" s="28" t="s">
        <v>2489</v>
      </c>
      <c r="BN121" s="7" t="e">
        <f t="shared" si="70"/>
        <v>#VALUE!</v>
      </c>
      <c r="BO121" s="28"/>
      <c r="BP121" s="7"/>
      <c r="BQ121" s="7">
        <v>4000</v>
      </c>
      <c r="BR121" s="7" t="s">
        <v>3903</v>
      </c>
      <c r="BS121" s="7">
        <f t="shared" si="71"/>
        <v>0</v>
      </c>
      <c r="BT121" s="28" t="s">
        <v>2641</v>
      </c>
      <c r="BU121" s="7">
        <f t="shared" si="72"/>
        <v>2</v>
      </c>
      <c r="BV121" s="28" t="s">
        <v>3940</v>
      </c>
      <c r="BW121" s="54" t="s">
        <v>3941</v>
      </c>
      <c r="BX121" s="54" t="s">
        <v>3941</v>
      </c>
      <c r="BY121" s="7" t="e">
        <f t="shared" si="73"/>
        <v>#VALUE!</v>
      </c>
      <c r="BZ121" s="28"/>
      <c r="CA121" s="7" t="e">
        <f t="shared" si="74"/>
        <v>#VALUE!</v>
      </c>
      <c r="CB121" s="28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</row>
    <row r="122" spans="1:92">
      <c r="A122" s="7">
        <v>110</v>
      </c>
      <c r="B122" s="7">
        <v>416233</v>
      </c>
      <c r="C122" s="7">
        <f t="shared" si="51"/>
        <v>0</v>
      </c>
      <c r="D122" s="28" t="s">
        <v>2255</v>
      </c>
      <c r="E122" s="7">
        <f t="shared" si="52"/>
        <v>31</v>
      </c>
      <c r="F122" s="6" t="s">
        <v>3508</v>
      </c>
      <c r="G122" s="7">
        <f t="shared" si="53"/>
        <v>50</v>
      </c>
      <c r="H122" s="7" t="s">
        <v>3596</v>
      </c>
      <c r="I122" s="7">
        <f t="shared" si="54"/>
        <v>29</v>
      </c>
      <c r="J122" s="7" t="s">
        <v>3723</v>
      </c>
      <c r="K122" s="7">
        <f t="shared" si="55"/>
        <v>18</v>
      </c>
      <c r="L122" s="7" t="s">
        <v>3798</v>
      </c>
      <c r="M122" s="7">
        <f t="shared" si="56"/>
        <v>18</v>
      </c>
      <c r="N122" s="7" t="s">
        <v>3798</v>
      </c>
      <c r="O122" s="7">
        <v>1</v>
      </c>
      <c r="P122" s="7" t="s">
        <v>3896</v>
      </c>
      <c r="Q122" s="53"/>
      <c r="R122" s="7">
        <v>1</v>
      </c>
      <c r="S122" s="7">
        <v>1</v>
      </c>
      <c r="T122" s="53"/>
      <c r="U122" s="7">
        <v>1</v>
      </c>
      <c r="V122" s="7">
        <f t="shared" si="57"/>
        <v>14</v>
      </c>
      <c r="W122" s="28" t="s">
        <v>3900</v>
      </c>
      <c r="X122" s="7">
        <f t="shared" si="58"/>
        <v>14</v>
      </c>
      <c r="Y122" s="28" t="s">
        <v>3900</v>
      </c>
      <c r="Z122" s="7">
        <f t="shared" si="59"/>
        <v>1</v>
      </c>
      <c r="AA122" s="28" t="s">
        <v>3901</v>
      </c>
      <c r="AB122" s="7"/>
      <c r="AC122" s="7"/>
      <c r="AD122" s="7"/>
      <c r="AE122" s="7"/>
      <c r="AF122" s="7">
        <v>0</v>
      </c>
      <c r="AG122" s="7">
        <f t="shared" si="60"/>
        <v>0</v>
      </c>
      <c r="AH122" s="28" t="s">
        <v>2281</v>
      </c>
      <c r="AI122" s="7">
        <v>8</v>
      </c>
      <c r="AJ122" s="7">
        <f t="shared" si="61"/>
        <v>8</v>
      </c>
      <c r="AK122" s="28" t="s">
        <v>2291</v>
      </c>
      <c r="AL122" s="7">
        <f t="shared" si="62"/>
        <v>2</v>
      </c>
      <c r="AM122" s="28" t="s">
        <v>2295</v>
      </c>
      <c r="AN122" s="7">
        <f t="shared" si="63"/>
        <v>0</v>
      </c>
      <c r="AO122" s="28" t="s">
        <v>2297</v>
      </c>
      <c r="AP122" s="7">
        <f t="shared" si="64"/>
        <v>2</v>
      </c>
      <c r="AQ122" s="28" t="s">
        <v>2301</v>
      </c>
      <c r="AR122" s="7"/>
      <c r="AS122" s="7" t="s">
        <v>3902</v>
      </c>
      <c r="AT122" s="7"/>
      <c r="AU122" s="7"/>
      <c r="AV122" s="7">
        <f t="shared" si="65"/>
        <v>8461</v>
      </c>
      <c r="AW122" s="28" t="s">
        <v>3284</v>
      </c>
      <c r="AX122" s="7">
        <v>11</v>
      </c>
      <c r="AY122" s="7">
        <f t="shared" si="66"/>
        <v>1208</v>
      </c>
      <c r="AZ122" s="28" t="s">
        <v>2423</v>
      </c>
      <c r="BA122" s="7">
        <v>0</v>
      </c>
      <c r="BB122" s="7">
        <v>10</v>
      </c>
      <c r="BC122" s="7">
        <v>0</v>
      </c>
      <c r="BD122" s="7">
        <v>10</v>
      </c>
      <c r="BE122" s="7"/>
      <c r="BF122" s="7">
        <f t="shared" si="67"/>
        <v>32</v>
      </c>
      <c r="BG122" s="28" t="s">
        <v>2459</v>
      </c>
      <c r="BH122" s="7">
        <f t="shared" si="68"/>
        <v>0</v>
      </c>
      <c r="BI122" s="28" t="s">
        <v>2486</v>
      </c>
      <c r="BJ122" s="7"/>
      <c r="BK122" s="7"/>
      <c r="BL122" s="7">
        <f t="shared" si="69"/>
        <v>10001</v>
      </c>
      <c r="BM122" s="28" t="s">
        <v>2489</v>
      </c>
      <c r="BN122" s="7" t="e">
        <f t="shared" si="70"/>
        <v>#VALUE!</v>
      </c>
      <c r="BO122" s="28"/>
      <c r="BP122" s="7"/>
      <c r="BQ122" s="7">
        <v>4000</v>
      </c>
      <c r="BR122" s="7" t="s">
        <v>3903</v>
      </c>
      <c r="BS122" s="7">
        <f t="shared" si="71"/>
        <v>0</v>
      </c>
      <c r="BT122" s="28" t="s">
        <v>2641</v>
      </c>
      <c r="BU122" s="7">
        <f t="shared" si="72"/>
        <v>2</v>
      </c>
      <c r="BV122" s="28" t="s">
        <v>3940</v>
      </c>
      <c r="BW122" s="54" t="s">
        <v>3941</v>
      </c>
      <c r="BX122" s="54" t="s">
        <v>3941</v>
      </c>
      <c r="BY122" s="7" t="e">
        <f t="shared" si="73"/>
        <v>#VALUE!</v>
      </c>
      <c r="BZ122" s="28"/>
      <c r="CA122" s="7" t="e">
        <f t="shared" si="74"/>
        <v>#VALUE!</v>
      </c>
      <c r="CB122" s="28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</row>
    <row r="123" spans="1:92">
      <c r="A123" s="7">
        <v>111</v>
      </c>
      <c r="B123" s="7">
        <v>416234</v>
      </c>
      <c r="C123" s="7">
        <f t="shared" si="51"/>
        <v>0</v>
      </c>
      <c r="D123" s="28" t="s">
        <v>2255</v>
      </c>
      <c r="E123" s="7">
        <f t="shared" si="52"/>
        <v>40</v>
      </c>
      <c r="F123" s="6" t="s">
        <v>3509</v>
      </c>
      <c r="G123" s="7">
        <f t="shared" si="53"/>
        <v>47</v>
      </c>
      <c r="H123" s="7" t="s">
        <v>3618</v>
      </c>
      <c r="I123" s="7">
        <f t="shared" si="54"/>
        <v>40</v>
      </c>
      <c r="J123" s="7" t="s">
        <v>3724</v>
      </c>
      <c r="K123" s="7">
        <f t="shared" si="55"/>
        <v>20</v>
      </c>
      <c r="L123" s="7" t="s">
        <v>3938</v>
      </c>
      <c r="M123" s="7">
        <f t="shared" si="56"/>
        <v>20</v>
      </c>
      <c r="N123" s="7" t="s">
        <v>3938</v>
      </c>
      <c r="O123" s="7">
        <v>1</v>
      </c>
      <c r="P123" s="7" t="s">
        <v>3897</v>
      </c>
      <c r="Q123" s="53"/>
      <c r="R123" s="7">
        <v>1</v>
      </c>
      <c r="S123" s="7">
        <v>1</v>
      </c>
      <c r="T123" s="53"/>
      <c r="U123" s="7">
        <v>1</v>
      </c>
      <c r="V123" s="7">
        <f t="shared" si="57"/>
        <v>14</v>
      </c>
      <c r="W123" s="28" t="s">
        <v>3900</v>
      </c>
      <c r="X123" s="7">
        <f t="shared" si="58"/>
        <v>14</v>
      </c>
      <c r="Y123" s="28" t="s">
        <v>3900</v>
      </c>
      <c r="Z123" s="7">
        <f t="shared" si="59"/>
        <v>1</v>
      </c>
      <c r="AA123" s="28" t="s">
        <v>3901</v>
      </c>
      <c r="AB123" s="7"/>
      <c r="AC123" s="7"/>
      <c r="AD123" s="7"/>
      <c r="AE123" s="7"/>
      <c r="AF123" s="7">
        <v>0</v>
      </c>
      <c r="AG123" s="7">
        <f t="shared" si="60"/>
        <v>0</v>
      </c>
      <c r="AH123" s="28" t="s">
        <v>2281</v>
      </c>
      <c r="AI123" s="7">
        <v>8</v>
      </c>
      <c r="AJ123" s="7">
        <f t="shared" si="61"/>
        <v>8</v>
      </c>
      <c r="AK123" s="28" t="s">
        <v>2291</v>
      </c>
      <c r="AL123" s="7">
        <f t="shared" si="62"/>
        <v>2</v>
      </c>
      <c r="AM123" s="28" t="s">
        <v>2295</v>
      </c>
      <c r="AN123" s="7">
        <f t="shared" si="63"/>
        <v>0</v>
      </c>
      <c r="AO123" s="28" t="s">
        <v>2297</v>
      </c>
      <c r="AP123" s="7">
        <f t="shared" si="64"/>
        <v>2</v>
      </c>
      <c r="AQ123" s="28" t="s">
        <v>2301</v>
      </c>
      <c r="AR123" s="7"/>
      <c r="AS123" s="7" t="s">
        <v>3902</v>
      </c>
      <c r="AT123" s="7"/>
      <c r="AU123" s="7"/>
      <c r="AV123" s="7">
        <f t="shared" si="65"/>
        <v>8461</v>
      </c>
      <c r="AW123" s="28" t="s">
        <v>3284</v>
      </c>
      <c r="AX123" s="7">
        <v>12</v>
      </c>
      <c r="AY123" s="7">
        <f t="shared" si="66"/>
        <v>1208</v>
      </c>
      <c r="AZ123" s="28" t="s">
        <v>2423</v>
      </c>
      <c r="BA123" s="7">
        <v>0</v>
      </c>
      <c r="BB123" s="7">
        <v>10</v>
      </c>
      <c r="BC123" s="7">
        <v>0</v>
      </c>
      <c r="BD123" s="7">
        <v>10</v>
      </c>
      <c r="BE123" s="7"/>
      <c r="BF123" s="7">
        <f t="shared" si="67"/>
        <v>32</v>
      </c>
      <c r="BG123" s="28" t="s">
        <v>2459</v>
      </c>
      <c r="BH123" s="7">
        <f t="shared" si="68"/>
        <v>0</v>
      </c>
      <c r="BI123" s="28" t="s">
        <v>2486</v>
      </c>
      <c r="BJ123" s="7"/>
      <c r="BK123" s="7"/>
      <c r="BL123" s="7">
        <f t="shared" si="69"/>
        <v>10001</v>
      </c>
      <c r="BM123" s="28" t="s">
        <v>2489</v>
      </c>
      <c r="BN123" s="7" t="e">
        <f t="shared" si="70"/>
        <v>#VALUE!</v>
      </c>
      <c r="BO123" s="28"/>
      <c r="BP123" s="7"/>
      <c r="BQ123" s="7">
        <v>4000</v>
      </c>
      <c r="BR123" s="7" t="s">
        <v>3903</v>
      </c>
      <c r="BS123" s="7">
        <f t="shared" si="71"/>
        <v>0</v>
      </c>
      <c r="BT123" s="28" t="s">
        <v>2641</v>
      </c>
      <c r="BU123" s="7">
        <f t="shared" si="72"/>
        <v>2</v>
      </c>
      <c r="BV123" s="28" t="s">
        <v>3940</v>
      </c>
      <c r="BW123" s="54" t="s">
        <v>3941</v>
      </c>
      <c r="BX123" s="54" t="s">
        <v>3941</v>
      </c>
      <c r="BY123" s="7" t="e">
        <f t="shared" si="73"/>
        <v>#VALUE!</v>
      </c>
      <c r="BZ123" s="28"/>
      <c r="CA123" s="7" t="e">
        <f t="shared" si="74"/>
        <v>#VALUE!</v>
      </c>
      <c r="CB123" s="28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</row>
    <row r="124" spans="1:92">
      <c r="A124" s="7">
        <v>112</v>
      </c>
      <c r="B124" s="7">
        <v>416235</v>
      </c>
      <c r="C124" s="7">
        <f t="shared" si="51"/>
        <v>0</v>
      </c>
      <c r="D124" s="28" t="s">
        <v>2255</v>
      </c>
      <c r="E124" s="7">
        <f t="shared" si="52"/>
        <v>18</v>
      </c>
      <c r="F124" s="6" t="s">
        <v>3510</v>
      </c>
      <c r="G124" s="7">
        <f t="shared" si="53"/>
        <v>35</v>
      </c>
      <c r="H124" s="7" t="s">
        <v>3597</v>
      </c>
      <c r="I124" s="7">
        <f t="shared" si="54"/>
        <v>23</v>
      </c>
      <c r="J124" s="7" t="s">
        <v>3725</v>
      </c>
      <c r="K124" s="7">
        <f t="shared" si="55"/>
        <v>18</v>
      </c>
      <c r="L124" s="7" t="s">
        <v>3510</v>
      </c>
      <c r="M124" s="7">
        <f t="shared" si="56"/>
        <v>14</v>
      </c>
      <c r="N124" s="7" t="s">
        <v>3799</v>
      </c>
      <c r="O124" s="7">
        <v>1</v>
      </c>
      <c r="P124" s="7" t="s">
        <v>3898</v>
      </c>
      <c r="Q124" s="53"/>
      <c r="R124" s="7">
        <v>1</v>
      </c>
      <c r="S124" s="7">
        <v>1</v>
      </c>
      <c r="T124" s="53"/>
      <c r="U124" s="7">
        <v>1</v>
      </c>
      <c r="V124" s="7">
        <f t="shared" si="57"/>
        <v>14</v>
      </c>
      <c r="W124" s="28" t="s">
        <v>3900</v>
      </c>
      <c r="X124" s="7">
        <f t="shared" si="58"/>
        <v>14</v>
      </c>
      <c r="Y124" s="28" t="s">
        <v>3900</v>
      </c>
      <c r="Z124" s="7">
        <f t="shared" si="59"/>
        <v>1</v>
      </c>
      <c r="AA124" s="28" t="s">
        <v>3901</v>
      </c>
      <c r="AB124" s="7"/>
      <c r="AC124" s="7"/>
      <c r="AD124" s="7"/>
      <c r="AE124" s="7"/>
      <c r="AF124" s="7">
        <v>0</v>
      </c>
      <c r="AG124" s="7">
        <f t="shared" si="60"/>
        <v>0</v>
      </c>
      <c r="AH124" s="28" t="s">
        <v>2281</v>
      </c>
      <c r="AI124" s="7">
        <v>8</v>
      </c>
      <c r="AJ124" s="7">
        <f t="shared" si="61"/>
        <v>8</v>
      </c>
      <c r="AK124" s="28" t="s">
        <v>2291</v>
      </c>
      <c r="AL124" s="7">
        <f t="shared" si="62"/>
        <v>2</v>
      </c>
      <c r="AM124" s="28" t="s">
        <v>2295</v>
      </c>
      <c r="AN124" s="7">
        <f t="shared" si="63"/>
        <v>0</v>
      </c>
      <c r="AO124" s="28" t="s">
        <v>2297</v>
      </c>
      <c r="AP124" s="7">
        <f t="shared" si="64"/>
        <v>2</v>
      </c>
      <c r="AQ124" s="28" t="s">
        <v>2301</v>
      </c>
      <c r="AR124" s="7"/>
      <c r="AS124" s="7" t="s">
        <v>3902</v>
      </c>
      <c r="AT124" s="7"/>
      <c r="AU124" s="7"/>
      <c r="AV124" s="7">
        <f t="shared" si="65"/>
        <v>8461</v>
      </c>
      <c r="AW124" s="28" t="s">
        <v>3284</v>
      </c>
      <c r="AX124" s="7">
        <v>13</v>
      </c>
      <c r="AY124" s="7">
        <f t="shared" si="66"/>
        <v>1210</v>
      </c>
      <c r="AZ124" s="28" t="s">
        <v>2425</v>
      </c>
      <c r="BA124" s="7">
        <v>0</v>
      </c>
      <c r="BB124" s="7">
        <v>10</v>
      </c>
      <c r="BC124" s="7">
        <v>0</v>
      </c>
      <c r="BD124" s="7">
        <v>10</v>
      </c>
      <c r="BE124" s="7"/>
      <c r="BF124" s="7">
        <f t="shared" si="67"/>
        <v>32</v>
      </c>
      <c r="BG124" s="28" t="s">
        <v>2459</v>
      </c>
      <c r="BH124" s="7">
        <f t="shared" si="68"/>
        <v>0</v>
      </c>
      <c r="BI124" s="28" t="s">
        <v>2486</v>
      </c>
      <c r="BJ124" s="7"/>
      <c r="BK124" s="7"/>
      <c r="BL124" s="7">
        <f t="shared" si="69"/>
        <v>10001</v>
      </c>
      <c r="BM124" s="28" t="s">
        <v>2489</v>
      </c>
      <c r="BN124" s="7" t="e">
        <f t="shared" si="70"/>
        <v>#VALUE!</v>
      </c>
      <c r="BO124" s="28"/>
      <c r="BP124" s="7"/>
      <c r="BQ124" s="7">
        <v>4000</v>
      </c>
      <c r="BR124" s="7" t="s">
        <v>3903</v>
      </c>
      <c r="BS124" s="7">
        <f t="shared" si="71"/>
        <v>0</v>
      </c>
      <c r="BT124" s="28" t="s">
        <v>2641</v>
      </c>
      <c r="BU124" s="7">
        <f t="shared" si="72"/>
        <v>2</v>
      </c>
      <c r="BV124" s="28" t="s">
        <v>3940</v>
      </c>
      <c r="BW124" s="54" t="s">
        <v>3941</v>
      </c>
      <c r="BX124" s="54" t="s">
        <v>3941</v>
      </c>
      <c r="BY124" s="7" t="e">
        <f t="shared" si="73"/>
        <v>#VALUE!</v>
      </c>
      <c r="BZ124" s="28"/>
      <c r="CA124" s="7" t="e">
        <f t="shared" si="74"/>
        <v>#VALUE!</v>
      </c>
      <c r="CB124" s="28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</row>
    <row r="125" spans="1:92">
      <c r="A125" s="7">
        <v>113</v>
      </c>
      <c r="B125" s="7">
        <v>416236</v>
      </c>
      <c r="C125" s="7">
        <f t="shared" si="51"/>
        <v>0</v>
      </c>
      <c r="D125" s="28" t="s">
        <v>2255</v>
      </c>
      <c r="E125" s="7">
        <f t="shared" si="52"/>
        <v>18</v>
      </c>
      <c r="F125" s="6" t="s">
        <v>3511</v>
      </c>
      <c r="G125" s="7">
        <f t="shared" si="53"/>
        <v>35</v>
      </c>
      <c r="H125" s="7" t="s">
        <v>3598</v>
      </c>
      <c r="I125" s="7">
        <f t="shared" si="54"/>
        <v>23</v>
      </c>
      <c r="J125" s="7" t="s">
        <v>3726</v>
      </c>
      <c r="K125" s="7">
        <f t="shared" si="55"/>
        <v>18</v>
      </c>
      <c r="L125" s="7" t="s">
        <v>3511</v>
      </c>
      <c r="M125" s="7">
        <f t="shared" si="56"/>
        <v>14</v>
      </c>
      <c r="N125" s="7" t="s">
        <v>3800</v>
      </c>
      <c r="O125" s="7">
        <v>1</v>
      </c>
      <c r="P125" s="7" t="s">
        <v>3899</v>
      </c>
      <c r="Q125" s="53"/>
      <c r="R125" s="7">
        <v>1</v>
      </c>
      <c r="S125" s="7">
        <v>1</v>
      </c>
      <c r="T125" s="53"/>
      <c r="U125" s="7">
        <v>1</v>
      </c>
      <c r="V125" s="7">
        <f t="shared" si="57"/>
        <v>14</v>
      </c>
      <c r="W125" s="28" t="s">
        <v>3900</v>
      </c>
      <c r="X125" s="7">
        <f t="shared" si="58"/>
        <v>14</v>
      </c>
      <c r="Y125" s="28" t="s">
        <v>3900</v>
      </c>
      <c r="Z125" s="7">
        <f t="shared" si="59"/>
        <v>1</v>
      </c>
      <c r="AA125" s="28" t="s">
        <v>3901</v>
      </c>
      <c r="AB125" s="7"/>
      <c r="AC125" s="7"/>
      <c r="AD125" s="7"/>
      <c r="AE125" s="7"/>
      <c r="AF125" s="7">
        <v>0</v>
      </c>
      <c r="AG125" s="7">
        <f t="shared" si="60"/>
        <v>0</v>
      </c>
      <c r="AH125" s="28" t="s">
        <v>2281</v>
      </c>
      <c r="AI125" s="7">
        <v>8</v>
      </c>
      <c r="AJ125" s="7">
        <f t="shared" si="61"/>
        <v>8</v>
      </c>
      <c r="AK125" s="28" t="s">
        <v>2291</v>
      </c>
      <c r="AL125" s="7">
        <f t="shared" si="62"/>
        <v>2</v>
      </c>
      <c r="AM125" s="28" t="s">
        <v>2295</v>
      </c>
      <c r="AN125" s="7">
        <f t="shared" si="63"/>
        <v>0</v>
      </c>
      <c r="AO125" s="28" t="s">
        <v>2297</v>
      </c>
      <c r="AP125" s="7">
        <f t="shared" si="64"/>
        <v>2</v>
      </c>
      <c r="AQ125" s="28" t="s">
        <v>2301</v>
      </c>
      <c r="AR125" s="7"/>
      <c r="AS125" s="7" t="s">
        <v>3902</v>
      </c>
      <c r="AT125" s="7"/>
      <c r="AU125" s="7"/>
      <c r="AV125" s="7">
        <f t="shared" si="65"/>
        <v>8461</v>
      </c>
      <c r="AW125" s="28" t="s">
        <v>3284</v>
      </c>
      <c r="AX125" s="7">
        <v>14</v>
      </c>
      <c r="AY125" s="7">
        <f t="shared" si="66"/>
        <v>1210</v>
      </c>
      <c r="AZ125" s="28" t="s">
        <v>2425</v>
      </c>
      <c r="BA125" s="7">
        <v>0</v>
      </c>
      <c r="BB125" s="7">
        <v>10</v>
      </c>
      <c r="BC125" s="7">
        <v>0</v>
      </c>
      <c r="BD125" s="7">
        <v>10</v>
      </c>
      <c r="BE125" s="7"/>
      <c r="BF125" s="7">
        <f t="shared" si="67"/>
        <v>32</v>
      </c>
      <c r="BG125" s="28" t="s">
        <v>2459</v>
      </c>
      <c r="BH125" s="7">
        <f t="shared" si="68"/>
        <v>0</v>
      </c>
      <c r="BI125" s="28" t="s">
        <v>2486</v>
      </c>
      <c r="BJ125" s="7"/>
      <c r="BK125" s="7"/>
      <c r="BL125" s="7">
        <f t="shared" si="69"/>
        <v>10001</v>
      </c>
      <c r="BM125" s="28" t="s">
        <v>2489</v>
      </c>
      <c r="BN125" s="7" t="e">
        <f t="shared" si="70"/>
        <v>#VALUE!</v>
      </c>
      <c r="BO125" s="28"/>
      <c r="BP125" s="7"/>
      <c r="BQ125" s="7">
        <v>4000</v>
      </c>
      <c r="BR125" s="7" t="s">
        <v>3903</v>
      </c>
      <c r="BS125" s="7">
        <f t="shared" si="71"/>
        <v>0</v>
      </c>
      <c r="BT125" s="28" t="s">
        <v>2641</v>
      </c>
      <c r="BU125" s="7">
        <f t="shared" si="72"/>
        <v>2</v>
      </c>
      <c r="BV125" s="28" t="s">
        <v>3940</v>
      </c>
      <c r="BW125" s="54" t="s">
        <v>3941</v>
      </c>
      <c r="BX125" s="54" t="s">
        <v>3941</v>
      </c>
      <c r="BY125" s="7" t="e">
        <f t="shared" si="73"/>
        <v>#VALUE!</v>
      </c>
      <c r="BZ125" s="28"/>
      <c r="CA125" s="7" t="e">
        <f t="shared" si="74"/>
        <v>#VALUE!</v>
      </c>
      <c r="CB125" s="28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</row>
    <row r="126" spans="1:92">
      <c r="A126" s="7">
        <v>114</v>
      </c>
      <c r="B126" s="7"/>
      <c r="C126" s="7" t="e">
        <f t="shared" si="51"/>
        <v>#VALUE!</v>
      </c>
      <c r="D126" s="28"/>
      <c r="E126" s="7">
        <f t="shared" si="52"/>
        <v>0</v>
      </c>
      <c r="F126" s="6"/>
      <c r="G126" s="7">
        <f t="shared" si="53"/>
        <v>0</v>
      </c>
      <c r="H126" s="7"/>
      <c r="I126" s="7">
        <f t="shared" si="54"/>
        <v>0</v>
      </c>
      <c r="J126" s="7"/>
      <c r="K126" s="7"/>
      <c r="L126" s="7"/>
      <c r="M126" s="7"/>
      <c r="N126" s="7"/>
      <c r="O126" s="7"/>
      <c r="P126" s="7"/>
      <c r="Q126" s="53"/>
      <c r="R126" s="7">
        <v>1</v>
      </c>
      <c r="S126" s="7">
        <v>1</v>
      </c>
      <c r="T126" s="53"/>
      <c r="U126" s="7">
        <v>1</v>
      </c>
      <c r="V126" s="7" t="e">
        <f t="shared" si="57"/>
        <v>#VALUE!</v>
      </c>
      <c r="W126" s="28"/>
      <c r="X126" s="7" t="e">
        <f t="shared" si="58"/>
        <v>#VALUE!</v>
      </c>
      <c r="Y126" s="28"/>
      <c r="Z126" s="7" t="e">
        <f t="shared" si="59"/>
        <v>#VALUE!</v>
      </c>
      <c r="AA126" s="28"/>
      <c r="AB126" s="7"/>
      <c r="AC126" s="7"/>
      <c r="AD126" s="7"/>
      <c r="AE126" s="7"/>
      <c r="AF126" s="7"/>
      <c r="AG126" s="7" t="e">
        <f t="shared" si="60"/>
        <v>#VALUE!</v>
      </c>
      <c r="AH126" s="28"/>
      <c r="AI126" s="7"/>
      <c r="AJ126" s="7" t="e">
        <f t="shared" si="61"/>
        <v>#VALUE!</v>
      </c>
      <c r="AK126" s="28"/>
      <c r="AL126" s="7" t="e">
        <f t="shared" si="62"/>
        <v>#VALUE!</v>
      </c>
      <c r="AM126" s="28"/>
      <c r="AN126" s="7" t="e">
        <f t="shared" si="63"/>
        <v>#VALUE!</v>
      </c>
      <c r="AO126" s="28"/>
      <c r="AP126" s="7" t="e">
        <f t="shared" si="64"/>
        <v>#VALUE!</v>
      </c>
      <c r="AQ126" s="28"/>
      <c r="AR126" s="7"/>
      <c r="AS126" s="7"/>
      <c r="AT126" s="7"/>
      <c r="AU126" s="7"/>
      <c r="AV126" s="7" t="e">
        <f t="shared" si="65"/>
        <v>#VALUE!</v>
      </c>
      <c r="AW126" s="28"/>
      <c r="AX126" s="7">
        <v>15</v>
      </c>
      <c r="AY126" s="7" t="e">
        <f t="shared" si="66"/>
        <v>#VALUE!</v>
      </c>
      <c r="AZ126" s="28"/>
      <c r="BA126" s="7">
        <v>0</v>
      </c>
      <c r="BB126" s="7">
        <v>10</v>
      </c>
      <c r="BC126" s="7">
        <v>0</v>
      </c>
      <c r="BD126" s="7">
        <v>10</v>
      </c>
      <c r="BE126" s="7"/>
      <c r="BF126" s="7" t="e">
        <f t="shared" si="67"/>
        <v>#VALUE!</v>
      </c>
      <c r="BG126" s="28"/>
      <c r="BH126" s="7" t="e">
        <f t="shared" si="68"/>
        <v>#VALUE!</v>
      </c>
      <c r="BI126" s="28"/>
      <c r="BJ126" s="7"/>
      <c r="BK126" s="7"/>
      <c r="BL126" s="7" t="e">
        <f t="shared" si="69"/>
        <v>#VALUE!</v>
      </c>
      <c r="BM126" s="28"/>
      <c r="BN126" s="7" t="e">
        <f t="shared" si="70"/>
        <v>#VALUE!</v>
      </c>
      <c r="BO126" s="28"/>
      <c r="BP126" s="7"/>
      <c r="BQ126" s="7"/>
      <c r="BR126" s="7" t="e">
        <f ca="1">[1]!tメーカー名(BQ126)</f>
        <v>#NAME?</v>
      </c>
      <c r="BS126" s="7" t="e">
        <f t="shared" si="71"/>
        <v>#VALUE!</v>
      </c>
      <c r="BT126" s="28"/>
      <c r="BU126" s="7" t="e">
        <f t="shared" si="72"/>
        <v>#VALUE!</v>
      </c>
      <c r="BV126" s="28"/>
      <c r="BW126" s="54"/>
      <c r="BX126" s="54"/>
      <c r="BY126" s="7" t="e">
        <f t="shared" si="73"/>
        <v>#VALUE!</v>
      </c>
      <c r="BZ126" s="28"/>
      <c r="CA126" s="7" t="e">
        <f t="shared" si="74"/>
        <v>#VALUE!</v>
      </c>
      <c r="CB126" s="28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</row>
    <row r="127" spans="1:92">
      <c r="A127" s="7">
        <v>115</v>
      </c>
      <c r="B127" s="7"/>
      <c r="C127" s="7" t="e">
        <f t="shared" si="51"/>
        <v>#VALUE!</v>
      </c>
      <c r="D127" s="28"/>
      <c r="E127" s="7">
        <f t="shared" si="52"/>
        <v>0</v>
      </c>
      <c r="F127" s="6"/>
      <c r="G127" s="7">
        <f t="shared" si="53"/>
        <v>0</v>
      </c>
      <c r="H127" s="7"/>
      <c r="I127" s="7">
        <f t="shared" si="54"/>
        <v>0</v>
      </c>
      <c r="J127" s="7"/>
      <c r="K127" s="7"/>
      <c r="L127" s="7"/>
      <c r="M127" s="7"/>
      <c r="N127" s="7"/>
      <c r="O127" s="7"/>
      <c r="P127" s="7"/>
      <c r="Q127" s="53"/>
      <c r="R127" s="7">
        <v>1</v>
      </c>
      <c r="S127" s="7">
        <v>1</v>
      </c>
      <c r="T127" s="53"/>
      <c r="U127" s="7">
        <v>1</v>
      </c>
      <c r="V127" s="7" t="e">
        <f t="shared" si="57"/>
        <v>#VALUE!</v>
      </c>
      <c r="W127" s="28"/>
      <c r="X127" s="7" t="e">
        <f t="shared" si="58"/>
        <v>#VALUE!</v>
      </c>
      <c r="Y127" s="28"/>
      <c r="Z127" s="7" t="e">
        <f t="shared" si="59"/>
        <v>#VALUE!</v>
      </c>
      <c r="AA127" s="28"/>
      <c r="AB127" s="7"/>
      <c r="AC127" s="7"/>
      <c r="AD127" s="7"/>
      <c r="AE127" s="7"/>
      <c r="AF127" s="7"/>
      <c r="AG127" s="7" t="e">
        <f t="shared" si="60"/>
        <v>#VALUE!</v>
      </c>
      <c r="AH127" s="28"/>
      <c r="AI127" s="7"/>
      <c r="AJ127" s="7" t="e">
        <f t="shared" si="61"/>
        <v>#VALUE!</v>
      </c>
      <c r="AK127" s="28"/>
      <c r="AL127" s="7" t="e">
        <f t="shared" si="62"/>
        <v>#VALUE!</v>
      </c>
      <c r="AM127" s="28"/>
      <c r="AN127" s="7" t="e">
        <f t="shared" si="63"/>
        <v>#VALUE!</v>
      </c>
      <c r="AO127" s="28"/>
      <c r="AP127" s="7" t="e">
        <f t="shared" si="64"/>
        <v>#VALUE!</v>
      </c>
      <c r="AQ127" s="28"/>
      <c r="AR127" s="7"/>
      <c r="AS127" s="7"/>
      <c r="AT127" s="7"/>
      <c r="AU127" s="7"/>
      <c r="AV127" s="7" t="e">
        <f t="shared" si="65"/>
        <v>#VALUE!</v>
      </c>
      <c r="AW127" s="28"/>
      <c r="AX127" s="7">
        <v>16</v>
      </c>
      <c r="AY127" s="7" t="e">
        <f t="shared" si="66"/>
        <v>#VALUE!</v>
      </c>
      <c r="AZ127" s="28"/>
      <c r="BA127" s="7">
        <v>0</v>
      </c>
      <c r="BB127" s="7">
        <v>10</v>
      </c>
      <c r="BC127" s="7">
        <v>0</v>
      </c>
      <c r="BD127" s="7">
        <v>10</v>
      </c>
      <c r="BE127" s="7"/>
      <c r="BF127" s="7" t="e">
        <f t="shared" si="67"/>
        <v>#VALUE!</v>
      </c>
      <c r="BG127" s="28"/>
      <c r="BH127" s="7" t="e">
        <f t="shared" si="68"/>
        <v>#VALUE!</v>
      </c>
      <c r="BI127" s="28"/>
      <c r="BJ127" s="7"/>
      <c r="BK127" s="7"/>
      <c r="BL127" s="7" t="e">
        <f t="shared" si="69"/>
        <v>#VALUE!</v>
      </c>
      <c r="BM127" s="28"/>
      <c r="BN127" s="7" t="e">
        <f t="shared" si="70"/>
        <v>#VALUE!</v>
      </c>
      <c r="BO127" s="28"/>
      <c r="BP127" s="7"/>
      <c r="BQ127" s="7"/>
      <c r="BR127" s="7" t="e">
        <f ca="1">[1]!tメーカー名(BQ127)</f>
        <v>#NAME?</v>
      </c>
      <c r="BS127" s="7" t="e">
        <f t="shared" si="71"/>
        <v>#VALUE!</v>
      </c>
      <c r="BT127" s="28"/>
      <c r="BU127" s="7" t="e">
        <f t="shared" si="72"/>
        <v>#VALUE!</v>
      </c>
      <c r="BV127" s="28"/>
      <c r="BW127" s="54"/>
      <c r="BX127" s="54"/>
      <c r="BY127" s="7" t="e">
        <f t="shared" si="73"/>
        <v>#VALUE!</v>
      </c>
      <c r="BZ127" s="28"/>
      <c r="CA127" s="7" t="e">
        <f t="shared" si="74"/>
        <v>#VALUE!</v>
      </c>
      <c r="CB127" s="28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</row>
    <row r="128" spans="1:92">
      <c r="A128" s="7">
        <v>116</v>
      </c>
      <c r="B128" s="7"/>
      <c r="C128" s="7" t="e">
        <f t="shared" si="51"/>
        <v>#VALUE!</v>
      </c>
      <c r="D128" s="28"/>
      <c r="E128" s="7">
        <f t="shared" si="52"/>
        <v>0</v>
      </c>
      <c r="F128" s="6"/>
      <c r="G128" s="7">
        <f t="shared" si="53"/>
        <v>0</v>
      </c>
      <c r="H128" s="7"/>
      <c r="I128" s="7">
        <f t="shared" si="54"/>
        <v>0</v>
      </c>
      <c r="J128" s="7"/>
      <c r="K128" s="7"/>
      <c r="L128" s="7"/>
      <c r="M128" s="7"/>
      <c r="N128" s="7"/>
      <c r="O128" s="7"/>
      <c r="P128" s="7"/>
      <c r="Q128" s="53"/>
      <c r="R128" s="7">
        <v>1</v>
      </c>
      <c r="S128" s="7">
        <v>1</v>
      </c>
      <c r="T128" s="53"/>
      <c r="U128" s="7">
        <v>1</v>
      </c>
      <c r="V128" s="7" t="e">
        <f t="shared" si="57"/>
        <v>#VALUE!</v>
      </c>
      <c r="W128" s="28"/>
      <c r="X128" s="7" t="e">
        <f t="shared" si="58"/>
        <v>#VALUE!</v>
      </c>
      <c r="Y128" s="28"/>
      <c r="Z128" s="7" t="e">
        <f t="shared" si="59"/>
        <v>#VALUE!</v>
      </c>
      <c r="AA128" s="28"/>
      <c r="AB128" s="7"/>
      <c r="AC128" s="7"/>
      <c r="AD128" s="7"/>
      <c r="AE128" s="7"/>
      <c r="AF128" s="7"/>
      <c r="AG128" s="7" t="e">
        <f t="shared" si="60"/>
        <v>#VALUE!</v>
      </c>
      <c r="AH128" s="28"/>
      <c r="AI128" s="7"/>
      <c r="AJ128" s="7" t="e">
        <f t="shared" si="61"/>
        <v>#VALUE!</v>
      </c>
      <c r="AK128" s="28"/>
      <c r="AL128" s="7" t="e">
        <f t="shared" si="62"/>
        <v>#VALUE!</v>
      </c>
      <c r="AM128" s="28"/>
      <c r="AN128" s="7" t="e">
        <f t="shared" si="63"/>
        <v>#VALUE!</v>
      </c>
      <c r="AO128" s="28"/>
      <c r="AP128" s="7" t="e">
        <f t="shared" si="64"/>
        <v>#VALUE!</v>
      </c>
      <c r="AQ128" s="28"/>
      <c r="AR128" s="7"/>
      <c r="AS128" s="7"/>
      <c r="AT128" s="7"/>
      <c r="AU128" s="7"/>
      <c r="AV128" s="7" t="e">
        <f t="shared" si="65"/>
        <v>#VALUE!</v>
      </c>
      <c r="AW128" s="28"/>
      <c r="AX128" s="7">
        <v>17</v>
      </c>
      <c r="AY128" s="7" t="e">
        <f t="shared" si="66"/>
        <v>#VALUE!</v>
      </c>
      <c r="AZ128" s="28"/>
      <c r="BA128" s="7">
        <v>0</v>
      </c>
      <c r="BB128" s="7">
        <v>10</v>
      </c>
      <c r="BC128" s="7">
        <v>0</v>
      </c>
      <c r="BD128" s="7">
        <v>10</v>
      </c>
      <c r="BE128" s="7"/>
      <c r="BF128" s="7" t="e">
        <f t="shared" si="67"/>
        <v>#VALUE!</v>
      </c>
      <c r="BG128" s="28"/>
      <c r="BH128" s="7" t="e">
        <f t="shared" si="68"/>
        <v>#VALUE!</v>
      </c>
      <c r="BI128" s="28"/>
      <c r="BJ128" s="7"/>
      <c r="BK128" s="7"/>
      <c r="BL128" s="7" t="e">
        <f t="shared" si="69"/>
        <v>#VALUE!</v>
      </c>
      <c r="BM128" s="28"/>
      <c r="BN128" s="7" t="e">
        <f t="shared" si="70"/>
        <v>#VALUE!</v>
      </c>
      <c r="BO128" s="28"/>
      <c r="BP128" s="7"/>
      <c r="BQ128" s="7"/>
      <c r="BR128" s="7" t="e">
        <f ca="1">[1]!tメーカー名(BQ128)</f>
        <v>#NAME?</v>
      </c>
      <c r="BS128" s="7" t="e">
        <f t="shared" si="71"/>
        <v>#VALUE!</v>
      </c>
      <c r="BT128" s="28"/>
      <c r="BU128" s="7" t="e">
        <f t="shared" si="72"/>
        <v>#VALUE!</v>
      </c>
      <c r="BV128" s="28"/>
      <c r="BW128" s="54"/>
      <c r="BX128" s="54"/>
      <c r="BY128" s="7" t="e">
        <f t="shared" si="73"/>
        <v>#VALUE!</v>
      </c>
      <c r="BZ128" s="28"/>
      <c r="CA128" s="7" t="e">
        <f t="shared" si="74"/>
        <v>#VALUE!</v>
      </c>
      <c r="CB128" s="28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</row>
    <row r="129" spans="1:92">
      <c r="A129" s="7">
        <v>117</v>
      </c>
      <c r="B129" s="7"/>
      <c r="C129" s="7" t="e">
        <f t="shared" si="51"/>
        <v>#VALUE!</v>
      </c>
      <c r="D129" s="28"/>
      <c r="E129" s="7">
        <f t="shared" si="52"/>
        <v>0</v>
      </c>
      <c r="F129" s="6"/>
      <c r="G129" s="7">
        <f t="shared" si="53"/>
        <v>0</v>
      </c>
      <c r="H129" s="7"/>
      <c r="I129" s="7">
        <f t="shared" si="54"/>
        <v>0</v>
      </c>
      <c r="J129" s="7"/>
      <c r="K129" s="7"/>
      <c r="L129" s="7"/>
      <c r="M129" s="7"/>
      <c r="N129" s="7"/>
      <c r="O129" s="7"/>
      <c r="P129" s="7"/>
      <c r="Q129" s="53"/>
      <c r="R129" s="7">
        <v>1</v>
      </c>
      <c r="S129" s="7">
        <v>1</v>
      </c>
      <c r="T129" s="53"/>
      <c r="U129" s="7">
        <v>1</v>
      </c>
      <c r="V129" s="7" t="e">
        <f t="shared" si="57"/>
        <v>#VALUE!</v>
      </c>
      <c r="W129" s="28"/>
      <c r="X129" s="7" t="e">
        <f t="shared" si="58"/>
        <v>#VALUE!</v>
      </c>
      <c r="Y129" s="28"/>
      <c r="Z129" s="7" t="e">
        <f t="shared" si="59"/>
        <v>#VALUE!</v>
      </c>
      <c r="AA129" s="28"/>
      <c r="AB129" s="7"/>
      <c r="AC129" s="7"/>
      <c r="AD129" s="7"/>
      <c r="AE129" s="7"/>
      <c r="AF129" s="7"/>
      <c r="AG129" s="7" t="e">
        <f t="shared" si="60"/>
        <v>#VALUE!</v>
      </c>
      <c r="AH129" s="28"/>
      <c r="AI129" s="7"/>
      <c r="AJ129" s="7" t="e">
        <f t="shared" si="61"/>
        <v>#VALUE!</v>
      </c>
      <c r="AK129" s="28"/>
      <c r="AL129" s="7" t="e">
        <f t="shared" si="62"/>
        <v>#VALUE!</v>
      </c>
      <c r="AM129" s="28"/>
      <c r="AN129" s="7" t="e">
        <f t="shared" si="63"/>
        <v>#VALUE!</v>
      </c>
      <c r="AO129" s="28"/>
      <c r="AP129" s="7" t="e">
        <f t="shared" si="64"/>
        <v>#VALUE!</v>
      </c>
      <c r="AQ129" s="28"/>
      <c r="AR129" s="7"/>
      <c r="AS129" s="7"/>
      <c r="AT129" s="7"/>
      <c r="AU129" s="7"/>
      <c r="AV129" s="7" t="e">
        <f t="shared" si="65"/>
        <v>#VALUE!</v>
      </c>
      <c r="AW129" s="28"/>
      <c r="AX129" s="7">
        <v>18</v>
      </c>
      <c r="AY129" s="7" t="e">
        <f t="shared" si="66"/>
        <v>#VALUE!</v>
      </c>
      <c r="AZ129" s="28"/>
      <c r="BA129" s="7">
        <v>0</v>
      </c>
      <c r="BB129" s="7">
        <v>10</v>
      </c>
      <c r="BC129" s="7">
        <v>0</v>
      </c>
      <c r="BD129" s="7">
        <v>10</v>
      </c>
      <c r="BE129" s="7"/>
      <c r="BF129" s="7" t="e">
        <f t="shared" si="67"/>
        <v>#VALUE!</v>
      </c>
      <c r="BG129" s="28"/>
      <c r="BH129" s="7" t="e">
        <f t="shared" si="68"/>
        <v>#VALUE!</v>
      </c>
      <c r="BI129" s="28"/>
      <c r="BJ129" s="7"/>
      <c r="BK129" s="7"/>
      <c r="BL129" s="7" t="e">
        <f t="shared" si="69"/>
        <v>#VALUE!</v>
      </c>
      <c r="BM129" s="28"/>
      <c r="BN129" s="7" t="e">
        <f t="shared" si="70"/>
        <v>#VALUE!</v>
      </c>
      <c r="BO129" s="28"/>
      <c r="BP129" s="7"/>
      <c r="BQ129" s="7"/>
      <c r="BR129" s="7" t="e">
        <f ca="1">[1]!tメーカー名(BQ129)</f>
        <v>#NAME?</v>
      </c>
      <c r="BS129" s="7" t="e">
        <f t="shared" si="71"/>
        <v>#VALUE!</v>
      </c>
      <c r="BT129" s="28"/>
      <c r="BU129" s="7" t="e">
        <f t="shared" si="72"/>
        <v>#VALUE!</v>
      </c>
      <c r="BV129" s="28"/>
      <c r="BW129" s="54"/>
      <c r="BX129" s="54"/>
      <c r="BY129" s="7" t="e">
        <f t="shared" si="73"/>
        <v>#VALUE!</v>
      </c>
      <c r="BZ129" s="28"/>
      <c r="CA129" s="7" t="e">
        <f t="shared" si="74"/>
        <v>#VALUE!</v>
      </c>
      <c r="CB129" s="28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</row>
    <row r="130" spans="1:92">
      <c r="A130" s="7">
        <v>118</v>
      </c>
      <c r="B130" s="7"/>
      <c r="C130" s="7" t="e">
        <f t="shared" si="51"/>
        <v>#VALUE!</v>
      </c>
      <c r="D130" s="28"/>
      <c r="E130" s="7">
        <f t="shared" si="52"/>
        <v>0</v>
      </c>
      <c r="F130" s="6"/>
      <c r="G130" s="7">
        <f t="shared" si="53"/>
        <v>0</v>
      </c>
      <c r="H130" s="7"/>
      <c r="I130" s="7">
        <f t="shared" si="54"/>
        <v>0</v>
      </c>
      <c r="J130" s="7"/>
      <c r="K130" s="7"/>
      <c r="L130" s="7"/>
      <c r="M130" s="7"/>
      <c r="N130" s="7"/>
      <c r="O130" s="7"/>
      <c r="P130" s="7"/>
      <c r="Q130" s="53"/>
      <c r="R130" s="7">
        <v>1</v>
      </c>
      <c r="S130" s="7">
        <v>1</v>
      </c>
      <c r="T130" s="53"/>
      <c r="U130" s="7">
        <v>1</v>
      </c>
      <c r="V130" s="7" t="e">
        <f t="shared" si="57"/>
        <v>#VALUE!</v>
      </c>
      <c r="W130" s="28"/>
      <c r="X130" s="7" t="e">
        <f t="shared" si="58"/>
        <v>#VALUE!</v>
      </c>
      <c r="Y130" s="28"/>
      <c r="Z130" s="7" t="e">
        <f t="shared" si="59"/>
        <v>#VALUE!</v>
      </c>
      <c r="AA130" s="28"/>
      <c r="AB130" s="7"/>
      <c r="AC130" s="7"/>
      <c r="AD130" s="7"/>
      <c r="AE130" s="7"/>
      <c r="AF130" s="7"/>
      <c r="AG130" s="7" t="e">
        <f t="shared" si="60"/>
        <v>#VALUE!</v>
      </c>
      <c r="AH130" s="28"/>
      <c r="AI130" s="7"/>
      <c r="AJ130" s="7" t="e">
        <f t="shared" si="61"/>
        <v>#VALUE!</v>
      </c>
      <c r="AK130" s="28"/>
      <c r="AL130" s="7" t="e">
        <f t="shared" si="62"/>
        <v>#VALUE!</v>
      </c>
      <c r="AM130" s="28"/>
      <c r="AN130" s="7" t="e">
        <f t="shared" si="63"/>
        <v>#VALUE!</v>
      </c>
      <c r="AO130" s="28"/>
      <c r="AP130" s="7" t="e">
        <f t="shared" si="64"/>
        <v>#VALUE!</v>
      </c>
      <c r="AQ130" s="28"/>
      <c r="AR130" s="7"/>
      <c r="AS130" s="7"/>
      <c r="AT130" s="7"/>
      <c r="AU130" s="7"/>
      <c r="AV130" s="7" t="e">
        <f t="shared" si="65"/>
        <v>#VALUE!</v>
      </c>
      <c r="AW130" s="28"/>
      <c r="AX130" s="7">
        <v>19</v>
      </c>
      <c r="AY130" s="7" t="e">
        <f t="shared" si="66"/>
        <v>#VALUE!</v>
      </c>
      <c r="AZ130" s="28"/>
      <c r="BA130" s="7">
        <v>0</v>
      </c>
      <c r="BB130" s="7">
        <v>10</v>
      </c>
      <c r="BC130" s="7">
        <v>0</v>
      </c>
      <c r="BD130" s="7">
        <v>10</v>
      </c>
      <c r="BE130" s="7"/>
      <c r="BF130" s="7" t="e">
        <f t="shared" si="67"/>
        <v>#VALUE!</v>
      </c>
      <c r="BG130" s="28"/>
      <c r="BH130" s="7" t="e">
        <f t="shared" si="68"/>
        <v>#VALUE!</v>
      </c>
      <c r="BI130" s="28"/>
      <c r="BJ130" s="7"/>
      <c r="BK130" s="7"/>
      <c r="BL130" s="7" t="e">
        <f t="shared" si="69"/>
        <v>#VALUE!</v>
      </c>
      <c r="BM130" s="28"/>
      <c r="BN130" s="7" t="e">
        <f t="shared" si="70"/>
        <v>#VALUE!</v>
      </c>
      <c r="BO130" s="28"/>
      <c r="BP130" s="7"/>
      <c r="BQ130" s="7"/>
      <c r="BR130" s="7" t="e">
        <f ca="1">[1]!tメーカー名(BQ130)</f>
        <v>#NAME?</v>
      </c>
      <c r="BS130" s="7" t="e">
        <f t="shared" si="71"/>
        <v>#VALUE!</v>
      </c>
      <c r="BT130" s="28"/>
      <c r="BU130" s="7" t="e">
        <f t="shared" si="72"/>
        <v>#VALUE!</v>
      </c>
      <c r="BV130" s="28"/>
      <c r="BW130" s="54"/>
      <c r="BX130" s="54"/>
      <c r="BY130" s="7" t="e">
        <f t="shared" si="73"/>
        <v>#VALUE!</v>
      </c>
      <c r="BZ130" s="28"/>
      <c r="CA130" s="7" t="e">
        <f t="shared" si="74"/>
        <v>#VALUE!</v>
      </c>
      <c r="CB130" s="28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</row>
    <row r="131" spans="1:92">
      <c r="A131" s="7">
        <v>119</v>
      </c>
      <c r="B131" s="7"/>
      <c r="C131" s="7" t="e">
        <f t="shared" si="51"/>
        <v>#VALUE!</v>
      </c>
      <c r="D131" s="28"/>
      <c r="E131" s="7">
        <f t="shared" si="52"/>
        <v>0</v>
      </c>
      <c r="F131" s="6"/>
      <c r="G131" s="7">
        <f t="shared" si="53"/>
        <v>0</v>
      </c>
      <c r="H131" s="7"/>
      <c r="I131" s="7">
        <f t="shared" si="54"/>
        <v>0</v>
      </c>
      <c r="J131" s="7"/>
      <c r="K131" s="7"/>
      <c r="L131" s="7"/>
      <c r="M131" s="7"/>
      <c r="N131" s="7"/>
      <c r="O131" s="7"/>
      <c r="P131" s="7"/>
      <c r="Q131" s="53"/>
      <c r="R131" s="7">
        <v>1</v>
      </c>
      <c r="S131" s="7">
        <v>1</v>
      </c>
      <c r="T131" s="53"/>
      <c r="U131" s="7">
        <v>1</v>
      </c>
      <c r="V131" s="7" t="e">
        <f t="shared" si="57"/>
        <v>#VALUE!</v>
      </c>
      <c r="W131" s="28"/>
      <c r="X131" s="7" t="e">
        <f t="shared" si="58"/>
        <v>#VALUE!</v>
      </c>
      <c r="Y131" s="28"/>
      <c r="Z131" s="7" t="e">
        <f t="shared" si="59"/>
        <v>#VALUE!</v>
      </c>
      <c r="AA131" s="28"/>
      <c r="AB131" s="7"/>
      <c r="AC131" s="7"/>
      <c r="AD131" s="7"/>
      <c r="AE131" s="7"/>
      <c r="AF131" s="7"/>
      <c r="AG131" s="7" t="e">
        <f t="shared" si="60"/>
        <v>#VALUE!</v>
      </c>
      <c r="AH131" s="28"/>
      <c r="AI131" s="7"/>
      <c r="AJ131" s="7" t="e">
        <f t="shared" si="61"/>
        <v>#VALUE!</v>
      </c>
      <c r="AK131" s="28"/>
      <c r="AL131" s="7" t="e">
        <f t="shared" si="62"/>
        <v>#VALUE!</v>
      </c>
      <c r="AM131" s="28"/>
      <c r="AN131" s="7" t="e">
        <f t="shared" si="63"/>
        <v>#VALUE!</v>
      </c>
      <c r="AO131" s="28"/>
      <c r="AP131" s="7" t="e">
        <f t="shared" si="64"/>
        <v>#VALUE!</v>
      </c>
      <c r="AQ131" s="28"/>
      <c r="AR131" s="7"/>
      <c r="AS131" s="7"/>
      <c r="AT131" s="7"/>
      <c r="AU131" s="7"/>
      <c r="AV131" s="7" t="e">
        <f t="shared" si="65"/>
        <v>#VALUE!</v>
      </c>
      <c r="AW131" s="28"/>
      <c r="AX131" s="7">
        <v>20</v>
      </c>
      <c r="AY131" s="7" t="e">
        <f t="shared" si="66"/>
        <v>#VALUE!</v>
      </c>
      <c r="AZ131" s="28"/>
      <c r="BA131" s="7">
        <v>0</v>
      </c>
      <c r="BB131" s="7">
        <v>10</v>
      </c>
      <c r="BC131" s="7">
        <v>0</v>
      </c>
      <c r="BD131" s="7">
        <v>10</v>
      </c>
      <c r="BE131" s="7"/>
      <c r="BF131" s="7" t="e">
        <f t="shared" si="67"/>
        <v>#VALUE!</v>
      </c>
      <c r="BG131" s="28"/>
      <c r="BH131" s="7" t="e">
        <f t="shared" si="68"/>
        <v>#VALUE!</v>
      </c>
      <c r="BI131" s="28"/>
      <c r="BJ131" s="7"/>
      <c r="BK131" s="7"/>
      <c r="BL131" s="7" t="e">
        <f t="shared" si="69"/>
        <v>#VALUE!</v>
      </c>
      <c r="BM131" s="28"/>
      <c r="BN131" s="7" t="e">
        <f t="shared" si="70"/>
        <v>#VALUE!</v>
      </c>
      <c r="BO131" s="28"/>
      <c r="BP131" s="7"/>
      <c r="BQ131" s="7"/>
      <c r="BR131" s="7" t="e">
        <f ca="1">[1]!tメーカー名(BQ131)</f>
        <v>#NAME?</v>
      </c>
      <c r="BS131" s="7" t="e">
        <f t="shared" si="71"/>
        <v>#VALUE!</v>
      </c>
      <c r="BT131" s="28"/>
      <c r="BU131" s="7" t="e">
        <f t="shared" si="72"/>
        <v>#VALUE!</v>
      </c>
      <c r="BV131" s="28"/>
      <c r="BW131" s="54"/>
      <c r="BX131" s="54"/>
      <c r="BY131" s="7" t="e">
        <f t="shared" si="73"/>
        <v>#VALUE!</v>
      </c>
      <c r="BZ131" s="28"/>
      <c r="CA131" s="7" t="e">
        <f t="shared" si="74"/>
        <v>#VALUE!</v>
      </c>
      <c r="CB131" s="28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</row>
    <row r="132" spans="1:92">
      <c r="A132" s="7">
        <v>120</v>
      </c>
      <c r="B132" s="7"/>
      <c r="C132" s="7" t="e">
        <f t="shared" si="51"/>
        <v>#VALUE!</v>
      </c>
      <c r="D132" s="28"/>
      <c r="E132" s="7">
        <f t="shared" si="52"/>
        <v>0</v>
      </c>
      <c r="F132" s="6"/>
      <c r="G132" s="7">
        <f t="shared" si="53"/>
        <v>0</v>
      </c>
      <c r="H132" s="7"/>
      <c r="I132" s="7">
        <f t="shared" si="54"/>
        <v>0</v>
      </c>
      <c r="J132" s="7"/>
      <c r="K132" s="7"/>
      <c r="L132" s="7"/>
      <c r="M132" s="7"/>
      <c r="N132" s="7"/>
      <c r="O132" s="7"/>
      <c r="P132" s="7"/>
      <c r="Q132" s="53"/>
      <c r="R132" s="7">
        <v>1</v>
      </c>
      <c r="S132" s="7">
        <v>1</v>
      </c>
      <c r="T132" s="53"/>
      <c r="U132" s="7">
        <v>1</v>
      </c>
      <c r="V132" s="7" t="e">
        <f t="shared" si="57"/>
        <v>#VALUE!</v>
      </c>
      <c r="W132" s="28"/>
      <c r="X132" s="7" t="e">
        <f t="shared" si="58"/>
        <v>#VALUE!</v>
      </c>
      <c r="Y132" s="28"/>
      <c r="Z132" s="7" t="e">
        <f t="shared" si="59"/>
        <v>#VALUE!</v>
      </c>
      <c r="AA132" s="28"/>
      <c r="AB132" s="7"/>
      <c r="AC132" s="7"/>
      <c r="AD132" s="7"/>
      <c r="AE132" s="7"/>
      <c r="AF132" s="7"/>
      <c r="AG132" s="7" t="e">
        <f t="shared" si="60"/>
        <v>#VALUE!</v>
      </c>
      <c r="AH132" s="28"/>
      <c r="AI132" s="7"/>
      <c r="AJ132" s="7" t="e">
        <f t="shared" si="61"/>
        <v>#VALUE!</v>
      </c>
      <c r="AK132" s="28"/>
      <c r="AL132" s="7" t="e">
        <f t="shared" si="62"/>
        <v>#VALUE!</v>
      </c>
      <c r="AM132" s="28"/>
      <c r="AN132" s="7" t="e">
        <f t="shared" si="63"/>
        <v>#VALUE!</v>
      </c>
      <c r="AO132" s="28"/>
      <c r="AP132" s="7" t="e">
        <f t="shared" si="64"/>
        <v>#VALUE!</v>
      </c>
      <c r="AQ132" s="28"/>
      <c r="AR132" s="7"/>
      <c r="AS132" s="7"/>
      <c r="AT132" s="7"/>
      <c r="AU132" s="7"/>
      <c r="AV132" s="7" t="e">
        <f t="shared" si="65"/>
        <v>#VALUE!</v>
      </c>
      <c r="AW132" s="28"/>
      <c r="AX132" s="7">
        <v>21</v>
      </c>
      <c r="AY132" s="7" t="e">
        <f t="shared" si="66"/>
        <v>#VALUE!</v>
      </c>
      <c r="AZ132" s="28"/>
      <c r="BA132" s="7">
        <v>0</v>
      </c>
      <c r="BB132" s="7">
        <v>10</v>
      </c>
      <c r="BC132" s="7">
        <v>0</v>
      </c>
      <c r="BD132" s="7">
        <v>10</v>
      </c>
      <c r="BE132" s="7"/>
      <c r="BF132" s="7" t="e">
        <f t="shared" si="67"/>
        <v>#VALUE!</v>
      </c>
      <c r="BG132" s="28"/>
      <c r="BH132" s="7" t="e">
        <f t="shared" si="68"/>
        <v>#VALUE!</v>
      </c>
      <c r="BI132" s="28"/>
      <c r="BJ132" s="7"/>
      <c r="BK132" s="7"/>
      <c r="BL132" s="7" t="e">
        <f t="shared" si="69"/>
        <v>#VALUE!</v>
      </c>
      <c r="BM132" s="28"/>
      <c r="BN132" s="7" t="e">
        <f t="shared" si="70"/>
        <v>#VALUE!</v>
      </c>
      <c r="BO132" s="28"/>
      <c r="BP132" s="7"/>
      <c r="BQ132" s="7"/>
      <c r="BR132" s="7" t="e">
        <f ca="1">[1]!tメーカー名(BQ132)</f>
        <v>#NAME?</v>
      </c>
      <c r="BS132" s="7" t="e">
        <f t="shared" si="71"/>
        <v>#VALUE!</v>
      </c>
      <c r="BT132" s="28"/>
      <c r="BU132" s="7" t="e">
        <f t="shared" si="72"/>
        <v>#VALUE!</v>
      </c>
      <c r="BV132" s="28"/>
      <c r="BW132" s="54"/>
      <c r="BX132" s="54"/>
      <c r="BY132" s="7" t="e">
        <f t="shared" si="73"/>
        <v>#VALUE!</v>
      </c>
      <c r="BZ132" s="28"/>
      <c r="CA132" s="7" t="e">
        <f t="shared" si="74"/>
        <v>#VALUE!</v>
      </c>
      <c r="CB132" s="28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</row>
    <row r="133" spans="1:92">
      <c r="A133" s="7">
        <v>121</v>
      </c>
      <c r="B133" s="7"/>
      <c r="C133" s="7" t="e">
        <f t="shared" si="51"/>
        <v>#VALUE!</v>
      </c>
      <c r="D133" s="28"/>
      <c r="E133" s="7">
        <f t="shared" si="52"/>
        <v>0</v>
      </c>
      <c r="F133" s="6"/>
      <c r="G133" s="7">
        <f t="shared" si="53"/>
        <v>0</v>
      </c>
      <c r="H133" s="7"/>
      <c r="I133" s="7">
        <f t="shared" si="54"/>
        <v>0</v>
      </c>
      <c r="J133" s="7"/>
      <c r="K133" s="7"/>
      <c r="L133" s="7"/>
      <c r="M133" s="7"/>
      <c r="N133" s="7"/>
      <c r="O133" s="7"/>
      <c r="P133" s="7"/>
      <c r="Q133" s="53"/>
      <c r="R133" s="7">
        <v>1</v>
      </c>
      <c r="S133" s="7">
        <v>1</v>
      </c>
      <c r="T133" s="53"/>
      <c r="U133" s="7">
        <v>1</v>
      </c>
      <c r="V133" s="7" t="e">
        <f t="shared" si="57"/>
        <v>#VALUE!</v>
      </c>
      <c r="W133" s="28"/>
      <c r="X133" s="7" t="e">
        <f t="shared" si="58"/>
        <v>#VALUE!</v>
      </c>
      <c r="Y133" s="28"/>
      <c r="Z133" s="7" t="e">
        <f t="shared" si="59"/>
        <v>#VALUE!</v>
      </c>
      <c r="AA133" s="28"/>
      <c r="AB133" s="7"/>
      <c r="AC133" s="7"/>
      <c r="AD133" s="7"/>
      <c r="AE133" s="7"/>
      <c r="AF133" s="7"/>
      <c r="AG133" s="7" t="e">
        <f t="shared" si="60"/>
        <v>#VALUE!</v>
      </c>
      <c r="AH133" s="28"/>
      <c r="AI133" s="7"/>
      <c r="AJ133" s="7" t="e">
        <f t="shared" si="61"/>
        <v>#VALUE!</v>
      </c>
      <c r="AK133" s="28"/>
      <c r="AL133" s="7" t="e">
        <f t="shared" si="62"/>
        <v>#VALUE!</v>
      </c>
      <c r="AM133" s="28"/>
      <c r="AN133" s="7" t="e">
        <f t="shared" si="63"/>
        <v>#VALUE!</v>
      </c>
      <c r="AO133" s="28"/>
      <c r="AP133" s="7" t="e">
        <f t="shared" si="64"/>
        <v>#VALUE!</v>
      </c>
      <c r="AQ133" s="28"/>
      <c r="AR133" s="7"/>
      <c r="AS133" s="7"/>
      <c r="AT133" s="7"/>
      <c r="AU133" s="7"/>
      <c r="AV133" s="7" t="e">
        <f t="shared" si="65"/>
        <v>#VALUE!</v>
      </c>
      <c r="AW133" s="28"/>
      <c r="AX133" s="7">
        <v>22</v>
      </c>
      <c r="AY133" s="7" t="e">
        <f t="shared" si="66"/>
        <v>#VALUE!</v>
      </c>
      <c r="AZ133" s="28"/>
      <c r="BA133" s="7">
        <v>0</v>
      </c>
      <c r="BB133" s="7">
        <v>10</v>
      </c>
      <c r="BC133" s="7">
        <v>0</v>
      </c>
      <c r="BD133" s="7">
        <v>10</v>
      </c>
      <c r="BE133" s="7"/>
      <c r="BF133" s="7" t="e">
        <f t="shared" si="67"/>
        <v>#VALUE!</v>
      </c>
      <c r="BG133" s="28"/>
      <c r="BH133" s="7" t="e">
        <f t="shared" si="68"/>
        <v>#VALUE!</v>
      </c>
      <c r="BI133" s="28"/>
      <c r="BJ133" s="7"/>
      <c r="BK133" s="7"/>
      <c r="BL133" s="7" t="e">
        <f t="shared" si="69"/>
        <v>#VALUE!</v>
      </c>
      <c r="BM133" s="28"/>
      <c r="BN133" s="7" t="e">
        <f t="shared" si="70"/>
        <v>#VALUE!</v>
      </c>
      <c r="BO133" s="28"/>
      <c r="BP133" s="7"/>
      <c r="BQ133" s="7"/>
      <c r="BR133" s="7" t="e">
        <f ca="1">[1]!tメーカー名(BQ133)</f>
        <v>#NAME?</v>
      </c>
      <c r="BS133" s="7" t="e">
        <f t="shared" si="71"/>
        <v>#VALUE!</v>
      </c>
      <c r="BT133" s="28"/>
      <c r="BU133" s="7" t="e">
        <f t="shared" si="72"/>
        <v>#VALUE!</v>
      </c>
      <c r="BV133" s="28"/>
      <c r="BW133" s="54"/>
      <c r="BX133" s="54"/>
      <c r="BY133" s="7" t="e">
        <f t="shared" si="73"/>
        <v>#VALUE!</v>
      </c>
      <c r="BZ133" s="28"/>
      <c r="CA133" s="7" t="e">
        <f t="shared" si="74"/>
        <v>#VALUE!</v>
      </c>
      <c r="CB133" s="28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</row>
    <row r="134" spans="1:92">
      <c r="A134" s="7">
        <v>122</v>
      </c>
      <c r="B134" s="7"/>
      <c r="C134" s="7" t="e">
        <f t="shared" si="51"/>
        <v>#VALUE!</v>
      </c>
      <c r="D134" s="28"/>
      <c r="E134" s="7">
        <f t="shared" si="52"/>
        <v>0</v>
      </c>
      <c r="F134" s="6"/>
      <c r="G134" s="7">
        <f t="shared" si="53"/>
        <v>0</v>
      </c>
      <c r="H134" s="7"/>
      <c r="I134" s="7">
        <f t="shared" si="54"/>
        <v>0</v>
      </c>
      <c r="J134" s="7"/>
      <c r="K134" s="7"/>
      <c r="L134" s="7"/>
      <c r="M134" s="7"/>
      <c r="N134" s="7"/>
      <c r="O134" s="7"/>
      <c r="P134" s="7"/>
      <c r="Q134" s="53"/>
      <c r="R134" s="7">
        <v>1</v>
      </c>
      <c r="S134" s="7">
        <v>1</v>
      </c>
      <c r="T134" s="53"/>
      <c r="U134" s="7">
        <v>1</v>
      </c>
      <c r="V134" s="7" t="e">
        <f t="shared" si="57"/>
        <v>#VALUE!</v>
      </c>
      <c r="W134" s="28"/>
      <c r="X134" s="7" t="e">
        <f t="shared" si="58"/>
        <v>#VALUE!</v>
      </c>
      <c r="Y134" s="28"/>
      <c r="Z134" s="7" t="e">
        <f t="shared" si="59"/>
        <v>#VALUE!</v>
      </c>
      <c r="AA134" s="28"/>
      <c r="AB134" s="7"/>
      <c r="AC134" s="7"/>
      <c r="AD134" s="7"/>
      <c r="AE134" s="7"/>
      <c r="AF134" s="7"/>
      <c r="AG134" s="7" t="e">
        <f t="shared" si="60"/>
        <v>#VALUE!</v>
      </c>
      <c r="AH134" s="28"/>
      <c r="AI134" s="7"/>
      <c r="AJ134" s="7" t="e">
        <f t="shared" si="61"/>
        <v>#VALUE!</v>
      </c>
      <c r="AK134" s="28"/>
      <c r="AL134" s="7" t="e">
        <f t="shared" si="62"/>
        <v>#VALUE!</v>
      </c>
      <c r="AM134" s="28"/>
      <c r="AN134" s="7" t="e">
        <f t="shared" si="63"/>
        <v>#VALUE!</v>
      </c>
      <c r="AO134" s="28"/>
      <c r="AP134" s="7" t="e">
        <f t="shared" si="64"/>
        <v>#VALUE!</v>
      </c>
      <c r="AQ134" s="28"/>
      <c r="AR134" s="7"/>
      <c r="AS134" s="7"/>
      <c r="AT134" s="7"/>
      <c r="AU134" s="7"/>
      <c r="AV134" s="7" t="e">
        <f t="shared" si="65"/>
        <v>#VALUE!</v>
      </c>
      <c r="AW134" s="28"/>
      <c r="AX134" s="7">
        <v>23</v>
      </c>
      <c r="AY134" s="7" t="e">
        <f t="shared" si="66"/>
        <v>#VALUE!</v>
      </c>
      <c r="AZ134" s="28"/>
      <c r="BA134" s="7">
        <v>0</v>
      </c>
      <c r="BB134" s="7">
        <v>10</v>
      </c>
      <c r="BC134" s="7">
        <v>0</v>
      </c>
      <c r="BD134" s="7">
        <v>10</v>
      </c>
      <c r="BE134" s="7"/>
      <c r="BF134" s="7" t="e">
        <f t="shared" si="67"/>
        <v>#VALUE!</v>
      </c>
      <c r="BG134" s="28"/>
      <c r="BH134" s="7" t="e">
        <f t="shared" si="68"/>
        <v>#VALUE!</v>
      </c>
      <c r="BI134" s="28"/>
      <c r="BJ134" s="7"/>
      <c r="BK134" s="7"/>
      <c r="BL134" s="7" t="e">
        <f t="shared" si="69"/>
        <v>#VALUE!</v>
      </c>
      <c r="BM134" s="28"/>
      <c r="BN134" s="7" t="e">
        <f t="shared" si="70"/>
        <v>#VALUE!</v>
      </c>
      <c r="BO134" s="28"/>
      <c r="BP134" s="7"/>
      <c r="BQ134" s="7"/>
      <c r="BR134" s="7" t="e">
        <f ca="1">[1]!tメーカー名(BQ134)</f>
        <v>#NAME?</v>
      </c>
      <c r="BS134" s="7" t="e">
        <f t="shared" si="71"/>
        <v>#VALUE!</v>
      </c>
      <c r="BT134" s="28"/>
      <c r="BU134" s="7" t="e">
        <f t="shared" si="72"/>
        <v>#VALUE!</v>
      </c>
      <c r="BV134" s="28"/>
      <c r="BW134" s="54"/>
      <c r="BX134" s="54"/>
      <c r="BY134" s="7" t="e">
        <f t="shared" si="73"/>
        <v>#VALUE!</v>
      </c>
      <c r="BZ134" s="28"/>
      <c r="CA134" s="7" t="e">
        <f t="shared" si="74"/>
        <v>#VALUE!</v>
      </c>
      <c r="CB134" s="28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</row>
    <row r="135" spans="1:92">
      <c r="A135" s="7">
        <v>123</v>
      </c>
      <c r="B135" s="7"/>
      <c r="C135" s="7" t="e">
        <f t="shared" si="51"/>
        <v>#VALUE!</v>
      </c>
      <c r="D135" s="28"/>
      <c r="E135" s="7">
        <f t="shared" si="52"/>
        <v>0</v>
      </c>
      <c r="F135" s="6"/>
      <c r="G135" s="7">
        <f t="shared" si="53"/>
        <v>0</v>
      </c>
      <c r="H135" s="7"/>
      <c r="I135" s="7">
        <f t="shared" si="54"/>
        <v>0</v>
      </c>
      <c r="J135" s="7"/>
      <c r="K135" s="7"/>
      <c r="L135" s="7"/>
      <c r="M135" s="7"/>
      <c r="N135" s="7"/>
      <c r="O135" s="7"/>
      <c r="P135" s="7"/>
      <c r="Q135" s="53"/>
      <c r="R135" s="7">
        <v>1</v>
      </c>
      <c r="S135" s="7">
        <v>1</v>
      </c>
      <c r="T135" s="53"/>
      <c r="U135" s="7">
        <v>1</v>
      </c>
      <c r="V135" s="7" t="e">
        <f t="shared" si="57"/>
        <v>#VALUE!</v>
      </c>
      <c r="W135" s="28"/>
      <c r="X135" s="7" t="e">
        <f t="shared" si="58"/>
        <v>#VALUE!</v>
      </c>
      <c r="Y135" s="28"/>
      <c r="Z135" s="7" t="e">
        <f t="shared" si="59"/>
        <v>#VALUE!</v>
      </c>
      <c r="AA135" s="28"/>
      <c r="AB135" s="7"/>
      <c r="AC135" s="7"/>
      <c r="AD135" s="7"/>
      <c r="AE135" s="7"/>
      <c r="AF135" s="7"/>
      <c r="AG135" s="7" t="e">
        <f t="shared" si="60"/>
        <v>#VALUE!</v>
      </c>
      <c r="AH135" s="28"/>
      <c r="AI135" s="7"/>
      <c r="AJ135" s="7" t="e">
        <f t="shared" si="61"/>
        <v>#VALUE!</v>
      </c>
      <c r="AK135" s="28"/>
      <c r="AL135" s="7" t="e">
        <f t="shared" si="62"/>
        <v>#VALUE!</v>
      </c>
      <c r="AM135" s="28"/>
      <c r="AN135" s="7" t="e">
        <f t="shared" si="63"/>
        <v>#VALUE!</v>
      </c>
      <c r="AO135" s="28"/>
      <c r="AP135" s="7" t="e">
        <f t="shared" si="64"/>
        <v>#VALUE!</v>
      </c>
      <c r="AQ135" s="28"/>
      <c r="AR135" s="7"/>
      <c r="AS135" s="7"/>
      <c r="AT135" s="7"/>
      <c r="AU135" s="7"/>
      <c r="AV135" s="7" t="e">
        <f t="shared" si="65"/>
        <v>#VALUE!</v>
      </c>
      <c r="AW135" s="28"/>
      <c r="AX135" s="7">
        <v>24</v>
      </c>
      <c r="AY135" s="7" t="e">
        <f t="shared" si="66"/>
        <v>#VALUE!</v>
      </c>
      <c r="AZ135" s="28"/>
      <c r="BA135" s="7">
        <v>0</v>
      </c>
      <c r="BB135" s="7">
        <v>10</v>
      </c>
      <c r="BC135" s="7">
        <v>0</v>
      </c>
      <c r="BD135" s="7">
        <v>10</v>
      </c>
      <c r="BE135" s="7"/>
      <c r="BF135" s="7" t="e">
        <f t="shared" si="67"/>
        <v>#VALUE!</v>
      </c>
      <c r="BG135" s="28"/>
      <c r="BH135" s="7" t="e">
        <f t="shared" si="68"/>
        <v>#VALUE!</v>
      </c>
      <c r="BI135" s="28"/>
      <c r="BJ135" s="7"/>
      <c r="BK135" s="7"/>
      <c r="BL135" s="7" t="e">
        <f t="shared" si="69"/>
        <v>#VALUE!</v>
      </c>
      <c r="BM135" s="28"/>
      <c r="BN135" s="7" t="e">
        <f t="shared" si="70"/>
        <v>#VALUE!</v>
      </c>
      <c r="BO135" s="28"/>
      <c r="BP135" s="7"/>
      <c r="BQ135" s="7"/>
      <c r="BR135" s="7" t="e">
        <f ca="1">[1]!tメーカー名(BQ135)</f>
        <v>#NAME?</v>
      </c>
      <c r="BS135" s="7" t="e">
        <f t="shared" si="71"/>
        <v>#VALUE!</v>
      </c>
      <c r="BT135" s="28"/>
      <c r="BU135" s="7" t="e">
        <f t="shared" si="72"/>
        <v>#VALUE!</v>
      </c>
      <c r="BV135" s="28"/>
      <c r="BW135" s="54"/>
      <c r="BX135" s="54"/>
      <c r="BY135" s="7" t="e">
        <f t="shared" si="73"/>
        <v>#VALUE!</v>
      </c>
      <c r="BZ135" s="28"/>
      <c r="CA135" s="7" t="e">
        <f t="shared" si="74"/>
        <v>#VALUE!</v>
      </c>
      <c r="CB135" s="28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</row>
    <row r="136" spans="1:92">
      <c r="A136" s="7">
        <v>124</v>
      </c>
      <c r="B136" s="7"/>
      <c r="C136" s="7" t="e">
        <f t="shared" si="51"/>
        <v>#VALUE!</v>
      </c>
      <c r="D136" s="28"/>
      <c r="E136" s="7">
        <f t="shared" si="52"/>
        <v>0</v>
      </c>
      <c r="F136" s="6"/>
      <c r="G136" s="7">
        <f t="shared" si="53"/>
        <v>0</v>
      </c>
      <c r="H136" s="7"/>
      <c r="I136" s="7">
        <f t="shared" si="54"/>
        <v>0</v>
      </c>
      <c r="J136" s="7"/>
      <c r="K136" s="7"/>
      <c r="L136" s="7"/>
      <c r="M136" s="7"/>
      <c r="N136" s="7"/>
      <c r="O136" s="7"/>
      <c r="P136" s="7"/>
      <c r="Q136" s="53"/>
      <c r="R136" s="7">
        <v>1</v>
      </c>
      <c r="S136" s="7">
        <v>1</v>
      </c>
      <c r="T136" s="53"/>
      <c r="U136" s="7">
        <v>1</v>
      </c>
      <c r="V136" s="7" t="e">
        <f t="shared" si="57"/>
        <v>#VALUE!</v>
      </c>
      <c r="W136" s="28"/>
      <c r="X136" s="7" t="e">
        <f t="shared" si="58"/>
        <v>#VALUE!</v>
      </c>
      <c r="Y136" s="28"/>
      <c r="Z136" s="7" t="e">
        <f t="shared" si="59"/>
        <v>#VALUE!</v>
      </c>
      <c r="AA136" s="28"/>
      <c r="AB136" s="7"/>
      <c r="AC136" s="7"/>
      <c r="AD136" s="7"/>
      <c r="AE136" s="7"/>
      <c r="AF136" s="7"/>
      <c r="AG136" s="7" t="e">
        <f t="shared" si="60"/>
        <v>#VALUE!</v>
      </c>
      <c r="AH136" s="28"/>
      <c r="AI136" s="7"/>
      <c r="AJ136" s="7" t="e">
        <f t="shared" si="61"/>
        <v>#VALUE!</v>
      </c>
      <c r="AK136" s="28"/>
      <c r="AL136" s="7" t="e">
        <f t="shared" si="62"/>
        <v>#VALUE!</v>
      </c>
      <c r="AM136" s="28"/>
      <c r="AN136" s="7" t="e">
        <f t="shared" si="63"/>
        <v>#VALUE!</v>
      </c>
      <c r="AO136" s="28"/>
      <c r="AP136" s="7" t="e">
        <f t="shared" si="64"/>
        <v>#VALUE!</v>
      </c>
      <c r="AQ136" s="28"/>
      <c r="AR136" s="7"/>
      <c r="AS136" s="7"/>
      <c r="AT136" s="7"/>
      <c r="AU136" s="7"/>
      <c r="AV136" s="7" t="e">
        <f t="shared" si="65"/>
        <v>#VALUE!</v>
      </c>
      <c r="AW136" s="28"/>
      <c r="AX136" s="7">
        <v>25</v>
      </c>
      <c r="AY136" s="7" t="e">
        <f t="shared" si="66"/>
        <v>#VALUE!</v>
      </c>
      <c r="AZ136" s="28"/>
      <c r="BA136" s="7">
        <v>0</v>
      </c>
      <c r="BB136" s="7">
        <v>10</v>
      </c>
      <c r="BC136" s="7">
        <v>0</v>
      </c>
      <c r="BD136" s="7">
        <v>10</v>
      </c>
      <c r="BE136" s="7"/>
      <c r="BF136" s="7" t="e">
        <f t="shared" si="67"/>
        <v>#VALUE!</v>
      </c>
      <c r="BG136" s="28"/>
      <c r="BH136" s="7" t="e">
        <f t="shared" si="68"/>
        <v>#VALUE!</v>
      </c>
      <c r="BI136" s="28"/>
      <c r="BJ136" s="7"/>
      <c r="BK136" s="7"/>
      <c r="BL136" s="7" t="e">
        <f t="shared" si="69"/>
        <v>#VALUE!</v>
      </c>
      <c r="BM136" s="28"/>
      <c r="BN136" s="7" t="e">
        <f t="shared" si="70"/>
        <v>#VALUE!</v>
      </c>
      <c r="BO136" s="28"/>
      <c r="BP136" s="7"/>
      <c r="BQ136" s="7"/>
      <c r="BR136" s="7" t="e">
        <f ca="1">[1]!tメーカー名(BQ136)</f>
        <v>#NAME?</v>
      </c>
      <c r="BS136" s="7" t="e">
        <f t="shared" si="71"/>
        <v>#VALUE!</v>
      </c>
      <c r="BT136" s="28"/>
      <c r="BU136" s="7" t="e">
        <f t="shared" si="72"/>
        <v>#VALUE!</v>
      </c>
      <c r="BV136" s="28"/>
      <c r="BW136" s="54"/>
      <c r="BX136" s="54"/>
      <c r="BY136" s="7" t="e">
        <f t="shared" si="73"/>
        <v>#VALUE!</v>
      </c>
      <c r="BZ136" s="28"/>
      <c r="CA136" s="7" t="e">
        <f t="shared" si="74"/>
        <v>#VALUE!</v>
      </c>
      <c r="CB136" s="28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</row>
    <row r="137" spans="1:92">
      <c r="A137" s="7">
        <v>125</v>
      </c>
      <c r="B137" s="7"/>
      <c r="C137" s="7" t="e">
        <f t="shared" si="51"/>
        <v>#VALUE!</v>
      </c>
      <c r="D137" s="28"/>
      <c r="E137" s="7">
        <f t="shared" si="52"/>
        <v>0</v>
      </c>
      <c r="F137" s="6"/>
      <c r="G137" s="7">
        <f t="shared" si="53"/>
        <v>0</v>
      </c>
      <c r="H137" s="7"/>
      <c r="I137" s="7">
        <f t="shared" si="54"/>
        <v>0</v>
      </c>
      <c r="J137" s="7"/>
      <c r="K137" s="7"/>
      <c r="L137" s="7"/>
      <c r="M137" s="7"/>
      <c r="N137" s="7"/>
      <c r="O137" s="7"/>
      <c r="P137" s="7"/>
      <c r="Q137" s="53"/>
      <c r="R137" s="7">
        <v>1</v>
      </c>
      <c r="S137" s="7">
        <v>1</v>
      </c>
      <c r="T137" s="53"/>
      <c r="U137" s="7">
        <v>1</v>
      </c>
      <c r="V137" s="7" t="e">
        <f t="shared" si="57"/>
        <v>#VALUE!</v>
      </c>
      <c r="W137" s="28"/>
      <c r="X137" s="7" t="e">
        <f t="shared" si="58"/>
        <v>#VALUE!</v>
      </c>
      <c r="Y137" s="28"/>
      <c r="Z137" s="7" t="e">
        <f t="shared" si="59"/>
        <v>#VALUE!</v>
      </c>
      <c r="AA137" s="28"/>
      <c r="AB137" s="7"/>
      <c r="AC137" s="7"/>
      <c r="AD137" s="7"/>
      <c r="AE137" s="7"/>
      <c r="AF137" s="7"/>
      <c r="AG137" s="7" t="e">
        <f t="shared" si="60"/>
        <v>#VALUE!</v>
      </c>
      <c r="AH137" s="28"/>
      <c r="AI137" s="7"/>
      <c r="AJ137" s="7" t="e">
        <f t="shared" si="61"/>
        <v>#VALUE!</v>
      </c>
      <c r="AK137" s="28"/>
      <c r="AL137" s="7" t="e">
        <f t="shared" si="62"/>
        <v>#VALUE!</v>
      </c>
      <c r="AM137" s="28"/>
      <c r="AN137" s="7" t="e">
        <f t="shared" si="63"/>
        <v>#VALUE!</v>
      </c>
      <c r="AO137" s="28"/>
      <c r="AP137" s="7" t="e">
        <f t="shared" si="64"/>
        <v>#VALUE!</v>
      </c>
      <c r="AQ137" s="28"/>
      <c r="AR137" s="7"/>
      <c r="AS137" s="7"/>
      <c r="AT137" s="7"/>
      <c r="AU137" s="7"/>
      <c r="AV137" s="7" t="e">
        <f t="shared" si="65"/>
        <v>#VALUE!</v>
      </c>
      <c r="AW137" s="28"/>
      <c r="AX137" s="7">
        <v>26</v>
      </c>
      <c r="AY137" s="7" t="e">
        <f t="shared" si="66"/>
        <v>#VALUE!</v>
      </c>
      <c r="AZ137" s="28"/>
      <c r="BA137" s="7">
        <v>0</v>
      </c>
      <c r="BB137" s="7">
        <v>10</v>
      </c>
      <c r="BC137" s="7">
        <v>0</v>
      </c>
      <c r="BD137" s="7">
        <v>10</v>
      </c>
      <c r="BE137" s="7"/>
      <c r="BF137" s="7" t="e">
        <f t="shared" si="67"/>
        <v>#VALUE!</v>
      </c>
      <c r="BG137" s="28"/>
      <c r="BH137" s="7" t="e">
        <f t="shared" si="68"/>
        <v>#VALUE!</v>
      </c>
      <c r="BI137" s="28"/>
      <c r="BJ137" s="7"/>
      <c r="BK137" s="7"/>
      <c r="BL137" s="7" t="e">
        <f t="shared" si="69"/>
        <v>#VALUE!</v>
      </c>
      <c r="BM137" s="28"/>
      <c r="BN137" s="7" t="e">
        <f t="shared" si="70"/>
        <v>#VALUE!</v>
      </c>
      <c r="BO137" s="28"/>
      <c r="BP137" s="7"/>
      <c r="BQ137" s="7"/>
      <c r="BR137" s="7" t="e">
        <f ca="1">[1]!tメーカー名(BQ137)</f>
        <v>#NAME?</v>
      </c>
      <c r="BS137" s="7" t="e">
        <f t="shared" si="71"/>
        <v>#VALUE!</v>
      </c>
      <c r="BT137" s="28"/>
      <c r="BU137" s="7" t="e">
        <f t="shared" si="72"/>
        <v>#VALUE!</v>
      </c>
      <c r="BV137" s="28"/>
      <c r="BW137" s="54"/>
      <c r="BX137" s="54"/>
      <c r="BY137" s="7" t="e">
        <f t="shared" si="73"/>
        <v>#VALUE!</v>
      </c>
      <c r="BZ137" s="28"/>
      <c r="CA137" s="7" t="e">
        <f t="shared" si="74"/>
        <v>#VALUE!</v>
      </c>
      <c r="CB137" s="28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</row>
    <row r="138" spans="1:92">
      <c r="A138" s="7">
        <v>126</v>
      </c>
      <c r="B138" s="7"/>
      <c r="C138" s="7" t="e">
        <f t="shared" si="51"/>
        <v>#VALUE!</v>
      </c>
      <c r="D138" s="28"/>
      <c r="E138" s="7">
        <f t="shared" si="52"/>
        <v>0</v>
      </c>
      <c r="F138" s="6"/>
      <c r="G138" s="7">
        <f t="shared" si="53"/>
        <v>0</v>
      </c>
      <c r="H138" s="7"/>
      <c r="I138" s="7">
        <f t="shared" si="54"/>
        <v>0</v>
      </c>
      <c r="J138" s="7"/>
      <c r="K138" s="7"/>
      <c r="L138" s="7"/>
      <c r="M138" s="7"/>
      <c r="N138" s="7"/>
      <c r="O138" s="7"/>
      <c r="P138" s="7"/>
      <c r="Q138" s="53"/>
      <c r="R138" s="7">
        <v>1</v>
      </c>
      <c r="S138" s="7">
        <v>1</v>
      </c>
      <c r="T138" s="53"/>
      <c r="U138" s="7">
        <v>1</v>
      </c>
      <c r="V138" s="7" t="e">
        <f t="shared" si="57"/>
        <v>#VALUE!</v>
      </c>
      <c r="W138" s="28"/>
      <c r="X138" s="7" t="e">
        <f t="shared" si="58"/>
        <v>#VALUE!</v>
      </c>
      <c r="Y138" s="28"/>
      <c r="Z138" s="7" t="e">
        <f t="shared" si="59"/>
        <v>#VALUE!</v>
      </c>
      <c r="AA138" s="28"/>
      <c r="AB138" s="7"/>
      <c r="AC138" s="7"/>
      <c r="AD138" s="7"/>
      <c r="AE138" s="7"/>
      <c r="AF138" s="7"/>
      <c r="AG138" s="7" t="e">
        <f t="shared" si="60"/>
        <v>#VALUE!</v>
      </c>
      <c r="AH138" s="28"/>
      <c r="AI138" s="7"/>
      <c r="AJ138" s="7" t="e">
        <f t="shared" si="61"/>
        <v>#VALUE!</v>
      </c>
      <c r="AK138" s="28"/>
      <c r="AL138" s="7" t="e">
        <f t="shared" si="62"/>
        <v>#VALUE!</v>
      </c>
      <c r="AM138" s="28"/>
      <c r="AN138" s="7" t="e">
        <f t="shared" si="63"/>
        <v>#VALUE!</v>
      </c>
      <c r="AO138" s="28"/>
      <c r="AP138" s="7" t="e">
        <f t="shared" si="64"/>
        <v>#VALUE!</v>
      </c>
      <c r="AQ138" s="28"/>
      <c r="AR138" s="7"/>
      <c r="AS138" s="7"/>
      <c r="AT138" s="7"/>
      <c r="AU138" s="7"/>
      <c r="AV138" s="7" t="e">
        <f t="shared" si="65"/>
        <v>#VALUE!</v>
      </c>
      <c r="AW138" s="28"/>
      <c r="AX138" s="7">
        <v>27</v>
      </c>
      <c r="AY138" s="7" t="e">
        <f t="shared" si="66"/>
        <v>#VALUE!</v>
      </c>
      <c r="AZ138" s="28"/>
      <c r="BA138" s="7">
        <v>0</v>
      </c>
      <c r="BB138" s="7">
        <v>10</v>
      </c>
      <c r="BC138" s="7">
        <v>0</v>
      </c>
      <c r="BD138" s="7">
        <v>10</v>
      </c>
      <c r="BE138" s="7"/>
      <c r="BF138" s="7" t="e">
        <f t="shared" si="67"/>
        <v>#VALUE!</v>
      </c>
      <c r="BG138" s="28"/>
      <c r="BH138" s="7" t="e">
        <f t="shared" si="68"/>
        <v>#VALUE!</v>
      </c>
      <c r="BI138" s="28"/>
      <c r="BJ138" s="7"/>
      <c r="BK138" s="7"/>
      <c r="BL138" s="7" t="e">
        <f t="shared" si="69"/>
        <v>#VALUE!</v>
      </c>
      <c r="BM138" s="28"/>
      <c r="BN138" s="7" t="e">
        <f t="shared" si="70"/>
        <v>#VALUE!</v>
      </c>
      <c r="BO138" s="28"/>
      <c r="BP138" s="7"/>
      <c r="BQ138" s="7"/>
      <c r="BR138" s="7" t="e">
        <f ca="1">[1]!tメーカー名(BQ138)</f>
        <v>#NAME?</v>
      </c>
      <c r="BS138" s="7" t="e">
        <f t="shared" si="71"/>
        <v>#VALUE!</v>
      </c>
      <c r="BT138" s="28"/>
      <c r="BU138" s="7" t="e">
        <f t="shared" si="72"/>
        <v>#VALUE!</v>
      </c>
      <c r="BV138" s="28"/>
      <c r="BW138" s="54"/>
      <c r="BX138" s="54"/>
      <c r="BY138" s="7" t="e">
        <f t="shared" si="73"/>
        <v>#VALUE!</v>
      </c>
      <c r="BZ138" s="28"/>
      <c r="CA138" s="7" t="e">
        <f t="shared" si="74"/>
        <v>#VALUE!</v>
      </c>
      <c r="CB138" s="28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</row>
    <row r="139" spans="1:92">
      <c r="A139" s="7">
        <v>127</v>
      </c>
      <c r="B139" s="7"/>
      <c r="C139" s="7" t="e">
        <f t="shared" si="51"/>
        <v>#VALUE!</v>
      </c>
      <c r="D139" s="28"/>
      <c r="E139" s="7">
        <f t="shared" si="52"/>
        <v>0</v>
      </c>
      <c r="F139" s="6"/>
      <c r="G139" s="7">
        <f t="shared" si="53"/>
        <v>0</v>
      </c>
      <c r="H139" s="7"/>
      <c r="I139" s="7">
        <f t="shared" si="54"/>
        <v>0</v>
      </c>
      <c r="J139" s="7"/>
      <c r="K139" s="7"/>
      <c r="L139" s="7"/>
      <c r="M139" s="7"/>
      <c r="N139" s="7"/>
      <c r="O139" s="7"/>
      <c r="P139" s="7"/>
      <c r="Q139" s="53"/>
      <c r="R139" s="7">
        <v>1</v>
      </c>
      <c r="S139" s="7">
        <v>1</v>
      </c>
      <c r="T139" s="53"/>
      <c r="U139" s="7">
        <v>1</v>
      </c>
      <c r="V139" s="7" t="e">
        <f t="shared" si="57"/>
        <v>#VALUE!</v>
      </c>
      <c r="W139" s="28"/>
      <c r="X139" s="7" t="e">
        <f t="shared" si="58"/>
        <v>#VALUE!</v>
      </c>
      <c r="Y139" s="28"/>
      <c r="Z139" s="7" t="e">
        <f t="shared" si="59"/>
        <v>#VALUE!</v>
      </c>
      <c r="AA139" s="28"/>
      <c r="AB139" s="7"/>
      <c r="AC139" s="7"/>
      <c r="AD139" s="7"/>
      <c r="AE139" s="7"/>
      <c r="AF139" s="7"/>
      <c r="AG139" s="7" t="e">
        <f t="shared" si="60"/>
        <v>#VALUE!</v>
      </c>
      <c r="AH139" s="28"/>
      <c r="AI139" s="7"/>
      <c r="AJ139" s="7" t="e">
        <f t="shared" si="61"/>
        <v>#VALUE!</v>
      </c>
      <c r="AK139" s="28"/>
      <c r="AL139" s="7" t="e">
        <f t="shared" si="62"/>
        <v>#VALUE!</v>
      </c>
      <c r="AM139" s="28"/>
      <c r="AN139" s="7" t="e">
        <f t="shared" si="63"/>
        <v>#VALUE!</v>
      </c>
      <c r="AO139" s="28"/>
      <c r="AP139" s="7" t="e">
        <f t="shared" si="64"/>
        <v>#VALUE!</v>
      </c>
      <c r="AQ139" s="28"/>
      <c r="AR139" s="7"/>
      <c r="AS139" s="7"/>
      <c r="AT139" s="7"/>
      <c r="AU139" s="7"/>
      <c r="AV139" s="7" t="e">
        <f t="shared" si="65"/>
        <v>#VALUE!</v>
      </c>
      <c r="AW139" s="28"/>
      <c r="AX139" s="7">
        <v>28</v>
      </c>
      <c r="AY139" s="7" t="e">
        <f t="shared" si="66"/>
        <v>#VALUE!</v>
      </c>
      <c r="AZ139" s="28"/>
      <c r="BA139" s="7">
        <v>0</v>
      </c>
      <c r="BB139" s="7">
        <v>10</v>
      </c>
      <c r="BC139" s="7">
        <v>0</v>
      </c>
      <c r="BD139" s="7">
        <v>10</v>
      </c>
      <c r="BE139" s="7"/>
      <c r="BF139" s="7" t="e">
        <f t="shared" si="67"/>
        <v>#VALUE!</v>
      </c>
      <c r="BG139" s="28"/>
      <c r="BH139" s="7" t="e">
        <f t="shared" si="68"/>
        <v>#VALUE!</v>
      </c>
      <c r="BI139" s="28"/>
      <c r="BJ139" s="7"/>
      <c r="BK139" s="7"/>
      <c r="BL139" s="7" t="e">
        <f t="shared" si="69"/>
        <v>#VALUE!</v>
      </c>
      <c r="BM139" s="28"/>
      <c r="BN139" s="7" t="e">
        <f t="shared" si="70"/>
        <v>#VALUE!</v>
      </c>
      <c r="BO139" s="28"/>
      <c r="BP139" s="7"/>
      <c r="BQ139" s="7"/>
      <c r="BR139" s="7" t="e">
        <f ca="1">[1]!tメーカー名(BQ139)</f>
        <v>#NAME?</v>
      </c>
      <c r="BS139" s="7" t="e">
        <f t="shared" si="71"/>
        <v>#VALUE!</v>
      </c>
      <c r="BT139" s="28"/>
      <c r="BU139" s="7" t="e">
        <f t="shared" si="72"/>
        <v>#VALUE!</v>
      </c>
      <c r="BV139" s="28"/>
      <c r="BW139" s="54"/>
      <c r="BX139" s="54"/>
      <c r="BY139" s="7" t="e">
        <f t="shared" si="73"/>
        <v>#VALUE!</v>
      </c>
      <c r="BZ139" s="28"/>
      <c r="CA139" s="7" t="e">
        <f t="shared" si="74"/>
        <v>#VALUE!</v>
      </c>
      <c r="CB139" s="28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</row>
  </sheetData>
  <autoFilter ref="A12:CN139" xr:uid="{00000000-0009-0000-0000-000004000000}"/>
  <customSheetViews>
    <customSheetView guid="{4A49014B-6EB8-41BC-821C-AA758C89CB00}" scale="85" showPageBreaks="1" showAutoFilter="1">
      <selection activeCell="F19" sqref="F19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CN139" xr:uid="{8E3B17A1-58F5-443D-A17F-CA02B7128D9E}"/>
    </customSheetView>
  </customSheetViews>
  <phoneticPr fontId="3"/>
  <conditionalFormatting sqref="A10">
    <cfRule type="expression" dxfId="23" priority="13" stopIfTrue="1">
      <formula>"51＜"</formula>
    </cfRule>
    <cfRule type="expression" priority="14" stopIfTrue="1">
      <formula>"51＜"</formula>
    </cfRule>
  </conditionalFormatting>
  <conditionalFormatting sqref="C5 B6:C6">
    <cfRule type="expression" dxfId="22" priority="1" stopIfTrue="1">
      <formula>"51＜"</formula>
    </cfRule>
    <cfRule type="expression" priority="2" stopIfTrue="1">
      <formula>"51＜"</formula>
    </cfRule>
  </conditionalFormatting>
  <conditionalFormatting sqref="E12">
    <cfRule type="expression" dxfId="21" priority="25" stopIfTrue="1">
      <formula>"51＜"</formula>
    </cfRule>
    <cfRule type="expression" priority="26" stopIfTrue="1">
      <formula>"51＜"</formula>
    </cfRule>
  </conditionalFormatting>
  <conditionalFormatting sqref="E10:F10">
    <cfRule type="expression" dxfId="20" priority="3" stopIfTrue="1">
      <formula>"51＜"</formula>
    </cfRule>
    <cfRule type="expression" priority="4" stopIfTrue="1">
      <formula>"51＜"</formula>
    </cfRule>
  </conditionalFormatting>
  <conditionalFormatting sqref="G9:G10 G12:G65348">
    <cfRule type="expression" dxfId="19" priority="37" stopIfTrue="1">
      <formula>"51＜"</formula>
    </cfRule>
    <cfRule type="expression" priority="38" stopIfTrue="1">
      <formula>"51＜"</formula>
    </cfRule>
  </conditionalFormatting>
  <conditionalFormatting sqref="I9:I10">
    <cfRule type="expression" dxfId="18" priority="11" stopIfTrue="1">
      <formula>"51＜"</formula>
    </cfRule>
    <cfRule type="expression" priority="12" stopIfTrue="1">
      <formula>"51＜"</formula>
    </cfRule>
  </conditionalFormatting>
  <conditionalFormatting sqref="I12:I65348">
    <cfRule type="expression" dxfId="17" priority="33" stopIfTrue="1">
      <formula>"51＜"</formula>
    </cfRule>
    <cfRule type="expression" priority="34" stopIfTrue="1">
      <formula>"51＜"</formula>
    </cfRule>
  </conditionalFormatting>
  <conditionalFormatting sqref="K9:K10">
    <cfRule type="expression" dxfId="16" priority="9" stopIfTrue="1">
      <formula>"51＜"</formula>
    </cfRule>
    <cfRule type="expression" priority="10" stopIfTrue="1">
      <formula>"51＜"</formula>
    </cfRule>
  </conditionalFormatting>
  <conditionalFormatting sqref="K12:K65348 M12:M65348">
    <cfRule type="expression" dxfId="15" priority="27" stopIfTrue="1">
      <formula>"51＜"</formula>
    </cfRule>
    <cfRule type="expression" priority="28" stopIfTrue="1">
      <formula>"51＜"</formula>
    </cfRule>
  </conditionalFormatting>
  <conditionalFormatting sqref="M6">
    <cfRule type="expression" dxfId="14" priority="29" stopIfTrue="1">
      <formula>"51＜"</formula>
    </cfRule>
    <cfRule type="expression" priority="30" stopIfTrue="1">
      <formula>"51＜"</formula>
    </cfRule>
  </conditionalFormatting>
  <conditionalFormatting sqref="M9:M10">
    <cfRule type="expression" dxfId="13" priority="7" stopIfTrue="1">
      <formula>"51＜"</formula>
    </cfRule>
    <cfRule type="expression" priority="8" stopIfTrue="1">
      <formula>"51＜"</formula>
    </cfRule>
  </conditionalFormatting>
  <conditionalFormatting sqref="Q10">
    <cfRule type="expression" dxfId="12" priority="17" stopIfTrue="1">
      <formula>"51＜"</formula>
    </cfRule>
    <cfRule type="expression" priority="18" stopIfTrue="1">
      <formula>"51＜"</formula>
    </cfRule>
  </conditionalFormatting>
  <conditionalFormatting sqref="T10">
    <cfRule type="expression" dxfId="11" priority="15" stopIfTrue="1">
      <formula>"51＜"</formula>
    </cfRule>
    <cfRule type="expression" priority="16" stopIfTrue="1">
      <formula>"51＜"</formula>
    </cfRule>
  </conditionalFormatting>
  <dataValidations count="3">
    <dataValidation type="list" allowBlank="1" showInputMessage="1" showErrorMessage="1" sqref="BI13:BI139" xr:uid="{00000000-0002-0000-0400-000000000000}">
      <formula1>国産輸入</formula1>
    </dataValidation>
    <dataValidation type="list" allowBlank="1" showInputMessage="1" showErrorMessage="1" sqref="BZ13:BZ139" xr:uid="{00000000-0002-0000-0400-000001000000}">
      <formula1>予備区分3</formula1>
    </dataValidation>
    <dataValidation type="custom" allowBlank="1" showInputMessage="1" showErrorMessage="1" sqref="J18" xr:uid="{00000000-0002-0000-0400-000002000000}">
      <formula1>LENB(J18)&lt;=52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58" r:id="rId5" name="Check Box 50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419100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6" name="Check Box 51">
              <controlPr defaultSize="0" autoFill="0" autoLine="0" autoPict="0">
                <anchor moveWithCells="1">
                  <from>
                    <xdr:col>8</xdr:col>
                    <xdr:colOff>114300</xdr:colOff>
                    <xdr:row>0</xdr:row>
                    <xdr:rowOff>0</xdr:rowOff>
                  </from>
                  <to>
                    <xdr:col>8</xdr:col>
                    <xdr:colOff>419100</xdr:colOff>
                    <xdr:row>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00000000-0002-0000-0400-000003000000}">
          <x14:formula1>
            <xm:f>MT商品ﾏｽﾀ参照シート!$AF$2:$AF$89</xm:f>
          </x14:formula1>
          <xm:sqref>BO13:BO139</xm:sqref>
        </x14:dataValidation>
        <x14:dataValidation type="list" allowBlank="1" showInputMessage="1" showErrorMessage="1" xr:uid="{00000000-0002-0000-0400-000004000000}">
          <x14:formula1>
            <xm:f>MT商品ﾏｽﾀ参照シート!$AL$2:$AL$11</xm:f>
          </x14:formula1>
          <xm:sqref>BV34:BV139</xm:sqref>
        </x14:dataValidation>
        <x14:dataValidation type="list" allowBlank="1" showInputMessage="1" showErrorMessage="1" xr:uid="{00000000-0002-0000-0400-000005000000}">
          <x14:formula1>
            <xm:f>MT商品ﾏｽﾀ参照シート!$AL$3:$AL$11</xm:f>
          </x14:formula1>
          <xm:sqref>BV13:BV33</xm:sqref>
        </x14:dataValidation>
        <x14:dataValidation type="list" allowBlank="1" showInputMessage="1" showErrorMessage="1" xr:uid="{00000000-0002-0000-0400-000006000000}">
          <x14:formula1>
            <xm:f>MT商品ﾏｽﾀ参照シート!$AJ$2:$AJ$11</xm:f>
          </x14:formula1>
          <xm:sqref>BT13:BT139</xm:sqref>
        </x14:dataValidation>
        <x14:dataValidation type="list" allowBlank="1" showInputMessage="1" showErrorMessage="1" xr:uid="{00000000-0002-0000-0400-000007000000}">
          <x14:formula1>
            <xm:f>MT商品ﾏｽﾀ参照シート!$P$2:$P$7</xm:f>
          </x14:formula1>
          <xm:sqref>AQ13:AQ139</xm:sqref>
        </x14:dataValidation>
        <x14:dataValidation type="list" allowBlank="1" showInputMessage="1" showErrorMessage="1" xr:uid="{00000000-0002-0000-0400-000008000000}">
          <x14:formula1>
            <xm:f>MT商品ﾏｽﾀ参照シート!$N$2:$N$11</xm:f>
          </x14:formula1>
          <xm:sqref>AO13:AO139</xm:sqref>
        </x14:dataValidation>
        <x14:dataValidation type="list" allowBlank="1" showInputMessage="1" showErrorMessage="1" xr:uid="{00000000-0002-0000-0400-000009000000}">
          <x14:formula1>
            <xm:f>MT商品ﾏｽﾀ参照シート!$L$2:$L$11</xm:f>
          </x14:formula1>
          <xm:sqref>AM13:AM139</xm:sqref>
        </x14:dataValidation>
        <x14:dataValidation type="list" allowBlank="1" showInputMessage="1" showErrorMessage="1" xr:uid="{00000000-0002-0000-0400-00000A000000}">
          <x14:formula1>
            <xm:f>MT商品ﾏｽﾀ参照シート!$H$2:$H$6</xm:f>
          </x14:formula1>
          <xm:sqref>AH13:AH139</xm:sqref>
        </x14:dataValidation>
        <x14:dataValidation type="list" allowBlank="1" showInputMessage="1" showErrorMessage="1" xr:uid="{00000000-0002-0000-0400-00000B000000}">
          <x14:formula1>
            <xm:f>MT商品ﾏｽﾀ参照シート!$F$2:$F$6</xm:f>
          </x14:formula1>
          <xm:sqref>AA13:AA139</xm:sqref>
        </x14:dataValidation>
        <x14:dataValidation type="list" allowBlank="1" showInputMessage="1" showErrorMessage="1" xr:uid="{00000000-0002-0000-0400-00000C000000}">
          <x14:formula1>
            <xm:f>MT商品ﾏｽﾀ参照シート!$D$2:$D$20</xm:f>
          </x14:formula1>
          <xm:sqref>W13:W139 Y13:Y139</xm:sqref>
        </x14:dataValidation>
        <x14:dataValidation type="list" allowBlank="1" showInputMessage="1" showErrorMessage="1" xr:uid="{00000000-0002-0000-0400-00000D000000}">
          <x14:formula1>
            <xm:f>MT商品ﾏｽﾀ参照シート!$B$2:$B$10</xm:f>
          </x14:formula1>
          <xm:sqref>D13:D139</xm:sqref>
        </x14:dataValidation>
        <x14:dataValidation type="list" allowBlank="1" showInputMessage="1" showErrorMessage="1" xr:uid="{00000000-0002-0000-0400-00000E000000}">
          <x14:formula1>
            <xm:f>MT商品ﾏｽﾀ参照シート!$AD$2:$AD$54</xm:f>
          </x14:formula1>
          <xm:sqref>BM13:BM139</xm:sqref>
        </x14:dataValidation>
        <x14:dataValidation type="list" allowBlank="1" showInputMessage="1" showErrorMessage="1" xr:uid="{00000000-0002-0000-0400-00000F000000}">
          <x14:formula1>
            <xm:f>MT商品ﾏｽﾀ参照シート!$BB$2:$BB$3</xm:f>
          </x14:formula1>
          <xm:sqref>AS13:AS139</xm:sqref>
        </x14:dataValidation>
        <x14:dataValidation type="list" allowBlank="1" showInputMessage="1" showErrorMessage="1" xr:uid="{00000000-0002-0000-0400-000010000000}">
          <x14:formula1>
            <xm:f>MT商品ﾏｽﾀ参照シート!$BH$2:$BH$12</xm:f>
          </x14:formula1>
          <xm:sqref>CB13:CB139</xm:sqref>
        </x14:dataValidation>
        <x14:dataValidation type="list" allowBlank="1" showInputMessage="1" showErrorMessage="1" xr:uid="{00000000-0002-0000-0400-000011000000}">
          <x14:formula1>
            <xm:f>MT商品ﾏｽﾀ参照シート!$T$112:$T$140</xm:f>
          </x14:formula1>
          <xm:sqref>AZ13:AZ139</xm:sqref>
        </x14:dataValidation>
        <x14:dataValidation type="list" allowBlank="1" showInputMessage="1" showErrorMessage="1" xr:uid="{00000000-0002-0000-0400-000012000000}">
          <x14:formula1>
            <xm:f>MT商品ﾏｽﾀ参照シート!$X$19:$X$25</xm:f>
          </x14:formula1>
          <xm:sqref>BG13:BG139</xm:sqref>
        </x14:dataValidation>
        <x14:dataValidation type="list" allowBlank="1" showInputMessage="1" showErrorMessage="1" xr:uid="{00000000-0002-0000-0400-000013000000}">
          <x14:formula1>
            <xm:f>MT商品ﾏｽﾀ参照シート!$J$9:$J$10</xm:f>
          </x14:formula1>
          <xm:sqref>AK13:AK139</xm:sqref>
        </x14:dataValidation>
        <x14:dataValidation type="list" allowBlank="1" showInputMessage="1" showErrorMessage="1" xr:uid="{00000000-0002-0000-0400-000014000000}">
          <x14:formula1>
            <xm:f>MT商品ﾏｽﾀ参照シート!$R$297:$R$589</xm:f>
          </x14:formula1>
          <xm:sqref>AW13:AW139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F114"/>
  <sheetViews>
    <sheetView tabSelected="1" topLeftCell="B1" zoomScale="85" zoomScaleNormal="85" workbookViewId="0">
      <selection activeCell="E8" sqref="E8"/>
    </sheetView>
  </sheetViews>
  <sheetFormatPr defaultColWidth="9" defaultRowHeight="13.2"/>
  <cols>
    <col min="1" max="1" width="10.6640625" style="5" customWidth="1"/>
    <col min="2" max="2" width="6.6640625" style="5" customWidth="1"/>
    <col min="3" max="4" width="50.6640625" style="2" customWidth="1"/>
    <col min="5" max="6" width="25.6640625" style="2" customWidth="1"/>
    <col min="7" max="7" width="6.6640625" style="2" customWidth="1"/>
    <col min="8" max="8" width="10.109375" style="2" customWidth="1"/>
    <col min="9" max="14" width="6.6640625" style="2" customWidth="1"/>
    <col min="15" max="15" width="10.6640625" style="2" customWidth="1"/>
    <col min="16" max="16" width="6.6640625" style="2" customWidth="1"/>
    <col min="17" max="18" width="10.6640625" style="2" customWidth="1"/>
    <col min="19" max="27" width="6.6640625" style="2" customWidth="1"/>
    <col min="28" max="28" width="12.44140625" style="5" customWidth="1"/>
    <col min="29" max="29" width="5.6640625" style="2" customWidth="1"/>
    <col min="30" max="30" width="8.88671875" style="45" customWidth="1"/>
    <col min="31" max="34" width="5.6640625" style="2" customWidth="1"/>
    <col min="35" max="35" width="10.6640625" style="2" customWidth="1"/>
    <col min="36" max="36" width="8.44140625" style="2" customWidth="1"/>
    <col min="37" max="37" width="5.6640625" style="2" customWidth="1"/>
    <col min="38" max="39" width="11.21875" style="2" customWidth="1"/>
    <col min="40" max="41" width="8.6640625" style="2" customWidth="1"/>
    <col min="42" max="42" width="5.6640625" style="2" customWidth="1"/>
    <col min="43" max="43" width="8.6640625" style="2" customWidth="1"/>
    <col min="44" max="45" width="5.6640625" style="2" customWidth="1"/>
    <col min="46" max="47" width="15" style="2" customWidth="1"/>
    <col min="48" max="49" width="5.6640625" style="2" customWidth="1"/>
    <col min="50" max="50" width="12.6640625" style="2" customWidth="1"/>
    <col min="51" max="53" width="5.6640625" style="2" customWidth="1"/>
    <col min="54" max="54" width="10.6640625" style="2" customWidth="1"/>
    <col min="55" max="56" width="5.6640625" style="2" customWidth="1"/>
    <col min="57" max="57" width="20.44140625" style="2" bestFit="1" customWidth="1"/>
    <col min="58" max="58" width="16.109375" style="2" customWidth="1"/>
    <col min="59" max="16384" width="9" style="2"/>
  </cols>
  <sheetData>
    <row r="1" spans="1:58" s="113" customFormat="1" ht="92.4">
      <c r="A1" s="13" t="s">
        <v>2242</v>
      </c>
      <c r="B1" s="13" t="s">
        <v>2785</v>
      </c>
      <c r="C1" s="13" t="s">
        <v>2011</v>
      </c>
      <c r="D1" s="13" t="s">
        <v>481</v>
      </c>
      <c r="E1" s="13" t="s">
        <v>3</v>
      </c>
      <c r="F1" s="13" t="s">
        <v>483</v>
      </c>
      <c r="G1" s="13" t="s">
        <v>485</v>
      </c>
      <c r="H1" s="13" t="s">
        <v>4</v>
      </c>
      <c r="I1" s="13" t="s">
        <v>486</v>
      </c>
      <c r="J1" s="13" t="s">
        <v>487</v>
      </c>
      <c r="K1" s="13" t="s">
        <v>488</v>
      </c>
      <c r="L1" s="12" t="s">
        <v>489</v>
      </c>
      <c r="M1" s="12" t="s">
        <v>490</v>
      </c>
      <c r="N1" s="13" t="s">
        <v>491</v>
      </c>
      <c r="O1" s="13" t="s">
        <v>492</v>
      </c>
      <c r="P1" s="13" t="s">
        <v>493</v>
      </c>
      <c r="Q1" s="13" t="s">
        <v>494</v>
      </c>
      <c r="R1" s="13" t="s">
        <v>495</v>
      </c>
      <c r="S1" s="13" t="s">
        <v>496</v>
      </c>
      <c r="T1" s="13" t="s">
        <v>499</v>
      </c>
      <c r="U1" s="13" t="s">
        <v>500</v>
      </c>
      <c r="V1" s="12" t="s">
        <v>2243</v>
      </c>
      <c r="W1" s="13" t="s">
        <v>503</v>
      </c>
      <c r="X1" s="13" t="s">
        <v>504</v>
      </c>
      <c r="Y1" s="13" t="s">
        <v>505</v>
      </c>
      <c r="Z1" s="13" t="s">
        <v>2786</v>
      </c>
      <c r="AA1" s="13" t="s">
        <v>507</v>
      </c>
      <c r="AB1" s="12" t="s">
        <v>2207</v>
      </c>
      <c r="AC1" s="13" t="s">
        <v>512</v>
      </c>
      <c r="AD1" s="12" t="s">
        <v>2208</v>
      </c>
      <c r="AE1" s="13" t="s">
        <v>2244</v>
      </c>
      <c r="AF1" s="13" t="s">
        <v>521</v>
      </c>
      <c r="AG1" s="13" t="s">
        <v>522</v>
      </c>
      <c r="AH1" s="13" t="s">
        <v>2245</v>
      </c>
      <c r="AI1" s="13" t="s">
        <v>524</v>
      </c>
      <c r="AJ1" s="12" t="s">
        <v>2223</v>
      </c>
      <c r="AK1" s="13" t="s">
        <v>533</v>
      </c>
      <c r="AL1" s="13" t="s">
        <v>2000</v>
      </c>
      <c r="AM1" s="13" t="s">
        <v>2001</v>
      </c>
      <c r="AN1" s="12" t="s">
        <v>2225</v>
      </c>
      <c r="AO1" s="12" t="s">
        <v>2226</v>
      </c>
      <c r="AP1" s="13" t="s">
        <v>540</v>
      </c>
      <c r="AQ1" s="13" t="s">
        <v>543</v>
      </c>
      <c r="AR1" s="12" t="s">
        <v>2228</v>
      </c>
      <c r="AS1" s="12" t="s">
        <v>2229</v>
      </c>
      <c r="AT1" s="13" t="s">
        <v>1398</v>
      </c>
      <c r="AU1" s="13" t="s">
        <v>1399</v>
      </c>
      <c r="AV1" s="12" t="s">
        <v>2673</v>
      </c>
      <c r="AW1" s="12" t="s">
        <v>2812</v>
      </c>
      <c r="AX1" s="13" t="s">
        <v>3392</v>
      </c>
      <c r="AY1" s="13" t="s">
        <v>564</v>
      </c>
      <c r="AZ1" s="13" t="s">
        <v>2821</v>
      </c>
      <c r="BA1" s="13" t="s">
        <v>2209</v>
      </c>
      <c r="BB1" s="13" t="s">
        <v>569</v>
      </c>
      <c r="BC1" s="13" t="s">
        <v>2822</v>
      </c>
      <c r="BD1" s="13" t="s">
        <v>574</v>
      </c>
      <c r="BE1" s="13" t="s">
        <v>2783</v>
      </c>
      <c r="BF1" s="13" t="s">
        <v>585</v>
      </c>
    </row>
    <row r="2" spans="1:58" ht="13.5" customHeight="1">
      <c r="A2" s="7">
        <v>416237</v>
      </c>
      <c r="B2" s="7">
        <v>1</v>
      </c>
      <c r="C2" s="7" t="s">
        <v>3512</v>
      </c>
      <c r="D2" s="7" t="s">
        <v>3620</v>
      </c>
      <c r="E2" s="7" t="s">
        <v>3409</v>
      </c>
      <c r="F2" s="7" t="s">
        <v>3735</v>
      </c>
      <c r="G2" s="7">
        <v>1</v>
      </c>
      <c r="H2" s="7" t="s">
        <v>3801</v>
      </c>
      <c r="I2" s="7">
        <v>1</v>
      </c>
      <c r="J2" s="7">
        <v>1</v>
      </c>
      <c r="K2" s="7">
        <v>1</v>
      </c>
      <c r="L2" s="7">
        <v>14</v>
      </c>
      <c r="M2" s="7">
        <v>14</v>
      </c>
      <c r="N2" s="7">
        <v>1</v>
      </c>
      <c r="O2" s="7"/>
      <c r="P2" s="7"/>
      <c r="Q2" s="7"/>
      <c r="R2" s="7"/>
      <c r="S2" s="7">
        <v>0</v>
      </c>
      <c r="T2" s="7">
        <v>0</v>
      </c>
      <c r="U2" s="7">
        <v>10</v>
      </c>
      <c r="V2" s="7">
        <v>9</v>
      </c>
      <c r="W2" s="7">
        <v>2</v>
      </c>
      <c r="X2" s="7">
        <v>0</v>
      </c>
      <c r="Y2" s="7">
        <v>2</v>
      </c>
      <c r="Z2" s="7"/>
      <c r="AA2" s="7" t="s">
        <v>3902</v>
      </c>
      <c r="AB2" s="7">
        <v>9291</v>
      </c>
      <c r="AC2" s="7">
        <v>1</v>
      </c>
      <c r="AD2" s="7">
        <v>1214</v>
      </c>
      <c r="AE2" s="7">
        <v>0</v>
      </c>
      <c r="AF2" s="7">
        <v>10</v>
      </c>
      <c r="AG2" s="7">
        <v>0</v>
      </c>
      <c r="AH2" s="7">
        <v>10</v>
      </c>
      <c r="AI2" s="7"/>
      <c r="AJ2" s="7">
        <v>31</v>
      </c>
      <c r="AK2" s="7">
        <v>0</v>
      </c>
      <c r="AL2" s="7"/>
      <c r="AM2" s="7"/>
      <c r="AN2" s="7">
        <v>10001</v>
      </c>
      <c r="AO2" s="7"/>
      <c r="AP2" s="7">
        <v>0</v>
      </c>
      <c r="AQ2" s="7">
        <v>4000</v>
      </c>
      <c r="AR2" s="7">
        <v>0</v>
      </c>
      <c r="AS2" s="7">
        <v>2</v>
      </c>
      <c r="AT2" s="54"/>
      <c r="AU2" s="54"/>
      <c r="AV2" s="7"/>
      <c r="AW2" s="7"/>
      <c r="AX2" s="7"/>
      <c r="AY2" s="7"/>
      <c r="AZ2" s="7"/>
      <c r="BA2" s="7"/>
      <c r="BB2" s="7"/>
      <c r="BC2" s="7"/>
      <c r="BD2" s="7"/>
      <c r="BE2" s="7"/>
      <c r="BF2" s="7" t="s">
        <v>2238</v>
      </c>
    </row>
    <row r="3" spans="1:58" ht="13.5" customHeight="1">
      <c r="A3" s="7">
        <v>416238</v>
      </c>
      <c r="B3" s="7">
        <v>1</v>
      </c>
      <c r="C3" s="7" t="s">
        <v>3513</v>
      </c>
      <c r="D3" s="7" t="s">
        <v>3621</v>
      </c>
      <c r="E3" s="7" t="s">
        <v>3409</v>
      </c>
      <c r="F3" s="7" t="s">
        <v>3735</v>
      </c>
      <c r="G3" s="7">
        <v>1</v>
      </c>
      <c r="H3" s="7" t="s">
        <v>3802</v>
      </c>
      <c r="I3" s="7">
        <v>1</v>
      </c>
      <c r="J3" s="7">
        <v>1</v>
      </c>
      <c r="K3" s="7">
        <v>1</v>
      </c>
      <c r="L3" s="7">
        <v>14</v>
      </c>
      <c r="M3" s="7">
        <v>14</v>
      </c>
      <c r="N3" s="7">
        <v>1</v>
      </c>
      <c r="O3" s="7"/>
      <c r="P3" s="7"/>
      <c r="Q3" s="7"/>
      <c r="R3" s="7"/>
      <c r="S3" s="7">
        <v>0</v>
      </c>
      <c r="T3" s="7">
        <v>0</v>
      </c>
      <c r="U3" s="7">
        <v>10</v>
      </c>
      <c r="V3" s="7">
        <v>9</v>
      </c>
      <c r="W3" s="7">
        <v>2</v>
      </c>
      <c r="X3" s="7">
        <v>0</v>
      </c>
      <c r="Y3" s="7">
        <v>2</v>
      </c>
      <c r="Z3" s="7"/>
      <c r="AA3" s="7" t="s">
        <v>3902</v>
      </c>
      <c r="AB3" s="7">
        <v>9291</v>
      </c>
      <c r="AC3" s="7">
        <v>1</v>
      </c>
      <c r="AD3" s="7">
        <v>1214</v>
      </c>
      <c r="AE3" s="7">
        <v>0</v>
      </c>
      <c r="AF3" s="7">
        <v>10</v>
      </c>
      <c r="AG3" s="7">
        <v>0</v>
      </c>
      <c r="AH3" s="7">
        <v>10</v>
      </c>
      <c r="AI3" s="7"/>
      <c r="AJ3" s="7">
        <v>31</v>
      </c>
      <c r="AK3" s="7">
        <v>0</v>
      </c>
      <c r="AL3" s="7"/>
      <c r="AM3" s="7"/>
      <c r="AN3" s="7">
        <v>10001</v>
      </c>
      <c r="AO3" s="7"/>
      <c r="AP3" s="7">
        <v>0</v>
      </c>
      <c r="AQ3" s="7">
        <v>4000</v>
      </c>
      <c r="AR3" s="7">
        <v>0</v>
      </c>
      <c r="AS3" s="7">
        <v>2</v>
      </c>
      <c r="AT3" s="54"/>
      <c r="AU3" s="54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</row>
    <row r="4" spans="1:58" ht="13.5" customHeight="1">
      <c r="A4" s="7">
        <v>416239</v>
      </c>
      <c r="B4" s="7">
        <v>1</v>
      </c>
      <c r="C4" s="7" t="s">
        <v>3514</v>
      </c>
      <c r="D4" s="7" t="s">
        <v>3622</v>
      </c>
      <c r="E4" s="7" t="s">
        <v>3736</v>
      </c>
      <c r="F4" s="7" t="s">
        <v>3736</v>
      </c>
      <c r="G4" s="7">
        <v>1</v>
      </c>
      <c r="H4" s="7" t="s">
        <v>3803</v>
      </c>
      <c r="I4" s="7">
        <v>1</v>
      </c>
      <c r="J4" s="7">
        <v>1</v>
      </c>
      <c r="K4" s="7">
        <v>1</v>
      </c>
      <c r="L4" s="7">
        <v>14</v>
      </c>
      <c r="M4" s="7">
        <v>14</v>
      </c>
      <c r="N4" s="7">
        <v>1</v>
      </c>
      <c r="O4" s="7"/>
      <c r="P4" s="7"/>
      <c r="Q4" s="7"/>
      <c r="R4" s="7"/>
      <c r="S4" s="7">
        <v>0</v>
      </c>
      <c r="T4" s="7">
        <v>0</v>
      </c>
      <c r="U4" s="7">
        <v>10</v>
      </c>
      <c r="V4" s="7">
        <v>9</v>
      </c>
      <c r="W4" s="7">
        <v>2</v>
      </c>
      <c r="X4" s="7">
        <v>0</v>
      </c>
      <c r="Y4" s="7">
        <v>2</v>
      </c>
      <c r="Z4" s="7"/>
      <c r="AA4" s="7" t="s">
        <v>3902</v>
      </c>
      <c r="AB4" s="7">
        <v>9291</v>
      </c>
      <c r="AC4" s="7">
        <v>1</v>
      </c>
      <c r="AD4" s="7">
        <v>1214</v>
      </c>
      <c r="AE4" s="7">
        <v>0</v>
      </c>
      <c r="AF4" s="7">
        <v>10</v>
      </c>
      <c r="AG4" s="7">
        <v>0</v>
      </c>
      <c r="AH4" s="7">
        <v>10</v>
      </c>
      <c r="AI4" s="7"/>
      <c r="AJ4" s="7">
        <v>31</v>
      </c>
      <c r="AK4" s="7">
        <v>0</v>
      </c>
      <c r="AL4" s="7"/>
      <c r="AM4" s="7"/>
      <c r="AN4" s="7">
        <v>10001</v>
      </c>
      <c r="AO4" s="7"/>
      <c r="AP4" s="7">
        <v>0</v>
      </c>
      <c r="AQ4" s="7">
        <v>4000</v>
      </c>
      <c r="AR4" s="7">
        <v>0</v>
      </c>
      <c r="AS4" s="7">
        <v>2</v>
      </c>
      <c r="AT4" s="54"/>
      <c r="AU4" s="54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</row>
    <row r="5" spans="1:58" ht="13.5" customHeight="1">
      <c r="A5" s="7">
        <v>416240</v>
      </c>
      <c r="B5" s="7">
        <v>1</v>
      </c>
      <c r="C5" s="7" t="s">
        <v>3515</v>
      </c>
      <c r="D5" s="7" t="s">
        <v>3623</v>
      </c>
      <c r="E5" s="7" t="s">
        <v>3736</v>
      </c>
      <c r="F5" s="7" t="s">
        <v>3736</v>
      </c>
      <c r="G5" s="7">
        <v>1</v>
      </c>
      <c r="H5" s="7" t="s">
        <v>3804</v>
      </c>
      <c r="I5" s="7">
        <v>1</v>
      </c>
      <c r="J5" s="7">
        <v>1</v>
      </c>
      <c r="K5" s="7">
        <v>1</v>
      </c>
      <c r="L5" s="7">
        <v>14</v>
      </c>
      <c r="M5" s="7">
        <v>14</v>
      </c>
      <c r="N5" s="7">
        <v>1</v>
      </c>
      <c r="O5" s="7"/>
      <c r="P5" s="7"/>
      <c r="Q5" s="7"/>
      <c r="R5" s="7"/>
      <c r="S5" s="7">
        <v>0</v>
      </c>
      <c r="T5" s="7">
        <v>0</v>
      </c>
      <c r="U5" s="7">
        <v>10</v>
      </c>
      <c r="V5" s="7">
        <v>9</v>
      </c>
      <c r="W5" s="7">
        <v>2</v>
      </c>
      <c r="X5" s="7">
        <v>0</v>
      </c>
      <c r="Y5" s="7">
        <v>2</v>
      </c>
      <c r="Z5" s="7"/>
      <c r="AA5" s="7" t="s">
        <v>3902</v>
      </c>
      <c r="AB5" s="7">
        <v>9291</v>
      </c>
      <c r="AC5" s="7">
        <v>1</v>
      </c>
      <c r="AD5" s="7">
        <v>1214</v>
      </c>
      <c r="AE5" s="7">
        <v>0</v>
      </c>
      <c r="AF5" s="7">
        <v>10</v>
      </c>
      <c r="AG5" s="7">
        <v>0</v>
      </c>
      <c r="AH5" s="7">
        <v>10</v>
      </c>
      <c r="AI5" s="7"/>
      <c r="AJ5" s="7">
        <v>31</v>
      </c>
      <c r="AK5" s="7">
        <v>0</v>
      </c>
      <c r="AL5" s="7"/>
      <c r="AM5" s="7"/>
      <c r="AN5" s="7">
        <v>10001</v>
      </c>
      <c r="AO5" s="7"/>
      <c r="AP5" s="7">
        <v>0</v>
      </c>
      <c r="AQ5" s="7">
        <v>4000</v>
      </c>
      <c r="AR5" s="7">
        <v>0</v>
      </c>
      <c r="AS5" s="7">
        <v>2</v>
      </c>
      <c r="AT5" s="54"/>
      <c r="AU5" s="54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</row>
    <row r="6" spans="1:58" ht="13.5" customHeight="1">
      <c r="A6" s="7">
        <v>416103</v>
      </c>
      <c r="B6" s="7">
        <v>1</v>
      </c>
      <c r="C6" s="7" t="s">
        <v>3942</v>
      </c>
      <c r="D6" s="7" t="s">
        <v>3624</v>
      </c>
      <c r="E6" s="7" t="s">
        <v>3411</v>
      </c>
      <c r="F6" s="7" t="s">
        <v>3737</v>
      </c>
      <c r="G6" s="7">
        <v>1</v>
      </c>
      <c r="H6" s="7" t="s">
        <v>3805</v>
      </c>
      <c r="I6" s="7">
        <v>1</v>
      </c>
      <c r="J6" s="7">
        <v>1</v>
      </c>
      <c r="K6" s="7">
        <v>1</v>
      </c>
      <c r="L6" s="7">
        <v>14</v>
      </c>
      <c r="M6" s="7">
        <v>14</v>
      </c>
      <c r="N6" s="7">
        <v>1</v>
      </c>
      <c r="O6" s="7"/>
      <c r="P6" s="7"/>
      <c r="Q6" s="7"/>
      <c r="R6" s="7"/>
      <c r="S6" s="7">
        <v>0</v>
      </c>
      <c r="T6" s="7">
        <v>0</v>
      </c>
      <c r="U6" s="7">
        <v>8</v>
      </c>
      <c r="V6" s="7">
        <v>8</v>
      </c>
      <c r="W6" s="7">
        <v>2</v>
      </c>
      <c r="X6" s="7">
        <v>0</v>
      </c>
      <c r="Y6" s="7">
        <v>2</v>
      </c>
      <c r="Z6" s="7"/>
      <c r="AA6" s="7" t="s">
        <v>3902</v>
      </c>
      <c r="AB6" s="7">
        <v>9300</v>
      </c>
      <c r="AC6" s="7">
        <v>1</v>
      </c>
      <c r="AD6" s="7">
        <v>1210</v>
      </c>
      <c r="AE6" s="7">
        <v>0</v>
      </c>
      <c r="AF6" s="7">
        <v>10</v>
      </c>
      <c r="AG6" s="7">
        <v>0</v>
      </c>
      <c r="AH6" s="7">
        <v>10</v>
      </c>
      <c r="AI6" s="7"/>
      <c r="AJ6" s="7">
        <v>32</v>
      </c>
      <c r="AK6" s="7">
        <v>0</v>
      </c>
      <c r="AL6" s="7"/>
      <c r="AM6" s="7"/>
      <c r="AN6" s="7">
        <v>10001</v>
      </c>
      <c r="AO6" s="7"/>
      <c r="AP6" s="7">
        <v>0</v>
      </c>
      <c r="AQ6" s="7">
        <v>4000</v>
      </c>
      <c r="AR6" s="7">
        <v>0</v>
      </c>
      <c r="AS6" s="7">
        <v>2</v>
      </c>
      <c r="AT6" s="54"/>
      <c r="AU6" s="54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</row>
    <row r="7" spans="1:58" ht="13.5" customHeight="1">
      <c r="A7" s="7">
        <v>416104</v>
      </c>
      <c r="B7" s="7">
        <v>1</v>
      </c>
      <c r="C7" s="7" t="s">
        <v>3516</v>
      </c>
      <c r="D7" s="125" t="s">
        <v>3974</v>
      </c>
      <c r="E7" s="7" t="s">
        <v>4001</v>
      </c>
      <c r="F7" s="7" t="s">
        <v>4001</v>
      </c>
      <c r="G7" s="7">
        <v>1</v>
      </c>
      <c r="H7" s="7"/>
      <c r="I7" s="7">
        <v>1</v>
      </c>
      <c r="J7" s="7">
        <v>1</v>
      </c>
      <c r="K7" s="7">
        <v>1</v>
      </c>
      <c r="L7" s="7">
        <v>14</v>
      </c>
      <c r="M7" s="7">
        <v>14</v>
      </c>
      <c r="N7" s="7">
        <v>1</v>
      </c>
      <c r="O7" s="7"/>
      <c r="P7" s="7"/>
      <c r="Q7" s="7"/>
      <c r="R7" s="7"/>
      <c r="S7" s="7">
        <v>0</v>
      </c>
      <c r="T7" s="7">
        <v>0</v>
      </c>
      <c r="U7" s="7">
        <v>8</v>
      </c>
      <c r="V7" s="7">
        <v>8</v>
      </c>
      <c r="W7" s="7">
        <v>2</v>
      </c>
      <c r="X7" s="7">
        <v>0</v>
      </c>
      <c r="Y7" s="7">
        <v>2</v>
      </c>
      <c r="Z7" s="7"/>
      <c r="AA7" s="7" t="s">
        <v>3902</v>
      </c>
      <c r="AB7" s="7">
        <v>9300</v>
      </c>
      <c r="AC7" s="7">
        <v>1</v>
      </c>
      <c r="AD7" s="7">
        <v>1210</v>
      </c>
      <c r="AE7" s="7">
        <v>0</v>
      </c>
      <c r="AF7" s="7">
        <v>10</v>
      </c>
      <c r="AG7" s="7">
        <v>0</v>
      </c>
      <c r="AH7" s="7">
        <v>10</v>
      </c>
      <c r="AI7" s="7"/>
      <c r="AJ7" s="7">
        <v>32</v>
      </c>
      <c r="AK7" s="7">
        <v>0</v>
      </c>
      <c r="AL7" s="7"/>
      <c r="AM7" s="7"/>
      <c r="AN7" s="7">
        <v>10001</v>
      </c>
      <c r="AO7" s="7"/>
      <c r="AP7" s="7">
        <v>0</v>
      </c>
      <c r="AQ7" s="7">
        <v>4000</v>
      </c>
      <c r="AR7" s="7">
        <v>0</v>
      </c>
      <c r="AS7" s="7">
        <v>2</v>
      </c>
      <c r="AT7" s="54"/>
      <c r="AU7" s="54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</row>
    <row r="8" spans="1:58" ht="13.5" customHeight="1">
      <c r="A8" s="7">
        <v>416105</v>
      </c>
      <c r="B8" s="7">
        <v>1</v>
      </c>
      <c r="C8" s="7" t="s">
        <v>3517</v>
      </c>
      <c r="D8" s="7" t="s">
        <v>3626</v>
      </c>
      <c r="E8" s="7" t="s">
        <v>3413</v>
      </c>
      <c r="F8" s="7" t="s">
        <v>3738</v>
      </c>
      <c r="G8" s="7">
        <v>1</v>
      </c>
      <c r="H8" s="7" t="s">
        <v>3806</v>
      </c>
      <c r="I8" s="7">
        <v>1</v>
      </c>
      <c r="J8" s="7">
        <v>1</v>
      </c>
      <c r="K8" s="7">
        <v>1</v>
      </c>
      <c r="L8" s="7">
        <v>14</v>
      </c>
      <c r="M8" s="7">
        <v>14</v>
      </c>
      <c r="N8" s="7">
        <v>1</v>
      </c>
      <c r="O8" s="7"/>
      <c r="P8" s="7"/>
      <c r="Q8" s="7"/>
      <c r="R8" s="7"/>
      <c r="S8" s="7">
        <v>0</v>
      </c>
      <c r="T8" s="7">
        <v>0</v>
      </c>
      <c r="U8" s="7">
        <v>8</v>
      </c>
      <c r="V8" s="7">
        <v>8</v>
      </c>
      <c r="W8" s="7">
        <v>2</v>
      </c>
      <c r="X8" s="7">
        <v>0</v>
      </c>
      <c r="Y8" s="7">
        <v>2</v>
      </c>
      <c r="Z8" s="7"/>
      <c r="AA8" s="7" t="s">
        <v>3902</v>
      </c>
      <c r="AB8" s="7">
        <v>9300</v>
      </c>
      <c r="AC8" s="7">
        <v>1</v>
      </c>
      <c r="AD8" s="7">
        <v>1210</v>
      </c>
      <c r="AE8" s="7">
        <v>0</v>
      </c>
      <c r="AF8" s="7">
        <v>10</v>
      </c>
      <c r="AG8" s="7">
        <v>0</v>
      </c>
      <c r="AH8" s="7">
        <v>10</v>
      </c>
      <c r="AI8" s="7"/>
      <c r="AJ8" s="7">
        <v>32</v>
      </c>
      <c r="AK8" s="7">
        <v>0</v>
      </c>
      <c r="AL8" s="7"/>
      <c r="AM8" s="7"/>
      <c r="AN8" s="7">
        <v>10001</v>
      </c>
      <c r="AO8" s="7"/>
      <c r="AP8" s="7">
        <v>0</v>
      </c>
      <c r="AQ8" s="7">
        <v>4000</v>
      </c>
      <c r="AR8" s="7">
        <v>0</v>
      </c>
      <c r="AS8" s="7">
        <v>2</v>
      </c>
      <c r="AT8" s="54"/>
      <c r="AU8" s="54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</row>
    <row r="9" spans="1:58" ht="13.5" customHeight="1">
      <c r="A9" s="7">
        <v>416106</v>
      </c>
      <c r="B9" s="7">
        <v>1</v>
      </c>
      <c r="C9" s="7" t="s">
        <v>3518</v>
      </c>
      <c r="D9" s="7" t="s">
        <v>3627</v>
      </c>
      <c r="E9" s="7" t="s">
        <v>3739</v>
      </c>
      <c r="F9" s="7" t="s">
        <v>3739</v>
      </c>
      <c r="G9" s="7">
        <v>1</v>
      </c>
      <c r="H9" s="7"/>
      <c r="I9" s="7">
        <v>1</v>
      </c>
      <c r="J9" s="7">
        <v>1</v>
      </c>
      <c r="K9" s="7">
        <v>1</v>
      </c>
      <c r="L9" s="7">
        <v>14</v>
      </c>
      <c r="M9" s="7">
        <v>14</v>
      </c>
      <c r="N9" s="7">
        <v>1</v>
      </c>
      <c r="O9" s="7"/>
      <c r="P9" s="7"/>
      <c r="Q9" s="7"/>
      <c r="R9" s="7"/>
      <c r="S9" s="7">
        <v>0</v>
      </c>
      <c r="T9" s="7">
        <v>0</v>
      </c>
      <c r="U9" s="7">
        <v>8</v>
      </c>
      <c r="V9" s="7">
        <v>8</v>
      </c>
      <c r="W9" s="7">
        <v>2</v>
      </c>
      <c r="X9" s="7">
        <v>0</v>
      </c>
      <c r="Y9" s="7">
        <v>2</v>
      </c>
      <c r="Z9" s="7"/>
      <c r="AA9" s="7" t="s">
        <v>3902</v>
      </c>
      <c r="AB9" s="7">
        <v>9300</v>
      </c>
      <c r="AC9" s="7">
        <v>1</v>
      </c>
      <c r="AD9" s="7">
        <v>1210</v>
      </c>
      <c r="AE9" s="7">
        <v>0</v>
      </c>
      <c r="AF9" s="7">
        <v>10</v>
      </c>
      <c r="AG9" s="7">
        <v>0</v>
      </c>
      <c r="AH9" s="7">
        <v>10</v>
      </c>
      <c r="AI9" s="7"/>
      <c r="AJ9" s="7">
        <v>32</v>
      </c>
      <c r="AK9" s="7">
        <v>0</v>
      </c>
      <c r="AL9" s="7"/>
      <c r="AM9" s="7"/>
      <c r="AN9" s="7">
        <v>10001</v>
      </c>
      <c r="AO9" s="7"/>
      <c r="AP9" s="7">
        <v>0</v>
      </c>
      <c r="AQ9" s="7">
        <v>4000</v>
      </c>
      <c r="AR9" s="7">
        <v>0</v>
      </c>
      <c r="AS9" s="7">
        <v>2</v>
      </c>
      <c r="AT9" s="54"/>
      <c r="AU9" s="54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</row>
    <row r="10" spans="1:58" ht="13.5" customHeight="1">
      <c r="A10" s="7">
        <v>416107</v>
      </c>
      <c r="B10" s="7">
        <v>1</v>
      </c>
      <c r="C10" s="7" t="s">
        <v>3519</v>
      </c>
      <c r="D10" s="7" t="s">
        <v>3628</v>
      </c>
      <c r="E10" s="7" t="s">
        <v>3415</v>
      </c>
      <c r="F10" s="7" t="s">
        <v>3740</v>
      </c>
      <c r="G10" s="7">
        <v>1</v>
      </c>
      <c r="H10" s="7" t="s">
        <v>3807</v>
      </c>
      <c r="I10" s="7">
        <v>1</v>
      </c>
      <c r="J10" s="7">
        <v>1</v>
      </c>
      <c r="K10" s="7">
        <v>1</v>
      </c>
      <c r="L10" s="7">
        <v>14</v>
      </c>
      <c r="M10" s="7">
        <v>14</v>
      </c>
      <c r="N10" s="7">
        <v>1</v>
      </c>
      <c r="O10" s="7"/>
      <c r="P10" s="7"/>
      <c r="Q10" s="7"/>
      <c r="R10" s="7"/>
      <c r="S10" s="7">
        <v>0</v>
      </c>
      <c r="T10" s="7">
        <v>0</v>
      </c>
      <c r="U10" s="7">
        <v>8</v>
      </c>
      <c r="V10" s="7">
        <v>8</v>
      </c>
      <c r="W10" s="7">
        <v>2</v>
      </c>
      <c r="X10" s="7">
        <v>0</v>
      </c>
      <c r="Y10" s="7">
        <v>2</v>
      </c>
      <c r="Z10" s="7"/>
      <c r="AA10" s="7" t="s">
        <v>3902</v>
      </c>
      <c r="AB10" s="7">
        <v>8902</v>
      </c>
      <c r="AC10" s="7">
        <v>1</v>
      </c>
      <c r="AD10" s="7">
        <v>1203</v>
      </c>
      <c r="AE10" s="7">
        <v>0</v>
      </c>
      <c r="AF10" s="7">
        <v>10</v>
      </c>
      <c r="AG10" s="7">
        <v>0</v>
      </c>
      <c r="AH10" s="7">
        <v>10</v>
      </c>
      <c r="AI10" s="7"/>
      <c r="AJ10" s="7">
        <v>31</v>
      </c>
      <c r="AK10" s="7">
        <v>0</v>
      </c>
      <c r="AL10" s="7"/>
      <c r="AM10" s="7"/>
      <c r="AN10" s="7">
        <v>10001</v>
      </c>
      <c r="AO10" s="7"/>
      <c r="AP10" s="7">
        <v>0</v>
      </c>
      <c r="AQ10" s="7">
        <v>4000</v>
      </c>
      <c r="AR10" s="7">
        <v>0</v>
      </c>
      <c r="AS10" s="7">
        <v>2</v>
      </c>
      <c r="AT10" s="54"/>
      <c r="AU10" s="54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</row>
    <row r="11" spans="1:58" ht="13.5" customHeight="1">
      <c r="A11" s="7">
        <v>416108</v>
      </c>
      <c r="B11" s="7">
        <v>1</v>
      </c>
      <c r="C11" s="7" t="s">
        <v>3520</v>
      </c>
      <c r="D11" s="7" t="s">
        <v>3629</v>
      </c>
      <c r="E11" s="7" t="s">
        <v>3741</v>
      </c>
      <c r="F11" s="7" t="s">
        <v>3741</v>
      </c>
      <c r="G11" s="7">
        <v>1</v>
      </c>
      <c r="H11" s="7" t="s">
        <v>3808</v>
      </c>
      <c r="I11" s="7">
        <v>1</v>
      </c>
      <c r="J11" s="7">
        <v>1</v>
      </c>
      <c r="K11" s="7">
        <v>1</v>
      </c>
      <c r="L11" s="7">
        <v>14</v>
      </c>
      <c r="M11" s="7">
        <v>14</v>
      </c>
      <c r="N11" s="7">
        <v>1</v>
      </c>
      <c r="O11" s="7"/>
      <c r="P11" s="7"/>
      <c r="Q11" s="7"/>
      <c r="R11" s="7"/>
      <c r="S11" s="7">
        <v>0</v>
      </c>
      <c r="T11" s="7">
        <v>0</v>
      </c>
      <c r="U11" s="7">
        <v>8</v>
      </c>
      <c r="V11" s="7">
        <v>8</v>
      </c>
      <c r="W11" s="7">
        <v>2</v>
      </c>
      <c r="X11" s="7">
        <v>0</v>
      </c>
      <c r="Y11" s="7">
        <v>2</v>
      </c>
      <c r="Z11" s="7"/>
      <c r="AA11" s="7" t="s">
        <v>3902</v>
      </c>
      <c r="AB11" s="7">
        <v>8902</v>
      </c>
      <c r="AC11" s="7">
        <v>1</v>
      </c>
      <c r="AD11" s="7">
        <v>1203</v>
      </c>
      <c r="AE11" s="7">
        <v>0</v>
      </c>
      <c r="AF11" s="7">
        <v>10</v>
      </c>
      <c r="AG11" s="7">
        <v>0</v>
      </c>
      <c r="AH11" s="7">
        <v>10</v>
      </c>
      <c r="AI11" s="7"/>
      <c r="AJ11" s="7">
        <v>31</v>
      </c>
      <c r="AK11" s="7">
        <v>0</v>
      </c>
      <c r="AL11" s="7"/>
      <c r="AM11" s="7"/>
      <c r="AN11" s="7">
        <v>10001</v>
      </c>
      <c r="AO11" s="7"/>
      <c r="AP11" s="7">
        <v>0</v>
      </c>
      <c r="AQ11" s="7">
        <v>4000</v>
      </c>
      <c r="AR11" s="7">
        <v>0</v>
      </c>
      <c r="AS11" s="7">
        <v>2</v>
      </c>
      <c r="AT11" s="54"/>
      <c r="AU11" s="54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</row>
    <row r="12" spans="1:58" ht="13.5" customHeight="1">
      <c r="A12" s="7">
        <v>416109</v>
      </c>
      <c r="B12" s="7">
        <v>1</v>
      </c>
      <c r="C12" s="7" t="s">
        <v>3599</v>
      </c>
      <c r="D12" s="7" t="s">
        <v>3630</v>
      </c>
      <c r="E12" s="7" t="s">
        <v>3905</v>
      </c>
      <c r="F12" s="7" t="s">
        <v>3905</v>
      </c>
      <c r="G12" s="7">
        <v>1</v>
      </c>
      <c r="H12" s="7" t="s">
        <v>3809</v>
      </c>
      <c r="I12" s="7">
        <v>1</v>
      </c>
      <c r="J12" s="7">
        <v>1</v>
      </c>
      <c r="K12" s="7">
        <v>1</v>
      </c>
      <c r="L12" s="7">
        <v>14</v>
      </c>
      <c r="M12" s="7">
        <v>14</v>
      </c>
      <c r="N12" s="7">
        <v>1</v>
      </c>
      <c r="O12" s="7"/>
      <c r="P12" s="7"/>
      <c r="Q12" s="7"/>
      <c r="R12" s="7"/>
      <c r="S12" s="7">
        <v>0</v>
      </c>
      <c r="T12" s="7">
        <v>0</v>
      </c>
      <c r="U12" s="7">
        <v>8</v>
      </c>
      <c r="V12" s="7">
        <v>8</v>
      </c>
      <c r="W12" s="7">
        <v>2</v>
      </c>
      <c r="X12" s="7">
        <v>0</v>
      </c>
      <c r="Y12" s="7">
        <v>2</v>
      </c>
      <c r="Z12" s="7"/>
      <c r="AA12" s="7" t="s">
        <v>3902</v>
      </c>
      <c r="AB12" s="7">
        <v>8461</v>
      </c>
      <c r="AC12" s="7">
        <v>1</v>
      </c>
      <c r="AD12" s="7">
        <v>1208</v>
      </c>
      <c r="AE12" s="7">
        <v>0</v>
      </c>
      <c r="AF12" s="7">
        <v>10</v>
      </c>
      <c r="AG12" s="7">
        <v>0</v>
      </c>
      <c r="AH12" s="7">
        <v>10</v>
      </c>
      <c r="AI12" s="7"/>
      <c r="AJ12" s="7">
        <v>32</v>
      </c>
      <c r="AK12" s="7">
        <v>0</v>
      </c>
      <c r="AL12" s="7"/>
      <c r="AM12" s="7"/>
      <c r="AN12" s="7">
        <v>10001</v>
      </c>
      <c r="AO12" s="7"/>
      <c r="AP12" s="7">
        <v>0</v>
      </c>
      <c r="AQ12" s="7">
        <v>4000</v>
      </c>
      <c r="AR12" s="7">
        <v>0</v>
      </c>
      <c r="AS12" s="7">
        <v>2</v>
      </c>
      <c r="AT12" s="54"/>
      <c r="AU12" s="54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</row>
    <row r="13" spans="1:58" ht="13.5" customHeight="1">
      <c r="A13" s="7">
        <v>416110</v>
      </c>
      <c r="B13" s="7">
        <v>1</v>
      </c>
      <c r="C13" s="7" t="s">
        <v>3521</v>
      </c>
      <c r="D13" s="7" t="s">
        <v>3631</v>
      </c>
      <c r="E13" s="7" t="s">
        <v>3418</v>
      </c>
      <c r="F13" s="7" t="s">
        <v>3742</v>
      </c>
      <c r="G13" s="7">
        <v>1</v>
      </c>
      <c r="H13" s="7" t="s">
        <v>3810</v>
      </c>
      <c r="I13" s="7">
        <v>1</v>
      </c>
      <c r="J13" s="7">
        <v>1</v>
      </c>
      <c r="K13" s="7">
        <v>1</v>
      </c>
      <c r="L13" s="7">
        <v>14</v>
      </c>
      <c r="M13" s="7">
        <v>14</v>
      </c>
      <c r="N13" s="7">
        <v>1</v>
      </c>
      <c r="O13" s="7"/>
      <c r="P13" s="7"/>
      <c r="Q13" s="7"/>
      <c r="R13" s="7"/>
      <c r="S13" s="7">
        <v>0</v>
      </c>
      <c r="T13" s="7">
        <v>0</v>
      </c>
      <c r="U13" s="7">
        <v>8</v>
      </c>
      <c r="V13" s="7">
        <v>8</v>
      </c>
      <c r="W13" s="7">
        <v>2</v>
      </c>
      <c r="X13" s="7">
        <v>0</v>
      </c>
      <c r="Y13" s="7">
        <v>2</v>
      </c>
      <c r="Z13" s="7"/>
      <c r="AA13" s="7" t="s">
        <v>3902</v>
      </c>
      <c r="AB13" s="7">
        <v>9300</v>
      </c>
      <c r="AC13" s="7">
        <v>1</v>
      </c>
      <c r="AD13" s="7">
        <v>1210</v>
      </c>
      <c r="AE13" s="7">
        <v>0</v>
      </c>
      <c r="AF13" s="7">
        <v>10</v>
      </c>
      <c r="AG13" s="7">
        <v>0</v>
      </c>
      <c r="AH13" s="7">
        <v>10</v>
      </c>
      <c r="AI13" s="7"/>
      <c r="AJ13" s="7">
        <v>32</v>
      </c>
      <c r="AK13" s="7">
        <v>0</v>
      </c>
      <c r="AL13" s="7"/>
      <c r="AM13" s="7"/>
      <c r="AN13" s="7">
        <v>10001</v>
      </c>
      <c r="AO13" s="7"/>
      <c r="AP13" s="7">
        <v>0</v>
      </c>
      <c r="AQ13" s="7">
        <v>4000</v>
      </c>
      <c r="AR13" s="7">
        <v>0</v>
      </c>
      <c r="AS13" s="7">
        <v>2</v>
      </c>
      <c r="AT13" s="54"/>
      <c r="AU13" s="54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</row>
    <row r="14" spans="1:58" ht="13.5" customHeight="1">
      <c r="A14" s="7">
        <v>416111</v>
      </c>
      <c r="B14" s="7">
        <v>1</v>
      </c>
      <c r="C14" s="7" t="s">
        <v>3600</v>
      </c>
      <c r="D14" s="7" t="s">
        <v>3975</v>
      </c>
      <c r="E14" s="7" t="s">
        <v>3905</v>
      </c>
      <c r="F14" s="7" t="s">
        <v>3905</v>
      </c>
      <c r="G14" s="7">
        <v>1</v>
      </c>
      <c r="H14" s="7" t="s">
        <v>3811</v>
      </c>
      <c r="I14" s="7">
        <v>1</v>
      </c>
      <c r="J14" s="7">
        <v>1</v>
      </c>
      <c r="K14" s="7">
        <v>1</v>
      </c>
      <c r="L14" s="7">
        <v>14</v>
      </c>
      <c r="M14" s="7">
        <v>14</v>
      </c>
      <c r="N14" s="7">
        <v>1</v>
      </c>
      <c r="O14" s="7"/>
      <c r="P14" s="7"/>
      <c r="Q14" s="7"/>
      <c r="R14" s="7"/>
      <c r="S14" s="7">
        <v>0</v>
      </c>
      <c r="T14" s="7">
        <v>0</v>
      </c>
      <c r="U14" s="7">
        <v>8</v>
      </c>
      <c r="V14" s="7">
        <v>8</v>
      </c>
      <c r="W14" s="7">
        <v>2</v>
      </c>
      <c r="X14" s="7">
        <v>0</v>
      </c>
      <c r="Y14" s="7">
        <v>2</v>
      </c>
      <c r="Z14" s="7"/>
      <c r="AA14" s="7" t="s">
        <v>3902</v>
      </c>
      <c r="AB14" s="7">
        <v>9300</v>
      </c>
      <c r="AC14" s="7">
        <v>1</v>
      </c>
      <c r="AD14" s="7">
        <v>1210</v>
      </c>
      <c r="AE14" s="7">
        <v>0</v>
      </c>
      <c r="AF14" s="7">
        <v>10</v>
      </c>
      <c r="AG14" s="7">
        <v>0</v>
      </c>
      <c r="AH14" s="7">
        <v>10</v>
      </c>
      <c r="AI14" s="7"/>
      <c r="AJ14" s="7">
        <v>32</v>
      </c>
      <c r="AK14" s="7">
        <v>0</v>
      </c>
      <c r="AL14" s="7"/>
      <c r="AM14" s="7"/>
      <c r="AN14" s="7">
        <v>10001</v>
      </c>
      <c r="AO14" s="7"/>
      <c r="AP14" s="7">
        <v>0</v>
      </c>
      <c r="AQ14" s="7">
        <v>4000</v>
      </c>
      <c r="AR14" s="7">
        <v>0</v>
      </c>
      <c r="AS14" s="7">
        <v>2</v>
      </c>
      <c r="AT14" s="54"/>
      <c r="AU14" s="54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</row>
    <row r="15" spans="1:58" ht="13.5" customHeight="1">
      <c r="A15" s="7">
        <v>416112</v>
      </c>
      <c r="B15" s="7">
        <v>1</v>
      </c>
      <c r="C15" s="7" t="s">
        <v>3522</v>
      </c>
      <c r="D15" s="7" t="s">
        <v>3976</v>
      </c>
      <c r="E15" s="7" t="s">
        <v>4002</v>
      </c>
      <c r="F15" s="7" t="s">
        <v>4002</v>
      </c>
      <c r="G15" s="7">
        <v>1</v>
      </c>
      <c r="H15" s="7" t="s">
        <v>3812</v>
      </c>
      <c r="I15" s="7">
        <v>1</v>
      </c>
      <c r="J15" s="7">
        <v>1</v>
      </c>
      <c r="K15" s="7">
        <v>1</v>
      </c>
      <c r="L15" s="7">
        <v>14</v>
      </c>
      <c r="M15" s="7">
        <v>14</v>
      </c>
      <c r="N15" s="7">
        <v>1</v>
      </c>
      <c r="O15" s="7"/>
      <c r="P15" s="7"/>
      <c r="Q15" s="7"/>
      <c r="R15" s="7"/>
      <c r="S15" s="7">
        <v>0</v>
      </c>
      <c r="T15" s="7">
        <v>0</v>
      </c>
      <c r="U15" s="7">
        <v>8</v>
      </c>
      <c r="V15" s="7">
        <v>8</v>
      </c>
      <c r="W15" s="7">
        <v>2</v>
      </c>
      <c r="X15" s="7">
        <v>0</v>
      </c>
      <c r="Y15" s="7">
        <v>2</v>
      </c>
      <c r="Z15" s="7"/>
      <c r="AA15" s="7" t="s">
        <v>3902</v>
      </c>
      <c r="AB15" s="7">
        <v>9300</v>
      </c>
      <c r="AC15" s="7">
        <v>1</v>
      </c>
      <c r="AD15" s="7">
        <v>1210</v>
      </c>
      <c r="AE15" s="7">
        <v>0</v>
      </c>
      <c r="AF15" s="7">
        <v>10</v>
      </c>
      <c r="AG15" s="7">
        <v>0</v>
      </c>
      <c r="AH15" s="7">
        <v>10</v>
      </c>
      <c r="AI15" s="7"/>
      <c r="AJ15" s="7">
        <v>32</v>
      </c>
      <c r="AK15" s="7">
        <v>0</v>
      </c>
      <c r="AL15" s="7"/>
      <c r="AM15" s="7"/>
      <c r="AN15" s="7">
        <v>10001</v>
      </c>
      <c r="AO15" s="7"/>
      <c r="AP15" s="7">
        <v>0</v>
      </c>
      <c r="AQ15" s="7">
        <v>4000</v>
      </c>
      <c r="AR15" s="7">
        <v>0</v>
      </c>
      <c r="AS15" s="7">
        <v>2</v>
      </c>
      <c r="AT15" s="54"/>
      <c r="AU15" s="54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spans="1:58" ht="13.5" customHeight="1">
      <c r="A16" s="7">
        <v>416113</v>
      </c>
      <c r="B16" s="7">
        <v>1</v>
      </c>
      <c r="C16" s="7" t="s">
        <v>3523</v>
      </c>
      <c r="D16" s="7" t="s">
        <v>3634</v>
      </c>
      <c r="E16" s="7" t="s">
        <v>3421</v>
      </c>
      <c r="F16" s="7" t="s">
        <v>3744</v>
      </c>
      <c r="G16" s="7">
        <v>1</v>
      </c>
      <c r="H16" s="7" t="s">
        <v>3813</v>
      </c>
      <c r="I16" s="7">
        <v>1</v>
      </c>
      <c r="J16" s="7">
        <v>1</v>
      </c>
      <c r="K16" s="7">
        <v>1</v>
      </c>
      <c r="L16" s="7">
        <v>14</v>
      </c>
      <c r="M16" s="7">
        <v>14</v>
      </c>
      <c r="N16" s="7">
        <v>1</v>
      </c>
      <c r="O16" s="7"/>
      <c r="P16" s="7"/>
      <c r="Q16" s="7"/>
      <c r="R16" s="7"/>
      <c r="S16" s="7">
        <v>0</v>
      </c>
      <c r="T16" s="7">
        <v>0</v>
      </c>
      <c r="U16" s="7">
        <v>8</v>
      </c>
      <c r="V16" s="7">
        <v>8</v>
      </c>
      <c r="W16" s="7">
        <v>2</v>
      </c>
      <c r="X16" s="7">
        <v>0</v>
      </c>
      <c r="Y16" s="7">
        <v>2</v>
      </c>
      <c r="Z16" s="7"/>
      <c r="AA16" s="7" t="s">
        <v>3902</v>
      </c>
      <c r="AB16" s="7">
        <v>9300</v>
      </c>
      <c r="AC16" s="7">
        <v>1</v>
      </c>
      <c r="AD16" s="7">
        <v>1210</v>
      </c>
      <c r="AE16" s="7">
        <v>0</v>
      </c>
      <c r="AF16" s="7">
        <v>10</v>
      </c>
      <c r="AG16" s="7">
        <v>0</v>
      </c>
      <c r="AH16" s="7">
        <v>10</v>
      </c>
      <c r="AI16" s="7"/>
      <c r="AJ16" s="7">
        <v>32</v>
      </c>
      <c r="AK16" s="7">
        <v>0</v>
      </c>
      <c r="AL16" s="7"/>
      <c r="AM16" s="7"/>
      <c r="AN16" s="7">
        <v>10001</v>
      </c>
      <c r="AO16" s="7"/>
      <c r="AP16" s="7">
        <v>0</v>
      </c>
      <c r="AQ16" s="7">
        <v>4000</v>
      </c>
      <c r="AR16" s="7">
        <v>0</v>
      </c>
      <c r="AS16" s="7">
        <v>2</v>
      </c>
      <c r="AT16" s="54"/>
      <c r="AU16" s="54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spans="1:58" ht="13.5" customHeight="1">
      <c r="A17" s="7">
        <v>416114</v>
      </c>
      <c r="B17" s="7">
        <v>1</v>
      </c>
      <c r="C17" s="7" t="s">
        <v>3524</v>
      </c>
      <c r="D17" s="7" t="s">
        <v>3977</v>
      </c>
      <c r="E17" s="7" t="s">
        <v>4003</v>
      </c>
      <c r="F17" s="7" t="s">
        <v>4024</v>
      </c>
      <c r="G17" s="7">
        <v>1</v>
      </c>
      <c r="H17" s="7"/>
      <c r="I17" s="7">
        <v>1</v>
      </c>
      <c r="J17" s="7">
        <v>1</v>
      </c>
      <c r="K17" s="7">
        <v>1</v>
      </c>
      <c r="L17" s="7">
        <v>14</v>
      </c>
      <c r="M17" s="7">
        <v>14</v>
      </c>
      <c r="N17" s="7">
        <v>1</v>
      </c>
      <c r="O17" s="7"/>
      <c r="P17" s="7"/>
      <c r="Q17" s="7"/>
      <c r="R17" s="7"/>
      <c r="S17" s="7">
        <v>0</v>
      </c>
      <c r="T17" s="7">
        <v>0</v>
      </c>
      <c r="U17" s="7">
        <v>8</v>
      </c>
      <c r="V17" s="7">
        <v>8</v>
      </c>
      <c r="W17" s="7">
        <v>2</v>
      </c>
      <c r="X17" s="7">
        <v>0</v>
      </c>
      <c r="Y17" s="7">
        <v>2</v>
      </c>
      <c r="Z17" s="7"/>
      <c r="AA17" s="7" t="s">
        <v>3902</v>
      </c>
      <c r="AB17" s="7">
        <v>9300</v>
      </c>
      <c r="AC17" s="7">
        <v>1</v>
      </c>
      <c r="AD17" s="7">
        <v>1210</v>
      </c>
      <c r="AE17" s="7">
        <v>0</v>
      </c>
      <c r="AF17" s="7">
        <v>10</v>
      </c>
      <c r="AG17" s="7">
        <v>0</v>
      </c>
      <c r="AH17" s="7">
        <v>10</v>
      </c>
      <c r="AI17" s="7"/>
      <c r="AJ17" s="7">
        <v>32</v>
      </c>
      <c r="AK17" s="7">
        <v>0</v>
      </c>
      <c r="AL17" s="7"/>
      <c r="AM17" s="7"/>
      <c r="AN17" s="7">
        <v>10001</v>
      </c>
      <c r="AO17" s="7"/>
      <c r="AP17" s="7">
        <v>0</v>
      </c>
      <c r="AQ17" s="7">
        <v>4000</v>
      </c>
      <c r="AR17" s="7">
        <v>0</v>
      </c>
      <c r="AS17" s="7">
        <v>2</v>
      </c>
      <c r="AT17" s="54"/>
      <c r="AU17" s="54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spans="1:58" ht="13.5" customHeight="1">
      <c r="A18" s="7">
        <v>416115</v>
      </c>
      <c r="B18" s="7">
        <v>1</v>
      </c>
      <c r="C18" s="7" t="s">
        <v>3525</v>
      </c>
      <c r="D18" s="7" t="s">
        <v>3636</v>
      </c>
      <c r="E18" s="7" t="s">
        <v>3423</v>
      </c>
      <c r="F18" s="7" t="s">
        <v>3746</v>
      </c>
      <c r="G18" s="7">
        <v>1</v>
      </c>
      <c r="H18" s="7" t="s">
        <v>3814</v>
      </c>
      <c r="I18" s="7">
        <v>1</v>
      </c>
      <c r="J18" s="7">
        <v>1</v>
      </c>
      <c r="K18" s="7">
        <v>1</v>
      </c>
      <c r="L18" s="7">
        <v>14</v>
      </c>
      <c r="M18" s="7">
        <v>14</v>
      </c>
      <c r="N18" s="7">
        <v>1</v>
      </c>
      <c r="O18" s="7"/>
      <c r="P18" s="7"/>
      <c r="Q18" s="7"/>
      <c r="R18" s="7"/>
      <c r="S18" s="7">
        <v>0</v>
      </c>
      <c r="T18" s="7">
        <v>0</v>
      </c>
      <c r="U18" s="7">
        <v>8</v>
      </c>
      <c r="V18" s="7">
        <v>8</v>
      </c>
      <c r="W18" s="7">
        <v>2</v>
      </c>
      <c r="X18" s="7">
        <v>0</v>
      </c>
      <c r="Y18" s="7">
        <v>2</v>
      </c>
      <c r="Z18" s="7"/>
      <c r="AA18" s="7" t="s">
        <v>3902</v>
      </c>
      <c r="AB18" s="7">
        <v>9300</v>
      </c>
      <c r="AC18" s="7">
        <v>1</v>
      </c>
      <c r="AD18" s="7">
        <v>1210</v>
      </c>
      <c r="AE18" s="7">
        <v>0</v>
      </c>
      <c r="AF18" s="7">
        <v>10</v>
      </c>
      <c r="AG18" s="7">
        <v>0</v>
      </c>
      <c r="AH18" s="7">
        <v>10</v>
      </c>
      <c r="AI18" s="7"/>
      <c r="AJ18" s="7">
        <v>32</v>
      </c>
      <c r="AK18" s="7">
        <v>0</v>
      </c>
      <c r="AL18" s="7"/>
      <c r="AM18" s="7"/>
      <c r="AN18" s="7">
        <v>10001</v>
      </c>
      <c r="AO18" s="7"/>
      <c r="AP18" s="7">
        <v>0</v>
      </c>
      <c r="AQ18" s="7">
        <v>4000</v>
      </c>
      <c r="AR18" s="7">
        <v>0</v>
      </c>
      <c r="AS18" s="7">
        <v>2</v>
      </c>
      <c r="AT18" s="54"/>
      <c r="AU18" s="54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spans="1:58" ht="13.5" customHeight="1">
      <c r="A19" s="7">
        <v>416116</v>
      </c>
      <c r="B19" s="7">
        <v>1</v>
      </c>
      <c r="C19" s="7" t="s">
        <v>3526</v>
      </c>
      <c r="D19" s="7" t="s">
        <v>3637</v>
      </c>
      <c r="E19" s="7" t="s">
        <v>3939</v>
      </c>
      <c r="F19" s="7" t="s">
        <v>3939</v>
      </c>
      <c r="G19" s="7">
        <v>1</v>
      </c>
      <c r="H19" s="7" t="s">
        <v>3815</v>
      </c>
      <c r="I19" s="7">
        <v>1</v>
      </c>
      <c r="J19" s="7">
        <v>1</v>
      </c>
      <c r="K19" s="7">
        <v>1</v>
      </c>
      <c r="L19" s="7">
        <v>14</v>
      </c>
      <c r="M19" s="7">
        <v>14</v>
      </c>
      <c r="N19" s="7">
        <v>1</v>
      </c>
      <c r="O19" s="7"/>
      <c r="P19" s="7"/>
      <c r="Q19" s="7"/>
      <c r="R19" s="7"/>
      <c r="S19" s="7">
        <v>0</v>
      </c>
      <c r="T19" s="7">
        <v>0</v>
      </c>
      <c r="U19" s="7">
        <v>8</v>
      </c>
      <c r="V19" s="7">
        <v>8</v>
      </c>
      <c r="W19" s="7">
        <v>2</v>
      </c>
      <c r="X19" s="7">
        <v>0</v>
      </c>
      <c r="Y19" s="7">
        <v>2</v>
      </c>
      <c r="Z19" s="7"/>
      <c r="AA19" s="7" t="s">
        <v>3902</v>
      </c>
      <c r="AB19" s="7">
        <v>9300</v>
      </c>
      <c r="AC19" s="7">
        <v>1</v>
      </c>
      <c r="AD19" s="7">
        <v>1210</v>
      </c>
      <c r="AE19" s="7">
        <v>0</v>
      </c>
      <c r="AF19" s="7">
        <v>10</v>
      </c>
      <c r="AG19" s="7">
        <v>0</v>
      </c>
      <c r="AH19" s="7">
        <v>10</v>
      </c>
      <c r="AI19" s="7"/>
      <c r="AJ19" s="7">
        <v>32</v>
      </c>
      <c r="AK19" s="7">
        <v>0</v>
      </c>
      <c r="AL19" s="7"/>
      <c r="AM19" s="7"/>
      <c r="AN19" s="7">
        <v>10001</v>
      </c>
      <c r="AO19" s="7"/>
      <c r="AP19" s="7">
        <v>0</v>
      </c>
      <c r="AQ19" s="7">
        <v>4000</v>
      </c>
      <c r="AR19" s="7">
        <v>0</v>
      </c>
      <c r="AS19" s="7">
        <v>2</v>
      </c>
      <c r="AT19" s="54"/>
      <c r="AU19" s="54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spans="1:58" ht="13.5" customHeight="1">
      <c r="A20" s="7">
        <v>416117</v>
      </c>
      <c r="B20" s="7">
        <v>1</v>
      </c>
      <c r="C20" s="7" t="s">
        <v>3527</v>
      </c>
      <c r="D20" s="7" t="s">
        <v>3638</v>
      </c>
      <c r="E20" s="7" t="s">
        <v>3425</v>
      </c>
      <c r="F20" s="7" t="s">
        <v>3747</v>
      </c>
      <c r="G20" s="7">
        <v>1</v>
      </c>
      <c r="H20" s="7">
        <v>49701</v>
      </c>
      <c r="I20" s="7">
        <v>1</v>
      </c>
      <c r="J20" s="7">
        <v>1</v>
      </c>
      <c r="K20" s="7">
        <v>1</v>
      </c>
      <c r="L20" s="7">
        <v>14</v>
      </c>
      <c r="M20" s="7">
        <v>14</v>
      </c>
      <c r="N20" s="7">
        <v>1</v>
      </c>
      <c r="O20" s="7"/>
      <c r="P20" s="7"/>
      <c r="Q20" s="7"/>
      <c r="R20" s="7"/>
      <c r="S20" s="7">
        <v>0</v>
      </c>
      <c r="T20" s="7">
        <v>0</v>
      </c>
      <c r="U20" s="7">
        <v>8</v>
      </c>
      <c r="V20" s="7">
        <v>8</v>
      </c>
      <c r="W20" s="7">
        <v>2</v>
      </c>
      <c r="X20" s="7">
        <v>0</v>
      </c>
      <c r="Y20" s="7">
        <v>2</v>
      </c>
      <c r="Z20" s="7"/>
      <c r="AA20" s="7" t="s">
        <v>3902</v>
      </c>
      <c r="AB20" s="7">
        <v>9300</v>
      </c>
      <c r="AC20" s="7">
        <v>1</v>
      </c>
      <c r="AD20" s="7">
        <v>1210</v>
      </c>
      <c r="AE20" s="7">
        <v>0</v>
      </c>
      <c r="AF20" s="7">
        <v>10</v>
      </c>
      <c r="AG20" s="7">
        <v>0</v>
      </c>
      <c r="AH20" s="7">
        <v>10</v>
      </c>
      <c r="AI20" s="7"/>
      <c r="AJ20" s="7">
        <v>32</v>
      </c>
      <c r="AK20" s="7">
        <v>0</v>
      </c>
      <c r="AL20" s="7"/>
      <c r="AM20" s="7"/>
      <c r="AN20" s="7">
        <v>10001</v>
      </c>
      <c r="AO20" s="7"/>
      <c r="AP20" s="7">
        <v>0</v>
      </c>
      <c r="AQ20" s="7">
        <v>4000</v>
      </c>
      <c r="AR20" s="7">
        <v>0</v>
      </c>
      <c r="AS20" s="7">
        <v>2</v>
      </c>
      <c r="AT20" s="54"/>
      <c r="AU20" s="54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spans="1:58" ht="13.5" customHeight="1">
      <c r="A21" s="7">
        <v>416118</v>
      </c>
      <c r="B21" s="7">
        <v>1</v>
      </c>
      <c r="C21" s="7" t="s">
        <v>3601</v>
      </c>
      <c r="D21" s="7" t="s">
        <v>3727</v>
      </c>
      <c r="E21" s="7" t="s">
        <v>4004</v>
      </c>
      <c r="F21" s="7" t="s">
        <v>4004</v>
      </c>
      <c r="G21" s="7">
        <v>1</v>
      </c>
      <c r="H21" s="7" t="s">
        <v>3816</v>
      </c>
      <c r="I21" s="7">
        <v>1</v>
      </c>
      <c r="J21" s="7">
        <v>1</v>
      </c>
      <c r="K21" s="7">
        <v>1</v>
      </c>
      <c r="L21" s="7">
        <v>14</v>
      </c>
      <c r="M21" s="7">
        <v>14</v>
      </c>
      <c r="N21" s="7">
        <v>1</v>
      </c>
      <c r="O21" s="7"/>
      <c r="P21" s="7"/>
      <c r="Q21" s="7"/>
      <c r="R21" s="7"/>
      <c r="S21" s="7">
        <v>0</v>
      </c>
      <c r="T21" s="7">
        <v>0</v>
      </c>
      <c r="U21" s="7">
        <v>8</v>
      </c>
      <c r="V21" s="7">
        <v>8</v>
      </c>
      <c r="W21" s="7">
        <v>2</v>
      </c>
      <c r="X21" s="7">
        <v>0</v>
      </c>
      <c r="Y21" s="7">
        <v>2</v>
      </c>
      <c r="Z21" s="7"/>
      <c r="AA21" s="7" t="s">
        <v>3902</v>
      </c>
      <c r="AB21" s="7">
        <v>9300</v>
      </c>
      <c r="AC21" s="7">
        <v>1</v>
      </c>
      <c r="AD21" s="7">
        <v>1210</v>
      </c>
      <c r="AE21" s="7">
        <v>0</v>
      </c>
      <c r="AF21" s="7">
        <v>10</v>
      </c>
      <c r="AG21" s="7">
        <v>0</v>
      </c>
      <c r="AH21" s="7">
        <v>10</v>
      </c>
      <c r="AI21" s="7"/>
      <c r="AJ21" s="7">
        <v>32</v>
      </c>
      <c r="AK21" s="7">
        <v>0</v>
      </c>
      <c r="AL21" s="7"/>
      <c r="AM21" s="7"/>
      <c r="AN21" s="7">
        <v>10001</v>
      </c>
      <c r="AO21" s="7"/>
      <c r="AP21" s="7">
        <v>0</v>
      </c>
      <c r="AQ21" s="7">
        <v>4000</v>
      </c>
      <c r="AR21" s="7">
        <v>0</v>
      </c>
      <c r="AS21" s="7">
        <v>2</v>
      </c>
      <c r="AT21" s="54"/>
      <c r="AU21" s="54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spans="1:58" ht="13.5" customHeight="1">
      <c r="A22" s="7">
        <v>416119</v>
      </c>
      <c r="B22" s="7">
        <v>1</v>
      </c>
      <c r="C22" s="7" t="s">
        <v>3528</v>
      </c>
      <c r="D22" s="7" t="s">
        <v>3639</v>
      </c>
      <c r="E22" s="7" t="s">
        <v>3748</v>
      </c>
      <c r="F22" s="7" t="s">
        <v>3748</v>
      </c>
      <c r="G22" s="7">
        <v>1</v>
      </c>
      <c r="H22" s="7">
        <v>430199</v>
      </c>
      <c r="I22" s="7">
        <v>1</v>
      </c>
      <c r="J22" s="7">
        <v>1</v>
      </c>
      <c r="K22" s="7">
        <v>1</v>
      </c>
      <c r="L22" s="7">
        <v>14</v>
      </c>
      <c r="M22" s="7">
        <v>14</v>
      </c>
      <c r="N22" s="7">
        <v>1</v>
      </c>
      <c r="O22" s="7"/>
      <c r="P22" s="7"/>
      <c r="Q22" s="7"/>
      <c r="R22" s="7"/>
      <c r="S22" s="7">
        <v>0</v>
      </c>
      <c r="T22" s="7">
        <v>0</v>
      </c>
      <c r="U22" s="7">
        <v>8</v>
      </c>
      <c r="V22" s="7">
        <v>8</v>
      </c>
      <c r="W22" s="7">
        <v>2</v>
      </c>
      <c r="X22" s="7">
        <v>0</v>
      </c>
      <c r="Y22" s="7">
        <v>2</v>
      </c>
      <c r="Z22" s="7"/>
      <c r="AA22" s="7" t="s">
        <v>3902</v>
      </c>
      <c r="AB22" s="7">
        <v>9300</v>
      </c>
      <c r="AC22" s="7">
        <v>1</v>
      </c>
      <c r="AD22" s="7">
        <v>1210</v>
      </c>
      <c r="AE22" s="7">
        <v>0</v>
      </c>
      <c r="AF22" s="7">
        <v>10</v>
      </c>
      <c r="AG22" s="7">
        <v>0</v>
      </c>
      <c r="AH22" s="7">
        <v>10</v>
      </c>
      <c r="AI22" s="7"/>
      <c r="AJ22" s="7">
        <v>32</v>
      </c>
      <c r="AK22" s="7">
        <v>0</v>
      </c>
      <c r="AL22" s="7"/>
      <c r="AM22" s="7"/>
      <c r="AN22" s="7">
        <v>10001</v>
      </c>
      <c r="AO22" s="7"/>
      <c r="AP22" s="7">
        <v>0</v>
      </c>
      <c r="AQ22" s="7">
        <v>4000</v>
      </c>
      <c r="AR22" s="7">
        <v>0</v>
      </c>
      <c r="AS22" s="7">
        <v>2</v>
      </c>
      <c r="AT22" s="54"/>
      <c r="AU22" s="54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spans="1:58" ht="13.5" customHeight="1">
      <c r="A23" s="7">
        <v>416145</v>
      </c>
      <c r="B23" s="7">
        <v>1</v>
      </c>
      <c r="C23" s="7" t="s">
        <v>3529</v>
      </c>
      <c r="D23" s="7" t="s">
        <v>3734</v>
      </c>
      <c r="E23" s="7" t="s">
        <v>3428</v>
      </c>
      <c r="F23" s="7" t="s">
        <v>3749</v>
      </c>
      <c r="G23" s="7">
        <v>1</v>
      </c>
      <c r="H23" s="7"/>
      <c r="I23" s="7">
        <v>1</v>
      </c>
      <c r="J23" s="7">
        <v>1</v>
      </c>
      <c r="K23" s="7">
        <v>1</v>
      </c>
      <c r="L23" s="7">
        <v>14</v>
      </c>
      <c r="M23" s="7">
        <v>14</v>
      </c>
      <c r="N23" s="7">
        <v>1</v>
      </c>
      <c r="O23" s="7"/>
      <c r="P23" s="7"/>
      <c r="Q23" s="7"/>
      <c r="R23" s="7"/>
      <c r="S23" s="7">
        <v>0</v>
      </c>
      <c r="T23" s="7">
        <v>0</v>
      </c>
      <c r="U23" s="7">
        <v>8</v>
      </c>
      <c r="V23" s="7">
        <v>8</v>
      </c>
      <c r="W23" s="7">
        <v>2</v>
      </c>
      <c r="X23" s="7">
        <v>0</v>
      </c>
      <c r="Y23" s="7">
        <v>2</v>
      </c>
      <c r="Z23" s="7"/>
      <c r="AA23" s="7" t="s">
        <v>3902</v>
      </c>
      <c r="AB23" s="7">
        <v>9300</v>
      </c>
      <c r="AC23" s="7">
        <v>1</v>
      </c>
      <c r="AD23" s="7">
        <v>1210</v>
      </c>
      <c r="AE23" s="7">
        <v>0</v>
      </c>
      <c r="AF23" s="7">
        <v>10</v>
      </c>
      <c r="AG23" s="7">
        <v>0</v>
      </c>
      <c r="AH23" s="7">
        <v>10</v>
      </c>
      <c r="AI23" s="7"/>
      <c r="AJ23" s="7">
        <v>32</v>
      </c>
      <c r="AK23" s="7">
        <v>0</v>
      </c>
      <c r="AL23" s="7"/>
      <c r="AM23" s="7"/>
      <c r="AN23" s="7">
        <v>10001</v>
      </c>
      <c r="AO23" s="7"/>
      <c r="AP23" s="7">
        <v>0</v>
      </c>
      <c r="AQ23" s="7">
        <v>4000</v>
      </c>
      <c r="AR23" s="7">
        <v>0</v>
      </c>
      <c r="AS23" s="7">
        <v>2</v>
      </c>
      <c r="AT23" s="54"/>
      <c r="AU23" s="54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spans="1:58" ht="13.5" customHeight="1">
      <c r="A24" s="7">
        <v>416146</v>
      </c>
      <c r="B24" s="7">
        <v>1</v>
      </c>
      <c r="C24" s="7" t="s">
        <v>3530</v>
      </c>
      <c r="D24" s="7" t="s">
        <v>3640</v>
      </c>
      <c r="E24" s="7" t="s">
        <v>3750</v>
      </c>
      <c r="F24" s="7" t="s">
        <v>3750</v>
      </c>
      <c r="G24" s="7">
        <v>1</v>
      </c>
      <c r="H24" s="7"/>
      <c r="I24" s="7">
        <v>1</v>
      </c>
      <c r="J24" s="7">
        <v>1</v>
      </c>
      <c r="K24" s="7">
        <v>1</v>
      </c>
      <c r="L24" s="7">
        <v>14</v>
      </c>
      <c r="M24" s="7">
        <v>14</v>
      </c>
      <c r="N24" s="7">
        <v>1</v>
      </c>
      <c r="O24" s="7"/>
      <c r="P24" s="7"/>
      <c r="Q24" s="7"/>
      <c r="R24" s="7"/>
      <c r="S24" s="7">
        <v>0</v>
      </c>
      <c r="T24" s="7">
        <v>0</v>
      </c>
      <c r="U24" s="7">
        <v>8</v>
      </c>
      <c r="V24" s="7">
        <v>8</v>
      </c>
      <c r="W24" s="7">
        <v>2</v>
      </c>
      <c r="X24" s="7">
        <v>0</v>
      </c>
      <c r="Y24" s="7">
        <v>2</v>
      </c>
      <c r="Z24" s="7"/>
      <c r="AA24" s="7" t="s">
        <v>3902</v>
      </c>
      <c r="AB24" s="7">
        <v>9300</v>
      </c>
      <c r="AC24" s="7">
        <v>1</v>
      </c>
      <c r="AD24" s="7">
        <v>1210</v>
      </c>
      <c r="AE24" s="7">
        <v>0</v>
      </c>
      <c r="AF24" s="7">
        <v>10</v>
      </c>
      <c r="AG24" s="7">
        <v>0</v>
      </c>
      <c r="AH24" s="7">
        <v>10</v>
      </c>
      <c r="AI24" s="7"/>
      <c r="AJ24" s="7">
        <v>32</v>
      </c>
      <c r="AK24" s="7">
        <v>0</v>
      </c>
      <c r="AL24" s="7"/>
      <c r="AM24" s="7"/>
      <c r="AN24" s="7">
        <v>10001</v>
      </c>
      <c r="AO24" s="7"/>
      <c r="AP24" s="7">
        <v>0</v>
      </c>
      <c r="AQ24" s="7">
        <v>4000</v>
      </c>
      <c r="AR24" s="7">
        <v>0</v>
      </c>
      <c r="AS24" s="7">
        <v>2</v>
      </c>
      <c r="AT24" s="54"/>
      <c r="AU24" s="54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spans="1:58" ht="13.5" customHeight="1">
      <c r="A25" s="7">
        <v>416147</v>
      </c>
      <c r="B25" s="7">
        <v>1</v>
      </c>
      <c r="C25" s="7" t="s">
        <v>3531</v>
      </c>
      <c r="D25" s="7" t="s">
        <v>3978</v>
      </c>
      <c r="E25" s="7" t="s">
        <v>4005</v>
      </c>
      <c r="F25" s="7" t="s">
        <v>4005</v>
      </c>
      <c r="G25" s="7">
        <v>1</v>
      </c>
      <c r="H25" s="7" t="s">
        <v>3817</v>
      </c>
      <c r="I25" s="7">
        <v>1</v>
      </c>
      <c r="J25" s="7">
        <v>1</v>
      </c>
      <c r="K25" s="7">
        <v>1</v>
      </c>
      <c r="L25" s="7">
        <v>14</v>
      </c>
      <c r="M25" s="7">
        <v>14</v>
      </c>
      <c r="N25" s="7">
        <v>1</v>
      </c>
      <c r="O25" s="7"/>
      <c r="P25" s="7"/>
      <c r="Q25" s="7"/>
      <c r="R25" s="7"/>
      <c r="S25" s="7">
        <v>0</v>
      </c>
      <c r="T25" s="7">
        <v>0</v>
      </c>
      <c r="U25" s="7">
        <v>8</v>
      </c>
      <c r="V25" s="7">
        <v>8</v>
      </c>
      <c r="W25" s="7">
        <v>2</v>
      </c>
      <c r="X25" s="7">
        <v>0</v>
      </c>
      <c r="Y25" s="7">
        <v>2</v>
      </c>
      <c r="Z25" s="7"/>
      <c r="AA25" s="7" t="s">
        <v>3902</v>
      </c>
      <c r="AB25" s="7">
        <v>9300</v>
      </c>
      <c r="AC25" s="7">
        <v>1</v>
      </c>
      <c r="AD25" s="7">
        <v>1210</v>
      </c>
      <c r="AE25" s="7">
        <v>0</v>
      </c>
      <c r="AF25" s="7">
        <v>10</v>
      </c>
      <c r="AG25" s="7">
        <v>0</v>
      </c>
      <c r="AH25" s="7">
        <v>10</v>
      </c>
      <c r="AI25" s="7"/>
      <c r="AJ25" s="7">
        <v>32</v>
      </c>
      <c r="AK25" s="7">
        <v>0</v>
      </c>
      <c r="AL25" s="7"/>
      <c r="AM25" s="7"/>
      <c r="AN25" s="7">
        <v>10001</v>
      </c>
      <c r="AO25" s="7"/>
      <c r="AP25" s="7">
        <v>0</v>
      </c>
      <c r="AQ25" s="7">
        <v>4000</v>
      </c>
      <c r="AR25" s="7">
        <v>0</v>
      </c>
      <c r="AS25" s="7">
        <v>2</v>
      </c>
      <c r="AT25" s="54"/>
      <c r="AU25" s="54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spans="1:58" ht="13.5" customHeight="1">
      <c r="A26" s="7">
        <v>416148</v>
      </c>
      <c r="B26" s="7">
        <v>1</v>
      </c>
      <c r="C26" s="7" t="s">
        <v>3532</v>
      </c>
      <c r="D26" s="7" t="s">
        <v>3642</v>
      </c>
      <c r="E26" s="7" t="s">
        <v>3431</v>
      </c>
      <c r="F26" s="7" t="s">
        <v>3752</v>
      </c>
      <c r="G26" s="7">
        <v>1</v>
      </c>
      <c r="H26" s="7" t="s">
        <v>3818</v>
      </c>
      <c r="I26" s="7">
        <v>1</v>
      </c>
      <c r="J26" s="7">
        <v>1</v>
      </c>
      <c r="K26" s="7">
        <v>1</v>
      </c>
      <c r="L26" s="7">
        <v>14</v>
      </c>
      <c r="M26" s="7">
        <v>14</v>
      </c>
      <c r="N26" s="7">
        <v>1</v>
      </c>
      <c r="O26" s="7"/>
      <c r="P26" s="7"/>
      <c r="Q26" s="7"/>
      <c r="R26" s="7"/>
      <c r="S26" s="7">
        <v>0</v>
      </c>
      <c r="T26" s="7">
        <v>0</v>
      </c>
      <c r="U26" s="7">
        <v>8</v>
      </c>
      <c r="V26" s="7">
        <v>8</v>
      </c>
      <c r="W26" s="7">
        <v>2</v>
      </c>
      <c r="X26" s="7">
        <v>0</v>
      </c>
      <c r="Y26" s="7">
        <v>2</v>
      </c>
      <c r="Z26" s="7"/>
      <c r="AA26" s="7" t="s">
        <v>3902</v>
      </c>
      <c r="AB26" s="7">
        <v>9300</v>
      </c>
      <c r="AC26" s="7">
        <v>1</v>
      </c>
      <c r="AD26" s="7">
        <v>1210</v>
      </c>
      <c r="AE26" s="7">
        <v>0</v>
      </c>
      <c r="AF26" s="7">
        <v>10</v>
      </c>
      <c r="AG26" s="7">
        <v>0</v>
      </c>
      <c r="AH26" s="7">
        <v>10</v>
      </c>
      <c r="AI26" s="7"/>
      <c r="AJ26" s="7">
        <v>32</v>
      </c>
      <c r="AK26" s="7">
        <v>0</v>
      </c>
      <c r="AL26" s="7"/>
      <c r="AM26" s="7"/>
      <c r="AN26" s="7">
        <v>10001</v>
      </c>
      <c r="AO26" s="7"/>
      <c r="AP26" s="7">
        <v>0</v>
      </c>
      <c r="AQ26" s="7">
        <v>4000</v>
      </c>
      <c r="AR26" s="7">
        <v>0</v>
      </c>
      <c r="AS26" s="7">
        <v>2</v>
      </c>
      <c r="AT26" s="54"/>
      <c r="AU26" s="54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spans="1:58" ht="13.5" customHeight="1">
      <c r="A27" s="7">
        <v>416149</v>
      </c>
      <c r="B27" s="7">
        <v>1</v>
      </c>
      <c r="C27" s="7" t="s">
        <v>3533</v>
      </c>
      <c r="D27" s="7" t="s">
        <v>3643</v>
      </c>
      <c r="E27" s="7" t="s">
        <v>3753</v>
      </c>
      <c r="F27" s="7" t="s">
        <v>3753</v>
      </c>
      <c r="G27" s="7">
        <v>1</v>
      </c>
      <c r="H27" s="7" t="s">
        <v>3819</v>
      </c>
      <c r="I27" s="7">
        <v>1</v>
      </c>
      <c r="J27" s="7">
        <v>1</v>
      </c>
      <c r="K27" s="7">
        <v>1</v>
      </c>
      <c r="L27" s="7">
        <v>14</v>
      </c>
      <c r="M27" s="7">
        <v>14</v>
      </c>
      <c r="N27" s="7">
        <v>1</v>
      </c>
      <c r="O27" s="7"/>
      <c r="P27" s="7"/>
      <c r="Q27" s="7"/>
      <c r="R27" s="7"/>
      <c r="S27" s="7">
        <v>0</v>
      </c>
      <c r="T27" s="7">
        <v>0</v>
      </c>
      <c r="U27" s="7">
        <v>8</v>
      </c>
      <c r="V27" s="7">
        <v>8</v>
      </c>
      <c r="W27" s="7">
        <v>2</v>
      </c>
      <c r="X27" s="7">
        <v>0</v>
      </c>
      <c r="Y27" s="7">
        <v>2</v>
      </c>
      <c r="Z27" s="7"/>
      <c r="AA27" s="7" t="s">
        <v>3902</v>
      </c>
      <c r="AB27" s="7">
        <v>9300</v>
      </c>
      <c r="AC27" s="7">
        <v>1</v>
      </c>
      <c r="AD27" s="7">
        <v>1210</v>
      </c>
      <c r="AE27" s="7">
        <v>0</v>
      </c>
      <c r="AF27" s="7">
        <v>10</v>
      </c>
      <c r="AG27" s="7">
        <v>0</v>
      </c>
      <c r="AH27" s="7">
        <v>10</v>
      </c>
      <c r="AI27" s="7"/>
      <c r="AJ27" s="7">
        <v>32</v>
      </c>
      <c r="AK27" s="7">
        <v>0</v>
      </c>
      <c r="AL27" s="7"/>
      <c r="AM27" s="7"/>
      <c r="AN27" s="7">
        <v>10001</v>
      </c>
      <c r="AO27" s="7"/>
      <c r="AP27" s="7">
        <v>0</v>
      </c>
      <c r="AQ27" s="7">
        <v>4000</v>
      </c>
      <c r="AR27" s="7">
        <v>0</v>
      </c>
      <c r="AS27" s="7">
        <v>2</v>
      </c>
      <c r="AT27" s="54"/>
      <c r="AU27" s="54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spans="1:58" ht="13.5" customHeight="1">
      <c r="A28" s="7">
        <v>416150</v>
      </c>
      <c r="B28" s="7">
        <v>1</v>
      </c>
      <c r="C28" s="7" t="s">
        <v>3534</v>
      </c>
      <c r="D28" s="7" t="s">
        <v>3644</v>
      </c>
      <c r="E28" s="7" t="s">
        <v>3754</v>
      </c>
      <c r="F28" s="7" t="s">
        <v>3754</v>
      </c>
      <c r="G28" s="7">
        <v>1</v>
      </c>
      <c r="H28" s="7" t="s">
        <v>3820</v>
      </c>
      <c r="I28" s="7">
        <v>1</v>
      </c>
      <c r="J28" s="7">
        <v>1</v>
      </c>
      <c r="K28" s="7">
        <v>1</v>
      </c>
      <c r="L28" s="7">
        <v>14</v>
      </c>
      <c r="M28" s="7">
        <v>14</v>
      </c>
      <c r="N28" s="7">
        <v>1</v>
      </c>
      <c r="O28" s="7"/>
      <c r="P28" s="7"/>
      <c r="Q28" s="7"/>
      <c r="R28" s="7"/>
      <c r="S28" s="7">
        <v>0</v>
      </c>
      <c r="T28" s="7">
        <v>0</v>
      </c>
      <c r="U28" s="7">
        <v>8</v>
      </c>
      <c r="V28" s="7">
        <v>8</v>
      </c>
      <c r="W28" s="7">
        <v>2</v>
      </c>
      <c r="X28" s="7">
        <v>0</v>
      </c>
      <c r="Y28" s="7">
        <v>2</v>
      </c>
      <c r="Z28" s="7"/>
      <c r="AA28" s="7" t="s">
        <v>3902</v>
      </c>
      <c r="AB28" s="7">
        <v>9300</v>
      </c>
      <c r="AC28" s="7">
        <v>1</v>
      </c>
      <c r="AD28" s="7">
        <v>1210</v>
      </c>
      <c r="AE28" s="7">
        <v>0</v>
      </c>
      <c r="AF28" s="7">
        <v>10</v>
      </c>
      <c r="AG28" s="7">
        <v>0</v>
      </c>
      <c r="AH28" s="7">
        <v>10</v>
      </c>
      <c r="AI28" s="7"/>
      <c r="AJ28" s="7">
        <v>32</v>
      </c>
      <c r="AK28" s="7">
        <v>0</v>
      </c>
      <c r="AL28" s="7"/>
      <c r="AM28" s="7"/>
      <c r="AN28" s="7">
        <v>10001</v>
      </c>
      <c r="AO28" s="7"/>
      <c r="AP28" s="7">
        <v>0</v>
      </c>
      <c r="AQ28" s="7">
        <v>4000</v>
      </c>
      <c r="AR28" s="7">
        <v>0</v>
      </c>
      <c r="AS28" s="7">
        <v>2</v>
      </c>
      <c r="AT28" s="54"/>
      <c r="AU28" s="54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spans="1:58" ht="13.5" customHeight="1">
      <c r="A29" s="7">
        <v>416151</v>
      </c>
      <c r="B29" s="7">
        <v>1</v>
      </c>
      <c r="C29" s="7" t="s">
        <v>3535</v>
      </c>
      <c r="D29" s="7" t="s">
        <v>3979</v>
      </c>
      <c r="E29" s="7" t="s">
        <v>4006</v>
      </c>
      <c r="F29" s="7" t="s">
        <v>4006</v>
      </c>
      <c r="G29" s="7">
        <v>1</v>
      </c>
      <c r="H29" s="7" t="s">
        <v>3821</v>
      </c>
      <c r="I29" s="7">
        <v>1</v>
      </c>
      <c r="J29" s="7">
        <v>1</v>
      </c>
      <c r="K29" s="7">
        <v>1</v>
      </c>
      <c r="L29" s="7">
        <v>14</v>
      </c>
      <c r="M29" s="7">
        <v>14</v>
      </c>
      <c r="N29" s="7">
        <v>1</v>
      </c>
      <c r="O29" s="7"/>
      <c r="P29" s="7"/>
      <c r="Q29" s="7"/>
      <c r="R29" s="7"/>
      <c r="S29" s="7">
        <v>0</v>
      </c>
      <c r="T29" s="7">
        <v>0</v>
      </c>
      <c r="U29" s="7">
        <v>8</v>
      </c>
      <c r="V29" s="7">
        <v>8</v>
      </c>
      <c r="W29" s="7">
        <v>2</v>
      </c>
      <c r="X29" s="7">
        <v>0</v>
      </c>
      <c r="Y29" s="7">
        <v>2</v>
      </c>
      <c r="Z29" s="7"/>
      <c r="AA29" s="7" t="s">
        <v>3902</v>
      </c>
      <c r="AB29" s="7">
        <v>9300</v>
      </c>
      <c r="AC29" s="7">
        <v>1</v>
      </c>
      <c r="AD29" s="7">
        <v>1210</v>
      </c>
      <c r="AE29" s="7">
        <v>0</v>
      </c>
      <c r="AF29" s="7">
        <v>10</v>
      </c>
      <c r="AG29" s="7">
        <v>0</v>
      </c>
      <c r="AH29" s="7">
        <v>10</v>
      </c>
      <c r="AI29" s="7"/>
      <c r="AJ29" s="7">
        <v>32</v>
      </c>
      <c r="AK29" s="7">
        <v>0</v>
      </c>
      <c r="AL29" s="7"/>
      <c r="AM29" s="7"/>
      <c r="AN29" s="7">
        <v>10001</v>
      </c>
      <c r="AO29" s="7"/>
      <c r="AP29" s="7">
        <v>0</v>
      </c>
      <c r="AQ29" s="7">
        <v>4000</v>
      </c>
      <c r="AR29" s="7">
        <v>0</v>
      </c>
      <c r="AS29" s="7">
        <v>2</v>
      </c>
      <c r="AT29" s="54"/>
      <c r="AU29" s="54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spans="1:58" ht="13.5" customHeight="1">
      <c r="A30" s="7">
        <v>416152</v>
      </c>
      <c r="B30" s="7">
        <v>1</v>
      </c>
      <c r="C30" s="7" t="s">
        <v>3602</v>
      </c>
      <c r="D30" s="7" t="s">
        <v>3980</v>
      </c>
      <c r="E30" s="7" t="s">
        <v>4007</v>
      </c>
      <c r="F30" s="7" t="s">
        <v>4007</v>
      </c>
      <c r="G30" s="7">
        <v>1</v>
      </c>
      <c r="H30" s="7" t="s">
        <v>3822</v>
      </c>
      <c r="I30" s="7">
        <v>1</v>
      </c>
      <c r="J30" s="7">
        <v>1</v>
      </c>
      <c r="K30" s="7">
        <v>1</v>
      </c>
      <c r="L30" s="7">
        <v>14</v>
      </c>
      <c r="M30" s="7">
        <v>14</v>
      </c>
      <c r="N30" s="7">
        <v>1</v>
      </c>
      <c r="O30" s="7"/>
      <c r="P30" s="7"/>
      <c r="Q30" s="7"/>
      <c r="R30" s="7"/>
      <c r="S30" s="7">
        <v>0</v>
      </c>
      <c r="T30" s="7">
        <v>0</v>
      </c>
      <c r="U30" s="7">
        <v>8</v>
      </c>
      <c r="V30" s="7">
        <v>8</v>
      </c>
      <c r="W30" s="7">
        <v>2</v>
      </c>
      <c r="X30" s="7">
        <v>0</v>
      </c>
      <c r="Y30" s="7">
        <v>2</v>
      </c>
      <c r="Z30" s="7"/>
      <c r="AA30" s="7" t="s">
        <v>3902</v>
      </c>
      <c r="AB30" s="7">
        <v>9300</v>
      </c>
      <c r="AC30" s="7">
        <v>1</v>
      </c>
      <c r="AD30" s="7">
        <v>1210</v>
      </c>
      <c r="AE30" s="7">
        <v>0</v>
      </c>
      <c r="AF30" s="7">
        <v>10</v>
      </c>
      <c r="AG30" s="7">
        <v>0</v>
      </c>
      <c r="AH30" s="7">
        <v>10</v>
      </c>
      <c r="AI30" s="7"/>
      <c r="AJ30" s="7">
        <v>32</v>
      </c>
      <c r="AK30" s="7">
        <v>0</v>
      </c>
      <c r="AL30" s="7"/>
      <c r="AM30" s="7"/>
      <c r="AN30" s="7">
        <v>10001</v>
      </c>
      <c r="AO30" s="7"/>
      <c r="AP30" s="7">
        <v>0</v>
      </c>
      <c r="AQ30" s="7">
        <v>4000</v>
      </c>
      <c r="AR30" s="7">
        <v>0</v>
      </c>
      <c r="AS30" s="7">
        <v>2</v>
      </c>
      <c r="AT30" s="54"/>
      <c r="AU30" s="54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spans="1:58" ht="13.5" customHeight="1">
      <c r="A31" s="7">
        <v>416153</v>
      </c>
      <c r="B31" s="7">
        <v>1</v>
      </c>
      <c r="C31" s="7" t="s">
        <v>3536</v>
      </c>
      <c r="D31" s="7" t="s">
        <v>3647</v>
      </c>
      <c r="E31" s="7" t="s">
        <v>3756</v>
      </c>
      <c r="F31" s="7" t="s">
        <v>3756</v>
      </c>
      <c r="G31" s="7">
        <v>1</v>
      </c>
      <c r="H31" s="7" t="s">
        <v>3823</v>
      </c>
      <c r="I31" s="7">
        <v>1</v>
      </c>
      <c r="J31" s="7">
        <v>1</v>
      </c>
      <c r="K31" s="7">
        <v>1</v>
      </c>
      <c r="L31" s="7">
        <v>14</v>
      </c>
      <c r="M31" s="7">
        <v>14</v>
      </c>
      <c r="N31" s="7">
        <v>1</v>
      </c>
      <c r="O31" s="7"/>
      <c r="P31" s="7"/>
      <c r="Q31" s="7"/>
      <c r="R31" s="7"/>
      <c r="S31" s="7">
        <v>0</v>
      </c>
      <c r="T31" s="7">
        <v>0</v>
      </c>
      <c r="U31" s="7">
        <v>8</v>
      </c>
      <c r="V31" s="7">
        <v>8</v>
      </c>
      <c r="W31" s="7">
        <v>2</v>
      </c>
      <c r="X31" s="7">
        <v>0</v>
      </c>
      <c r="Y31" s="7">
        <v>2</v>
      </c>
      <c r="Z31" s="7"/>
      <c r="AA31" s="7" t="s">
        <v>3902</v>
      </c>
      <c r="AB31" s="7">
        <v>9300</v>
      </c>
      <c r="AC31" s="7">
        <v>1</v>
      </c>
      <c r="AD31" s="7">
        <v>1210</v>
      </c>
      <c r="AE31" s="7">
        <v>0</v>
      </c>
      <c r="AF31" s="7">
        <v>10</v>
      </c>
      <c r="AG31" s="7">
        <v>0</v>
      </c>
      <c r="AH31" s="7">
        <v>10</v>
      </c>
      <c r="AI31" s="7"/>
      <c r="AJ31" s="7">
        <v>32</v>
      </c>
      <c r="AK31" s="7">
        <v>0</v>
      </c>
      <c r="AL31" s="7"/>
      <c r="AM31" s="7"/>
      <c r="AN31" s="7">
        <v>10001</v>
      </c>
      <c r="AO31" s="7"/>
      <c r="AP31" s="7">
        <v>0</v>
      </c>
      <c r="AQ31" s="7">
        <v>4000</v>
      </c>
      <c r="AR31" s="7">
        <v>0</v>
      </c>
      <c r="AS31" s="7">
        <v>2</v>
      </c>
      <c r="AT31" s="54"/>
      <c r="AU31" s="54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spans="1:58" ht="13.5" customHeight="1">
      <c r="A32" s="7">
        <v>416154</v>
      </c>
      <c r="B32" s="7">
        <v>1</v>
      </c>
      <c r="C32" s="7" t="s">
        <v>3537</v>
      </c>
      <c r="D32" s="7" t="s">
        <v>3648</v>
      </c>
      <c r="E32" s="7" t="s">
        <v>3437</v>
      </c>
      <c r="F32" s="7" t="s">
        <v>3757</v>
      </c>
      <c r="G32" s="7">
        <v>1</v>
      </c>
      <c r="H32" s="7" t="s">
        <v>3824</v>
      </c>
      <c r="I32" s="7">
        <v>1</v>
      </c>
      <c r="J32" s="7">
        <v>1</v>
      </c>
      <c r="K32" s="7">
        <v>1</v>
      </c>
      <c r="L32" s="7">
        <v>14</v>
      </c>
      <c r="M32" s="7">
        <v>14</v>
      </c>
      <c r="N32" s="7">
        <v>1</v>
      </c>
      <c r="O32" s="7"/>
      <c r="P32" s="7"/>
      <c r="Q32" s="7"/>
      <c r="R32" s="7"/>
      <c r="S32" s="7">
        <v>0</v>
      </c>
      <c r="T32" s="7">
        <v>0</v>
      </c>
      <c r="U32" s="7">
        <v>8</v>
      </c>
      <c r="V32" s="7">
        <v>8</v>
      </c>
      <c r="W32" s="7">
        <v>2</v>
      </c>
      <c r="X32" s="7">
        <v>0</v>
      </c>
      <c r="Y32" s="7">
        <v>2</v>
      </c>
      <c r="Z32" s="7"/>
      <c r="AA32" s="7" t="s">
        <v>3902</v>
      </c>
      <c r="AB32" s="7">
        <v>9300</v>
      </c>
      <c r="AC32" s="7">
        <v>1</v>
      </c>
      <c r="AD32" s="7">
        <v>1210</v>
      </c>
      <c r="AE32" s="7">
        <v>0</v>
      </c>
      <c r="AF32" s="7">
        <v>10</v>
      </c>
      <c r="AG32" s="7">
        <v>0</v>
      </c>
      <c r="AH32" s="7">
        <v>10</v>
      </c>
      <c r="AI32" s="7"/>
      <c r="AJ32" s="7">
        <v>32</v>
      </c>
      <c r="AK32" s="7">
        <v>0</v>
      </c>
      <c r="AL32" s="7"/>
      <c r="AM32" s="7"/>
      <c r="AN32" s="7">
        <v>10001</v>
      </c>
      <c r="AO32" s="7"/>
      <c r="AP32" s="7">
        <v>0</v>
      </c>
      <c r="AQ32" s="7">
        <v>4000</v>
      </c>
      <c r="AR32" s="7">
        <v>0</v>
      </c>
      <c r="AS32" s="7">
        <v>2</v>
      </c>
      <c r="AT32" s="54"/>
      <c r="AU32" s="54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spans="1:58" ht="13.5" customHeight="1">
      <c r="A33" s="7">
        <v>416155</v>
      </c>
      <c r="B33" s="7">
        <v>1</v>
      </c>
      <c r="C33" s="7" t="s">
        <v>3538</v>
      </c>
      <c r="D33" s="7" t="s">
        <v>3649</v>
      </c>
      <c r="E33" s="7" t="s">
        <v>3758</v>
      </c>
      <c r="F33" s="7" t="s">
        <v>3758</v>
      </c>
      <c r="G33" s="7">
        <v>1</v>
      </c>
      <c r="H33" s="7" t="s">
        <v>3825</v>
      </c>
      <c r="I33" s="7">
        <v>1</v>
      </c>
      <c r="J33" s="7">
        <v>1</v>
      </c>
      <c r="K33" s="7">
        <v>1</v>
      </c>
      <c r="L33" s="7">
        <v>14</v>
      </c>
      <c r="M33" s="7">
        <v>14</v>
      </c>
      <c r="N33" s="7">
        <v>1</v>
      </c>
      <c r="O33" s="7"/>
      <c r="P33" s="7"/>
      <c r="Q33" s="7"/>
      <c r="R33" s="7"/>
      <c r="S33" s="7">
        <v>0</v>
      </c>
      <c r="T33" s="7">
        <v>0</v>
      </c>
      <c r="U33" s="7">
        <v>8</v>
      </c>
      <c r="V33" s="7">
        <v>8</v>
      </c>
      <c r="W33" s="7">
        <v>2</v>
      </c>
      <c r="X33" s="7">
        <v>0</v>
      </c>
      <c r="Y33" s="7">
        <v>2</v>
      </c>
      <c r="Z33" s="7"/>
      <c r="AA33" s="7" t="s">
        <v>3902</v>
      </c>
      <c r="AB33" s="7">
        <v>9300</v>
      </c>
      <c r="AC33" s="7">
        <v>1</v>
      </c>
      <c r="AD33" s="7">
        <v>1210</v>
      </c>
      <c r="AE33" s="7">
        <v>0</v>
      </c>
      <c r="AF33" s="7">
        <v>10</v>
      </c>
      <c r="AG33" s="7">
        <v>0</v>
      </c>
      <c r="AH33" s="7">
        <v>10</v>
      </c>
      <c r="AI33" s="7"/>
      <c r="AJ33" s="7">
        <v>32</v>
      </c>
      <c r="AK33" s="7">
        <v>0</v>
      </c>
      <c r="AL33" s="7"/>
      <c r="AM33" s="7"/>
      <c r="AN33" s="7">
        <v>10001</v>
      </c>
      <c r="AO33" s="7"/>
      <c r="AP33" s="7">
        <v>0</v>
      </c>
      <c r="AQ33" s="7">
        <v>4000</v>
      </c>
      <c r="AR33" s="7">
        <v>0</v>
      </c>
      <c r="AS33" s="7">
        <v>2</v>
      </c>
      <c r="AT33" s="54"/>
      <c r="AU33" s="54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spans="1:58" ht="13.5" customHeight="1">
      <c r="A34" s="7">
        <v>416156</v>
      </c>
      <c r="B34" s="7">
        <v>1</v>
      </c>
      <c r="C34" s="7" t="s">
        <v>3539</v>
      </c>
      <c r="D34" s="7" t="s">
        <v>3650</v>
      </c>
      <c r="E34" s="7" t="s">
        <v>3759</v>
      </c>
      <c r="F34" s="7" t="s">
        <v>3759</v>
      </c>
      <c r="G34" s="7">
        <v>1</v>
      </c>
      <c r="H34" s="7" t="s">
        <v>3826</v>
      </c>
      <c r="I34" s="7">
        <v>1</v>
      </c>
      <c r="J34" s="7">
        <v>1</v>
      </c>
      <c r="K34" s="7">
        <v>1</v>
      </c>
      <c r="L34" s="7">
        <v>14</v>
      </c>
      <c r="M34" s="7">
        <v>14</v>
      </c>
      <c r="N34" s="7">
        <v>1</v>
      </c>
      <c r="O34" s="7"/>
      <c r="P34" s="7"/>
      <c r="Q34" s="7"/>
      <c r="R34" s="7"/>
      <c r="S34" s="7">
        <v>0</v>
      </c>
      <c r="T34" s="7">
        <v>0</v>
      </c>
      <c r="U34" s="7">
        <v>8</v>
      </c>
      <c r="V34" s="7">
        <v>8</v>
      </c>
      <c r="W34" s="7">
        <v>2</v>
      </c>
      <c r="X34" s="7">
        <v>0</v>
      </c>
      <c r="Y34" s="7">
        <v>2</v>
      </c>
      <c r="Z34" s="7"/>
      <c r="AA34" s="7" t="s">
        <v>3902</v>
      </c>
      <c r="AB34" s="7">
        <v>9300</v>
      </c>
      <c r="AC34" s="7">
        <v>1</v>
      </c>
      <c r="AD34" s="7">
        <v>1210</v>
      </c>
      <c r="AE34" s="7">
        <v>0</v>
      </c>
      <c r="AF34" s="7">
        <v>10</v>
      </c>
      <c r="AG34" s="7">
        <v>0</v>
      </c>
      <c r="AH34" s="7">
        <v>10</v>
      </c>
      <c r="AI34" s="7"/>
      <c r="AJ34" s="7">
        <v>32</v>
      </c>
      <c r="AK34" s="7">
        <v>0</v>
      </c>
      <c r="AL34" s="7"/>
      <c r="AM34" s="7"/>
      <c r="AN34" s="7">
        <v>10001</v>
      </c>
      <c r="AO34" s="7"/>
      <c r="AP34" s="7">
        <v>0</v>
      </c>
      <c r="AQ34" s="7">
        <v>4000</v>
      </c>
      <c r="AR34" s="7">
        <v>0</v>
      </c>
      <c r="AS34" s="7">
        <v>2</v>
      </c>
      <c r="AT34" s="54"/>
      <c r="AU34" s="54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spans="1:58" ht="13.5" customHeight="1">
      <c r="A35" s="7">
        <v>416157</v>
      </c>
      <c r="B35" s="7">
        <v>1</v>
      </c>
      <c r="C35" s="7" t="s">
        <v>3603</v>
      </c>
      <c r="D35" s="7" t="s">
        <v>3981</v>
      </c>
      <c r="E35" s="7" t="s">
        <v>3908</v>
      </c>
      <c r="F35" s="7" t="s">
        <v>3908</v>
      </c>
      <c r="G35" s="7">
        <v>1</v>
      </c>
      <c r="H35" s="7" t="s">
        <v>3827</v>
      </c>
      <c r="I35" s="7">
        <v>1</v>
      </c>
      <c r="J35" s="7">
        <v>1</v>
      </c>
      <c r="K35" s="7">
        <v>1</v>
      </c>
      <c r="L35" s="7">
        <v>14</v>
      </c>
      <c r="M35" s="7">
        <v>14</v>
      </c>
      <c r="N35" s="7">
        <v>1</v>
      </c>
      <c r="O35" s="7"/>
      <c r="P35" s="7"/>
      <c r="Q35" s="7"/>
      <c r="R35" s="7"/>
      <c r="S35" s="7">
        <v>0</v>
      </c>
      <c r="T35" s="7">
        <v>0</v>
      </c>
      <c r="U35" s="7">
        <v>8</v>
      </c>
      <c r="V35" s="7">
        <v>8</v>
      </c>
      <c r="W35" s="7">
        <v>2</v>
      </c>
      <c r="X35" s="7">
        <v>0</v>
      </c>
      <c r="Y35" s="7">
        <v>2</v>
      </c>
      <c r="Z35" s="7"/>
      <c r="AA35" s="7" t="s">
        <v>3902</v>
      </c>
      <c r="AB35" s="7">
        <v>9300</v>
      </c>
      <c r="AC35" s="7">
        <v>1</v>
      </c>
      <c r="AD35" s="7">
        <v>1210</v>
      </c>
      <c r="AE35" s="7">
        <v>0</v>
      </c>
      <c r="AF35" s="7">
        <v>10</v>
      </c>
      <c r="AG35" s="7">
        <v>0</v>
      </c>
      <c r="AH35" s="7">
        <v>10</v>
      </c>
      <c r="AI35" s="7"/>
      <c r="AJ35" s="7">
        <v>32</v>
      </c>
      <c r="AK35" s="7">
        <v>0</v>
      </c>
      <c r="AL35" s="7"/>
      <c r="AM35" s="7"/>
      <c r="AN35" s="7">
        <v>10001</v>
      </c>
      <c r="AO35" s="7"/>
      <c r="AP35" s="7">
        <v>0</v>
      </c>
      <c r="AQ35" s="7">
        <v>4000</v>
      </c>
      <c r="AR35" s="7">
        <v>0</v>
      </c>
      <c r="AS35" s="7">
        <v>2</v>
      </c>
      <c r="AT35" s="54"/>
      <c r="AU35" s="54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spans="1:58" ht="13.5" customHeight="1">
      <c r="A36" s="7">
        <v>416158</v>
      </c>
      <c r="B36" s="7">
        <v>1</v>
      </c>
      <c r="C36" s="7" t="s">
        <v>3943</v>
      </c>
      <c r="D36" s="7" t="s">
        <v>3652</v>
      </c>
      <c r="E36" s="7" t="s">
        <v>3441</v>
      </c>
      <c r="F36" s="7" t="s">
        <v>3760</v>
      </c>
      <c r="G36" s="7">
        <v>1</v>
      </c>
      <c r="H36" s="7" t="s">
        <v>3828</v>
      </c>
      <c r="I36" s="7">
        <v>1</v>
      </c>
      <c r="J36" s="7">
        <v>1</v>
      </c>
      <c r="K36" s="7">
        <v>1</v>
      </c>
      <c r="L36" s="7">
        <v>14</v>
      </c>
      <c r="M36" s="7">
        <v>14</v>
      </c>
      <c r="N36" s="7">
        <v>1</v>
      </c>
      <c r="O36" s="7"/>
      <c r="P36" s="7"/>
      <c r="Q36" s="7"/>
      <c r="R36" s="7"/>
      <c r="S36" s="7">
        <v>0</v>
      </c>
      <c r="T36" s="7">
        <v>0</v>
      </c>
      <c r="U36" s="7">
        <v>8</v>
      </c>
      <c r="V36" s="7">
        <v>8</v>
      </c>
      <c r="W36" s="7">
        <v>2</v>
      </c>
      <c r="X36" s="7">
        <v>0</v>
      </c>
      <c r="Y36" s="7">
        <v>2</v>
      </c>
      <c r="Z36" s="7"/>
      <c r="AA36" s="7" t="s">
        <v>3902</v>
      </c>
      <c r="AB36" s="7">
        <v>9300</v>
      </c>
      <c r="AC36" s="7">
        <v>1</v>
      </c>
      <c r="AD36" s="7">
        <v>1210</v>
      </c>
      <c r="AE36" s="7">
        <v>0</v>
      </c>
      <c r="AF36" s="7">
        <v>10</v>
      </c>
      <c r="AG36" s="7">
        <v>0</v>
      </c>
      <c r="AH36" s="7">
        <v>10</v>
      </c>
      <c r="AI36" s="7"/>
      <c r="AJ36" s="7">
        <v>32</v>
      </c>
      <c r="AK36" s="7">
        <v>0</v>
      </c>
      <c r="AL36" s="7"/>
      <c r="AM36" s="7"/>
      <c r="AN36" s="7">
        <v>10001</v>
      </c>
      <c r="AO36" s="7"/>
      <c r="AP36" s="7">
        <v>0</v>
      </c>
      <c r="AQ36" s="7">
        <v>4000</v>
      </c>
      <c r="AR36" s="7">
        <v>0</v>
      </c>
      <c r="AS36" s="7">
        <v>2</v>
      </c>
      <c r="AT36" s="54"/>
      <c r="AU36" s="54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spans="1:58" ht="13.5" customHeight="1">
      <c r="A37" s="7">
        <v>416159</v>
      </c>
      <c r="B37" s="7">
        <v>1</v>
      </c>
      <c r="C37" s="7" t="s">
        <v>3540</v>
      </c>
      <c r="D37" s="7" t="s">
        <v>3653</v>
      </c>
      <c r="E37" s="7" t="s">
        <v>3441</v>
      </c>
      <c r="F37" s="7" t="s">
        <v>3760</v>
      </c>
      <c r="G37" s="7">
        <v>1</v>
      </c>
      <c r="H37" s="7" t="s">
        <v>3829</v>
      </c>
      <c r="I37" s="7">
        <v>1</v>
      </c>
      <c r="J37" s="7">
        <v>1</v>
      </c>
      <c r="K37" s="7">
        <v>1</v>
      </c>
      <c r="L37" s="7">
        <v>14</v>
      </c>
      <c r="M37" s="7">
        <v>14</v>
      </c>
      <c r="N37" s="7">
        <v>1</v>
      </c>
      <c r="O37" s="7"/>
      <c r="P37" s="7"/>
      <c r="Q37" s="7"/>
      <c r="R37" s="7"/>
      <c r="S37" s="7">
        <v>0</v>
      </c>
      <c r="T37" s="7">
        <v>0</v>
      </c>
      <c r="U37" s="7">
        <v>8</v>
      </c>
      <c r="V37" s="7">
        <v>8</v>
      </c>
      <c r="W37" s="7">
        <v>2</v>
      </c>
      <c r="X37" s="7">
        <v>0</v>
      </c>
      <c r="Y37" s="7">
        <v>2</v>
      </c>
      <c r="Z37" s="7"/>
      <c r="AA37" s="7" t="s">
        <v>3902</v>
      </c>
      <c r="AB37" s="7">
        <v>9300</v>
      </c>
      <c r="AC37" s="7">
        <v>1</v>
      </c>
      <c r="AD37" s="7">
        <v>1210</v>
      </c>
      <c r="AE37" s="7">
        <v>0</v>
      </c>
      <c r="AF37" s="7">
        <v>10</v>
      </c>
      <c r="AG37" s="7">
        <v>0</v>
      </c>
      <c r="AH37" s="7">
        <v>10</v>
      </c>
      <c r="AI37" s="7"/>
      <c r="AJ37" s="7">
        <v>32</v>
      </c>
      <c r="AK37" s="7">
        <v>0</v>
      </c>
      <c r="AL37" s="7"/>
      <c r="AM37" s="7"/>
      <c r="AN37" s="7">
        <v>10001</v>
      </c>
      <c r="AO37" s="7"/>
      <c r="AP37" s="7">
        <v>0</v>
      </c>
      <c r="AQ37" s="7">
        <v>4000</v>
      </c>
      <c r="AR37" s="7">
        <v>0</v>
      </c>
      <c r="AS37" s="7">
        <v>2</v>
      </c>
      <c r="AT37" s="54"/>
      <c r="AU37" s="54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spans="1:58" ht="13.5" customHeight="1">
      <c r="A38" s="7">
        <v>416160</v>
      </c>
      <c r="B38" s="7">
        <v>1</v>
      </c>
      <c r="C38" s="7" t="s">
        <v>3541</v>
      </c>
      <c r="D38" s="7" t="s">
        <v>3654</v>
      </c>
      <c r="E38" s="7" t="s">
        <v>3442</v>
      </c>
      <c r="F38" s="7" t="s">
        <v>3761</v>
      </c>
      <c r="G38" s="7">
        <v>1</v>
      </c>
      <c r="H38" s="7" t="s">
        <v>3830</v>
      </c>
      <c r="I38" s="7">
        <v>1</v>
      </c>
      <c r="J38" s="7">
        <v>1</v>
      </c>
      <c r="K38" s="7">
        <v>1</v>
      </c>
      <c r="L38" s="7">
        <v>14</v>
      </c>
      <c r="M38" s="7">
        <v>14</v>
      </c>
      <c r="N38" s="7">
        <v>1</v>
      </c>
      <c r="O38" s="7"/>
      <c r="P38" s="7"/>
      <c r="Q38" s="7"/>
      <c r="R38" s="7"/>
      <c r="S38" s="7">
        <v>0</v>
      </c>
      <c r="T38" s="7">
        <v>0</v>
      </c>
      <c r="U38" s="7">
        <v>8</v>
      </c>
      <c r="V38" s="7">
        <v>8</v>
      </c>
      <c r="W38" s="7">
        <v>2</v>
      </c>
      <c r="X38" s="7">
        <v>0</v>
      </c>
      <c r="Y38" s="7">
        <v>2</v>
      </c>
      <c r="Z38" s="7"/>
      <c r="AA38" s="7" t="s">
        <v>3902</v>
      </c>
      <c r="AB38" s="7">
        <v>9300</v>
      </c>
      <c r="AC38" s="7">
        <v>1</v>
      </c>
      <c r="AD38" s="7">
        <v>1210</v>
      </c>
      <c r="AE38" s="7">
        <v>0</v>
      </c>
      <c r="AF38" s="7">
        <v>10</v>
      </c>
      <c r="AG38" s="7">
        <v>0</v>
      </c>
      <c r="AH38" s="7">
        <v>10</v>
      </c>
      <c r="AI38" s="7"/>
      <c r="AJ38" s="7">
        <v>32</v>
      </c>
      <c r="AK38" s="7">
        <v>0</v>
      </c>
      <c r="AL38" s="7"/>
      <c r="AM38" s="7"/>
      <c r="AN38" s="7">
        <v>10001</v>
      </c>
      <c r="AO38" s="7"/>
      <c r="AP38" s="7">
        <v>0</v>
      </c>
      <c r="AQ38" s="7">
        <v>4000</v>
      </c>
      <c r="AR38" s="7">
        <v>0</v>
      </c>
      <c r="AS38" s="7">
        <v>2</v>
      </c>
      <c r="AT38" s="54"/>
      <c r="AU38" s="54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spans="1:58" ht="13.5" customHeight="1">
      <c r="A39" s="7">
        <v>416161</v>
      </c>
      <c r="B39" s="7">
        <v>1</v>
      </c>
      <c r="C39" s="7" t="s">
        <v>3542</v>
      </c>
      <c r="D39" s="7" t="s">
        <v>3655</v>
      </c>
      <c r="E39" s="7" t="s">
        <v>3443</v>
      </c>
      <c r="F39" s="7" t="s">
        <v>3762</v>
      </c>
      <c r="G39" s="7">
        <v>1</v>
      </c>
      <c r="H39" s="7" t="s">
        <v>3831</v>
      </c>
      <c r="I39" s="7">
        <v>1</v>
      </c>
      <c r="J39" s="7">
        <v>1</v>
      </c>
      <c r="K39" s="7">
        <v>1</v>
      </c>
      <c r="L39" s="7">
        <v>14</v>
      </c>
      <c r="M39" s="7">
        <v>14</v>
      </c>
      <c r="N39" s="7">
        <v>1</v>
      </c>
      <c r="O39" s="7"/>
      <c r="P39" s="7"/>
      <c r="Q39" s="7"/>
      <c r="R39" s="7"/>
      <c r="S39" s="7">
        <v>0</v>
      </c>
      <c r="T39" s="7">
        <v>0</v>
      </c>
      <c r="U39" s="7">
        <v>8</v>
      </c>
      <c r="V39" s="7">
        <v>8</v>
      </c>
      <c r="W39" s="7">
        <v>2</v>
      </c>
      <c r="X39" s="7">
        <v>0</v>
      </c>
      <c r="Y39" s="7">
        <v>2</v>
      </c>
      <c r="Z39" s="7"/>
      <c r="AA39" s="7" t="s">
        <v>3902</v>
      </c>
      <c r="AB39" s="7">
        <v>9300</v>
      </c>
      <c r="AC39" s="7">
        <v>1</v>
      </c>
      <c r="AD39" s="7">
        <v>1210</v>
      </c>
      <c r="AE39" s="7">
        <v>0</v>
      </c>
      <c r="AF39" s="7">
        <v>10</v>
      </c>
      <c r="AG39" s="7">
        <v>0</v>
      </c>
      <c r="AH39" s="7">
        <v>10</v>
      </c>
      <c r="AI39" s="7"/>
      <c r="AJ39" s="7">
        <v>32</v>
      </c>
      <c r="AK39" s="7">
        <v>0</v>
      </c>
      <c r="AL39" s="7"/>
      <c r="AM39" s="7"/>
      <c r="AN39" s="7">
        <v>10001</v>
      </c>
      <c r="AO39" s="7"/>
      <c r="AP39" s="7">
        <v>0</v>
      </c>
      <c r="AQ39" s="7">
        <v>4000</v>
      </c>
      <c r="AR39" s="7">
        <v>0</v>
      </c>
      <c r="AS39" s="7">
        <v>2</v>
      </c>
      <c r="AT39" s="54"/>
      <c r="AU39" s="54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spans="1:58" ht="13.5" customHeight="1">
      <c r="A40" s="7">
        <v>416162</v>
      </c>
      <c r="B40" s="7">
        <v>1</v>
      </c>
      <c r="C40" s="7" t="s">
        <v>3543</v>
      </c>
      <c r="D40" s="7" t="s">
        <v>3656</v>
      </c>
      <c r="E40" s="7" t="s">
        <v>3444</v>
      </c>
      <c r="F40" s="7" t="s">
        <v>3763</v>
      </c>
      <c r="G40" s="7">
        <v>1</v>
      </c>
      <c r="H40" s="7" t="s">
        <v>3832</v>
      </c>
      <c r="I40" s="7">
        <v>1</v>
      </c>
      <c r="J40" s="7">
        <v>1</v>
      </c>
      <c r="K40" s="7">
        <v>1</v>
      </c>
      <c r="L40" s="7">
        <v>14</v>
      </c>
      <c r="M40" s="7">
        <v>14</v>
      </c>
      <c r="N40" s="7">
        <v>1</v>
      </c>
      <c r="O40" s="7"/>
      <c r="P40" s="7"/>
      <c r="Q40" s="7"/>
      <c r="R40" s="7"/>
      <c r="S40" s="7">
        <v>0</v>
      </c>
      <c r="T40" s="7">
        <v>0</v>
      </c>
      <c r="U40" s="7">
        <v>8</v>
      </c>
      <c r="V40" s="7">
        <v>8</v>
      </c>
      <c r="W40" s="7">
        <v>2</v>
      </c>
      <c r="X40" s="7">
        <v>0</v>
      </c>
      <c r="Y40" s="7">
        <v>2</v>
      </c>
      <c r="Z40" s="7"/>
      <c r="AA40" s="7" t="s">
        <v>3902</v>
      </c>
      <c r="AB40" s="7">
        <v>9300</v>
      </c>
      <c r="AC40" s="7">
        <v>1</v>
      </c>
      <c r="AD40" s="7">
        <v>1210</v>
      </c>
      <c r="AE40" s="7">
        <v>0</v>
      </c>
      <c r="AF40" s="7">
        <v>10</v>
      </c>
      <c r="AG40" s="7">
        <v>0</v>
      </c>
      <c r="AH40" s="7">
        <v>10</v>
      </c>
      <c r="AI40" s="7"/>
      <c r="AJ40" s="7">
        <v>32</v>
      </c>
      <c r="AK40" s="7">
        <v>0</v>
      </c>
      <c r="AL40" s="7"/>
      <c r="AM40" s="7"/>
      <c r="AN40" s="7">
        <v>10001</v>
      </c>
      <c r="AO40" s="7"/>
      <c r="AP40" s="7">
        <v>0</v>
      </c>
      <c r="AQ40" s="7">
        <v>4000</v>
      </c>
      <c r="AR40" s="7">
        <v>0</v>
      </c>
      <c r="AS40" s="7">
        <v>2</v>
      </c>
      <c r="AT40" s="54"/>
      <c r="AU40" s="54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spans="1:58" ht="13.5" customHeight="1">
      <c r="A41" s="7">
        <v>416163</v>
      </c>
      <c r="B41" s="7">
        <v>1</v>
      </c>
      <c r="C41" s="7" t="s">
        <v>3544</v>
      </c>
      <c r="D41" s="7" t="s">
        <v>3657</v>
      </c>
      <c r="E41" s="7" t="s">
        <v>3764</v>
      </c>
      <c r="F41" s="7" t="s">
        <v>3764</v>
      </c>
      <c r="G41" s="7">
        <v>1</v>
      </c>
      <c r="H41" s="7" t="s">
        <v>3833</v>
      </c>
      <c r="I41" s="7">
        <v>1</v>
      </c>
      <c r="J41" s="7">
        <v>1</v>
      </c>
      <c r="K41" s="7">
        <v>1</v>
      </c>
      <c r="L41" s="7">
        <v>14</v>
      </c>
      <c r="M41" s="7">
        <v>14</v>
      </c>
      <c r="N41" s="7">
        <v>1</v>
      </c>
      <c r="O41" s="7"/>
      <c r="P41" s="7"/>
      <c r="Q41" s="7"/>
      <c r="R41" s="7"/>
      <c r="S41" s="7">
        <v>0</v>
      </c>
      <c r="T41" s="7">
        <v>0</v>
      </c>
      <c r="U41" s="7">
        <v>8</v>
      </c>
      <c r="V41" s="7">
        <v>8</v>
      </c>
      <c r="W41" s="7">
        <v>2</v>
      </c>
      <c r="X41" s="7">
        <v>0</v>
      </c>
      <c r="Y41" s="7">
        <v>2</v>
      </c>
      <c r="Z41" s="7"/>
      <c r="AA41" s="7" t="s">
        <v>3902</v>
      </c>
      <c r="AB41" s="7">
        <v>9300</v>
      </c>
      <c r="AC41" s="7">
        <v>1</v>
      </c>
      <c r="AD41" s="7">
        <v>1210</v>
      </c>
      <c r="AE41" s="7">
        <v>0</v>
      </c>
      <c r="AF41" s="7">
        <v>10</v>
      </c>
      <c r="AG41" s="7">
        <v>0</v>
      </c>
      <c r="AH41" s="7">
        <v>10</v>
      </c>
      <c r="AI41" s="7"/>
      <c r="AJ41" s="7">
        <v>32</v>
      </c>
      <c r="AK41" s="7">
        <v>0</v>
      </c>
      <c r="AL41" s="7"/>
      <c r="AM41" s="7"/>
      <c r="AN41" s="7">
        <v>10001</v>
      </c>
      <c r="AO41" s="7"/>
      <c r="AP41" s="7">
        <v>0</v>
      </c>
      <c r="AQ41" s="7">
        <v>4000</v>
      </c>
      <c r="AR41" s="7">
        <v>0</v>
      </c>
      <c r="AS41" s="7">
        <v>2</v>
      </c>
      <c r="AT41" s="54"/>
      <c r="AU41" s="54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spans="1:58" ht="13.5" customHeight="1">
      <c r="A42" s="7">
        <v>416164</v>
      </c>
      <c r="B42" s="7">
        <v>1</v>
      </c>
      <c r="C42" s="7" t="s">
        <v>3545</v>
      </c>
      <c r="D42" s="7" t="s">
        <v>3658</v>
      </c>
      <c r="E42" s="7" t="s">
        <v>3765</v>
      </c>
      <c r="F42" s="7" t="s">
        <v>3765</v>
      </c>
      <c r="G42" s="7">
        <v>1</v>
      </c>
      <c r="H42" s="7" t="s">
        <v>3834</v>
      </c>
      <c r="I42" s="7">
        <v>1</v>
      </c>
      <c r="J42" s="7">
        <v>1</v>
      </c>
      <c r="K42" s="7">
        <v>1</v>
      </c>
      <c r="L42" s="7">
        <v>14</v>
      </c>
      <c r="M42" s="7">
        <v>14</v>
      </c>
      <c r="N42" s="7">
        <v>1</v>
      </c>
      <c r="O42" s="7"/>
      <c r="P42" s="7"/>
      <c r="Q42" s="7"/>
      <c r="R42" s="7"/>
      <c r="S42" s="7">
        <v>0</v>
      </c>
      <c r="T42" s="7">
        <v>0</v>
      </c>
      <c r="U42" s="7">
        <v>8</v>
      </c>
      <c r="V42" s="7">
        <v>8</v>
      </c>
      <c r="W42" s="7">
        <v>2</v>
      </c>
      <c r="X42" s="7">
        <v>0</v>
      </c>
      <c r="Y42" s="7">
        <v>2</v>
      </c>
      <c r="Z42" s="7"/>
      <c r="AA42" s="7" t="s">
        <v>3902</v>
      </c>
      <c r="AB42" s="7">
        <v>9300</v>
      </c>
      <c r="AC42" s="7">
        <v>1</v>
      </c>
      <c r="AD42" s="7">
        <v>1210</v>
      </c>
      <c r="AE42" s="7">
        <v>0</v>
      </c>
      <c r="AF42" s="7">
        <v>10</v>
      </c>
      <c r="AG42" s="7">
        <v>0</v>
      </c>
      <c r="AH42" s="7">
        <v>10</v>
      </c>
      <c r="AI42" s="7"/>
      <c r="AJ42" s="7">
        <v>32</v>
      </c>
      <c r="AK42" s="7">
        <v>0</v>
      </c>
      <c r="AL42" s="7"/>
      <c r="AM42" s="7"/>
      <c r="AN42" s="7">
        <v>10001</v>
      </c>
      <c r="AO42" s="7"/>
      <c r="AP42" s="7">
        <v>0</v>
      </c>
      <c r="AQ42" s="7">
        <v>4000</v>
      </c>
      <c r="AR42" s="7">
        <v>0</v>
      </c>
      <c r="AS42" s="7">
        <v>2</v>
      </c>
      <c r="AT42" s="54"/>
      <c r="AU42" s="54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spans="1:58" ht="13.5" customHeight="1">
      <c r="A43" s="7">
        <v>416165</v>
      </c>
      <c r="B43" s="7">
        <v>1</v>
      </c>
      <c r="C43" s="7" t="s">
        <v>3546</v>
      </c>
      <c r="D43" s="7" t="s">
        <v>3982</v>
      </c>
      <c r="E43" s="7" t="s">
        <v>4008</v>
      </c>
      <c r="F43" s="7" t="s">
        <v>4008</v>
      </c>
      <c r="G43" s="7">
        <v>1</v>
      </c>
      <c r="H43" s="7" t="s">
        <v>3835</v>
      </c>
      <c r="I43" s="7">
        <v>1</v>
      </c>
      <c r="J43" s="7">
        <v>1</v>
      </c>
      <c r="K43" s="7">
        <v>1</v>
      </c>
      <c r="L43" s="7">
        <v>14</v>
      </c>
      <c r="M43" s="7">
        <v>14</v>
      </c>
      <c r="N43" s="7">
        <v>1</v>
      </c>
      <c r="O43" s="7"/>
      <c r="P43" s="7"/>
      <c r="Q43" s="7"/>
      <c r="R43" s="7"/>
      <c r="S43" s="7">
        <v>0</v>
      </c>
      <c r="T43" s="7">
        <v>0</v>
      </c>
      <c r="U43" s="7">
        <v>8</v>
      </c>
      <c r="V43" s="7">
        <v>8</v>
      </c>
      <c r="W43" s="7">
        <v>2</v>
      </c>
      <c r="X43" s="7">
        <v>0</v>
      </c>
      <c r="Y43" s="7">
        <v>2</v>
      </c>
      <c r="Z43" s="7"/>
      <c r="AA43" s="7" t="s">
        <v>3902</v>
      </c>
      <c r="AB43" s="7">
        <v>9300</v>
      </c>
      <c r="AC43" s="7">
        <v>1</v>
      </c>
      <c r="AD43" s="7">
        <v>1210</v>
      </c>
      <c r="AE43" s="7">
        <v>0</v>
      </c>
      <c r="AF43" s="7">
        <v>10</v>
      </c>
      <c r="AG43" s="7">
        <v>0</v>
      </c>
      <c r="AH43" s="7">
        <v>10</v>
      </c>
      <c r="AI43" s="7"/>
      <c r="AJ43" s="7">
        <v>32</v>
      </c>
      <c r="AK43" s="7">
        <v>0</v>
      </c>
      <c r="AL43" s="7"/>
      <c r="AM43" s="7"/>
      <c r="AN43" s="7">
        <v>10001</v>
      </c>
      <c r="AO43" s="7"/>
      <c r="AP43" s="7">
        <v>0</v>
      </c>
      <c r="AQ43" s="7">
        <v>4000</v>
      </c>
      <c r="AR43" s="7">
        <v>0</v>
      </c>
      <c r="AS43" s="7">
        <v>2</v>
      </c>
      <c r="AT43" s="54"/>
      <c r="AU43" s="54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spans="1:58" ht="13.5" customHeight="1">
      <c r="A44" s="7">
        <v>416166</v>
      </c>
      <c r="B44" s="7">
        <v>1</v>
      </c>
      <c r="C44" s="7" t="s">
        <v>3604</v>
      </c>
      <c r="D44" s="7" t="s">
        <v>3983</v>
      </c>
      <c r="E44" s="7" t="s">
        <v>4009</v>
      </c>
      <c r="F44" s="7" t="s">
        <v>4009</v>
      </c>
      <c r="G44" s="7">
        <v>1</v>
      </c>
      <c r="H44" s="7" t="s">
        <v>3836</v>
      </c>
      <c r="I44" s="7">
        <v>1</v>
      </c>
      <c r="J44" s="7">
        <v>1</v>
      </c>
      <c r="K44" s="7">
        <v>1</v>
      </c>
      <c r="L44" s="7">
        <v>14</v>
      </c>
      <c r="M44" s="7">
        <v>14</v>
      </c>
      <c r="N44" s="7">
        <v>1</v>
      </c>
      <c r="O44" s="7"/>
      <c r="P44" s="7"/>
      <c r="Q44" s="7"/>
      <c r="R44" s="7"/>
      <c r="S44" s="7">
        <v>0</v>
      </c>
      <c r="T44" s="7">
        <v>0</v>
      </c>
      <c r="U44" s="7">
        <v>8</v>
      </c>
      <c r="V44" s="7">
        <v>8</v>
      </c>
      <c r="W44" s="7">
        <v>2</v>
      </c>
      <c r="X44" s="7">
        <v>0</v>
      </c>
      <c r="Y44" s="7">
        <v>2</v>
      </c>
      <c r="Z44" s="7"/>
      <c r="AA44" s="7" t="s">
        <v>3902</v>
      </c>
      <c r="AB44" s="7">
        <v>9300</v>
      </c>
      <c r="AC44" s="7">
        <v>1</v>
      </c>
      <c r="AD44" s="7">
        <v>1210</v>
      </c>
      <c r="AE44" s="7">
        <v>0</v>
      </c>
      <c r="AF44" s="7">
        <v>10</v>
      </c>
      <c r="AG44" s="7">
        <v>0</v>
      </c>
      <c r="AH44" s="7">
        <v>10</v>
      </c>
      <c r="AI44" s="7"/>
      <c r="AJ44" s="7">
        <v>32</v>
      </c>
      <c r="AK44" s="7">
        <v>0</v>
      </c>
      <c r="AL44" s="7"/>
      <c r="AM44" s="7"/>
      <c r="AN44" s="7">
        <v>10001</v>
      </c>
      <c r="AO44" s="7"/>
      <c r="AP44" s="7">
        <v>0</v>
      </c>
      <c r="AQ44" s="7">
        <v>4000</v>
      </c>
      <c r="AR44" s="7">
        <v>0</v>
      </c>
      <c r="AS44" s="7">
        <v>2</v>
      </c>
      <c r="AT44" s="54"/>
      <c r="AU44" s="54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spans="1:58" ht="13.5" customHeight="1">
      <c r="A45" s="7">
        <v>416167</v>
      </c>
      <c r="B45" s="7">
        <v>1</v>
      </c>
      <c r="C45" s="7" t="s">
        <v>3605</v>
      </c>
      <c r="D45" s="7" t="s">
        <v>3984</v>
      </c>
      <c r="E45" s="7" t="s">
        <v>4010</v>
      </c>
      <c r="F45" s="7" t="s">
        <v>4010</v>
      </c>
      <c r="G45" s="7">
        <v>1</v>
      </c>
      <c r="H45" s="7" t="s">
        <v>3837</v>
      </c>
      <c r="I45" s="7">
        <v>1</v>
      </c>
      <c r="J45" s="7">
        <v>1</v>
      </c>
      <c r="K45" s="7">
        <v>1</v>
      </c>
      <c r="L45" s="7">
        <v>14</v>
      </c>
      <c r="M45" s="7">
        <v>14</v>
      </c>
      <c r="N45" s="7">
        <v>1</v>
      </c>
      <c r="O45" s="7"/>
      <c r="P45" s="7"/>
      <c r="Q45" s="7"/>
      <c r="R45" s="7"/>
      <c r="S45" s="7">
        <v>0</v>
      </c>
      <c r="T45" s="7">
        <v>0</v>
      </c>
      <c r="U45" s="7">
        <v>8</v>
      </c>
      <c r="V45" s="7">
        <v>8</v>
      </c>
      <c r="W45" s="7">
        <v>2</v>
      </c>
      <c r="X45" s="7">
        <v>0</v>
      </c>
      <c r="Y45" s="7">
        <v>2</v>
      </c>
      <c r="Z45" s="7"/>
      <c r="AA45" s="7" t="s">
        <v>3902</v>
      </c>
      <c r="AB45" s="7">
        <v>9300</v>
      </c>
      <c r="AC45" s="7">
        <v>1</v>
      </c>
      <c r="AD45" s="7">
        <v>1210</v>
      </c>
      <c r="AE45" s="7">
        <v>0</v>
      </c>
      <c r="AF45" s="7">
        <v>10</v>
      </c>
      <c r="AG45" s="7">
        <v>0</v>
      </c>
      <c r="AH45" s="7">
        <v>10</v>
      </c>
      <c r="AI45" s="7"/>
      <c r="AJ45" s="7">
        <v>32</v>
      </c>
      <c r="AK45" s="7">
        <v>0</v>
      </c>
      <c r="AL45" s="7"/>
      <c r="AM45" s="7"/>
      <c r="AN45" s="7">
        <v>10001</v>
      </c>
      <c r="AO45" s="7"/>
      <c r="AP45" s="7">
        <v>0</v>
      </c>
      <c r="AQ45" s="7">
        <v>4000</v>
      </c>
      <c r="AR45" s="7">
        <v>0</v>
      </c>
      <c r="AS45" s="7">
        <v>2</v>
      </c>
      <c r="AT45" s="54"/>
      <c r="AU45" s="54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spans="1:58" ht="13.5" customHeight="1">
      <c r="A46" s="7">
        <v>416168</v>
      </c>
      <c r="B46" s="7">
        <v>1</v>
      </c>
      <c r="C46" s="7" t="s">
        <v>3606</v>
      </c>
      <c r="D46" s="7" t="s">
        <v>3985</v>
      </c>
      <c r="E46" s="7" t="s">
        <v>4011</v>
      </c>
      <c r="F46" s="7" t="s">
        <v>4011</v>
      </c>
      <c r="G46" s="7">
        <v>1</v>
      </c>
      <c r="H46" s="7" t="s">
        <v>3838</v>
      </c>
      <c r="I46" s="7">
        <v>1</v>
      </c>
      <c r="J46" s="7">
        <v>1</v>
      </c>
      <c r="K46" s="7">
        <v>1</v>
      </c>
      <c r="L46" s="7">
        <v>14</v>
      </c>
      <c r="M46" s="7">
        <v>14</v>
      </c>
      <c r="N46" s="7">
        <v>1</v>
      </c>
      <c r="O46" s="7"/>
      <c r="P46" s="7"/>
      <c r="Q46" s="7"/>
      <c r="R46" s="7"/>
      <c r="S46" s="7">
        <v>0</v>
      </c>
      <c r="T46" s="7">
        <v>0</v>
      </c>
      <c r="U46" s="7">
        <v>8</v>
      </c>
      <c r="V46" s="7">
        <v>8</v>
      </c>
      <c r="W46" s="7">
        <v>2</v>
      </c>
      <c r="X46" s="7">
        <v>0</v>
      </c>
      <c r="Y46" s="7">
        <v>2</v>
      </c>
      <c r="Z46" s="7"/>
      <c r="AA46" s="7" t="s">
        <v>3902</v>
      </c>
      <c r="AB46" s="7">
        <v>9300</v>
      </c>
      <c r="AC46" s="7">
        <v>1</v>
      </c>
      <c r="AD46" s="7">
        <v>1210</v>
      </c>
      <c r="AE46" s="7">
        <v>0</v>
      </c>
      <c r="AF46" s="7">
        <v>10</v>
      </c>
      <c r="AG46" s="7">
        <v>0</v>
      </c>
      <c r="AH46" s="7">
        <v>10</v>
      </c>
      <c r="AI46" s="7"/>
      <c r="AJ46" s="7">
        <v>32</v>
      </c>
      <c r="AK46" s="7">
        <v>0</v>
      </c>
      <c r="AL46" s="7"/>
      <c r="AM46" s="7"/>
      <c r="AN46" s="7">
        <v>10001</v>
      </c>
      <c r="AO46" s="7"/>
      <c r="AP46" s="7">
        <v>0</v>
      </c>
      <c r="AQ46" s="7">
        <v>4000</v>
      </c>
      <c r="AR46" s="7">
        <v>0</v>
      </c>
      <c r="AS46" s="7">
        <v>2</v>
      </c>
      <c r="AT46" s="54"/>
      <c r="AU46" s="54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spans="1:58">
      <c r="A47" s="7">
        <v>416169</v>
      </c>
      <c r="B47" s="7">
        <v>1</v>
      </c>
      <c r="C47" s="7" t="s">
        <v>3547</v>
      </c>
      <c r="D47" s="7" t="s">
        <v>3986</v>
      </c>
      <c r="E47" s="7" t="s">
        <v>4012</v>
      </c>
      <c r="F47" s="7" t="s">
        <v>4012</v>
      </c>
      <c r="G47" s="7">
        <v>1</v>
      </c>
      <c r="H47" s="7" t="s">
        <v>3839</v>
      </c>
      <c r="I47" s="7">
        <v>1</v>
      </c>
      <c r="J47" s="7">
        <v>1</v>
      </c>
      <c r="K47" s="7">
        <v>1</v>
      </c>
      <c r="L47" s="7">
        <v>14</v>
      </c>
      <c r="M47" s="7">
        <v>14</v>
      </c>
      <c r="N47" s="7">
        <v>1</v>
      </c>
      <c r="O47" s="7"/>
      <c r="P47" s="7"/>
      <c r="Q47" s="7"/>
      <c r="R47" s="7"/>
      <c r="S47" s="7">
        <v>0</v>
      </c>
      <c r="T47" s="7">
        <v>0</v>
      </c>
      <c r="U47" s="7">
        <v>8</v>
      </c>
      <c r="V47" s="7">
        <v>8</v>
      </c>
      <c r="W47" s="7">
        <v>2</v>
      </c>
      <c r="X47" s="7">
        <v>0</v>
      </c>
      <c r="Y47" s="7">
        <v>2</v>
      </c>
      <c r="Z47" s="7"/>
      <c r="AA47" s="7" t="s">
        <v>3902</v>
      </c>
      <c r="AB47" s="7">
        <v>9300</v>
      </c>
      <c r="AC47" s="7">
        <v>1</v>
      </c>
      <c r="AD47" s="7">
        <v>1210</v>
      </c>
      <c r="AE47" s="7">
        <v>0</v>
      </c>
      <c r="AF47" s="7">
        <v>10</v>
      </c>
      <c r="AG47" s="7">
        <v>0</v>
      </c>
      <c r="AH47" s="7">
        <v>10</v>
      </c>
      <c r="AI47" s="7"/>
      <c r="AJ47" s="7">
        <v>32</v>
      </c>
      <c r="AK47" s="7">
        <v>0</v>
      </c>
      <c r="AL47" s="7"/>
      <c r="AM47" s="7"/>
      <c r="AN47" s="7">
        <v>10001</v>
      </c>
      <c r="AO47" s="7"/>
      <c r="AP47" s="7">
        <v>0</v>
      </c>
      <c r="AQ47" s="7">
        <v>4000</v>
      </c>
      <c r="AR47" s="7">
        <v>0</v>
      </c>
      <c r="AS47" s="7">
        <v>2</v>
      </c>
      <c r="AT47" s="54"/>
      <c r="AU47" s="54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spans="1:58">
      <c r="A48" s="7">
        <v>416170</v>
      </c>
      <c r="B48" s="7">
        <v>1</v>
      </c>
      <c r="C48" s="7" t="s">
        <v>3548</v>
      </c>
      <c r="D48" s="7" t="s">
        <v>3664</v>
      </c>
      <c r="E48" s="7" t="s">
        <v>3452</v>
      </c>
      <c r="F48" s="7" t="s">
        <v>3766</v>
      </c>
      <c r="G48" s="7">
        <v>1</v>
      </c>
      <c r="H48" s="7" t="s">
        <v>3840</v>
      </c>
      <c r="I48" s="7">
        <v>1</v>
      </c>
      <c r="J48" s="7">
        <v>1</v>
      </c>
      <c r="K48" s="7">
        <v>1</v>
      </c>
      <c r="L48" s="7">
        <v>14</v>
      </c>
      <c r="M48" s="7">
        <v>14</v>
      </c>
      <c r="N48" s="7">
        <v>1</v>
      </c>
      <c r="O48" s="7"/>
      <c r="P48" s="7"/>
      <c r="Q48" s="7"/>
      <c r="R48" s="7"/>
      <c r="S48" s="7">
        <v>0</v>
      </c>
      <c r="T48" s="7">
        <v>0</v>
      </c>
      <c r="U48" s="7">
        <v>8</v>
      </c>
      <c r="V48" s="7">
        <v>8</v>
      </c>
      <c r="W48" s="7">
        <v>2</v>
      </c>
      <c r="X48" s="7">
        <v>0</v>
      </c>
      <c r="Y48" s="7">
        <v>2</v>
      </c>
      <c r="Z48" s="7"/>
      <c r="AA48" s="7" t="s">
        <v>3902</v>
      </c>
      <c r="AB48" s="7">
        <v>9300</v>
      </c>
      <c r="AC48" s="7">
        <v>1</v>
      </c>
      <c r="AD48" s="7">
        <v>1210</v>
      </c>
      <c r="AE48" s="7">
        <v>0</v>
      </c>
      <c r="AF48" s="7">
        <v>10</v>
      </c>
      <c r="AG48" s="7">
        <v>0</v>
      </c>
      <c r="AH48" s="7">
        <v>10</v>
      </c>
      <c r="AI48" s="7"/>
      <c r="AJ48" s="7">
        <v>32</v>
      </c>
      <c r="AK48" s="7">
        <v>0</v>
      </c>
      <c r="AL48" s="7"/>
      <c r="AM48" s="7"/>
      <c r="AN48" s="7">
        <v>10001</v>
      </c>
      <c r="AO48" s="7"/>
      <c r="AP48" s="7">
        <v>0</v>
      </c>
      <c r="AQ48" s="7">
        <v>4000</v>
      </c>
      <c r="AR48" s="7">
        <v>0</v>
      </c>
      <c r="AS48" s="7">
        <v>2</v>
      </c>
      <c r="AT48" s="54"/>
      <c r="AU48" s="54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1:58">
      <c r="A49" s="7">
        <v>416171</v>
      </c>
      <c r="B49" s="7">
        <v>1</v>
      </c>
      <c r="C49" s="7" t="s">
        <v>3549</v>
      </c>
      <c r="D49" s="7" t="s">
        <v>3665</v>
      </c>
      <c r="E49" s="7" t="s">
        <v>3452</v>
      </c>
      <c r="F49" s="7" t="s">
        <v>3766</v>
      </c>
      <c r="G49" s="7">
        <v>1</v>
      </c>
      <c r="H49" s="7" t="s">
        <v>3841</v>
      </c>
      <c r="I49" s="7">
        <v>1</v>
      </c>
      <c r="J49" s="7">
        <v>1</v>
      </c>
      <c r="K49" s="7">
        <v>1</v>
      </c>
      <c r="L49" s="7">
        <v>14</v>
      </c>
      <c r="M49" s="7">
        <v>14</v>
      </c>
      <c r="N49" s="7">
        <v>1</v>
      </c>
      <c r="O49" s="7"/>
      <c r="P49" s="7"/>
      <c r="Q49" s="7"/>
      <c r="R49" s="7"/>
      <c r="S49" s="7">
        <v>0</v>
      </c>
      <c r="T49" s="7">
        <v>0</v>
      </c>
      <c r="U49" s="7">
        <v>8</v>
      </c>
      <c r="V49" s="7">
        <v>8</v>
      </c>
      <c r="W49" s="7">
        <v>2</v>
      </c>
      <c r="X49" s="7">
        <v>0</v>
      </c>
      <c r="Y49" s="7">
        <v>2</v>
      </c>
      <c r="Z49" s="7"/>
      <c r="AA49" s="7" t="s">
        <v>3902</v>
      </c>
      <c r="AB49" s="7">
        <v>9300</v>
      </c>
      <c r="AC49" s="7">
        <v>1</v>
      </c>
      <c r="AD49" s="7">
        <v>1210</v>
      </c>
      <c r="AE49" s="7">
        <v>0</v>
      </c>
      <c r="AF49" s="7">
        <v>10</v>
      </c>
      <c r="AG49" s="7">
        <v>0</v>
      </c>
      <c r="AH49" s="7">
        <v>10</v>
      </c>
      <c r="AI49" s="7"/>
      <c r="AJ49" s="7">
        <v>32</v>
      </c>
      <c r="AK49" s="7">
        <v>0</v>
      </c>
      <c r="AL49" s="7"/>
      <c r="AM49" s="7"/>
      <c r="AN49" s="7">
        <v>10001</v>
      </c>
      <c r="AO49" s="7"/>
      <c r="AP49" s="7">
        <v>0</v>
      </c>
      <c r="AQ49" s="7">
        <v>4000</v>
      </c>
      <c r="AR49" s="7">
        <v>0</v>
      </c>
      <c r="AS49" s="7">
        <v>2</v>
      </c>
      <c r="AT49" s="54"/>
      <c r="AU49" s="54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spans="1:58">
      <c r="A50" s="7">
        <v>416172</v>
      </c>
      <c r="B50" s="7">
        <v>1</v>
      </c>
      <c r="C50" s="7" t="s">
        <v>3550</v>
      </c>
      <c r="D50" s="7" t="s">
        <v>3666</v>
      </c>
      <c r="E50" s="7" t="s">
        <v>3453</v>
      </c>
      <c r="F50" s="7" t="s">
        <v>3767</v>
      </c>
      <c r="G50" s="7">
        <v>1</v>
      </c>
      <c r="H50" s="7" t="s">
        <v>3842</v>
      </c>
      <c r="I50" s="7">
        <v>1</v>
      </c>
      <c r="J50" s="7">
        <v>1</v>
      </c>
      <c r="K50" s="7">
        <v>1</v>
      </c>
      <c r="L50" s="7">
        <v>14</v>
      </c>
      <c r="M50" s="7">
        <v>14</v>
      </c>
      <c r="N50" s="7">
        <v>1</v>
      </c>
      <c r="O50" s="7"/>
      <c r="P50" s="7"/>
      <c r="Q50" s="7"/>
      <c r="R50" s="7"/>
      <c r="S50" s="7">
        <v>0</v>
      </c>
      <c r="T50" s="7">
        <v>0</v>
      </c>
      <c r="U50" s="7">
        <v>8</v>
      </c>
      <c r="V50" s="7">
        <v>8</v>
      </c>
      <c r="W50" s="7">
        <v>2</v>
      </c>
      <c r="X50" s="7">
        <v>0</v>
      </c>
      <c r="Y50" s="7">
        <v>2</v>
      </c>
      <c r="Z50" s="7"/>
      <c r="AA50" s="7" t="s">
        <v>3902</v>
      </c>
      <c r="AB50" s="7">
        <v>9300</v>
      </c>
      <c r="AC50" s="7">
        <v>1</v>
      </c>
      <c r="AD50" s="7">
        <v>1210</v>
      </c>
      <c r="AE50" s="7">
        <v>0</v>
      </c>
      <c r="AF50" s="7">
        <v>10</v>
      </c>
      <c r="AG50" s="7">
        <v>0</v>
      </c>
      <c r="AH50" s="7">
        <v>10</v>
      </c>
      <c r="AI50" s="7"/>
      <c r="AJ50" s="7">
        <v>32</v>
      </c>
      <c r="AK50" s="7">
        <v>0</v>
      </c>
      <c r="AL50" s="7"/>
      <c r="AM50" s="7"/>
      <c r="AN50" s="7">
        <v>10001</v>
      </c>
      <c r="AO50" s="7"/>
      <c r="AP50" s="7">
        <v>0</v>
      </c>
      <c r="AQ50" s="7">
        <v>4000</v>
      </c>
      <c r="AR50" s="7">
        <v>0</v>
      </c>
      <c r="AS50" s="7">
        <v>2</v>
      </c>
      <c r="AT50" s="54"/>
      <c r="AU50" s="54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spans="1:58">
      <c r="A51" s="7">
        <v>416173</v>
      </c>
      <c r="B51" s="7">
        <v>1</v>
      </c>
      <c r="C51" s="7" t="s">
        <v>3551</v>
      </c>
      <c r="D51" s="7" t="s">
        <v>3667</v>
      </c>
      <c r="E51" s="7" t="s">
        <v>3454</v>
      </c>
      <c r="F51" s="7" t="s">
        <v>3768</v>
      </c>
      <c r="G51" s="7">
        <v>1</v>
      </c>
      <c r="H51" s="7" t="s">
        <v>3843</v>
      </c>
      <c r="I51" s="7">
        <v>1</v>
      </c>
      <c r="J51" s="7">
        <v>1</v>
      </c>
      <c r="K51" s="7">
        <v>1</v>
      </c>
      <c r="L51" s="7">
        <v>14</v>
      </c>
      <c r="M51" s="7">
        <v>14</v>
      </c>
      <c r="N51" s="7">
        <v>1</v>
      </c>
      <c r="O51" s="7"/>
      <c r="P51" s="7"/>
      <c r="Q51" s="7"/>
      <c r="R51" s="7"/>
      <c r="S51" s="7">
        <v>0</v>
      </c>
      <c r="T51" s="7">
        <v>0</v>
      </c>
      <c r="U51" s="7">
        <v>8</v>
      </c>
      <c r="V51" s="7">
        <v>8</v>
      </c>
      <c r="W51" s="7">
        <v>2</v>
      </c>
      <c r="X51" s="7">
        <v>0</v>
      </c>
      <c r="Y51" s="7">
        <v>2</v>
      </c>
      <c r="Z51" s="7"/>
      <c r="AA51" s="7" t="s">
        <v>3902</v>
      </c>
      <c r="AB51" s="7">
        <v>9300</v>
      </c>
      <c r="AC51" s="7">
        <v>1</v>
      </c>
      <c r="AD51" s="7">
        <v>1210</v>
      </c>
      <c r="AE51" s="7">
        <v>0</v>
      </c>
      <c r="AF51" s="7">
        <v>10</v>
      </c>
      <c r="AG51" s="7">
        <v>0</v>
      </c>
      <c r="AH51" s="7">
        <v>10</v>
      </c>
      <c r="AI51" s="7"/>
      <c r="AJ51" s="7">
        <v>32</v>
      </c>
      <c r="AK51" s="7">
        <v>0</v>
      </c>
      <c r="AL51" s="7"/>
      <c r="AM51" s="7"/>
      <c r="AN51" s="7">
        <v>10001</v>
      </c>
      <c r="AO51" s="7"/>
      <c r="AP51" s="7">
        <v>0</v>
      </c>
      <c r="AQ51" s="7">
        <v>4000</v>
      </c>
      <c r="AR51" s="7">
        <v>0</v>
      </c>
      <c r="AS51" s="7">
        <v>2</v>
      </c>
      <c r="AT51" s="54"/>
      <c r="AU51" s="54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spans="1:58">
      <c r="A52" s="7">
        <v>416174</v>
      </c>
      <c r="B52" s="7">
        <v>1</v>
      </c>
      <c r="C52" s="7" t="s">
        <v>3552</v>
      </c>
      <c r="D52" s="7" t="s">
        <v>3668</v>
      </c>
      <c r="E52" s="7" t="s">
        <v>3914</v>
      </c>
      <c r="F52" s="7" t="s">
        <v>3914</v>
      </c>
      <c r="G52" s="7">
        <v>1</v>
      </c>
      <c r="H52" s="7" t="s">
        <v>3844</v>
      </c>
      <c r="I52" s="7">
        <v>1</v>
      </c>
      <c r="J52" s="7">
        <v>1</v>
      </c>
      <c r="K52" s="7">
        <v>1</v>
      </c>
      <c r="L52" s="7">
        <v>14</v>
      </c>
      <c r="M52" s="7">
        <v>14</v>
      </c>
      <c r="N52" s="7">
        <v>1</v>
      </c>
      <c r="O52" s="7"/>
      <c r="P52" s="7"/>
      <c r="Q52" s="7"/>
      <c r="R52" s="7"/>
      <c r="S52" s="7">
        <v>0</v>
      </c>
      <c r="T52" s="7">
        <v>0</v>
      </c>
      <c r="U52" s="7">
        <v>8</v>
      </c>
      <c r="V52" s="7">
        <v>8</v>
      </c>
      <c r="W52" s="7">
        <v>2</v>
      </c>
      <c r="X52" s="7">
        <v>0</v>
      </c>
      <c r="Y52" s="7">
        <v>2</v>
      </c>
      <c r="Z52" s="7"/>
      <c r="AA52" s="7" t="s">
        <v>3902</v>
      </c>
      <c r="AB52" s="7">
        <v>9300</v>
      </c>
      <c r="AC52" s="7">
        <v>1</v>
      </c>
      <c r="AD52" s="7">
        <v>1210</v>
      </c>
      <c r="AE52" s="7">
        <v>0</v>
      </c>
      <c r="AF52" s="7">
        <v>10</v>
      </c>
      <c r="AG52" s="7">
        <v>0</v>
      </c>
      <c r="AH52" s="7">
        <v>10</v>
      </c>
      <c r="AI52" s="7"/>
      <c r="AJ52" s="7">
        <v>32</v>
      </c>
      <c r="AK52" s="7">
        <v>0</v>
      </c>
      <c r="AL52" s="7"/>
      <c r="AM52" s="7"/>
      <c r="AN52" s="7">
        <v>10001</v>
      </c>
      <c r="AO52" s="7"/>
      <c r="AP52" s="7">
        <v>0</v>
      </c>
      <c r="AQ52" s="7">
        <v>4000</v>
      </c>
      <c r="AR52" s="7">
        <v>0</v>
      </c>
      <c r="AS52" s="7">
        <v>2</v>
      </c>
      <c r="AT52" s="54"/>
      <c r="AU52" s="54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spans="1:58">
      <c r="A53" s="7">
        <v>416175</v>
      </c>
      <c r="B53" s="7">
        <v>1</v>
      </c>
      <c r="C53" s="7" t="s">
        <v>3553</v>
      </c>
      <c r="D53" s="7" t="s">
        <v>3987</v>
      </c>
      <c r="E53" s="7" t="s">
        <v>4013</v>
      </c>
      <c r="F53" s="7" t="s">
        <v>4013</v>
      </c>
      <c r="G53" s="7">
        <v>1</v>
      </c>
      <c r="H53" s="7" t="s">
        <v>3845</v>
      </c>
      <c r="I53" s="7">
        <v>1</v>
      </c>
      <c r="J53" s="7">
        <v>1</v>
      </c>
      <c r="K53" s="7">
        <v>1</v>
      </c>
      <c r="L53" s="7">
        <v>14</v>
      </c>
      <c r="M53" s="7">
        <v>14</v>
      </c>
      <c r="N53" s="7">
        <v>1</v>
      </c>
      <c r="O53" s="7"/>
      <c r="P53" s="7"/>
      <c r="Q53" s="7"/>
      <c r="R53" s="7"/>
      <c r="S53" s="7">
        <v>0</v>
      </c>
      <c r="T53" s="7">
        <v>0</v>
      </c>
      <c r="U53" s="7">
        <v>8</v>
      </c>
      <c r="V53" s="7">
        <v>8</v>
      </c>
      <c r="W53" s="7">
        <v>2</v>
      </c>
      <c r="X53" s="7">
        <v>0</v>
      </c>
      <c r="Y53" s="7">
        <v>2</v>
      </c>
      <c r="Z53" s="7"/>
      <c r="AA53" s="7" t="s">
        <v>3902</v>
      </c>
      <c r="AB53" s="7">
        <v>9300</v>
      </c>
      <c r="AC53" s="7">
        <v>1</v>
      </c>
      <c r="AD53" s="7">
        <v>1210</v>
      </c>
      <c r="AE53" s="7">
        <v>0</v>
      </c>
      <c r="AF53" s="7">
        <v>10</v>
      </c>
      <c r="AG53" s="7">
        <v>0</v>
      </c>
      <c r="AH53" s="7">
        <v>10</v>
      </c>
      <c r="AI53" s="7"/>
      <c r="AJ53" s="7">
        <v>32</v>
      </c>
      <c r="AK53" s="7">
        <v>0</v>
      </c>
      <c r="AL53" s="7"/>
      <c r="AM53" s="7"/>
      <c r="AN53" s="7">
        <v>10001</v>
      </c>
      <c r="AO53" s="7"/>
      <c r="AP53" s="7">
        <v>0</v>
      </c>
      <c r="AQ53" s="7">
        <v>4000</v>
      </c>
      <c r="AR53" s="7">
        <v>0</v>
      </c>
      <c r="AS53" s="7">
        <v>2</v>
      </c>
      <c r="AT53" s="54"/>
      <c r="AU53" s="54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spans="1:58">
      <c r="A54" s="7">
        <v>416176</v>
      </c>
      <c r="B54" s="7">
        <v>1</v>
      </c>
      <c r="C54" s="7" t="s">
        <v>3554</v>
      </c>
      <c r="D54" s="7" t="s">
        <v>3670</v>
      </c>
      <c r="E54" s="7" t="s">
        <v>3457</v>
      </c>
      <c r="F54" s="7" t="s">
        <v>3769</v>
      </c>
      <c r="G54" s="7">
        <v>1</v>
      </c>
      <c r="H54" s="7" t="s">
        <v>3846</v>
      </c>
      <c r="I54" s="7">
        <v>1</v>
      </c>
      <c r="J54" s="7">
        <v>1</v>
      </c>
      <c r="K54" s="7">
        <v>1</v>
      </c>
      <c r="L54" s="7">
        <v>14</v>
      </c>
      <c r="M54" s="7">
        <v>14</v>
      </c>
      <c r="N54" s="7">
        <v>1</v>
      </c>
      <c r="O54" s="7"/>
      <c r="P54" s="7"/>
      <c r="Q54" s="7"/>
      <c r="R54" s="7"/>
      <c r="S54" s="7">
        <v>0</v>
      </c>
      <c r="T54" s="7">
        <v>0</v>
      </c>
      <c r="U54" s="7">
        <v>8</v>
      </c>
      <c r="V54" s="7">
        <v>8</v>
      </c>
      <c r="W54" s="7">
        <v>2</v>
      </c>
      <c r="X54" s="7">
        <v>0</v>
      </c>
      <c r="Y54" s="7">
        <v>2</v>
      </c>
      <c r="Z54" s="7"/>
      <c r="AA54" s="7" t="s">
        <v>3902</v>
      </c>
      <c r="AB54" s="7">
        <v>9300</v>
      </c>
      <c r="AC54" s="7">
        <v>1</v>
      </c>
      <c r="AD54" s="7">
        <v>1210</v>
      </c>
      <c r="AE54" s="7">
        <v>0</v>
      </c>
      <c r="AF54" s="7">
        <v>10</v>
      </c>
      <c r="AG54" s="7">
        <v>0</v>
      </c>
      <c r="AH54" s="7">
        <v>10</v>
      </c>
      <c r="AI54" s="7"/>
      <c r="AJ54" s="7">
        <v>32</v>
      </c>
      <c r="AK54" s="7">
        <v>0</v>
      </c>
      <c r="AL54" s="7"/>
      <c r="AM54" s="7"/>
      <c r="AN54" s="7">
        <v>10001</v>
      </c>
      <c r="AO54" s="7"/>
      <c r="AP54" s="7">
        <v>0</v>
      </c>
      <c r="AQ54" s="7">
        <v>4000</v>
      </c>
      <c r="AR54" s="7">
        <v>0</v>
      </c>
      <c r="AS54" s="7">
        <v>2</v>
      </c>
      <c r="AT54" s="54"/>
      <c r="AU54" s="54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spans="1:58">
      <c r="A55" s="7">
        <v>416177</v>
      </c>
      <c r="B55" s="7">
        <v>1</v>
      </c>
      <c r="C55" s="7" t="s">
        <v>3555</v>
      </c>
      <c r="D55" s="7" t="s">
        <v>3671</v>
      </c>
      <c r="E55" s="7" t="s">
        <v>3458</v>
      </c>
      <c r="F55" s="7" t="s">
        <v>3770</v>
      </c>
      <c r="G55" s="7">
        <v>1</v>
      </c>
      <c r="H55" s="7" t="s">
        <v>3847</v>
      </c>
      <c r="I55" s="7">
        <v>1</v>
      </c>
      <c r="J55" s="7">
        <v>1</v>
      </c>
      <c r="K55" s="7">
        <v>1</v>
      </c>
      <c r="L55" s="7">
        <v>14</v>
      </c>
      <c r="M55" s="7">
        <v>14</v>
      </c>
      <c r="N55" s="7">
        <v>1</v>
      </c>
      <c r="O55" s="7"/>
      <c r="P55" s="7"/>
      <c r="Q55" s="7"/>
      <c r="R55" s="7"/>
      <c r="S55" s="7">
        <v>0</v>
      </c>
      <c r="T55" s="7">
        <v>0</v>
      </c>
      <c r="U55" s="7">
        <v>8</v>
      </c>
      <c r="V55" s="7">
        <v>8</v>
      </c>
      <c r="W55" s="7">
        <v>2</v>
      </c>
      <c r="X55" s="7">
        <v>0</v>
      </c>
      <c r="Y55" s="7">
        <v>2</v>
      </c>
      <c r="Z55" s="7"/>
      <c r="AA55" s="7" t="s">
        <v>3902</v>
      </c>
      <c r="AB55" s="7">
        <v>9300</v>
      </c>
      <c r="AC55" s="7">
        <v>1</v>
      </c>
      <c r="AD55" s="7">
        <v>1210</v>
      </c>
      <c r="AE55" s="7">
        <v>0</v>
      </c>
      <c r="AF55" s="7">
        <v>10</v>
      </c>
      <c r="AG55" s="7">
        <v>0</v>
      </c>
      <c r="AH55" s="7">
        <v>10</v>
      </c>
      <c r="AI55" s="7"/>
      <c r="AJ55" s="7">
        <v>32</v>
      </c>
      <c r="AK55" s="7">
        <v>0</v>
      </c>
      <c r="AL55" s="7"/>
      <c r="AM55" s="7"/>
      <c r="AN55" s="7">
        <v>10001</v>
      </c>
      <c r="AO55" s="7"/>
      <c r="AP55" s="7">
        <v>0</v>
      </c>
      <c r="AQ55" s="7">
        <v>4000</v>
      </c>
      <c r="AR55" s="7">
        <v>0</v>
      </c>
      <c r="AS55" s="7">
        <v>2</v>
      </c>
      <c r="AT55" s="54"/>
      <c r="AU55" s="54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spans="1:58">
      <c r="A56" s="7">
        <v>416178</v>
      </c>
      <c r="B56" s="7">
        <v>1</v>
      </c>
      <c r="C56" s="7" t="s">
        <v>3556</v>
      </c>
      <c r="D56" s="7" t="s">
        <v>3672</v>
      </c>
      <c r="E56" s="7" t="s">
        <v>3459</v>
      </c>
      <c r="F56" s="7" t="s">
        <v>3771</v>
      </c>
      <c r="G56" s="7">
        <v>1</v>
      </c>
      <c r="H56" s="7" t="s">
        <v>3848</v>
      </c>
      <c r="I56" s="7">
        <v>1</v>
      </c>
      <c r="J56" s="7">
        <v>1</v>
      </c>
      <c r="K56" s="7">
        <v>1</v>
      </c>
      <c r="L56" s="7">
        <v>14</v>
      </c>
      <c r="M56" s="7">
        <v>14</v>
      </c>
      <c r="N56" s="7">
        <v>1</v>
      </c>
      <c r="O56" s="7"/>
      <c r="P56" s="7"/>
      <c r="Q56" s="7"/>
      <c r="R56" s="7"/>
      <c r="S56" s="7">
        <v>0</v>
      </c>
      <c r="T56" s="7">
        <v>0</v>
      </c>
      <c r="U56" s="7">
        <v>8</v>
      </c>
      <c r="V56" s="7">
        <v>8</v>
      </c>
      <c r="W56" s="7">
        <v>2</v>
      </c>
      <c r="X56" s="7">
        <v>0</v>
      </c>
      <c r="Y56" s="7">
        <v>2</v>
      </c>
      <c r="Z56" s="7"/>
      <c r="AA56" s="7" t="s">
        <v>3902</v>
      </c>
      <c r="AB56" s="7">
        <v>9300</v>
      </c>
      <c r="AC56" s="7">
        <v>1</v>
      </c>
      <c r="AD56" s="7">
        <v>1210</v>
      </c>
      <c r="AE56" s="7">
        <v>0</v>
      </c>
      <c r="AF56" s="7">
        <v>10</v>
      </c>
      <c r="AG56" s="7">
        <v>0</v>
      </c>
      <c r="AH56" s="7">
        <v>10</v>
      </c>
      <c r="AI56" s="7"/>
      <c r="AJ56" s="7">
        <v>32</v>
      </c>
      <c r="AK56" s="7">
        <v>0</v>
      </c>
      <c r="AL56" s="7"/>
      <c r="AM56" s="7"/>
      <c r="AN56" s="7">
        <v>10001</v>
      </c>
      <c r="AO56" s="7"/>
      <c r="AP56" s="7">
        <v>0</v>
      </c>
      <c r="AQ56" s="7">
        <v>4000</v>
      </c>
      <c r="AR56" s="7">
        <v>0</v>
      </c>
      <c r="AS56" s="7">
        <v>2</v>
      </c>
      <c r="AT56" s="54"/>
      <c r="AU56" s="54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spans="1:58">
      <c r="A57" s="7">
        <v>416179</v>
      </c>
      <c r="B57" s="7">
        <v>1</v>
      </c>
      <c r="C57" s="7" t="s">
        <v>3557</v>
      </c>
      <c r="D57" s="7" t="s">
        <v>3673</v>
      </c>
      <c r="E57" s="7" t="s">
        <v>3460</v>
      </c>
      <c r="F57" s="7" t="s">
        <v>3772</v>
      </c>
      <c r="G57" s="7">
        <v>1</v>
      </c>
      <c r="H57" s="7" t="s">
        <v>3849</v>
      </c>
      <c r="I57" s="7">
        <v>1</v>
      </c>
      <c r="J57" s="7">
        <v>1</v>
      </c>
      <c r="K57" s="7">
        <v>1</v>
      </c>
      <c r="L57" s="7">
        <v>14</v>
      </c>
      <c r="M57" s="7">
        <v>14</v>
      </c>
      <c r="N57" s="7">
        <v>1</v>
      </c>
      <c r="O57" s="7"/>
      <c r="P57" s="7"/>
      <c r="Q57" s="7"/>
      <c r="R57" s="7"/>
      <c r="S57" s="7">
        <v>0</v>
      </c>
      <c r="T57" s="7">
        <v>0</v>
      </c>
      <c r="U57" s="7">
        <v>8</v>
      </c>
      <c r="V57" s="7">
        <v>8</v>
      </c>
      <c r="W57" s="7">
        <v>2</v>
      </c>
      <c r="X57" s="7">
        <v>0</v>
      </c>
      <c r="Y57" s="7">
        <v>2</v>
      </c>
      <c r="Z57" s="7"/>
      <c r="AA57" s="7" t="s">
        <v>3902</v>
      </c>
      <c r="AB57" s="7">
        <v>9300</v>
      </c>
      <c r="AC57" s="7">
        <v>1</v>
      </c>
      <c r="AD57" s="7">
        <v>1210</v>
      </c>
      <c r="AE57" s="7">
        <v>0</v>
      </c>
      <c r="AF57" s="7">
        <v>10</v>
      </c>
      <c r="AG57" s="7">
        <v>0</v>
      </c>
      <c r="AH57" s="7">
        <v>10</v>
      </c>
      <c r="AI57" s="7"/>
      <c r="AJ57" s="7">
        <v>32</v>
      </c>
      <c r="AK57" s="7">
        <v>0</v>
      </c>
      <c r="AL57" s="7"/>
      <c r="AM57" s="7"/>
      <c r="AN57" s="7">
        <v>10001</v>
      </c>
      <c r="AO57" s="7"/>
      <c r="AP57" s="7">
        <v>0</v>
      </c>
      <c r="AQ57" s="7">
        <v>4000</v>
      </c>
      <c r="AR57" s="7">
        <v>0</v>
      </c>
      <c r="AS57" s="7">
        <v>2</v>
      </c>
      <c r="AT57" s="54"/>
      <c r="AU57" s="54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spans="1:58">
      <c r="A58" s="7">
        <v>416180</v>
      </c>
      <c r="B58" s="7">
        <v>1</v>
      </c>
      <c r="C58" s="7" t="s">
        <v>3558</v>
      </c>
      <c r="D58" s="7" t="s">
        <v>3733</v>
      </c>
      <c r="E58" s="7" t="s">
        <v>3461</v>
      </c>
      <c r="F58" s="7" t="s">
        <v>3773</v>
      </c>
      <c r="G58" s="7">
        <v>1</v>
      </c>
      <c r="H58" s="7"/>
      <c r="I58" s="7">
        <v>1</v>
      </c>
      <c r="J58" s="7">
        <v>1</v>
      </c>
      <c r="K58" s="7">
        <v>1</v>
      </c>
      <c r="L58" s="7">
        <v>14</v>
      </c>
      <c r="M58" s="7">
        <v>14</v>
      </c>
      <c r="N58" s="7">
        <v>1</v>
      </c>
      <c r="O58" s="7"/>
      <c r="P58" s="7"/>
      <c r="Q58" s="7"/>
      <c r="R58" s="7"/>
      <c r="S58" s="7">
        <v>0</v>
      </c>
      <c r="T58" s="7">
        <v>0</v>
      </c>
      <c r="U58" s="7">
        <v>8</v>
      </c>
      <c r="V58" s="7">
        <v>8</v>
      </c>
      <c r="W58" s="7">
        <v>2</v>
      </c>
      <c r="X58" s="7">
        <v>0</v>
      </c>
      <c r="Y58" s="7">
        <v>2</v>
      </c>
      <c r="Z58" s="7"/>
      <c r="AA58" s="7" t="s">
        <v>3902</v>
      </c>
      <c r="AB58" s="7">
        <v>9300</v>
      </c>
      <c r="AC58" s="7">
        <v>1</v>
      </c>
      <c r="AD58" s="7">
        <v>1210</v>
      </c>
      <c r="AE58" s="7">
        <v>0</v>
      </c>
      <c r="AF58" s="7">
        <v>10</v>
      </c>
      <c r="AG58" s="7">
        <v>0</v>
      </c>
      <c r="AH58" s="7">
        <v>10</v>
      </c>
      <c r="AI58" s="7"/>
      <c r="AJ58" s="7">
        <v>32</v>
      </c>
      <c r="AK58" s="7">
        <v>0</v>
      </c>
      <c r="AL58" s="7"/>
      <c r="AM58" s="7"/>
      <c r="AN58" s="7">
        <v>10001</v>
      </c>
      <c r="AO58" s="7"/>
      <c r="AP58" s="7">
        <v>0</v>
      </c>
      <c r="AQ58" s="7">
        <v>4000</v>
      </c>
      <c r="AR58" s="7">
        <v>0</v>
      </c>
      <c r="AS58" s="7">
        <v>2</v>
      </c>
      <c r="AT58" s="54"/>
      <c r="AU58" s="54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spans="1:58">
      <c r="A59" s="7">
        <v>416181</v>
      </c>
      <c r="B59" s="7">
        <v>1</v>
      </c>
      <c r="C59" s="7" t="s">
        <v>3559</v>
      </c>
      <c r="D59" s="7" t="s">
        <v>3674</v>
      </c>
      <c r="E59" s="7" t="s">
        <v>3916</v>
      </c>
      <c r="F59" s="7" t="s">
        <v>3916</v>
      </c>
      <c r="G59" s="7">
        <v>1</v>
      </c>
      <c r="H59" s="7" t="s">
        <v>3850</v>
      </c>
      <c r="I59" s="7">
        <v>1</v>
      </c>
      <c r="J59" s="7">
        <v>1</v>
      </c>
      <c r="K59" s="7">
        <v>1</v>
      </c>
      <c r="L59" s="7">
        <v>14</v>
      </c>
      <c r="M59" s="7">
        <v>14</v>
      </c>
      <c r="N59" s="7">
        <v>1</v>
      </c>
      <c r="O59" s="7"/>
      <c r="P59" s="7"/>
      <c r="Q59" s="7"/>
      <c r="R59" s="7"/>
      <c r="S59" s="7">
        <v>0</v>
      </c>
      <c r="T59" s="7">
        <v>0</v>
      </c>
      <c r="U59" s="7">
        <v>8</v>
      </c>
      <c r="V59" s="7">
        <v>8</v>
      </c>
      <c r="W59" s="7">
        <v>2</v>
      </c>
      <c r="X59" s="7">
        <v>0</v>
      </c>
      <c r="Y59" s="7">
        <v>2</v>
      </c>
      <c r="Z59" s="7"/>
      <c r="AA59" s="7" t="s">
        <v>3902</v>
      </c>
      <c r="AB59" s="7">
        <v>9300</v>
      </c>
      <c r="AC59" s="7">
        <v>1</v>
      </c>
      <c r="AD59" s="7">
        <v>1210</v>
      </c>
      <c r="AE59" s="7">
        <v>0</v>
      </c>
      <c r="AF59" s="7">
        <v>10</v>
      </c>
      <c r="AG59" s="7">
        <v>0</v>
      </c>
      <c r="AH59" s="7">
        <v>10</v>
      </c>
      <c r="AI59" s="7"/>
      <c r="AJ59" s="7">
        <v>32</v>
      </c>
      <c r="AK59" s="7">
        <v>0</v>
      </c>
      <c r="AL59" s="7"/>
      <c r="AM59" s="7"/>
      <c r="AN59" s="7">
        <v>10001</v>
      </c>
      <c r="AO59" s="7"/>
      <c r="AP59" s="7">
        <v>0</v>
      </c>
      <c r="AQ59" s="7">
        <v>4000</v>
      </c>
      <c r="AR59" s="7">
        <v>0</v>
      </c>
      <c r="AS59" s="7">
        <v>2</v>
      </c>
      <c r="AT59" s="54"/>
      <c r="AU59" s="54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</row>
    <row r="60" spans="1:58">
      <c r="A60" s="7">
        <v>416182</v>
      </c>
      <c r="B60" s="7">
        <v>1</v>
      </c>
      <c r="C60" s="7" t="s">
        <v>3607</v>
      </c>
      <c r="D60" s="7" t="s">
        <v>3988</v>
      </c>
      <c r="E60" s="7" t="s">
        <v>4014</v>
      </c>
      <c r="F60" s="7" t="s">
        <v>4014</v>
      </c>
      <c r="G60" s="7">
        <v>1</v>
      </c>
      <c r="H60" s="7" t="s">
        <v>3851</v>
      </c>
      <c r="I60" s="7">
        <v>1</v>
      </c>
      <c r="J60" s="7">
        <v>1</v>
      </c>
      <c r="K60" s="7">
        <v>1</v>
      </c>
      <c r="L60" s="7">
        <v>14</v>
      </c>
      <c r="M60" s="7">
        <v>14</v>
      </c>
      <c r="N60" s="7">
        <v>1</v>
      </c>
      <c r="O60" s="7"/>
      <c r="P60" s="7"/>
      <c r="Q60" s="7"/>
      <c r="R60" s="7"/>
      <c r="S60" s="7">
        <v>0</v>
      </c>
      <c r="T60" s="7">
        <v>0</v>
      </c>
      <c r="U60" s="7">
        <v>8</v>
      </c>
      <c r="V60" s="7">
        <v>8</v>
      </c>
      <c r="W60" s="7">
        <v>2</v>
      </c>
      <c r="X60" s="7">
        <v>0</v>
      </c>
      <c r="Y60" s="7">
        <v>2</v>
      </c>
      <c r="Z60" s="7"/>
      <c r="AA60" s="7" t="s">
        <v>3902</v>
      </c>
      <c r="AB60" s="7">
        <v>9300</v>
      </c>
      <c r="AC60" s="7">
        <v>1</v>
      </c>
      <c r="AD60" s="7">
        <v>1210</v>
      </c>
      <c r="AE60" s="7">
        <v>0</v>
      </c>
      <c r="AF60" s="7">
        <v>10</v>
      </c>
      <c r="AG60" s="7">
        <v>0</v>
      </c>
      <c r="AH60" s="7">
        <v>10</v>
      </c>
      <c r="AI60" s="7"/>
      <c r="AJ60" s="7">
        <v>32</v>
      </c>
      <c r="AK60" s="7">
        <v>0</v>
      </c>
      <c r="AL60" s="7"/>
      <c r="AM60" s="7"/>
      <c r="AN60" s="7">
        <v>10001</v>
      </c>
      <c r="AO60" s="7"/>
      <c r="AP60" s="7">
        <v>0</v>
      </c>
      <c r="AQ60" s="7">
        <v>4000</v>
      </c>
      <c r="AR60" s="7">
        <v>0</v>
      </c>
      <c r="AS60" s="7">
        <v>2</v>
      </c>
      <c r="AT60" s="54"/>
      <c r="AU60" s="54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</row>
    <row r="61" spans="1:58">
      <c r="A61" s="7">
        <v>416183</v>
      </c>
      <c r="B61" s="7">
        <v>1</v>
      </c>
      <c r="C61" s="7" t="s">
        <v>3608</v>
      </c>
      <c r="D61" s="7" t="s">
        <v>3989</v>
      </c>
      <c r="E61" s="7" t="s">
        <v>3918</v>
      </c>
      <c r="F61" s="7" t="s">
        <v>3918</v>
      </c>
      <c r="G61" s="7">
        <v>1</v>
      </c>
      <c r="H61" s="7"/>
      <c r="I61" s="7">
        <v>1</v>
      </c>
      <c r="J61" s="7">
        <v>1</v>
      </c>
      <c r="K61" s="7">
        <v>1</v>
      </c>
      <c r="L61" s="7">
        <v>14</v>
      </c>
      <c r="M61" s="7">
        <v>14</v>
      </c>
      <c r="N61" s="7">
        <v>1</v>
      </c>
      <c r="O61" s="7"/>
      <c r="P61" s="7"/>
      <c r="Q61" s="7"/>
      <c r="R61" s="7"/>
      <c r="S61" s="7">
        <v>0</v>
      </c>
      <c r="T61" s="7">
        <v>0</v>
      </c>
      <c r="U61" s="7">
        <v>8</v>
      </c>
      <c r="V61" s="7">
        <v>8</v>
      </c>
      <c r="W61" s="7">
        <v>2</v>
      </c>
      <c r="X61" s="7">
        <v>0</v>
      </c>
      <c r="Y61" s="7">
        <v>2</v>
      </c>
      <c r="Z61" s="7"/>
      <c r="AA61" s="7" t="s">
        <v>3902</v>
      </c>
      <c r="AB61" s="7">
        <v>9300</v>
      </c>
      <c r="AC61" s="7">
        <v>1</v>
      </c>
      <c r="AD61" s="7">
        <v>1210</v>
      </c>
      <c r="AE61" s="7">
        <v>0</v>
      </c>
      <c r="AF61" s="7">
        <v>10</v>
      </c>
      <c r="AG61" s="7">
        <v>0</v>
      </c>
      <c r="AH61" s="7">
        <v>10</v>
      </c>
      <c r="AI61" s="7"/>
      <c r="AJ61" s="7">
        <v>32</v>
      </c>
      <c r="AK61" s="7">
        <v>0</v>
      </c>
      <c r="AL61" s="7"/>
      <c r="AM61" s="7"/>
      <c r="AN61" s="7">
        <v>10001</v>
      </c>
      <c r="AO61" s="7"/>
      <c r="AP61" s="7">
        <v>0</v>
      </c>
      <c r="AQ61" s="7">
        <v>4000</v>
      </c>
      <c r="AR61" s="7">
        <v>0</v>
      </c>
      <c r="AS61" s="7">
        <v>2</v>
      </c>
      <c r="AT61" s="54"/>
      <c r="AU61" s="54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spans="1:58">
      <c r="A62" s="7">
        <v>416184</v>
      </c>
      <c r="B62" s="7">
        <v>1</v>
      </c>
      <c r="C62" s="7" t="s">
        <v>3560</v>
      </c>
      <c r="D62" s="7" t="s">
        <v>3990</v>
      </c>
      <c r="E62" s="7" t="s">
        <v>4015</v>
      </c>
      <c r="F62" s="7" t="s">
        <v>4015</v>
      </c>
      <c r="G62" s="7">
        <v>1</v>
      </c>
      <c r="H62" s="7"/>
      <c r="I62" s="7">
        <v>1</v>
      </c>
      <c r="J62" s="7">
        <v>1</v>
      </c>
      <c r="K62" s="7">
        <v>1</v>
      </c>
      <c r="L62" s="7">
        <v>14</v>
      </c>
      <c r="M62" s="7">
        <v>14</v>
      </c>
      <c r="N62" s="7">
        <v>1</v>
      </c>
      <c r="O62" s="7"/>
      <c r="P62" s="7"/>
      <c r="Q62" s="7"/>
      <c r="R62" s="7"/>
      <c r="S62" s="7">
        <v>0</v>
      </c>
      <c r="T62" s="7">
        <v>0</v>
      </c>
      <c r="U62" s="7">
        <v>8</v>
      </c>
      <c r="V62" s="7">
        <v>8</v>
      </c>
      <c r="W62" s="7">
        <v>2</v>
      </c>
      <c r="X62" s="7">
        <v>0</v>
      </c>
      <c r="Y62" s="7">
        <v>2</v>
      </c>
      <c r="Z62" s="7"/>
      <c r="AA62" s="7" t="s">
        <v>3902</v>
      </c>
      <c r="AB62" s="7">
        <v>9300</v>
      </c>
      <c r="AC62" s="7">
        <v>1</v>
      </c>
      <c r="AD62" s="7">
        <v>1210</v>
      </c>
      <c r="AE62" s="7">
        <v>0</v>
      </c>
      <c r="AF62" s="7">
        <v>10</v>
      </c>
      <c r="AG62" s="7">
        <v>0</v>
      </c>
      <c r="AH62" s="7">
        <v>10</v>
      </c>
      <c r="AI62" s="7"/>
      <c r="AJ62" s="7">
        <v>32</v>
      </c>
      <c r="AK62" s="7">
        <v>0</v>
      </c>
      <c r="AL62" s="7"/>
      <c r="AM62" s="7"/>
      <c r="AN62" s="7">
        <v>10001</v>
      </c>
      <c r="AO62" s="7"/>
      <c r="AP62" s="7">
        <v>0</v>
      </c>
      <c r="AQ62" s="7">
        <v>4000</v>
      </c>
      <c r="AR62" s="7">
        <v>0</v>
      </c>
      <c r="AS62" s="7">
        <v>2</v>
      </c>
      <c r="AT62" s="54"/>
      <c r="AU62" s="54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spans="1:58">
      <c r="A63" s="7">
        <v>416185</v>
      </c>
      <c r="B63" s="7">
        <v>1</v>
      </c>
      <c r="C63" s="7" t="s">
        <v>3561</v>
      </c>
      <c r="D63" s="7" t="s">
        <v>3678</v>
      </c>
      <c r="E63" s="7" t="s">
        <v>3919</v>
      </c>
      <c r="F63" s="7" t="s">
        <v>3919</v>
      </c>
      <c r="G63" s="7">
        <v>1</v>
      </c>
      <c r="H63" s="7" t="s">
        <v>3852</v>
      </c>
      <c r="I63" s="7">
        <v>1</v>
      </c>
      <c r="J63" s="7">
        <v>1</v>
      </c>
      <c r="K63" s="7">
        <v>1</v>
      </c>
      <c r="L63" s="7">
        <v>14</v>
      </c>
      <c r="M63" s="7">
        <v>14</v>
      </c>
      <c r="N63" s="7">
        <v>1</v>
      </c>
      <c r="O63" s="7"/>
      <c r="P63" s="7"/>
      <c r="Q63" s="7"/>
      <c r="R63" s="7"/>
      <c r="S63" s="7">
        <v>0</v>
      </c>
      <c r="T63" s="7">
        <v>0</v>
      </c>
      <c r="U63" s="7">
        <v>8</v>
      </c>
      <c r="V63" s="7">
        <v>8</v>
      </c>
      <c r="W63" s="7">
        <v>2</v>
      </c>
      <c r="X63" s="7">
        <v>0</v>
      </c>
      <c r="Y63" s="7">
        <v>2</v>
      </c>
      <c r="Z63" s="7"/>
      <c r="AA63" s="7" t="s">
        <v>3902</v>
      </c>
      <c r="AB63" s="7">
        <v>9300</v>
      </c>
      <c r="AC63" s="7">
        <v>1</v>
      </c>
      <c r="AD63" s="7">
        <v>1210</v>
      </c>
      <c r="AE63" s="7">
        <v>0</v>
      </c>
      <c r="AF63" s="7">
        <v>10</v>
      </c>
      <c r="AG63" s="7">
        <v>0</v>
      </c>
      <c r="AH63" s="7">
        <v>10</v>
      </c>
      <c r="AI63" s="7"/>
      <c r="AJ63" s="7">
        <v>32</v>
      </c>
      <c r="AK63" s="7">
        <v>0</v>
      </c>
      <c r="AL63" s="7"/>
      <c r="AM63" s="7"/>
      <c r="AN63" s="7">
        <v>10001</v>
      </c>
      <c r="AO63" s="7"/>
      <c r="AP63" s="7">
        <v>0</v>
      </c>
      <c r="AQ63" s="7">
        <v>4000</v>
      </c>
      <c r="AR63" s="7">
        <v>0</v>
      </c>
      <c r="AS63" s="7">
        <v>2</v>
      </c>
      <c r="AT63" s="54"/>
      <c r="AU63" s="54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spans="1:58">
      <c r="A64" s="7">
        <v>416186</v>
      </c>
      <c r="B64" s="7">
        <v>1</v>
      </c>
      <c r="C64" s="7" t="s">
        <v>3944</v>
      </c>
      <c r="D64" s="7" t="s">
        <v>3679</v>
      </c>
      <c r="E64" s="7" t="s">
        <v>3467</v>
      </c>
      <c r="F64" s="7" t="s">
        <v>3775</v>
      </c>
      <c r="G64" s="7">
        <v>1</v>
      </c>
      <c r="H64" s="7" t="s">
        <v>3853</v>
      </c>
      <c r="I64" s="7">
        <v>1</v>
      </c>
      <c r="J64" s="7">
        <v>1</v>
      </c>
      <c r="K64" s="7">
        <v>1</v>
      </c>
      <c r="L64" s="7">
        <v>14</v>
      </c>
      <c r="M64" s="7">
        <v>14</v>
      </c>
      <c r="N64" s="7">
        <v>1</v>
      </c>
      <c r="O64" s="7"/>
      <c r="P64" s="7"/>
      <c r="Q64" s="7"/>
      <c r="R64" s="7"/>
      <c r="S64" s="7">
        <v>0</v>
      </c>
      <c r="T64" s="7">
        <v>0</v>
      </c>
      <c r="U64" s="7">
        <v>8</v>
      </c>
      <c r="V64" s="7">
        <v>8</v>
      </c>
      <c r="W64" s="7">
        <v>2</v>
      </c>
      <c r="X64" s="7">
        <v>0</v>
      </c>
      <c r="Y64" s="7">
        <v>2</v>
      </c>
      <c r="Z64" s="7"/>
      <c r="AA64" s="7" t="s">
        <v>3902</v>
      </c>
      <c r="AB64" s="7">
        <v>9300</v>
      </c>
      <c r="AC64" s="7">
        <v>1</v>
      </c>
      <c r="AD64" s="7">
        <v>1210</v>
      </c>
      <c r="AE64" s="7">
        <v>0</v>
      </c>
      <c r="AF64" s="7">
        <v>10</v>
      </c>
      <c r="AG64" s="7">
        <v>0</v>
      </c>
      <c r="AH64" s="7">
        <v>10</v>
      </c>
      <c r="AI64" s="7"/>
      <c r="AJ64" s="7">
        <v>32</v>
      </c>
      <c r="AK64" s="7">
        <v>0</v>
      </c>
      <c r="AL64" s="7"/>
      <c r="AM64" s="7"/>
      <c r="AN64" s="7">
        <v>10001</v>
      </c>
      <c r="AO64" s="7"/>
      <c r="AP64" s="7">
        <v>0</v>
      </c>
      <c r="AQ64" s="7">
        <v>4000</v>
      </c>
      <c r="AR64" s="7">
        <v>0</v>
      </c>
      <c r="AS64" s="7">
        <v>2</v>
      </c>
      <c r="AT64" s="54"/>
      <c r="AU64" s="54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spans="1:58">
      <c r="A65" s="7">
        <v>416187</v>
      </c>
      <c r="B65" s="7">
        <v>1</v>
      </c>
      <c r="C65" s="7" t="s">
        <v>3562</v>
      </c>
      <c r="D65" s="7" t="s">
        <v>3680</v>
      </c>
      <c r="E65" s="7" t="s">
        <v>3467</v>
      </c>
      <c r="F65" s="7" t="s">
        <v>3775</v>
      </c>
      <c r="G65" s="7">
        <v>1</v>
      </c>
      <c r="H65" s="7" t="s">
        <v>3854</v>
      </c>
      <c r="I65" s="7">
        <v>1</v>
      </c>
      <c r="J65" s="7">
        <v>1</v>
      </c>
      <c r="K65" s="7">
        <v>1</v>
      </c>
      <c r="L65" s="7">
        <v>14</v>
      </c>
      <c r="M65" s="7">
        <v>14</v>
      </c>
      <c r="N65" s="7">
        <v>1</v>
      </c>
      <c r="O65" s="7"/>
      <c r="P65" s="7"/>
      <c r="Q65" s="7"/>
      <c r="R65" s="7"/>
      <c r="S65" s="7">
        <v>0</v>
      </c>
      <c r="T65" s="7">
        <v>0</v>
      </c>
      <c r="U65" s="7">
        <v>8</v>
      </c>
      <c r="V65" s="7">
        <v>8</v>
      </c>
      <c r="W65" s="7">
        <v>2</v>
      </c>
      <c r="X65" s="7">
        <v>0</v>
      </c>
      <c r="Y65" s="7">
        <v>2</v>
      </c>
      <c r="Z65" s="7"/>
      <c r="AA65" s="7" t="s">
        <v>3902</v>
      </c>
      <c r="AB65" s="7">
        <v>9300</v>
      </c>
      <c r="AC65" s="7">
        <v>1</v>
      </c>
      <c r="AD65" s="7">
        <v>1210</v>
      </c>
      <c r="AE65" s="7">
        <v>0</v>
      </c>
      <c r="AF65" s="7">
        <v>10</v>
      </c>
      <c r="AG65" s="7">
        <v>0</v>
      </c>
      <c r="AH65" s="7">
        <v>10</v>
      </c>
      <c r="AI65" s="7"/>
      <c r="AJ65" s="7">
        <v>32</v>
      </c>
      <c r="AK65" s="7">
        <v>0</v>
      </c>
      <c r="AL65" s="7"/>
      <c r="AM65" s="7"/>
      <c r="AN65" s="7">
        <v>10001</v>
      </c>
      <c r="AO65" s="7"/>
      <c r="AP65" s="7">
        <v>0</v>
      </c>
      <c r="AQ65" s="7">
        <v>4000</v>
      </c>
      <c r="AR65" s="7">
        <v>0</v>
      </c>
      <c r="AS65" s="7">
        <v>2</v>
      </c>
      <c r="AT65" s="54"/>
      <c r="AU65" s="54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</row>
    <row r="66" spans="1:58">
      <c r="A66" s="7">
        <v>416188</v>
      </c>
      <c r="B66" s="7">
        <v>1</v>
      </c>
      <c r="C66" s="7" t="s">
        <v>3563</v>
      </c>
      <c r="D66" s="7" t="s">
        <v>3681</v>
      </c>
      <c r="E66" s="7" t="s">
        <v>3467</v>
      </c>
      <c r="F66" s="7" t="s">
        <v>3775</v>
      </c>
      <c r="G66" s="7">
        <v>1</v>
      </c>
      <c r="H66" s="7" t="s">
        <v>3855</v>
      </c>
      <c r="I66" s="7">
        <v>1</v>
      </c>
      <c r="J66" s="7">
        <v>1</v>
      </c>
      <c r="K66" s="7">
        <v>1</v>
      </c>
      <c r="L66" s="7">
        <v>14</v>
      </c>
      <c r="M66" s="7">
        <v>14</v>
      </c>
      <c r="N66" s="7">
        <v>1</v>
      </c>
      <c r="O66" s="7"/>
      <c r="P66" s="7"/>
      <c r="Q66" s="7"/>
      <c r="R66" s="7"/>
      <c r="S66" s="7">
        <v>0</v>
      </c>
      <c r="T66" s="7">
        <v>0</v>
      </c>
      <c r="U66" s="7">
        <v>8</v>
      </c>
      <c r="V66" s="7">
        <v>8</v>
      </c>
      <c r="W66" s="7">
        <v>2</v>
      </c>
      <c r="X66" s="7">
        <v>0</v>
      </c>
      <c r="Y66" s="7">
        <v>2</v>
      </c>
      <c r="Z66" s="7"/>
      <c r="AA66" s="7" t="s">
        <v>3902</v>
      </c>
      <c r="AB66" s="7">
        <v>9300</v>
      </c>
      <c r="AC66" s="7">
        <v>1</v>
      </c>
      <c r="AD66" s="7">
        <v>1210</v>
      </c>
      <c r="AE66" s="7">
        <v>0</v>
      </c>
      <c r="AF66" s="7">
        <v>10</v>
      </c>
      <c r="AG66" s="7">
        <v>0</v>
      </c>
      <c r="AH66" s="7">
        <v>10</v>
      </c>
      <c r="AI66" s="7"/>
      <c r="AJ66" s="7">
        <v>32</v>
      </c>
      <c r="AK66" s="7">
        <v>0</v>
      </c>
      <c r="AL66" s="7"/>
      <c r="AM66" s="7"/>
      <c r="AN66" s="7">
        <v>10001</v>
      </c>
      <c r="AO66" s="7"/>
      <c r="AP66" s="7">
        <v>0</v>
      </c>
      <c r="AQ66" s="7">
        <v>4000</v>
      </c>
      <c r="AR66" s="7">
        <v>0</v>
      </c>
      <c r="AS66" s="7">
        <v>2</v>
      </c>
      <c r="AT66" s="54"/>
      <c r="AU66" s="54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</row>
    <row r="67" spans="1:58">
      <c r="A67" s="7">
        <v>416189</v>
      </c>
      <c r="B67" s="7">
        <v>1</v>
      </c>
      <c r="C67" s="7" t="s">
        <v>3564</v>
      </c>
      <c r="D67" s="7" t="s">
        <v>3682</v>
      </c>
      <c r="E67" s="7" t="s">
        <v>3467</v>
      </c>
      <c r="F67" s="7" t="s">
        <v>3775</v>
      </c>
      <c r="G67" s="7">
        <v>1</v>
      </c>
      <c r="H67" s="7" t="s">
        <v>3856</v>
      </c>
      <c r="I67" s="7">
        <v>1</v>
      </c>
      <c r="J67" s="7">
        <v>1</v>
      </c>
      <c r="K67" s="7">
        <v>1</v>
      </c>
      <c r="L67" s="7">
        <v>14</v>
      </c>
      <c r="M67" s="7">
        <v>14</v>
      </c>
      <c r="N67" s="7">
        <v>1</v>
      </c>
      <c r="O67" s="7"/>
      <c r="P67" s="7"/>
      <c r="Q67" s="7"/>
      <c r="R67" s="7"/>
      <c r="S67" s="7">
        <v>0</v>
      </c>
      <c r="T67" s="7">
        <v>0</v>
      </c>
      <c r="U67" s="7">
        <v>8</v>
      </c>
      <c r="V67" s="7">
        <v>8</v>
      </c>
      <c r="W67" s="7">
        <v>2</v>
      </c>
      <c r="X67" s="7">
        <v>0</v>
      </c>
      <c r="Y67" s="7">
        <v>2</v>
      </c>
      <c r="Z67" s="7"/>
      <c r="AA67" s="7" t="s">
        <v>3902</v>
      </c>
      <c r="AB67" s="7">
        <v>9300</v>
      </c>
      <c r="AC67" s="7">
        <v>1</v>
      </c>
      <c r="AD67" s="7">
        <v>1210</v>
      </c>
      <c r="AE67" s="7">
        <v>0</v>
      </c>
      <c r="AF67" s="7">
        <v>10</v>
      </c>
      <c r="AG67" s="7">
        <v>0</v>
      </c>
      <c r="AH67" s="7">
        <v>10</v>
      </c>
      <c r="AI67" s="7"/>
      <c r="AJ67" s="7">
        <v>32</v>
      </c>
      <c r="AK67" s="7">
        <v>0</v>
      </c>
      <c r="AL67" s="7"/>
      <c r="AM67" s="7"/>
      <c r="AN67" s="7">
        <v>10001</v>
      </c>
      <c r="AO67" s="7"/>
      <c r="AP67" s="7">
        <v>0</v>
      </c>
      <c r="AQ67" s="7">
        <v>4000</v>
      </c>
      <c r="AR67" s="7">
        <v>0</v>
      </c>
      <c r="AS67" s="7">
        <v>2</v>
      </c>
      <c r="AT67" s="54"/>
      <c r="AU67" s="54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spans="1:58">
      <c r="A68" s="7">
        <v>416190</v>
      </c>
      <c r="B68" s="7">
        <v>1</v>
      </c>
      <c r="C68" s="7" t="s">
        <v>3609</v>
      </c>
      <c r="D68" s="7" t="s">
        <v>3683</v>
      </c>
      <c r="E68" s="7" t="s">
        <v>3920</v>
      </c>
      <c r="F68" s="7" t="s">
        <v>3920</v>
      </c>
      <c r="G68" s="7">
        <v>1</v>
      </c>
      <c r="H68" s="7" t="s">
        <v>3857</v>
      </c>
      <c r="I68" s="7">
        <v>1</v>
      </c>
      <c r="J68" s="7">
        <v>1</v>
      </c>
      <c r="K68" s="7">
        <v>1</v>
      </c>
      <c r="L68" s="7">
        <v>14</v>
      </c>
      <c r="M68" s="7">
        <v>14</v>
      </c>
      <c r="N68" s="7">
        <v>1</v>
      </c>
      <c r="O68" s="7"/>
      <c r="P68" s="7"/>
      <c r="Q68" s="7"/>
      <c r="R68" s="7"/>
      <c r="S68" s="7">
        <v>0</v>
      </c>
      <c r="T68" s="7">
        <v>0</v>
      </c>
      <c r="U68" s="7">
        <v>8</v>
      </c>
      <c r="V68" s="7">
        <v>8</v>
      </c>
      <c r="W68" s="7">
        <v>2</v>
      </c>
      <c r="X68" s="7">
        <v>0</v>
      </c>
      <c r="Y68" s="7">
        <v>2</v>
      </c>
      <c r="Z68" s="7"/>
      <c r="AA68" s="7" t="s">
        <v>3902</v>
      </c>
      <c r="AB68" s="7">
        <v>9300</v>
      </c>
      <c r="AC68" s="7">
        <v>1</v>
      </c>
      <c r="AD68" s="7">
        <v>1210</v>
      </c>
      <c r="AE68" s="7">
        <v>0</v>
      </c>
      <c r="AF68" s="7">
        <v>10</v>
      </c>
      <c r="AG68" s="7">
        <v>0</v>
      </c>
      <c r="AH68" s="7">
        <v>10</v>
      </c>
      <c r="AI68" s="7"/>
      <c r="AJ68" s="7">
        <v>32</v>
      </c>
      <c r="AK68" s="7">
        <v>0</v>
      </c>
      <c r="AL68" s="7"/>
      <c r="AM68" s="7"/>
      <c r="AN68" s="7">
        <v>10001</v>
      </c>
      <c r="AO68" s="7"/>
      <c r="AP68" s="7">
        <v>0</v>
      </c>
      <c r="AQ68" s="7">
        <v>4000</v>
      </c>
      <c r="AR68" s="7">
        <v>0</v>
      </c>
      <c r="AS68" s="7">
        <v>2</v>
      </c>
      <c r="AT68" s="54"/>
      <c r="AU68" s="54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</row>
    <row r="69" spans="1:58">
      <c r="A69" s="7">
        <v>416191</v>
      </c>
      <c r="B69" s="7">
        <v>1</v>
      </c>
      <c r="C69" s="7" t="s">
        <v>3610</v>
      </c>
      <c r="D69" s="7" t="s">
        <v>3684</v>
      </c>
      <c r="E69" s="7" t="s">
        <v>3921</v>
      </c>
      <c r="F69" s="7" t="s">
        <v>3921</v>
      </c>
      <c r="G69" s="7">
        <v>1</v>
      </c>
      <c r="H69" s="7" t="s">
        <v>3858</v>
      </c>
      <c r="I69" s="7">
        <v>1</v>
      </c>
      <c r="J69" s="7">
        <v>1</v>
      </c>
      <c r="K69" s="7">
        <v>1</v>
      </c>
      <c r="L69" s="7">
        <v>14</v>
      </c>
      <c r="M69" s="7">
        <v>14</v>
      </c>
      <c r="N69" s="7">
        <v>1</v>
      </c>
      <c r="O69" s="7"/>
      <c r="P69" s="7"/>
      <c r="Q69" s="7"/>
      <c r="R69" s="7"/>
      <c r="S69" s="7">
        <v>0</v>
      </c>
      <c r="T69" s="7">
        <v>0</v>
      </c>
      <c r="U69" s="7">
        <v>8</v>
      </c>
      <c r="V69" s="7">
        <v>8</v>
      </c>
      <c r="W69" s="7">
        <v>2</v>
      </c>
      <c r="X69" s="7">
        <v>0</v>
      </c>
      <c r="Y69" s="7">
        <v>2</v>
      </c>
      <c r="Z69" s="7"/>
      <c r="AA69" s="7" t="s">
        <v>3902</v>
      </c>
      <c r="AB69" s="7">
        <v>9300</v>
      </c>
      <c r="AC69" s="7">
        <v>1</v>
      </c>
      <c r="AD69" s="7">
        <v>1210</v>
      </c>
      <c r="AE69" s="7">
        <v>0</v>
      </c>
      <c r="AF69" s="7">
        <v>10</v>
      </c>
      <c r="AG69" s="7">
        <v>0</v>
      </c>
      <c r="AH69" s="7">
        <v>10</v>
      </c>
      <c r="AI69" s="7"/>
      <c r="AJ69" s="7">
        <v>32</v>
      </c>
      <c r="AK69" s="7">
        <v>0</v>
      </c>
      <c r="AL69" s="7"/>
      <c r="AM69" s="7"/>
      <c r="AN69" s="7">
        <v>10001</v>
      </c>
      <c r="AO69" s="7"/>
      <c r="AP69" s="7">
        <v>0</v>
      </c>
      <c r="AQ69" s="7">
        <v>4000</v>
      </c>
      <c r="AR69" s="7">
        <v>0</v>
      </c>
      <c r="AS69" s="7">
        <v>2</v>
      </c>
      <c r="AT69" s="54"/>
      <c r="AU69" s="54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</row>
    <row r="70" spans="1:58">
      <c r="A70" s="7">
        <v>416192</v>
      </c>
      <c r="B70" s="7">
        <v>1</v>
      </c>
      <c r="C70" s="7" t="s">
        <v>3565</v>
      </c>
      <c r="D70" s="7" t="s">
        <v>3685</v>
      </c>
      <c r="E70" s="7" t="s">
        <v>3470</v>
      </c>
      <c r="F70" s="7" t="s">
        <v>3776</v>
      </c>
      <c r="G70" s="7">
        <v>1</v>
      </c>
      <c r="H70" s="7" t="s">
        <v>3859</v>
      </c>
      <c r="I70" s="7">
        <v>1</v>
      </c>
      <c r="J70" s="7">
        <v>1</v>
      </c>
      <c r="K70" s="7">
        <v>1</v>
      </c>
      <c r="L70" s="7">
        <v>14</v>
      </c>
      <c r="M70" s="7">
        <v>14</v>
      </c>
      <c r="N70" s="7">
        <v>1</v>
      </c>
      <c r="O70" s="7"/>
      <c r="P70" s="7"/>
      <c r="Q70" s="7"/>
      <c r="R70" s="7"/>
      <c r="S70" s="7">
        <v>0</v>
      </c>
      <c r="T70" s="7">
        <v>0</v>
      </c>
      <c r="U70" s="7">
        <v>8</v>
      </c>
      <c r="V70" s="7">
        <v>8</v>
      </c>
      <c r="W70" s="7">
        <v>2</v>
      </c>
      <c r="X70" s="7">
        <v>0</v>
      </c>
      <c r="Y70" s="7">
        <v>2</v>
      </c>
      <c r="Z70" s="7"/>
      <c r="AA70" s="7" t="s">
        <v>3902</v>
      </c>
      <c r="AB70" s="7">
        <v>9300</v>
      </c>
      <c r="AC70" s="7">
        <v>1</v>
      </c>
      <c r="AD70" s="7">
        <v>1210</v>
      </c>
      <c r="AE70" s="7">
        <v>0</v>
      </c>
      <c r="AF70" s="7">
        <v>10</v>
      </c>
      <c r="AG70" s="7">
        <v>0</v>
      </c>
      <c r="AH70" s="7">
        <v>10</v>
      </c>
      <c r="AI70" s="7"/>
      <c r="AJ70" s="7">
        <v>32</v>
      </c>
      <c r="AK70" s="7">
        <v>0</v>
      </c>
      <c r="AL70" s="7"/>
      <c r="AM70" s="7"/>
      <c r="AN70" s="7">
        <v>10001</v>
      </c>
      <c r="AO70" s="7"/>
      <c r="AP70" s="7">
        <v>0</v>
      </c>
      <c r="AQ70" s="7">
        <v>4000</v>
      </c>
      <c r="AR70" s="7">
        <v>0</v>
      </c>
      <c r="AS70" s="7">
        <v>2</v>
      </c>
      <c r="AT70" s="54"/>
      <c r="AU70" s="54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</row>
    <row r="71" spans="1:58">
      <c r="A71" s="7">
        <v>416193</v>
      </c>
      <c r="B71" s="7">
        <v>1</v>
      </c>
      <c r="C71" s="7" t="s">
        <v>3566</v>
      </c>
      <c r="D71" s="7" t="s">
        <v>3686</v>
      </c>
      <c r="E71" s="7" t="s">
        <v>3777</v>
      </c>
      <c r="F71" s="7" t="s">
        <v>3777</v>
      </c>
      <c r="G71" s="7">
        <v>1</v>
      </c>
      <c r="H71" s="7" t="s">
        <v>3860</v>
      </c>
      <c r="I71" s="7">
        <v>1</v>
      </c>
      <c r="J71" s="7">
        <v>1</v>
      </c>
      <c r="K71" s="7">
        <v>1</v>
      </c>
      <c r="L71" s="7">
        <v>14</v>
      </c>
      <c r="M71" s="7">
        <v>14</v>
      </c>
      <c r="N71" s="7">
        <v>1</v>
      </c>
      <c r="O71" s="7"/>
      <c r="P71" s="7"/>
      <c r="Q71" s="7"/>
      <c r="R71" s="7"/>
      <c r="S71" s="7">
        <v>0</v>
      </c>
      <c r="T71" s="7">
        <v>0</v>
      </c>
      <c r="U71" s="7">
        <v>8</v>
      </c>
      <c r="V71" s="7">
        <v>8</v>
      </c>
      <c r="W71" s="7">
        <v>2</v>
      </c>
      <c r="X71" s="7">
        <v>0</v>
      </c>
      <c r="Y71" s="7">
        <v>2</v>
      </c>
      <c r="Z71" s="7"/>
      <c r="AA71" s="7" t="s">
        <v>3902</v>
      </c>
      <c r="AB71" s="7">
        <v>9300</v>
      </c>
      <c r="AC71" s="7">
        <v>1</v>
      </c>
      <c r="AD71" s="7">
        <v>1210</v>
      </c>
      <c r="AE71" s="7">
        <v>0</v>
      </c>
      <c r="AF71" s="7">
        <v>10</v>
      </c>
      <c r="AG71" s="7">
        <v>0</v>
      </c>
      <c r="AH71" s="7">
        <v>10</v>
      </c>
      <c r="AI71" s="7"/>
      <c r="AJ71" s="7">
        <v>32</v>
      </c>
      <c r="AK71" s="7">
        <v>0</v>
      </c>
      <c r="AL71" s="7"/>
      <c r="AM71" s="7"/>
      <c r="AN71" s="7">
        <v>10001</v>
      </c>
      <c r="AO71" s="7"/>
      <c r="AP71" s="7">
        <v>0</v>
      </c>
      <c r="AQ71" s="7">
        <v>4000</v>
      </c>
      <c r="AR71" s="7">
        <v>0</v>
      </c>
      <c r="AS71" s="7">
        <v>2</v>
      </c>
      <c r="AT71" s="54"/>
      <c r="AU71" s="54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</row>
    <row r="72" spans="1:58">
      <c r="A72" s="7">
        <v>416194</v>
      </c>
      <c r="B72" s="7">
        <v>1</v>
      </c>
      <c r="C72" s="7" t="s">
        <v>3567</v>
      </c>
      <c r="D72" s="7" t="s">
        <v>3687</v>
      </c>
      <c r="E72" s="7" t="s">
        <v>3922</v>
      </c>
      <c r="F72" s="7" t="s">
        <v>3922</v>
      </c>
      <c r="G72" s="7">
        <v>1</v>
      </c>
      <c r="H72" s="7" t="s">
        <v>3861</v>
      </c>
      <c r="I72" s="7">
        <v>1</v>
      </c>
      <c r="J72" s="7">
        <v>1</v>
      </c>
      <c r="K72" s="7">
        <v>1</v>
      </c>
      <c r="L72" s="7">
        <v>14</v>
      </c>
      <c r="M72" s="7">
        <v>14</v>
      </c>
      <c r="N72" s="7">
        <v>1</v>
      </c>
      <c r="O72" s="7"/>
      <c r="P72" s="7"/>
      <c r="Q72" s="7"/>
      <c r="R72" s="7"/>
      <c r="S72" s="7">
        <v>0</v>
      </c>
      <c r="T72" s="7">
        <v>0</v>
      </c>
      <c r="U72" s="7">
        <v>8</v>
      </c>
      <c r="V72" s="7">
        <v>8</v>
      </c>
      <c r="W72" s="7">
        <v>2</v>
      </c>
      <c r="X72" s="7">
        <v>0</v>
      </c>
      <c r="Y72" s="7">
        <v>2</v>
      </c>
      <c r="Z72" s="7"/>
      <c r="AA72" s="7" t="s">
        <v>3902</v>
      </c>
      <c r="AB72" s="7">
        <v>9300</v>
      </c>
      <c r="AC72" s="7">
        <v>1</v>
      </c>
      <c r="AD72" s="7">
        <v>1210</v>
      </c>
      <c r="AE72" s="7">
        <v>0</v>
      </c>
      <c r="AF72" s="7">
        <v>10</v>
      </c>
      <c r="AG72" s="7">
        <v>0</v>
      </c>
      <c r="AH72" s="7">
        <v>10</v>
      </c>
      <c r="AI72" s="7"/>
      <c r="AJ72" s="7">
        <v>32</v>
      </c>
      <c r="AK72" s="7">
        <v>0</v>
      </c>
      <c r="AL72" s="7"/>
      <c r="AM72" s="7"/>
      <c r="AN72" s="7">
        <v>10001</v>
      </c>
      <c r="AO72" s="7"/>
      <c r="AP72" s="7">
        <v>0</v>
      </c>
      <c r="AQ72" s="7">
        <v>4000</v>
      </c>
      <c r="AR72" s="7">
        <v>0</v>
      </c>
      <c r="AS72" s="7">
        <v>2</v>
      </c>
      <c r="AT72" s="54"/>
      <c r="AU72" s="54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</row>
    <row r="73" spans="1:58">
      <c r="A73" s="7">
        <v>416195</v>
      </c>
      <c r="B73" s="7">
        <v>1</v>
      </c>
      <c r="C73" s="7" t="s">
        <v>3568</v>
      </c>
      <c r="D73" s="7" t="s">
        <v>3688</v>
      </c>
      <c r="E73" s="7" t="s">
        <v>3923</v>
      </c>
      <c r="F73" s="7" t="s">
        <v>3923</v>
      </c>
      <c r="G73" s="7">
        <v>1</v>
      </c>
      <c r="H73" s="7" t="s">
        <v>3862</v>
      </c>
      <c r="I73" s="7">
        <v>1</v>
      </c>
      <c r="J73" s="7">
        <v>1</v>
      </c>
      <c r="K73" s="7">
        <v>1</v>
      </c>
      <c r="L73" s="7">
        <v>14</v>
      </c>
      <c r="M73" s="7">
        <v>14</v>
      </c>
      <c r="N73" s="7">
        <v>1</v>
      </c>
      <c r="O73" s="7"/>
      <c r="P73" s="7"/>
      <c r="Q73" s="7"/>
      <c r="R73" s="7"/>
      <c r="S73" s="7">
        <v>0</v>
      </c>
      <c r="T73" s="7">
        <v>0</v>
      </c>
      <c r="U73" s="7">
        <v>8</v>
      </c>
      <c r="V73" s="7">
        <v>8</v>
      </c>
      <c r="W73" s="7">
        <v>2</v>
      </c>
      <c r="X73" s="7">
        <v>0</v>
      </c>
      <c r="Y73" s="7">
        <v>2</v>
      </c>
      <c r="Z73" s="7"/>
      <c r="AA73" s="7" t="s">
        <v>3902</v>
      </c>
      <c r="AB73" s="7">
        <v>9300</v>
      </c>
      <c r="AC73" s="7">
        <v>1</v>
      </c>
      <c r="AD73" s="7">
        <v>1210</v>
      </c>
      <c r="AE73" s="7">
        <v>0</v>
      </c>
      <c r="AF73" s="7">
        <v>10</v>
      </c>
      <c r="AG73" s="7">
        <v>0</v>
      </c>
      <c r="AH73" s="7">
        <v>10</v>
      </c>
      <c r="AI73" s="7"/>
      <c r="AJ73" s="7">
        <v>32</v>
      </c>
      <c r="AK73" s="7">
        <v>0</v>
      </c>
      <c r="AL73" s="7"/>
      <c r="AM73" s="7"/>
      <c r="AN73" s="7">
        <v>10001</v>
      </c>
      <c r="AO73" s="7"/>
      <c r="AP73" s="7">
        <v>0</v>
      </c>
      <c r="AQ73" s="7">
        <v>4000</v>
      </c>
      <c r="AR73" s="7">
        <v>0</v>
      </c>
      <c r="AS73" s="7">
        <v>2</v>
      </c>
      <c r="AT73" s="54"/>
      <c r="AU73" s="54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</row>
    <row r="74" spans="1:58">
      <c r="A74" s="7">
        <v>416196</v>
      </c>
      <c r="B74" s="7">
        <v>1</v>
      </c>
      <c r="C74" s="7" t="s">
        <v>3569</v>
      </c>
      <c r="D74" s="7" t="s">
        <v>3689</v>
      </c>
      <c r="E74" s="7" t="s">
        <v>3923</v>
      </c>
      <c r="F74" s="7" t="s">
        <v>3923</v>
      </c>
      <c r="G74" s="7">
        <v>1</v>
      </c>
      <c r="H74" s="7" t="s">
        <v>3863</v>
      </c>
      <c r="I74" s="7">
        <v>1</v>
      </c>
      <c r="J74" s="7">
        <v>1</v>
      </c>
      <c r="K74" s="7">
        <v>1</v>
      </c>
      <c r="L74" s="7">
        <v>14</v>
      </c>
      <c r="M74" s="7">
        <v>14</v>
      </c>
      <c r="N74" s="7">
        <v>1</v>
      </c>
      <c r="O74" s="7"/>
      <c r="P74" s="7"/>
      <c r="Q74" s="7"/>
      <c r="R74" s="7"/>
      <c r="S74" s="7">
        <v>0</v>
      </c>
      <c r="T74" s="7">
        <v>0</v>
      </c>
      <c r="U74" s="7">
        <v>8</v>
      </c>
      <c r="V74" s="7">
        <v>8</v>
      </c>
      <c r="W74" s="7">
        <v>2</v>
      </c>
      <c r="X74" s="7">
        <v>0</v>
      </c>
      <c r="Y74" s="7">
        <v>2</v>
      </c>
      <c r="Z74" s="7"/>
      <c r="AA74" s="7" t="s">
        <v>3902</v>
      </c>
      <c r="AB74" s="7">
        <v>9300</v>
      </c>
      <c r="AC74" s="7">
        <v>1</v>
      </c>
      <c r="AD74" s="7">
        <v>1210</v>
      </c>
      <c r="AE74" s="7">
        <v>0</v>
      </c>
      <c r="AF74" s="7">
        <v>10</v>
      </c>
      <c r="AG74" s="7">
        <v>0</v>
      </c>
      <c r="AH74" s="7">
        <v>10</v>
      </c>
      <c r="AI74" s="7"/>
      <c r="AJ74" s="7">
        <v>32</v>
      </c>
      <c r="AK74" s="7">
        <v>0</v>
      </c>
      <c r="AL74" s="7"/>
      <c r="AM74" s="7"/>
      <c r="AN74" s="7">
        <v>10001</v>
      </c>
      <c r="AO74" s="7"/>
      <c r="AP74" s="7">
        <v>0</v>
      </c>
      <c r="AQ74" s="7">
        <v>4000</v>
      </c>
      <c r="AR74" s="7">
        <v>0</v>
      </c>
      <c r="AS74" s="7">
        <v>2</v>
      </c>
      <c r="AT74" s="54"/>
      <c r="AU74" s="54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</row>
    <row r="75" spans="1:58">
      <c r="A75" s="7">
        <v>416197</v>
      </c>
      <c r="B75" s="7">
        <v>1</v>
      </c>
      <c r="C75" s="7" t="s">
        <v>3570</v>
      </c>
      <c r="D75" s="7" t="s">
        <v>3690</v>
      </c>
      <c r="E75" s="7" t="s">
        <v>3474</v>
      </c>
      <c r="F75" s="7" t="s">
        <v>3778</v>
      </c>
      <c r="G75" s="7">
        <v>1</v>
      </c>
      <c r="H75" s="7" t="s">
        <v>3864</v>
      </c>
      <c r="I75" s="7">
        <v>1</v>
      </c>
      <c r="J75" s="7">
        <v>1</v>
      </c>
      <c r="K75" s="7">
        <v>1</v>
      </c>
      <c r="L75" s="7">
        <v>14</v>
      </c>
      <c r="M75" s="7">
        <v>14</v>
      </c>
      <c r="N75" s="7">
        <v>1</v>
      </c>
      <c r="O75" s="7"/>
      <c r="P75" s="7"/>
      <c r="Q75" s="7"/>
      <c r="R75" s="7"/>
      <c r="S75" s="7">
        <v>0</v>
      </c>
      <c r="T75" s="7">
        <v>0</v>
      </c>
      <c r="U75" s="7">
        <v>8</v>
      </c>
      <c r="V75" s="7">
        <v>8</v>
      </c>
      <c r="W75" s="7">
        <v>2</v>
      </c>
      <c r="X75" s="7">
        <v>0</v>
      </c>
      <c r="Y75" s="7">
        <v>2</v>
      </c>
      <c r="Z75" s="7"/>
      <c r="AA75" s="7" t="s">
        <v>3902</v>
      </c>
      <c r="AB75" s="7">
        <v>9300</v>
      </c>
      <c r="AC75" s="7">
        <v>1</v>
      </c>
      <c r="AD75" s="7">
        <v>1210</v>
      </c>
      <c r="AE75" s="7">
        <v>0</v>
      </c>
      <c r="AF75" s="7">
        <v>10</v>
      </c>
      <c r="AG75" s="7">
        <v>0</v>
      </c>
      <c r="AH75" s="7">
        <v>10</v>
      </c>
      <c r="AI75" s="7"/>
      <c r="AJ75" s="7">
        <v>32</v>
      </c>
      <c r="AK75" s="7">
        <v>0</v>
      </c>
      <c r="AL75" s="7"/>
      <c r="AM75" s="7"/>
      <c r="AN75" s="7">
        <v>10001</v>
      </c>
      <c r="AO75" s="7"/>
      <c r="AP75" s="7">
        <v>0</v>
      </c>
      <c r="AQ75" s="7">
        <v>4000</v>
      </c>
      <c r="AR75" s="7">
        <v>0</v>
      </c>
      <c r="AS75" s="7">
        <v>2</v>
      </c>
      <c r="AT75" s="54"/>
      <c r="AU75" s="54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</row>
    <row r="76" spans="1:58">
      <c r="A76" s="7">
        <v>416198</v>
      </c>
      <c r="B76" s="7">
        <v>1</v>
      </c>
      <c r="C76" s="7" t="s">
        <v>3571</v>
      </c>
      <c r="D76" s="7" t="s">
        <v>3691</v>
      </c>
      <c r="E76" s="7" t="s">
        <v>3475</v>
      </c>
      <c r="F76" s="7" t="s">
        <v>3779</v>
      </c>
      <c r="G76" s="7">
        <v>1</v>
      </c>
      <c r="H76" s="7" t="s">
        <v>3865</v>
      </c>
      <c r="I76" s="7">
        <v>1</v>
      </c>
      <c r="J76" s="7">
        <v>1</v>
      </c>
      <c r="K76" s="7">
        <v>1</v>
      </c>
      <c r="L76" s="7">
        <v>14</v>
      </c>
      <c r="M76" s="7">
        <v>14</v>
      </c>
      <c r="N76" s="7">
        <v>1</v>
      </c>
      <c r="O76" s="7"/>
      <c r="P76" s="7"/>
      <c r="Q76" s="7"/>
      <c r="R76" s="7"/>
      <c r="S76" s="7">
        <v>0</v>
      </c>
      <c r="T76" s="7">
        <v>0</v>
      </c>
      <c r="U76" s="7">
        <v>8</v>
      </c>
      <c r="V76" s="7">
        <v>8</v>
      </c>
      <c r="W76" s="7">
        <v>2</v>
      </c>
      <c r="X76" s="7">
        <v>0</v>
      </c>
      <c r="Y76" s="7">
        <v>2</v>
      </c>
      <c r="Z76" s="7"/>
      <c r="AA76" s="7" t="s">
        <v>3902</v>
      </c>
      <c r="AB76" s="7">
        <v>9300</v>
      </c>
      <c r="AC76" s="7">
        <v>1</v>
      </c>
      <c r="AD76" s="7">
        <v>1210</v>
      </c>
      <c r="AE76" s="7">
        <v>0</v>
      </c>
      <c r="AF76" s="7">
        <v>10</v>
      </c>
      <c r="AG76" s="7">
        <v>0</v>
      </c>
      <c r="AH76" s="7">
        <v>10</v>
      </c>
      <c r="AI76" s="7"/>
      <c r="AJ76" s="7">
        <v>32</v>
      </c>
      <c r="AK76" s="7">
        <v>0</v>
      </c>
      <c r="AL76" s="7"/>
      <c r="AM76" s="7"/>
      <c r="AN76" s="7">
        <v>10001</v>
      </c>
      <c r="AO76" s="7"/>
      <c r="AP76" s="7">
        <v>0</v>
      </c>
      <c r="AQ76" s="7">
        <v>4000</v>
      </c>
      <c r="AR76" s="7">
        <v>0</v>
      </c>
      <c r="AS76" s="7">
        <v>2</v>
      </c>
      <c r="AT76" s="54"/>
      <c r="AU76" s="54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</row>
    <row r="77" spans="1:58">
      <c r="A77" s="7">
        <v>416199</v>
      </c>
      <c r="B77" s="7">
        <v>1</v>
      </c>
      <c r="C77" s="7" t="s">
        <v>3572</v>
      </c>
      <c r="D77" s="7" t="s">
        <v>3692</v>
      </c>
      <c r="E77" s="7" t="s">
        <v>3476</v>
      </c>
      <c r="F77" s="7" t="s">
        <v>3780</v>
      </c>
      <c r="G77" s="7">
        <v>1</v>
      </c>
      <c r="H77" s="7">
        <v>630003</v>
      </c>
      <c r="I77" s="7">
        <v>1</v>
      </c>
      <c r="J77" s="7">
        <v>1</v>
      </c>
      <c r="K77" s="7">
        <v>1</v>
      </c>
      <c r="L77" s="7">
        <v>14</v>
      </c>
      <c r="M77" s="7">
        <v>14</v>
      </c>
      <c r="N77" s="7">
        <v>1</v>
      </c>
      <c r="O77" s="7"/>
      <c r="P77" s="7"/>
      <c r="Q77" s="7"/>
      <c r="R77" s="7"/>
      <c r="S77" s="7">
        <v>0</v>
      </c>
      <c r="T77" s="7">
        <v>0</v>
      </c>
      <c r="U77" s="7">
        <v>8</v>
      </c>
      <c r="V77" s="7">
        <v>8</v>
      </c>
      <c r="W77" s="7">
        <v>2</v>
      </c>
      <c r="X77" s="7">
        <v>0</v>
      </c>
      <c r="Y77" s="7">
        <v>2</v>
      </c>
      <c r="Z77" s="7"/>
      <c r="AA77" s="7" t="s">
        <v>3902</v>
      </c>
      <c r="AB77" s="7">
        <v>9300</v>
      </c>
      <c r="AC77" s="7">
        <v>1</v>
      </c>
      <c r="AD77" s="7">
        <v>1210</v>
      </c>
      <c r="AE77" s="7">
        <v>0</v>
      </c>
      <c r="AF77" s="7">
        <v>10</v>
      </c>
      <c r="AG77" s="7">
        <v>0</v>
      </c>
      <c r="AH77" s="7">
        <v>10</v>
      </c>
      <c r="AI77" s="7"/>
      <c r="AJ77" s="7">
        <v>32</v>
      </c>
      <c r="AK77" s="7">
        <v>0</v>
      </c>
      <c r="AL77" s="7"/>
      <c r="AM77" s="7"/>
      <c r="AN77" s="7">
        <v>10001</v>
      </c>
      <c r="AO77" s="7"/>
      <c r="AP77" s="7">
        <v>0</v>
      </c>
      <c r="AQ77" s="7">
        <v>4000</v>
      </c>
      <c r="AR77" s="7">
        <v>0</v>
      </c>
      <c r="AS77" s="7">
        <v>2</v>
      </c>
      <c r="AT77" s="54"/>
      <c r="AU77" s="54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</row>
    <row r="78" spans="1:58">
      <c r="A78" s="7">
        <v>416200</v>
      </c>
      <c r="B78" s="7">
        <v>1</v>
      </c>
      <c r="C78" s="7" t="s">
        <v>3573</v>
      </c>
      <c r="D78" s="7" t="s">
        <v>3693</v>
      </c>
      <c r="E78" s="7" t="s">
        <v>3477</v>
      </c>
      <c r="F78" s="7" t="s">
        <v>3781</v>
      </c>
      <c r="G78" s="7">
        <v>1</v>
      </c>
      <c r="H78" s="7" t="s">
        <v>3866</v>
      </c>
      <c r="I78" s="7">
        <v>1</v>
      </c>
      <c r="J78" s="7">
        <v>1</v>
      </c>
      <c r="K78" s="7">
        <v>1</v>
      </c>
      <c r="L78" s="7">
        <v>14</v>
      </c>
      <c r="M78" s="7">
        <v>14</v>
      </c>
      <c r="N78" s="7">
        <v>1</v>
      </c>
      <c r="O78" s="7"/>
      <c r="P78" s="7"/>
      <c r="Q78" s="7"/>
      <c r="R78" s="7"/>
      <c r="S78" s="7">
        <v>0</v>
      </c>
      <c r="T78" s="7">
        <v>0</v>
      </c>
      <c r="U78" s="7">
        <v>8</v>
      </c>
      <c r="V78" s="7">
        <v>8</v>
      </c>
      <c r="W78" s="7">
        <v>2</v>
      </c>
      <c r="X78" s="7">
        <v>0</v>
      </c>
      <c r="Y78" s="7">
        <v>2</v>
      </c>
      <c r="Z78" s="7"/>
      <c r="AA78" s="7" t="s">
        <v>3902</v>
      </c>
      <c r="AB78" s="7">
        <v>9300</v>
      </c>
      <c r="AC78" s="7">
        <v>1</v>
      </c>
      <c r="AD78" s="7">
        <v>1210</v>
      </c>
      <c r="AE78" s="7">
        <v>0</v>
      </c>
      <c r="AF78" s="7">
        <v>10</v>
      </c>
      <c r="AG78" s="7">
        <v>0</v>
      </c>
      <c r="AH78" s="7">
        <v>10</v>
      </c>
      <c r="AI78" s="7"/>
      <c r="AJ78" s="7">
        <v>32</v>
      </c>
      <c r="AK78" s="7">
        <v>0</v>
      </c>
      <c r="AL78" s="7"/>
      <c r="AM78" s="7"/>
      <c r="AN78" s="7">
        <v>10001</v>
      </c>
      <c r="AO78" s="7"/>
      <c r="AP78" s="7">
        <v>0</v>
      </c>
      <c r="AQ78" s="7">
        <v>4000</v>
      </c>
      <c r="AR78" s="7">
        <v>0</v>
      </c>
      <c r="AS78" s="7">
        <v>2</v>
      </c>
      <c r="AT78" s="54"/>
      <c r="AU78" s="54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</row>
    <row r="79" spans="1:58">
      <c r="A79" s="7">
        <v>416201</v>
      </c>
      <c r="B79" s="7">
        <v>1</v>
      </c>
      <c r="C79" s="7" t="s">
        <v>3574</v>
      </c>
      <c r="D79" s="7" t="s">
        <v>3694</v>
      </c>
      <c r="E79" s="7" t="s">
        <v>3782</v>
      </c>
      <c r="F79" s="7" t="s">
        <v>3782</v>
      </c>
      <c r="G79" s="7">
        <v>1</v>
      </c>
      <c r="H79" s="7" t="s">
        <v>3867</v>
      </c>
      <c r="I79" s="7">
        <v>1</v>
      </c>
      <c r="J79" s="7">
        <v>1</v>
      </c>
      <c r="K79" s="7">
        <v>1</v>
      </c>
      <c r="L79" s="7">
        <v>14</v>
      </c>
      <c r="M79" s="7">
        <v>14</v>
      </c>
      <c r="N79" s="7">
        <v>1</v>
      </c>
      <c r="O79" s="7"/>
      <c r="P79" s="7"/>
      <c r="Q79" s="7"/>
      <c r="R79" s="7"/>
      <c r="S79" s="7">
        <v>0</v>
      </c>
      <c r="T79" s="7">
        <v>0</v>
      </c>
      <c r="U79" s="7">
        <v>8</v>
      </c>
      <c r="V79" s="7">
        <v>8</v>
      </c>
      <c r="W79" s="7">
        <v>2</v>
      </c>
      <c r="X79" s="7">
        <v>0</v>
      </c>
      <c r="Y79" s="7">
        <v>2</v>
      </c>
      <c r="Z79" s="7"/>
      <c r="AA79" s="7" t="s">
        <v>3902</v>
      </c>
      <c r="AB79" s="7">
        <v>9300</v>
      </c>
      <c r="AC79" s="7">
        <v>1</v>
      </c>
      <c r="AD79" s="7">
        <v>1210</v>
      </c>
      <c r="AE79" s="7">
        <v>0</v>
      </c>
      <c r="AF79" s="7">
        <v>10</v>
      </c>
      <c r="AG79" s="7">
        <v>0</v>
      </c>
      <c r="AH79" s="7">
        <v>10</v>
      </c>
      <c r="AI79" s="7"/>
      <c r="AJ79" s="7">
        <v>32</v>
      </c>
      <c r="AK79" s="7">
        <v>0</v>
      </c>
      <c r="AL79" s="7"/>
      <c r="AM79" s="7"/>
      <c r="AN79" s="7">
        <v>10001</v>
      </c>
      <c r="AO79" s="7"/>
      <c r="AP79" s="7">
        <v>0</v>
      </c>
      <c r="AQ79" s="7">
        <v>4000</v>
      </c>
      <c r="AR79" s="7">
        <v>0</v>
      </c>
      <c r="AS79" s="7">
        <v>2</v>
      </c>
      <c r="AT79" s="54"/>
      <c r="AU79" s="54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</row>
    <row r="80" spans="1:58">
      <c r="A80" s="7">
        <v>416202</v>
      </c>
      <c r="B80" s="7">
        <v>1</v>
      </c>
      <c r="C80" s="7" t="s">
        <v>3575</v>
      </c>
      <c r="D80" s="7" t="s">
        <v>3695</v>
      </c>
      <c r="E80" s="7" t="s">
        <v>3479</v>
      </c>
      <c r="F80" s="7" t="s">
        <v>3783</v>
      </c>
      <c r="G80" s="7">
        <v>1</v>
      </c>
      <c r="H80" s="7" t="s">
        <v>3868</v>
      </c>
      <c r="I80" s="7">
        <v>1</v>
      </c>
      <c r="J80" s="7">
        <v>1</v>
      </c>
      <c r="K80" s="7">
        <v>1</v>
      </c>
      <c r="L80" s="7">
        <v>14</v>
      </c>
      <c r="M80" s="7">
        <v>14</v>
      </c>
      <c r="N80" s="7">
        <v>1</v>
      </c>
      <c r="O80" s="7"/>
      <c r="P80" s="7"/>
      <c r="Q80" s="7"/>
      <c r="R80" s="7"/>
      <c r="S80" s="7">
        <v>0</v>
      </c>
      <c r="T80" s="7">
        <v>0</v>
      </c>
      <c r="U80" s="7">
        <v>8</v>
      </c>
      <c r="V80" s="7">
        <v>8</v>
      </c>
      <c r="W80" s="7">
        <v>2</v>
      </c>
      <c r="X80" s="7">
        <v>0</v>
      </c>
      <c r="Y80" s="7">
        <v>2</v>
      </c>
      <c r="Z80" s="7"/>
      <c r="AA80" s="7" t="s">
        <v>3902</v>
      </c>
      <c r="AB80" s="7">
        <v>9300</v>
      </c>
      <c r="AC80" s="7">
        <v>1</v>
      </c>
      <c r="AD80" s="7">
        <v>1210</v>
      </c>
      <c r="AE80" s="7">
        <v>0</v>
      </c>
      <c r="AF80" s="7">
        <v>10</v>
      </c>
      <c r="AG80" s="7">
        <v>0</v>
      </c>
      <c r="AH80" s="7">
        <v>10</v>
      </c>
      <c r="AI80" s="7"/>
      <c r="AJ80" s="7">
        <v>32</v>
      </c>
      <c r="AK80" s="7">
        <v>0</v>
      </c>
      <c r="AL80" s="7"/>
      <c r="AM80" s="7"/>
      <c r="AN80" s="7">
        <v>10001</v>
      </c>
      <c r="AO80" s="7"/>
      <c r="AP80" s="7">
        <v>0</v>
      </c>
      <c r="AQ80" s="7">
        <v>4000</v>
      </c>
      <c r="AR80" s="7">
        <v>0</v>
      </c>
      <c r="AS80" s="7">
        <v>2</v>
      </c>
      <c r="AT80" s="54"/>
      <c r="AU80" s="54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</row>
    <row r="81" spans="1:58">
      <c r="A81" s="7">
        <v>416203</v>
      </c>
      <c r="B81" s="7">
        <v>1</v>
      </c>
      <c r="C81" s="7" t="s">
        <v>3611</v>
      </c>
      <c r="D81" s="7" t="s">
        <v>3991</v>
      </c>
      <c r="E81" s="7" t="s">
        <v>4016</v>
      </c>
      <c r="F81" s="7" t="s">
        <v>4016</v>
      </c>
      <c r="G81" s="7">
        <v>1</v>
      </c>
      <c r="H81" s="7" t="s">
        <v>3869</v>
      </c>
      <c r="I81" s="7">
        <v>1</v>
      </c>
      <c r="J81" s="7">
        <v>1</v>
      </c>
      <c r="K81" s="7">
        <v>1</v>
      </c>
      <c r="L81" s="7">
        <v>14</v>
      </c>
      <c r="M81" s="7">
        <v>14</v>
      </c>
      <c r="N81" s="7">
        <v>1</v>
      </c>
      <c r="O81" s="7"/>
      <c r="P81" s="7"/>
      <c r="Q81" s="7"/>
      <c r="R81" s="7"/>
      <c r="S81" s="7">
        <v>0</v>
      </c>
      <c r="T81" s="7">
        <v>0</v>
      </c>
      <c r="U81" s="7">
        <v>8</v>
      </c>
      <c r="V81" s="7">
        <v>8</v>
      </c>
      <c r="W81" s="7">
        <v>2</v>
      </c>
      <c r="X81" s="7">
        <v>0</v>
      </c>
      <c r="Y81" s="7">
        <v>2</v>
      </c>
      <c r="Z81" s="7"/>
      <c r="AA81" s="7" t="s">
        <v>3902</v>
      </c>
      <c r="AB81" s="7">
        <v>9300</v>
      </c>
      <c r="AC81" s="7">
        <v>1</v>
      </c>
      <c r="AD81" s="7">
        <v>1210</v>
      </c>
      <c r="AE81" s="7">
        <v>0</v>
      </c>
      <c r="AF81" s="7">
        <v>10</v>
      </c>
      <c r="AG81" s="7">
        <v>0</v>
      </c>
      <c r="AH81" s="7">
        <v>10</v>
      </c>
      <c r="AI81" s="7"/>
      <c r="AJ81" s="7">
        <v>32</v>
      </c>
      <c r="AK81" s="7">
        <v>0</v>
      </c>
      <c r="AL81" s="7"/>
      <c r="AM81" s="7"/>
      <c r="AN81" s="7">
        <v>10001</v>
      </c>
      <c r="AO81" s="7"/>
      <c r="AP81" s="7">
        <v>0</v>
      </c>
      <c r="AQ81" s="7">
        <v>4000</v>
      </c>
      <c r="AR81" s="7">
        <v>0</v>
      </c>
      <c r="AS81" s="7">
        <v>2</v>
      </c>
      <c r="AT81" s="54"/>
      <c r="AU81" s="54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</row>
    <row r="82" spans="1:58">
      <c r="A82" s="7">
        <v>416204</v>
      </c>
      <c r="B82" s="7">
        <v>1</v>
      </c>
      <c r="C82" s="7" t="s">
        <v>3576</v>
      </c>
      <c r="D82" s="7" t="s">
        <v>3992</v>
      </c>
      <c r="E82" s="7" t="s">
        <v>4017</v>
      </c>
      <c r="F82" s="7" t="s">
        <v>4017</v>
      </c>
      <c r="G82" s="7">
        <v>1</v>
      </c>
      <c r="H82" s="7" t="s">
        <v>3870</v>
      </c>
      <c r="I82" s="7">
        <v>1</v>
      </c>
      <c r="J82" s="7">
        <v>1</v>
      </c>
      <c r="K82" s="7">
        <v>1</v>
      </c>
      <c r="L82" s="7">
        <v>14</v>
      </c>
      <c r="M82" s="7">
        <v>14</v>
      </c>
      <c r="N82" s="7">
        <v>1</v>
      </c>
      <c r="O82" s="7"/>
      <c r="P82" s="7"/>
      <c r="Q82" s="7"/>
      <c r="R82" s="7"/>
      <c r="S82" s="7">
        <v>0</v>
      </c>
      <c r="T82" s="7">
        <v>0</v>
      </c>
      <c r="U82" s="7">
        <v>8</v>
      </c>
      <c r="V82" s="7">
        <v>8</v>
      </c>
      <c r="W82" s="7">
        <v>2</v>
      </c>
      <c r="X82" s="7">
        <v>0</v>
      </c>
      <c r="Y82" s="7">
        <v>2</v>
      </c>
      <c r="Z82" s="7"/>
      <c r="AA82" s="7" t="s">
        <v>3902</v>
      </c>
      <c r="AB82" s="7">
        <v>9300</v>
      </c>
      <c r="AC82" s="7">
        <v>1</v>
      </c>
      <c r="AD82" s="7">
        <v>1210</v>
      </c>
      <c r="AE82" s="7">
        <v>0</v>
      </c>
      <c r="AF82" s="7">
        <v>10</v>
      </c>
      <c r="AG82" s="7">
        <v>0</v>
      </c>
      <c r="AH82" s="7">
        <v>10</v>
      </c>
      <c r="AI82" s="7"/>
      <c r="AJ82" s="7">
        <v>32</v>
      </c>
      <c r="AK82" s="7">
        <v>0</v>
      </c>
      <c r="AL82" s="7"/>
      <c r="AM82" s="7"/>
      <c r="AN82" s="7">
        <v>10001</v>
      </c>
      <c r="AO82" s="7"/>
      <c r="AP82" s="7">
        <v>0</v>
      </c>
      <c r="AQ82" s="7">
        <v>4000</v>
      </c>
      <c r="AR82" s="7">
        <v>0</v>
      </c>
      <c r="AS82" s="7">
        <v>2</v>
      </c>
      <c r="AT82" s="54"/>
      <c r="AU82" s="54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</row>
    <row r="83" spans="1:58">
      <c r="A83" s="7">
        <v>416205</v>
      </c>
      <c r="B83" s="7">
        <v>1</v>
      </c>
      <c r="C83" s="7" t="s">
        <v>3577</v>
      </c>
      <c r="D83" s="7" t="s">
        <v>3698</v>
      </c>
      <c r="E83" s="7" t="s">
        <v>3927</v>
      </c>
      <c r="F83" s="7" t="s">
        <v>3927</v>
      </c>
      <c r="G83" s="7">
        <v>1</v>
      </c>
      <c r="H83" s="7" t="s">
        <v>3871</v>
      </c>
      <c r="I83" s="7">
        <v>1</v>
      </c>
      <c r="J83" s="7">
        <v>1</v>
      </c>
      <c r="K83" s="7">
        <v>1</v>
      </c>
      <c r="L83" s="7">
        <v>14</v>
      </c>
      <c r="M83" s="7">
        <v>14</v>
      </c>
      <c r="N83" s="7">
        <v>1</v>
      </c>
      <c r="O83" s="7"/>
      <c r="P83" s="7"/>
      <c r="Q83" s="7"/>
      <c r="R83" s="7"/>
      <c r="S83" s="7">
        <v>0</v>
      </c>
      <c r="T83" s="7">
        <v>0</v>
      </c>
      <c r="U83" s="7">
        <v>8</v>
      </c>
      <c r="V83" s="7">
        <v>8</v>
      </c>
      <c r="W83" s="7">
        <v>2</v>
      </c>
      <c r="X83" s="7">
        <v>0</v>
      </c>
      <c r="Y83" s="7">
        <v>2</v>
      </c>
      <c r="Z83" s="7"/>
      <c r="AA83" s="7" t="s">
        <v>3902</v>
      </c>
      <c r="AB83" s="7">
        <v>9300</v>
      </c>
      <c r="AC83" s="7">
        <v>1</v>
      </c>
      <c r="AD83" s="7">
        <v>1210</v>
      </c>
      <c r="AE83" s="7">
        <v>0</v>
      </c>
      <c r="AF83" s="7">
        <v>10</v>
      </c>
      <c r="AG83" s="7">
        <v>0</v>
      </c>
      <c r="AH83" s="7">
        <v>10</v>
      </c>
      <c r="AI83" s="7"/>
      <c r="AJ83" s="7">
        <v>32</v>
      </c>
      <c r="AK83" s="7">
        <v>0</v>
      </c>
      <c r="AL83" s="7"/>
      <c r="AM83" s="7"/>
      <c r="AN83" s="7">
        <v>10001</v>
      </c>
      <c r="AO83" s="7"/>
      <c r="AP83" s="7">
        <v>0</v>
      </c>
      <c r="AQ83" s="7">
        <v>4000</v>
      </c>
      <c r="AR83" s="7">
        <v>0</v>
      </c>
      <c r="AS83" s="7">
        <v>2</v>
      </c>
      <c r="AT83" s="54"/>
      <c r="AU83" s="54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spans="1:58">
      <c r="A84" s="7">
        <v>416206</v>
      </c>
      <c r="B84" s="7">
        <v>1</v>
      </c>
      <c r="C84" s="7" t="s">
        <v>3619</v>
      </c>
      <c r="D84" s="7" t="s">
        <v>3699</v>
      </c>
      <c r="E84" s="7" t="s">
        <v>3483</v>
      </c>
      <c r="F84" s="7" t="s">
        <v>3784</v>
      </c>
      <c r="G84" s="7">
        <v>1</v>
      </c>
      <c r="H84" s="7">
        <v>106803</v>
      </c>
      <c r="I84" s="7">
        <v>1</v>
      </c>
      <c r="J84" s="7">
        <v>1</v>
      </c>
      <c r="K84" s="7">
        <v>1</v>
      </c>
      <c r="L84" s="7">
        <v>14</v>
      </c>
      <c r="M84" s="7">
        <v>14</v>
      </c>
      <c r="N84" s="7">
        <v>1</v>
      </c>
      <c r="O84" s="7"/>
      <c r="P84" s="7"/>
      <c r="Q84" s="7"/>
      <c r="R84" s="7"/>
      <c r="S84" s="7">
        <v>0</v>
      </c>
      <c r="T84" s="7">
        <v>0</v>
      </c>
      <c r="U84" s="7">
        <v>8</v>
      </c>
      <c r="V84" s="7">
        <v>8</v>
      </c>
      <c r="W84" s="7">
        <v>2</v>
      </c>
      <c r="X84" s="7">
        <v>0</v>
      </c>
      <c r="Y84" s="7">
        <v>2</v>
      </c>
      <c r="Z84" s="7"/>
      <c r="AA84" s="7" t="s">
        <v>3902</v>
      </c>
      <c r="AB84" s="7">
        <v>9300</v>
      </c>
      <c r="AC84" s="7">
        <v>1</v>
      </c>
      <c r="AD84" s="7">
        <v>1210</v>
      </c>
      <c r="AE84" s="7">
        <v>0</v>
      </c>
      <c r="AF84" s="7">
        <v>10</v>
      </c>
      <c r="AG84" s="7">
        <v>0</v>
      </c>
      <c r="AH84" s="7">
        <v>10</v>
      </c>
      <c r="AI84" s="7"/>
      <c r="AJ84" s="7">
        <v>32</v>
      </c>
      <c r="AK84" s="7">
        <v>0</v>
      </c>
      <c r="AL84" s="7"/>
      <c r="AM84" s="7"/>
      <c r="AN84" s="7">
        <v>10001</v>
      </c>
      <c r="AO84" s="7"/>
      <c r="AP84" s="7">
        <v>0</v>
      </c>
      <c r="AQ84" s="7">
        <v>4000</v>
      </c>
      <c r="AR84" s="7">
        <v>0</v>
      </c>
      <c r="AS84" s="7">
        <v>2</v>
      </c>
      <c r="AT84" s="54"/>
      <c r="AU84" s="54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</row>
    <row r="85" spans="1:58">
      <c r="A85" s="7">
        <v>416207</v>
      </c>
      <c r="B85" s="7">
        <v>1</v>
      </c>
      <c r="C85" s="7" t="s">
        <v>3578</v>
      </c>
      <c r="D85" s="7" t="s">
        <v>3993</v>
      </c>
      <c r="E85" s="7" t="s">
        <v>4018</v>
      </c>
      <c r="F85" s="7" t="s">
        <v>4025</v>
      </c>
      <c r="G85" s="7">
        <v>1</v>
      </c>
      <c r="H85" s="7"/>
      <c r="I85" s="7">
        <v>1</v>
      </c>
      <c r="J85" s="7">
        <v>1</v>
      </c>
      <c r="K85" s="7">
        <v>1</v>
      </c>
      <c r="L85" s="7">
        <v>14</v>
      </c>
      <c r="M85" s="7">
        <v>14</v>
      </c>
      <c r="N85" s="7">
        <v>1</v>
      </c>
      <c r="O85" s="7"/>
      <c r="P85" s="7"/>
      <c r="Q85" s="7"/>
      <c r="R85" s="7"/>
      <c r="S85" s="7">
        <v>0</v>
      </c>
      <c r="T85" s="7">
        <v>0</v>
      </c>
      <c r="U85" s="7">
        <v>8</v>
      </c>
      <c r="V85" s="7">
        <v>8</v>
      </c>
      <c r="W85" s="7">
        <v>2</v>
      </c>
      <c r="X85" s="7">
        <v>0</v>
      </c>
      <c r="Y85" s="7">
        <v>2</v>
      </c>
      <c r="Z85" s="7"/>
      <c r="AA85" s="7" t="s">
        <v>3902</v>
      </c>
      <c r="AB85" s="7">
        <v>9300</v>
      </c>
      <c r="AC85" s="7">
        <v>1</v>
      </c>
      <c r="AD85" s="7">
        <v>1210</v>
      </c>
      <c r="AE85" s="7">
        <v>0</v>
      </c>
      <c r="AF85" s="7">
        <v>10</v>
      </c>
      <c r="AG85" s="7">
        <v>0</v>
      </c>
      <c r="AH85" s="7">
        <v>10</v>
      </c>
      <c r="AI85" s="7"/>
      <c r="AJ85" s="7">
        <v>32</v>
      </c>
      <c r="AK85" s="7">
        <v>0</v>
      </c>
      <c r="AL85" s="7"/>
      <c r="AM85" s="7"/>
      <c r="AN85" s="7">
        <v>10001</v>
      </c>
      <c r="AO85" s="7"/>
      <c r="AP85" s="7">
        <v>0</v>
      </c>
      <c r="AQ85" s="7">
        <v>4000</v>
      </c>
      <c r="AR85" s="7">
        <v>0</v>
      </c>
      <c r="AS85" s="7">
        <v>2</v>
      </c>
      <c r="AT85" s="54"/>
      <c r="AU85" s="54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spans="1:58">
      <c r="A86" s="7">
        <v>416208</v>
      </c>
      <c r="B86" s="7">
        <v>1</v>
      </c>
      <c r="C86" s="7" t="s">
        <v>3579</v>
      </c>
      <c r="D86" s="7" t="s">
        <v>3701</v>
      </c>
      <c r="E86" s="7" t="s">
        <v>3485</v>
      </c>
      <c r="F86" s="7" t="s">
        <v>3786</v>
      </c>
      <c r="G86" s="7">
        <v>1</v>
      </c>
      <c r="H86" s="7" t="s">
        <v>3872</v>
      </c>
      <c r="I86" s="7">
        <v>1</v>
      </c>
      <c r="J86" s="7">
        <v>1</v>
      </c>
      <c r="K86" s="7">
        <v>1</v>
      </c>
      <c r="L86" s="7">
        <v>14</v>
      </c>
      <c r="M86" s="7">
        <v>14</v>
      </c>
      <c r="N86" s="7">
        <v>1</v>
      </c>
      <c r="O86" s="7"/>
      <c r="P86" s="7"/>
      <c r="Q86" s="7"/>
      <c r="R86" s="7"/>
      <c r="S86" s="7">
        <v>0</v>
      </c>
      <c r="T86" s="7">
        <v>0</v>
      </c>
      <c r="U86" s="7">
        <v>8</v>
      </c>
      <c r="V86" s="7">
        <v>8</v>
      </c>
      <c r="W86" s="7">
        <v>2</v>
      </c>
      <c r="X86" s="7">
        <v>0</v>
      </c>
      <c r="Y86" s="7">
        <v>2</v>
      </c>
      <c r="Z86" s="7"/>
      <c r="AA86" s="7" t="s">
        <v>3902</v>
      </c>
      <c r="AB86" s="7">
        <v>9300</v>
      </c>
      <c r="AC86" s="7">
        <v>1</v>
      </c>
      <c r="AD86" s="7">
        <v>1210</v>
      </c>
      <c r="AE86" s="7">
        <v>0</v>
      </c>
      <c r="AF86" s="7">
        <v>10</v>
      </c>
      <c r="AG86" s="7">
        <v>0</v>
      </c>
      <c r="AH86" s="7">
        <v>10</v>
      </c>
      <c r="AI86" s="7"/>
      <c r="AJ86" s="7">
        <v>32</v>
      </c>
      <c r="AK86" s="7">
        <v>0</v>
      </c>
      <c r="AL86" s="7"/>
      <c r="AM86" s="7"/>
      <c r="AN86" s="7">
        <v>10001</v>
      </c>
      <c r="AO86" s="7"/>
      <c r="AP86" s="7">
        <v>0</v>
      </c>
      <c r="AQ86" s="7">
        <v>4000</v>
      </c>
      <c r="AR86" s="7">
        <v>0</v>
      </c>
      <c r="AS86" s="7">
        <v>2</v>
      </c>
      <c r="AT86" s="54"/>
      <c r="AU86" s="54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</row>
    <row r="87" spans="1:58">
      <c r="A87" s="7">
        <v>416209</v>
      </c>
      <c r="B87" s="7">
        <v>1</v>
      </c>
      <c r="C87" s="7" t="s">
        <v>3580</v>
      </c>
      <c r="D87" s="7" t="s">
        <v>3702</v>
      </c>
      <c r="E87" s="7" t="s">
        <v>3486</v>
      </c>
      <c r="F87" s="7" t="s">
        <v>3787</v>
      </c>
      <c r="G87" s="7">
        <v>1</v>
      </c>
      <c r="H87" s="7" t="s">
        <v>3873</v>
      </c>
      <c r="I87" s="7">
        <v>1</v>
      </c>
      <c r="J87" s="7">
        <v>1</v>
      </c>
      <c r="K87" s="7">
        <v>1</v>
      </c>
      <c r="L87" s="7">
        <v>14</v>
      </c>
      <c r="M87" s="7">
        <v>14</v>
      </c>
      <c r="N87" s="7">
        <v>1</v>
      </c>
      <c r="O87" s="7"/>
      <c r="P87" s="7"/>
      <c r="Q87" s="7"/>
      <c r="R87" s="7"/>
      <c r="S87" s="7">
        <v>0</v>
      </c>
      <c r="T87" s="7">
        <v>0</v>
      </c>
      <c r="U87" s="7">
        <v>8</v>
      </c>
      <c r="V87" s="7">
        <v>8</v>
      </c>
      <c r="W87" s="7">
        <v>2</v>
      </c>
      <c r="X87" s="7">
        <v>0</v>
      </c>
      <c r="Y87" s="7">
        <v>2</v>
      </c>
      <c r="Z87" s="7"/>
      <c r="AA87" s="7" t="s">
        <v>3902</v>
      </c>
      <c r="AB87" s="7">
        <v>8461</v>
      </c>
      <c r="AC87" s="7">
        <v>1</v>
      </c>
      <c r="AD87" s="7">
        <v>1210</v>
      </c>
      <c r="AE87" s="7">
        <v>0</v>
      </c>
      <c r="AF87" s="7">
        <v>10</v>
      </c>
      <c r="AG87" s="7">
        <v>0</v>
      </c>
      <c r="AH87" s="7">
        <v>10</v>
      </c>
      <c r="AI87" s="7"/>
      <c r="AJ87" s="7">
        <v>32</v>
      </c>
      <c r="AK87" s="7">
        <v>0</v>
      </c>
      <c r="AL87" s="7"/>
      <c r="AM87" s="7"/>
      <c r="AN87" s="7">
        <v>10001</v>
      </c>
      <c r="AO87" s="7"/>
      <c r="AP87" s="7">
        <v>0</v>
      </c>
      <c r="AQ87" s="7">
        <v>4000</v>
      </c>
      <c r="AR87" s="7">
        <v>0</v>
      </c>
      <c r="AS87" s="7">
        <v>2</v>
      </c>
      <c r="AT87" s="54"/>
      <c r="AU87" s="54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spans="1:58">
      <c r="A88" s="7">
        <v>416210</v>
      </c>
      <c r="B88" s="7">
        <v>1</v>
      </c>
      <c r="C88" s="7" t="s">
        <v>3581</v>
      </c>
      <c r="D88" s="7" t="s">
        <v>3994</v>
      </c>
      <c r="E88" s="7" t="s">
        <v>4019</v>
      </c>
      <c r="F88" s="7" t="s">
        <v>4026</v>
      </c>
      <c r="G88" s="7">
        <v>1</v>
      </c>
      <c r="H88" s="7" t="s">
        <v>3874</v>
      </c>
      <c r="I88" s="7">
        <v>1</v>
      </c>
      <c r="J88" s="7">
        <v>1</v>
      </c>
      <c r="K88" s="7">
        <v>1</v>
      </c>
      <c r="L88" s="7">
        <v>14</v>
      </c>
      <c r="M88" s="7">
        <v>14</v>
      </c>
      <c r="N88" s="7">
        <v>1</v>
      </c>
      <c r="O88" s="7"/>
      <c r="P88" s="7"/>
      <c r="Q88" s="7"/>
      <c r="R88" s="7"/>
      <c r="S88" s="7">
        <v>0</v>
      </c>
      <c r="T88" s="7">
        <v>0</v>
      </c>
      <c r="U88" s="7">
        <v>8</v>
      </c>
      <c r="V88" s="7">
        <v>8</v>
      </c>
      <c r="W88" s="7">
        <v>2</v>
      </c>
      <c r="X88" s="7">
        <v>0</v>
      </c>
      <c r="Y88" s="7">
        <v>2</v>
      </c>
      <c r="Z88" s="7"/>
      <c r="AA88" s="7" t="s">
        <v>3902</v>
      </c>
      <c r="AB88" s="7">
        <v>8461</v>
      </c>
      <c r="AC88" s="7">
        <v>1</v>
      </c>
      <c r="AD88" s="7">
        <v>1210</v>
      </c>
      <c r="AE88" s="7">
        <v>0</v>
      </c>
      <c r="AF88" s="7">
        <v>10</v>
      </c>
      <c r="AG88" s="7">
        <v>0</v>
      </c>
      <c r="AH88" s="7">
        <v>10</v>
      </c>
      <c r="AI88" s="7"/>
      <c r="AJ88" s="7">
        <v>32</v>
      </c>
      <c r="AK88" s="7">
        <v>0</v>
      </c>
      <c r="AL88" s="7"/>
      <c r="AM88" s="7"/>
      <c r="AN88" s="7">
        <v>10001</v>
      </c>
      <c r="AO88" s="7"/>
      <c r="AP88" s="7">
        <v>0</v>
      </c>
      <c r="AQ88" s="7">
        <v>4000</v>
      </c>
      <c r="AR88" s="7">
        <v>0</v>
      </c>
      <c r="AS88" s="7">
        <v>2</v>
      </c>
      <c r="AT88" s="54"/>
      <c r="AU88" s="54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</row>
    <row r="89" spans="1:58">
      <c r="A89" s="7">
        <v>416211</v>
      </c>
      <c r="B89" s="7">
        <v>1</v>
      </c>
      <c r="C89" s="7" t="s">
        <v>3582</v>
      </c>
      <c r="D89" s="7" t="s">
        <v>3995</v>
      </c>
      <c r="E89" s="7" t="s">
        <v>4020</v>
      </c>
      <c r="F89" s="7" t="s">
        <v>4027</v>
      </c>
      <c r="G89" s="7">
        <v>1</v>
      </c>
      <c r="H89" s="7" t="s">
        <v>3875</v>
      </c>
      <c r="I89" s="7">
        <v>1</v>
      </c>
      <c r="J89" s="7">
        <v>1</v>
      </c>
      <c r="K89" s="7">
        <v>1</v>
      </c>
      <c r="L89" s="7">
        <v>14</v>
      </c>
      <c r="M89" s="7">
        <v>14</v>
      </c>
      <c r="N89" s="7">
        <v>1</v>
      </c>
      <c r="O89" s="7"/>
      <c r="P89" s="7"/>
      <c r="Q89" s="7"/>
      <c r="R89" s="7"/>
      <c r="S89" s="7">
        <v>0</v>
      </c>
      <c r="T89" s="7">
        <v>0</v>
      </c>
      <c r="U89" s="7">
        <v>8</v>
      </c>
      <c r="V89" s="7">
        <v>8</v>
      </c>
      <c r="W89" s="7">
        <v>2</v>
      </c>
      <c r="X89" s="7">
        <v>0</v>
      </c>
      <c r="Y89" s="7">
        <v>2</v>
      </c>
      <c r="Z89" s="7"/>
      <c r="AA89" s="7" t="s">
        <v>3902</v>
      </c>
      <c r="AB89" s="7">
        <v>8461</v>
      </c>
      <c r="AC89" s="7">
        <v>1</v>
      </c>
      <c r="AD89" s="7">
        <v>1210</v>
      </c>
      <c r="AE89" s="7">
        <v>0</v>
      </c>
      <c r="AF89" s="7">
        <v>10</v>
      </c>
      <c r="AG89" s="7">
        <v>0</v>
      </c>
      <c r="AH89" s="7">
        <v>10</v>
      </c>
      <c r="AI89" s="7"/>
      <c r="AJ89" s="7">
        <v>32</v>
      </c>
      <c r="AK89" s="7">
        <v>0</v>
      </c>
      <c r="AL89" s="7"/>
      <c r="AM89" s="7"/>
      <c r="AN89" s="7">
        <v>10001</v>
      </c>
      <c r="AO89" s="7"/>
      <c r="AP89" s="7">
        <v>0</v>
      </c>
      <c r="AQ89" s="7">
        <v>4000</v>
      </c>
      <c r="AR89" s="7">
        <v>0</v>
      </c>
      <c r="AS89" s="7">
        <v>2</v>
      </c>
      <c r="AT89" s="54"/>
      <c r="AU89" s="54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</row>
    <row r="90" spans="1:58">
      <c r="A90" s="7">
        <v>416212</v>
      </c>
      <c r="B90" s="7">
        <v>1</v>
      </c>
      <c r="C90" s="7" t="s">
        <v>3612</v>
      </c>
      <c r="D90" s="7" t="s">
        <v>3996</v>
      </c>
      <c r="E90" s="7" t="s">
        <v>4021</v>
      </c>
      <c r="F90" s="7" t="s">
        <v>4021</v>
      </c>
      <c r="G90" s="7">
        <v>1</v>
      </c>
      <c r="H90" s="7" t="s">
        <v>3876</v>
      </c>
      <c r="I90" s="7">
        <v>1</v>
      </c>
      <c r="J90" s="7">
        <v>1</v>
      </c>
      <c r="K90" s="7">
        <v>1</v>
      </c>
      <c r="L90" s="7">
        <v>14</v>
      </c>
      <c r="M90" s="7">
        <v>14</v>
      </c>
      <c r="N90" s="7">
        <v>1</v>
      </c>
      <c r="O90" s="7"/>
      <c r="P90" s="7"/>
      <c r="Q90" s="7"/>
      <c r="R90" s="7"/>
      <c r="S90" s="7">
        <v>0</v>
      </c>
      <c r="T90" s="7">
        <v>0</v>
      </c>
      <c r="U90" s="7">
        <v>8</v>
      </c>
      <c r="V90" s="7">
        <v>8</v>
      </c>
      <c r="W90" s="7">
        <v>2</v>
      </c>
      <c r="X90" s="7">
        <v>0</v>
      </c>
      <c r="Y90" s="7">
        <v>2</v>
      </c>
      <c r="Z90" s="7"/>
      <c r="AA90" s="7" t="s">
        <v>3902</v>
      </c>
      <c r="AB90" s="7">
        <v>8461</v>
      </c>
      <c r="AC90" s="7">
        <v>1</v>
      </c>
      <c r="AD90" s="7">
        <v>1202</v>
      </c>
      <c r="AE90" s="7">
        <v>0</v>
      </c>
      <c r="AF90" s="7">
        <v>10</v>
      </c>
      <c r="AG90" s="7">
        <v>0</v>
      </c>
      <c r="AH90" s="7">
        <v>10</v>
      </c>
      <c r="AI90" s="7"/>
      <c r="AJ90" s="7">
        <v>31</v>
      </c>
      <c r="AK90" s="7">
        <v>0</v>
      </c>
      <c r="AL90" s="7"/>
      <c r="AM90" s="7"/>
      <c r="AN90" s="7">
        <v>10001</v>
      </c>
      <c r="AO90" s="7"/>
      <c r="AP90" s="7">
        <v>0</v>
      </c>
      <c r="AQ90" s="7">
        <v>4000</v>
      </c>
      <c r="AR90" s="7">
        <v>0</v>
      </c>
      <c r="AS90" s="7">
        <v>2</v>
      </c>
      <c r="AT90" s="54"/>
      <c r="AU90" s="54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spans="1:58">
      <c r="A91" s="7">
        <v>416213</v>
      </c>
      <c r="B91" s="7">
        <v>1</v>
      </c>
      <c r="C91" s="7" t="s">
        <v>3583</v>
      </c>
      <c r="D91" s="7" t="s">
        <v>3997</v>
      </c>
      <c r="E91" s="7" t="s">
        <v>4022</v>
      </c>
      <c r="F91" s="7" t="s">
        <v>4022</v>
      </c>
      <c r="G91" s="7">
        <v>1</v>
      </c>
      <c r="H91" s="7" t="s">
        <v>3877</v>
      </c>
      <c r="I91" s="7">
        <v>1</v>
      </c>
      <c r="J91" s="7">
        <v>1</v>
      </c>
      <c r="K91" s="7">
        <v>1</v>
      </c>
      <c r="L91" s="7">
        <v>14</v>
      </c>
      <c r="M91" s="7">
        <v>14</v>
      </c>
      <c r="N91" s="7">
        <v>1</v>
      </c>
      <c r="O91" s="7"/>
      <c r="P91" s="7"/>
      <c r="Q91" s="7"/>
      <c r="R91" s="7"/>
      <c r="S91" s="7">
        <v>0</v>
      </c>
      <c r="T91" s="7">
        <v>0</v>
      </c>
      <c r="U91" s="7">
        <v>8</v>
      </c>
      <c r="V91" s="7">
        <v>8</v>
      </c>
      <c r="W91" s="7">
        <v>2</v>
      </c>
      <c r="X91" s="7">
        <v>0</v>
      </c>
      <c r="Y91" s="7">
        <v>2</v>
      </c>
      <c r="Z91" s="7"/>
      <c r="AA91" s="7" t="s">
        <v>3902</v>
      </c>
      <c r="AB91" s="7">
        <v>8461</v>
      </c>
      <c r="AC91" s="7">
        <v>1</v>
      </c>
      <c r="AD91" s="7">
        <v>1202</v>
      </c>
      <c r="AE91" s="7">
        <v>0</v>
      </c>
      <c r="AF91" s="7">
        <v>10</v>
      </c>
      <c r="AG91" s="7">
        <v>0</v>
      </c>
      <c r="AH91" s="7">
        <v>10</v>
      </c>
      <c r="AI91" s="7"/>
      <c r="AJ91" s="7">
        <v>31</v>
      </c>
      <c r="AK91" s="7">
        <v>0</v>
      </c>
      <c r="AL91" s="7"/>
      <c r="AM91" s="7"/>
      <c r="AN91" s="7">
        <v>10001</v>
      </c>
      <c r="AO91" s="7"/>
      <c r="AP91" s="7">
        <v>0</v>
      </c>
      <c r="AQ91" s="7">
        <v>4000</v>
      </c>
      <c r="AR91" s="7">
        <v>0</v>
      </c>
      <c r="AS91" s="7">
        <v>2</v>
      </c>
      <c r="AT91" s="54"/>
      <c r="AU91" s="54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</row>
    <row r="92" spans="1:58">
      <c r="A92" s="7">
        <v>416214</v>
      </c>
      <c r="B92" s="7">
        <v>1</v>
      </c>
      <c r="C92" s="7" t="s">
        <v>3729</v>
      </c>
      <c r="D92" s="7" t="s">
        <v>3731</v>
      </c>
      <c r="E92" s="7" t="s">
        <v>3930</v>
      </c>
      <c r="F92" s="7" t="s">
        <v>3930</v>
      </c>
      <c r="G92" s="7">
        <v>1</v>
      </c>
      <c r="H92" s="7" t="s">
        <v>3878</v>
      </c>
      <c r="I92" s="7">
        <v>1</v>
      </c>
      <c r="J92" s="7">
        <v>1</v>
      </c>
      <c r="K92" s="7">
        <v>1</v>
      </c>
      <c r="L92" s="7">
        <v>14</v>
      </c>
      <c r="M92" s="7">
        <v>14</v>
      </c>
      <c r="N92" s="7">
        <v>1</v>
      </c>
      <c r="O92" s="7"/>
      <c r="P92" s="7"/>
      <c r="Q92" s="7"/>
      <c r="R92" s="7"/>
      <c r="S92" s="7">
        <v>0</v>
      </c>
      <c r="T92" s="7">
        <v>0</v>
      </c>
      <c r="U92" s="7">
        <v>8</v>
      </c>
      <c r="V92" s="7">
        <v>8</v>
      </c>
      <c r="W92" s="7">
        <v>2</v>
      </c>
      <c r="X92" s="7">
        <v>0</v>
      </c>
      <c r="Y92" s="7">
        <v>2</v>
      </c>
      <c r="Z92" s="7"/>
      <c r="AA92" s="7" t="s">
        <v>3902</v>
      </c>
      <c r="AB92" s="7">
        <v>8461</v>
      </c>
      <c r="AC92" s="7">
        <v>1</v>
      </c>
      <c r="AD92" s="7">
        <v>1210</v>
      </c>
      <c r="AE92" s="7">
        <v>0</v>
      </c>
      <c r="AF92" s="7">
        <v>10</v>
      </c>
      <c r="AG92" s="7">
        <v>0</v>
      </c>
      <c r="AH92" s="7">
        <v>10</v>
      </c>
      <c r="AI92" s="7"/>
      <c r="AJ92" s="7">
        <v>32</v>
      </c>
      <c r="AK92" s="7">
        <v>0</v>
      </c>
      <c r="AL92" s="7"/>
      <c r="AM92" s="7"/>
      <c r="AN92" s="7">
        <v>10001</v>
      </c>
      <c r="AO92" s="7"/>
      <c r="AP92" s="7">
        <v>0</v>
      </c>
      <c r="AQ92" s="7">
        <v>4000</v>
      </c>
      <c r="AR92" s="7">
        <v>0</v>
      </c>
      <c r="AS92" s="7">
        <v>2</v>
      </c>
      <c r="AT92" s="54"/>
      <c r="AU92" s="54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</row>
    <row r="93" spans="1:58">
      <c r="A93" s="7">
        <v>416215</v>
      </c>
      <c r="B93" s="7">
        <v>1</v>
      </c>
      <c r="C93" s="7" t="s">
        <v>3730</v>
      </c>
      <c r="D93" s="7" t="s">
        <v>3732</v>
      </c>
      <c r="E93" s="7" t="s">
        <v>3931</v>
      </c>
      <c r="F93" s="7" t="s">
        <v>3931</v>
      </c>
      <c r="G93" s="7">
        <v>1</v>
      </c>
      <c r="H93" s="7" t="s">
        <v>3879</v>
      </c>
      <c r="I93" s="7">
        <v>1</v>
      </c>
      <c r="J93" s="7">
        <v>1</v>
      </c>
      <c r="K93" s="7">
        <v>1</v>
      </c>
      <c r="L93" s="7">
        <v>14</v>
      </c>
      <c r="M93" s="7">
        <v>14</v>
      </c>
      <c r="N93" s="7">
        <v>1</v>
      </c>
      <c r="O93" s="7"/>
      <c r="P93" s="7"/>
      <c r="Q93" s="7"/>
      <c r="R93" s="7"/>
      <c r="S93" s="7">
        <v>0</v>
      </c>
      <c r="T93" s="7">
        <v>0</v>
      </c>
      <c r="U93" s="7">
        <v>8</v>
      </c>
      <c r="V93" s="7">
        <v>8</v>
      </c>
      <c r="W93" s="7">
        <v>2</v>
      </c>
      <c r="X93" s="7">
        <v>0</v>
      </c>
      <c r="Y93" s="7">
        <v>2</v>
      </c>
      <c r="Z93" s="7"/>
      <c r="AA93" s="7" t="s">
        <v>3902</v>
      </c>
      <c r="AB93" s="7">
        <v>8461</v>
      </c>
      <c r="AC93" s="7">
        <v>1</v>
      </c>
      <c r="AD93" s="7">
        <v>1210</v>
      </c>
      <c r="AE93" s="7">
        <v>0</v>
      </c>
      <c r="AF93" s="7">
        <v>10</v>
      </c>
      <c r="AG93" s="7">
        <v>0</v>
      </c>
      <c r="AH93" s="7">
        <v>10</v>
      </c>
      <c r="AI93" s="7"/>
      <c r="AJ93" s="7">
        <v>32</v>
      </c>
      <c r="AK93" s="7">
        <v>0</v>
      </c>
      <c r="AL93" s="7"/>
      <c r="AM93" s="7"/>
      <c r="AN93" s="7">
        <v>10001</v>
      </c>
      <c r="AO93" s="7"/>
      <c r="AP93" s="7">
        <v>0</v>
      </c>
      <c r="AQ93" s="7">
        <v>4000</v>
      </c>
      <c r="AR93" s="7">
        <v>0</v>
      </c>
      <c r="AS93" s="7">
        <v>2</v>
      </c>
      <c r="AT93" s="54"/>
      <c r="AU93" s="54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</row>
    <row r="94" spans="1:58">
      <c r="A94" s="7">
        <v>416216</v>
      </c>
      <c r="B94" s="7">
        <v>1</v>
      </c>
      <c r="C94" s="7" t="s">
        <v>3584</v>
      </c>
      <c r="D94" s="7" t="s">
        <v>3707</v>
      </c>
      <c r="E94" s="7" t="s">
        <v>3790</v>
      </c>
      <c r="F94" s="7" t="s">
        <v>3790</v>
      </c>
      <c r="G94" s="7">
        <v>1</v>
      </c>
      <c r="H94" s="7"/>
      <c r="I94" s="7">
        <v>1</v>
      </c>
      <c r="J94" s="7">
        <v>1</v>
      </c>
      <c r="K94" s="7">
        <v>1</v>
      </c>
      <c r="L94" s="7">
        <v>14</v>
      </c>
      <c r="M94" s="7">
        <v>14</v>
      </c>
      <c r="N94" s="7">
        <v>1</v>
      </c>
      <c r="O94" s="7"/>
      <c r="P94" s="7"/>
      <c r="Q94" s="7"/>
      <c r="R94" s="7"/>
      <c r="S94" s="7">
        <v>0</v>
      </c>
      <c r="T94" s="7">
        <v>0</v>
      </c>
      <c r="U94" s="7">
        <v>8</v>
      </c>
      <c r="V94" s="7">
        <v>8</v>
      </c>
      <c r="W94" s="7">
        <v>2</v>
      </c>
      <c r="X94" s="7">
        <v>0</v>
      </c>
      <c r="Y94" s="7">
        <v>2</v>
      </c>
      <c r="Z94" s="7"/>
      <c r="AA94" s="7" t="s">
        <v>3902</v>
      </c>
      <c r="AB94" s="7">
        <v>8461</v>
      </c>
      <c r="AC94" s="7">
        <v>1</v>
      </c>
      <c r="AD94" s="7">
        <v>1210</v>
      </c>
      <c r="AE94" s="7">
        <v>0</v>
      </c>
      <c r="AF94" s="7">
        <v>10</v>
      </c>
      <c r="AG94" s="7">
        <v>0</v>
      </c>
      <c r="AH94" s="7">
        <v>10</v>
      </c>
      <c r="AI94" s="7"/>
      <c r="AJ94" s="7">
        <v>32</v>
      </c>
      <c r="AK94" s="7">
        <v>0</v>
      </c>
      <c r="AL94" s="7"/>
      <c r="AM94" s="7"/>
      <c r="AN94" s="7">
        <v>10001</v>
      </c>
      <c r="AO94" s="7"/>
      <c r="AP94" s="7">
        <v>0</v>
      </c>
      <c r="AQ94" s="7">
        <v>4000</v>
      </c>
      <c r="AR94" s="7">
        <v>0</v>
      </c>
      <c r="AS94" s="7">
        <v>2</v>
      </c>
      <c r="AT94" s="54"/>
      <c r="AU94" s="54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spans="1:58">
      <c r="A95" s="7">
        <v>416217</v>
      </c>
      <c r="B95" s="7">
        <v>1</v>
      </c>
      <c r="C95" s="7" t="s">
        <v>3585</v>
      </c>
      <c r="D95" s="7" t="s">
        <v>3708</v>
      </c>
      <c r="E95" s="7" t="s">
        <v>3932</v>
      </c>
      <c r="F95" s="7" t="s">
        <v>3932</v>
      </c>
      <c r="G95" s="7">
        <v>1</v>
      </c>
      <c r="H95" s="7" t="s">
        <v>3880</v>
      </c>
      <c r="I95" s="7">
        <v>1</v>
      </c>
      <c r="J95" s="7">
        <v>1</v>
      </c>
      <c r="K95" s="7">
        <v>1</v>
      </c>
      <c r="L95" s="7">
        <v>14</v>
      </c>
      <c r="M95" s="7">
        <v>14</v>
      </c>
      <c r="N95" s="7">
        <v>1</v>
      </c>
      <c r="O95" s="7"/>
      <c r="P95" s="7"/>
      <c r="Q95" s="7"/>
      <c r="R95" s="7"/>
      <c r="S95" s="7">
        <v>0</v>
      </c>
      <c r="T95" s="7">
        <v>0</v>
      </c>
      <c r="U95" s="7">
        <v>8</v>
      </c>
      <c r="V95" s="7">
        <v>8</v>
      </c>
      <c r="W95" s="7">
        <v>2</v>
      </c>
      <c r="X95" s="7">
        <v>0</v>
      </c>
      <c r="Y95" s="7">
        <v>2</v>
      </c>
      <c r="Z95" s="7"/>
      <c r="AA95" s="7" t="s">
        <v>3902</v>
      </c>
      <c r="AB95" s="7">
        <v>8461</v>
      </c>
      <c r="AC95" s="7">
        <v>1</v>
      </c>
      <c r="AD95" s="7">
        <v>1210</v>
      </c>
      <c r="AE95" s="7">
        <v>0</v>
      </c>
      <c r="AF95" s="7">
        <v>10</v>
      </c>
      <c r="AG95" s="7">
        <v>0</v>
      </c>
      <c r="AH95" s="7">
        <v>10</v>
      </c>
      <c r="AI95" s="7"/>
      <c r="AJ95" s="7">
        <v>32</v>
      </c>
      <c r="AK95" s="7">
        <v>0</v>
      </c>
      <c r="AL95" s="7"/>
      <c r="AM95" s="7"/>
      <c r="AN95" s="7">
        <v>10001</v>
      </c>
      <c r="AO95" s="7"/>
      <c r="AP95" s="7">
        <v>0</v>
      </c>
      <c r="AQ95" s="7">
        <v>4000</v>
      </c>
      <c r="AR95" s="7">
        <v>0</v>
      </c>
      <c r="AS95" s="7">
        <v>2</v>
      </c>
      <c r="AT95" s="54"/>
      <c r="AU95" s="54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spans="1:58">
      <c r="A96" s="7">
        <v>416218</v>
      </c>
      <c r="B96" s="7">
        <v>1</v>
      </c>
      <c r="C96" s="7" t="s">
        <v>3586</v>
      </c>
      <c r="D96" s="7" t="s">
        <v>3709</v>
      </c>
      <c r="E96" s="7" t="s">
        <v>3495</v>
      </c>
      <c r="F96" s="7" t="s">
        <v>3791</v>
      </c>
      <c r="G96" s="7">
        <v>1</v>
      </c>
      <c r="H96" s="7" t="s">
        <v>3881</v>
      </c>
      <c r="I96" s="7">
        <v>1</v>
      </c>
      <c r="J96" s="7">
        <v>1</v>
      </c>
      <c r="K96" s="7">
        <v>1</v>
      </c>
      <c r="L96" s="7">
        <v>14</v>
      </c>
      <c r="M96" s="7">
        <v>14</v>
      </c>
      <c r="N96" s="7">
        <v>1</v>
      </c>
      <c r="O96" s="7"/>
      <c r="P96" s="7"/>
      <c r="Q96" s="7"/>
      <c r="R96" s="7"/>
      <c r="S96" s="7">
        <v>0</v>
      </c>
      <c r="T96" s="7">
        <v>0</v>
      </c>
      <c r="U96" s="7">
        <v>8</v>
      </c>
      <c r="V96" s="7">
        <v>8</v>
      </c>
      <c r="W96" s="7">
        <v>2</v>
      </c>
      <c r="X96" s="7">
        <v>0</v>
      </c>
      <c r="Y96" s="7">
        <v>2</v>
      </c>
      <c r="Z96" s="7"/>
      <c r="AA96" s="7" t="s">
        <v>3902</v>
      </c>
      <c r="AB96" s="7">
        <v>8461</v>
      </c>
      <c r="AC96" s="7">
        <v>1</v>
      </c>
      <c r="AD96" s="7">
        <v>1210</v>
      </c>
      <c r="AE96" s="7">
        <v>0</v>
      </c>
      <c r="AF96" s="7">
        <v>10</v>
      </c>
      <c r="AG96" s="7">
        <v>0</v>
      </c>
      <c r="AH96" s="7">
        <v>10</v>
      </c>
      <c r="AI96" s="7"/>
      <c r="AJ96" s="7">
        <v>32</v>
      </c>
      <c r="AK96" s="7">
        <v>0</v>
      </c>
      <c r="AL96" s="7"/>
      <c r="AM96" s="7"/>
      <c r="AN96" s="7">
        <v>10001</v>
      </c>
      <c r="AO96" s="7"/>
      <c r="AP96" s="7">
        <v>0</v>
      </c>
      <c r="AQ96" s="7">
        <v>4000</v>
      </c>
      <c r="AR96" s="7">
        <v>0</v>
      </c>
      <c r="AS96" s="7">
        <v>2</v>
      </c>
      <c r="AT96" s="54"/>
      <c r="AU96" s="54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spans="1:58">
      <c r="A97" s="7">
        <v>416219</v>
      </c>
      <c r="B97" s="7">
        <v>1</v>
      </c>
      <c r="C97" s="7" t="s">
        <v>3613</v>
      </c>
      <c r="D97" s="7" t="s">
        <v>3710</v>
      </c>
      <c r="E97" s="7" t="s">
        <v>3933</v>
      </c>
      <c r="F97" s="7" t="s">
        <v>3933</v>
      </c>
      <c r="G97" s="7">
        <v>1</v>
      </c>
      <c r="H97" s="7" t="s">
        <v>3882</v>
      </c>
      <c r="I97" s="7">
        <v>1</v>
      </c>
      <c r="J97" s="7">
        <v>1</v>
      </c>
      <c r="K97" s="7">
        <v>1</v>
      </c>
      <c r="L97" s="7">
        <v>14</v>
      </c>
      <c r="M97" s="7">
        <v>14</v>
      </c>
      <c r="N97" s="7">
        <v>1</v>
      </c>
      <c r="O97" s="7"/>
      <c r="P97" s="7"/>
      <c r="Q97" s="7"/>
      <c r="R97" s="7"/>
      <c r="S97" s="7">
        <v>0</v>
      </c>
      <c r="T97" s="7">
        <v>0</v>
      </c>
      <c r="U97" s="7">
        <v>8</v>
      </c>
      <c r="V97" s="7">
        <v>8</v>
      </c>
      <c r="W97" s="7">
        <v>2</v>
      </c>
      <c r="X97" s="7">
        <v>0</v>
      </c>
      <c r="Y97" s="7">
        <v>2</v>
      </c>
      <c r="Z97" s="7"/>
      <c r="AA97" s="7" t="s">
        <v>3902</v>
      </c>
      <c r="AB97" s="7">
        <v>8461</v>
      </c>
      <c r="AC97" s="7">
        <v>1</v>
      </c>
      <c r="AD97" s="7">
        <v>1210</v>
      </c>
      <c r="AE97" s="7">
        <v>0</v>
      </c>
      <c r="AF97" s="7">
        <v>10</v>
      </c>
      <c r="AG97" s="7">
        <v>0</v>
      </c>
      <c r="AH97" s="7">
        <v>10</v>
      </c>
      <c r="AI97" s="7"/>
      <c r="AJ97" s="7">
        <v>32</v>
      </c>
      <c r="AK97" s="7">
        <v>0</v>
      </c>
      <c r="AL97" s="7"/>
      <c r="AM97" s="7"/>
      <c r="AN97" s="7">
        <v>10001</v>
      </c>
      <c r="AO97" s="7"/>
      <c r="AP97" s="7">
        <v>0</v>
      </c>
      <c r="AQ97" s="7">
        <v>4000</v>
      </c>
      <c r="AR97" s="7">
        <v>0</v>
      </c>
      <c r="AS97" s="7">
        <v>2</v>
      </c>
      <c r="AT97" s="54"/>
      <c r="AU97" s="54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spans="1:58">
      <c r="A98" s="7">
        <v>416220</v>
      </c>
      <c r="B98" s="7">
        <v>1</v>
      </c>
      <c r="C98" s="7" t="s">
        <v>3587</v>
      </c>
      <c r="D98" s="7" t="s">
        <v>3711</v>
      </c>
      <c r="E98" s="7" t="s">
        <v>3934</v>
      </c>
      <c r="F98" s="7" t="s">
        <v>3934</v>
      </c>
      <c r="G98" s="7">
        <v>1</v>
      </c>
      <c r="H98" s="7" t="s">
        <v>3883</v>
      </c>
      <c r="I98" s="7">
        <v>1</v>
      </c>
      <c r="J98" s="7">
        <v>1</v>
      </c>
      <c r="K98" s="7">
        <v>1</v>
      </c>
      <c r="L98" s="7">
        <v>14</v>
      </c>
      <c r="M98" s="7">
        <v>14</v>
      </c>
      <c r="N98" s="7">
        <v>1</v>
      </c>
      <c r="O98" s="7"/>
      <c r="P98" s="7"/>
      <c r="Q98" s="7"/>
      <c r="R98" s="7"/>
      <c r="S98" s="7">
        <v>0</v>
      </c>
      <c r="T98" s="7">
        <v>0</v>
      </c>
      <c r="U98" s="7">
        <v>8</v>
      </c>
      <c r="V98" s="7">
        <v>8</v>
      </c>
      <c r="W98" s="7">
        <v>2</v>
      </c>
      <c r="X98" s="7">
        <v>0</v>
      </c>
      <c r="Y98" s="7">
        <v>2</v>
      </c>
      <c r="Z98" s="7"/>
      <c r="AA98" s="7" t="s">
        <v>3902</v>
      </c>
      <c r="AB98" s="7">
        <v>8461</v>
      </c>
      <c r="AC98" s="7">
        <v>1</v>
      </c>
      <c r="AD98" s="7">
        <v>1210</v>
      </c>
      <c r="AE98" s="7">
        <v>0</v>
      </c>
      <c r="AF98" s="7">
        <v>10</v>
      </c>
      <c r="AG98" s="7">
        <v>0</v>
      </c>
      <c r="AH98" s="7">
        <v>10</v>
      </c>
      <c r="AI98" s="7"/>
      <c r="AJ98" s="7">
        <v>32</v>
      </c>
      <c r="AK98" s="7">
        <v>0</v>
      </c>
      <c r="AL98" s="7"/>
      <c r="AM98" s="7"/>
      <c r="AN98" s="7">
        <v>10001</v>
      </c>
      <c r="AO98" s="7"/>
      <c r="AP98" s="7">
        <v>0</v>
      </c>
      <c r="AQ98" s="7">
        <v>4000</v>
      </c>
      <c r="AR98" s="7">
        <v>0</v>
      </c>
      <c r="AS98" s="7">
        <v>2</v>
      </c>
      <c r="AT98" s="54"/>
      <c r="AU98" s="54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</row>
    <row r="99" spans="1:58">
      <c r="A99" s="7">
        <v>416221</v>
      </c>
      <c r="B99" s="7">
        <v>1</v>
      </c>
      <c r="C99" s="7" t="s">
        <v>3614</v>
      </c>
      <c r="D99" s="7" t="s">
        <v>3998</v>
      </c>
      <c r="E99" s="7" t="s">
        <v>3935</v>
      </c>
      <c r="F99" s="7" t="s">
        <v>3935</v>
      </c>
      <c r="G99" s="7">
        <v>1</v>
      </c>
      <c r="H99" s="7" t="s">
        <v>3884</v>
      </c>
      <c r="I99" s="7">
        <v>1</v>
      </c>
      <c r="J99" s="7">
        <v>1</v>
      </c>
      <c r="K99" s="7">
        <v>1</v>
      </c>
      <c r="L99" s="7">
        <v>14</v>
      </c>
      <c r="M99" s="7">
        <v>14</v>
      </c>
      <c r="N99" s="7">
        <v>1</v>
      </c>
      <c r="O99" s="7"/>
      <c r="P99" s="7"/>
      <c r="Q99" s="7"/>
      <c r="R99" s="7"/>
      <c r="S99" s="7">
        <v>0</v>
      </c>
      <c r="T99" s="7">
        <v>0</v>
      </c>
      <c r="U99" s="7">
        <v>8</v>
      </c>
      <c r="V99" s="7">
        <v>8</v>
      </c>
      <c r="W99" s="7">
        <v>2</v>
      </c>
      <c r="X99" s="7">
        <v>0</v>
      </c>
      <c r="Y99" s="7">
        <v>2</v>
      </c>
      <c r="Z99" s="7"/>
      <c r="AA99" s="7" t="s">
        <v>3902</v>
      </c>
      <c r="AB99" s="7">
        <v>8461</v>
      </c>
      <c r="AC99" s="7">
        <v>1</v>
      </c>
      <c r="AD99" s="7">
        <v>1200</v>
      </c>
      <c r="AE99" s="7">
        <v>0</v>
      </c>
      <c r="AF99" s="7">
        <v>10</v>
      </c>
      <c r="AG99" s="7">
        <v>0</v>
      </c>
      <c r="AH99" s="7">
        <v>10</v>
      </c>
      <c r="AI99" s="7"/>
      <c r="AJ99" s="7">
        <v>31</v>
      </c>
      <c r="AK99" s="7">
        <v>0</v>
      </c>
      <c r="AL99" s="7"/>
      <c r="AM99" s="7"/>
      <c r="AN99" s="7">
        <v>10001</v>
      </c>
      <c r="AO99" s="7"/>
      <c r="AP99" s="7">
        <v>0</v>
      </c>
      <c r="AQ99" s="7">
        <v>4000</v>
      </c>
      <c r="AR99" s="7">
        <v>0</v>
      </c>
      <c r="AS99" s="7">
        <v>2</v>
      </c>
      <c r="AT99" s="54"/>
      <c r="AU99" s="54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spans="1:58">
      <c r="A100" s="7">
        <v>416222</v>
      </c>
      <c r="B100" s="7">
        <v>1</v>
      </c>
      <c r="C100" s="7" t="s">
        <v>3615</v>
      </c>
      <c r="D100" s="7" t="s">
        <v>3713</v>
      </c>
      <c r="E100" s="7" t="s">
        <v>3936</v>
      </c>
      <c r="F100" s="7" t="s">
        <v>3936</v>
      </c>
      <c r="G100" s="7">
        <v>1</v>
      </c>
      <c r="H100" s="7" t="s">
        <v>3885</v>
      </c>
      <c r="I100" s="7">
        <v>1</v>
      </c>
      <c r="J100" s="7">
        <v>1</v>
      </c>
      <c r="K100" s="7">
        <v>1</v>
      </c>
      <c r="L100" s="7">
        <v>14</v>
      </c>
      <c r="M100" s="7">
        <v>14</v>
      </c>
      <c r="N100" s="7">
        <v>1</v>
      </c>
      <c r="O100" s="7"/>
      <c r="P100" s="7"/>
      <c r="Q100" s="7"/>
      <c r="R100" s="7"/>
      <c r="S100" s="7">
        <v>0</v>
      </c>
      <c r="T100" s="7">
        <v>0</v>
      </c>
      <c r="U100" s="7">
        <v>8</v>
      </c>
      <c r="V100" s="7">
        <v>8</v>
      </c>
      <c r="W100" s="7">
        <v>2</v>
      </c>
      <c r="X100" s="7">
        <v>0</v>
      </c>
      <c r="Y100" s="7">
        <v>2</v>
      </c>
      <c r="Z100" s="7"/>
      <c r="AA100" s="7" t="s">
        <v>3902</v>
      </c>
      <c r="AB100" s="7">
        <v>8461</v>
      </c>
      <c r="AC100" s="7">
        <v>1</v>
      </c>
      <c r="AD100" s="7">
        <v>1200</v>
      </c>
      <c r="AE100" s="7">
        <v>0</v>
      </c>
      <c r="AF100" s="7">
        <v>10</v>
      </c>
      <c r="AG100" s="7">
        <v>0</v>
      </c>
      <c r="AH100" s="7">
        <v>10</v>
      </c>
      <c r="AI100" s="7"/>
      <c r="AJ100" s="7">
        <v>31</v>
      </c>
      <c r="AK100" s="7">
        <v>0</v>
      </c>
      <c r="AL100" s="7"/>
      <c r="AM100" s="7"/>
      <c r="AN100" s="7">
        <v>10001</v>
      </c>
      <c r="AO100" s="7"/>
      <c r="AP100" s="7">
        <v>0</v>
      </c>
      <c r="AQ100" s="7">
        <v>4000</v>
      </c>
      <c r="AR100" s="7">
        <v>0</v>
      </c>
      <c r="AS100" s="7">
        <v>2</v>
      </c>
      <c r="AT100" s="54"/>
      <c r="AU100" s="54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spans="1:58">
      <c r="A101" s="7">
        <v>416223</v>
      </c>
      <c r="B101" s="7">
        <v>1</v>
      </c>
      <c r="C101" s="7" t="s">
        <v>3588</v>
      </c>
      <c r="D101" s="7" t="s">
        <v>3714</v>
      </c>
      <c r="E101" s="7" t="s">
        <v>3792</v>
      </c>
      <c r="F101" s="7" t="s">
        <v>3792</v>
      </c>
      <c r="G101" s="7">
        <v>1</v>
      </c>
      <c r="H101" s="7" t="s">
        <v>3886</v>
      </c>
      <c r="I101" s="7">
        <v>1</v>
      </c>
      <c r="J101" s="7">
        <v>1</v>
      </c>
      <c r="K101" s="7">
        <v>1</v>
      </c>
      <c r="L101" s="7">
        <v>14</v>
      </c>
      <c r="M101" s="7">
        <v>14</v>
      </c>
      <c r="N101" s="7">
        <v>1</v>
      </c>
      <c r="O101" s="7"/>
      <c r="P101" s="7"/>
      <c r="Q101" s="7"/>
      <c r="R101" s="7"/>
      <c r="S101" s="7">
        <v>0</v>
      </c>
      <c r="T101" s="7">
        <v>0</v>
      </c>
      <c r="U101" s="7">
        <v>8</v>
      </c>
      <c r="V101" s="7">
        <v>8</v>
      </c>
      <c r="W101" s="7">
        <v>2</v>
      </c>
      <c r="X101" s="7">
        <v>0</v>
      </c>
      <c r="Y101" s="7">
        <v>2</v>
      </c>
      <c r="Z101" s="7"/>
      <c r="AA101" s="7" t="s">
        <v>3902</v>
      </c>
      <c r="AB101" s="7">
        <v>8461</v>
      </c>
      <c r="AC101" s="7">
        <v>1</v>
      </c>
      <c r="AD101" s="7">
        <v>1200</v>
      </c>
      <c r="AE101" s="7">
        <v>0</v>
      </c>
      <c r="AF101" s="7">
        <v>10</v>
      </c>
      <c r="AG101" s="7">
        <v>0</v>
      </c>
      <c r="AH101" s="7">
        <v>10</v>
      </c>
      <c r="AI101" s="7"/>
      <c r="AJ101" s="7">
        <v>31</v>
      </c>
      <c r="AK101" s="7">
        <v>0</v>
      </c>
      <c r="AL101" s="7"/>
      <c r="AM101" s="7"/>
      <c r="AN101" s="7">
        <v>10001</v>
      </c>
      <c r="AO101" s="7"/>
      <c r="AP101" s="7">
        <v>0</v>
      </c>
      <c r="AQ101" s="7">
        <v>4000</v>
      </c>
      <c r="AR101" s="7">
        <v>0</v>
      </c>
      <c r="AS101" s="7">
        <v>2</v>
      </c>
      <c r="AT101" s="54"/>
      <c r="AU101" s="54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</row>
    <row r="102" spans="1:58">
      <c r="A102" s="7">
        <v>416224</v>
      </c>
      <c r="B102" s="7">
        <v>1</v>
      </c>
      <c r="C102" s="7" t="s">
        <v>3616</v>
      </c>
      <c r="D102" s="7" t="s">
        <v>3999</v>
      </c>
      <c r="E102" s="7" t="s">
        <v>4023</v>
      </c>
      <c r="F102" s="7" t="s">
        <v>4023</v>
      </c>
      <c r="G102" s="7">
        <v>1</v>
      </c>
      <c r="H102" s="7" t="s">
        <v>3887</v>
      </c>
      <c r="I102" s="7">
        <v>1</v>
      </c>
      <c r="J102" s="7">
        <v>1</v>
      </c>
      <c r="K102" s="7">
        <v>1</v>
      </c>
      <c r="L102" s="7">
        <v>14</v>
      </c>
      <c r="M102" s="7">
        <v>14</v>
      </c>
      <c r="N102" s="7">
        <v>1</v>
      </c>
      <c r="O102" s="7"/>
      <c r="P102" s="7"/>
      <c r="Q102" s="7"/>
      <c r="R102" s="7"/>
      <c r="S102" s="7">
        <v>0</v>
      </c>
      <c r="T102" s="7">
        <v>0</v>
      </c>
      <c r="U102" s="7">
        <v>8</v>
      </c>
      <c r="V102" s="7">
        <v>8</v>
      </c>
      <c r="W102" s="7">
        <v>2</v>
      </c>
      <c r="X102" s="7">
        <v>0</v>
      </c>
      <c r="Y102" s="7">
        <v>2</v>
      </c>
      <c r="Z102" s="7"/>
      <c r="AA102" s="7" t="s">
        <v>3902</v>
      </c>
      <c r="AB102" s="7">
        <v>8461</v>
      </c>
      <c r="AC102" s="7">
        <v>2</v>
      </c>
      <c r="AD102" s="7">
        <v>1200</v>
      </c>
      <c r="AE102" s="7">
        <v>0</v>
      </c>
      <c r="AF102" s="7">
        <v>10</v>
      </c>
      <c r="AG102" s="7">
        <v>0</v>
      </c>
      <c r="AH102" s="7">
        <v>10</v>
      </c>
      <c r="AI102" s="7"/>
      <c r="AJ102" s="7">
        <v>31</v>
      </c>
      <c r="AK102" s="7">
        <v>0</v>
      </c>
      <c r="AL102" s="7"/>
      <c r="AM102" s="7"/>
      <c r="AN102" s="7">
        <v>10001</v>
      </c>
      <c r="AO102" s="7"/>
      <c r="AP102" s="7">
        <v>0</v>
      </c>
      <c r="AQ102" s="7">
        <v>4000</v>
      </c>
      <c r="AR102" s="7">
        <v>0</v>
      </c>
      <c r="AS102" s="7">
        <v>2</v>
      </c>
      <c r="AT102" s="54"/>
      <c r="AU102" s="54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</row>
    <row r="103" spans="1:58">
      <c r="A103" s="7">
        <v>416225</v>
      </c>
      <c r="B103" s="7">
        <v>1</v>
      </c>
      <c r="C103" s="7" t="s">
        <v>3589</v>
      </c>
      <c r="D103" s="7" t="s">
        <v>3716</v>
      </c>
      <c r="E103" s="7" t="s">
        <v>3415</v>
      </c>
      <c r="F103" s="7" t="s">
        <v>3740</v>
      </c>
      <c r="G103" s="7">
        <v>1</v>
      </c>
      <c r="H103" s="7" t="s">
        <v>3888</v>
      </c>
      <c r="I103" s="7">
        <v>1</v>
      </c>
      <c r="J103" s="7">
        <v>1</v>
      </c>
      <c r="K103" s="7">
        <v>1</v>
      </c>
      <c r="L103" s="7">
        <v>14</v>
      </c>
      <c r="M103" s="7">
        <v>14</v>
      </c>
      <c r="N103" s="7">
        <v>1</v>
      </c>
      <c r="O103" s="7"/>
      <c r="P103" s="7"/>
      <c r="Q103" s="7"/>
      <c r="R103" s="7"/>
      <c r="S103" s="7">
        <v>0</v>
      </c>
      <c r="T103" s="7">
        <v>0</v>
      </c>
      <c r="U103" s="7">
        <v>8</v>
      </c>
      <c r="V103" s="7">
        <v>8</v>
      </c>
      <c r="W103" s="7">
        <v>2</v>
      </c>
      <c r="X103" s="7">
        <v>0</v>
      </c>
      <c r="Y103" s="7">
        <v>2</v>
      </c>
      <c r="Z103" s="7"/>
      <c r="AA103" s="7" t="s">
        <v>3902</v>
      </c>
      <c r="AB103" s="7">
        <v>8902</v>
      </c>
      <c r="AC103" s="7">
        <v>3</v>
      </c>
      <c r="AD103" s="7">
        <v>1203</v>
      </c>
      <c r="AE103" s="7">
        <v>0</v>
      </c>
      <c r="AF103" s="7">
        <v>10</v>
      </c>
      <c r="AG103" s="7">
        <v>0</v>
      </c>
      <c r="AH103" s="7">
        <v>10</v>
      </c>
      <c r="AI103" s="7"/>
      <c r="AJ103" s="7">
        <v>31</v>
      </c>
      <c r="AK103" s="7">
        <v>0</v>
      </c>
      <c r="AL103" s="7"/>
      <c r="AM103" s="7"/>
      <c r="AN103" s="7">
        <v>10001</v>
      </c>
      <c r="AO103" s="7"/>
      <c r="AP103" s="7">
        <v>0</v>
      </c>
      <c r="AQ103" s="7">
        <v>4000</v>
      </c>
      <c r="AR103" s="7">
        <v>0</v>
      </c>
      <c r="AS103" s="7">
        <v>2</v>
      </c>
      <c r="AT103" s="54"/>
      <c r="AU103" s="54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</row>
    <row r="104" spans="1:58">
      <c r="A104" s="7">
        <v>416226</v>
      </c>
      <c r="B104" s="7">
        <v>1</v>
      </c>
      <c r="C104" s="7" t="s">
        <v>3590</v>
      </c>
      <c r="D104" s="7" t="s">
        <v>3717</v>
      </c>
      <c r="E104" s="7" t="s">
        <v>3415</v>
      </c>
      <c r="F104" s="7" t="s">
        <v>3740</v>
      </c>
      <c r="G104" s="7">
        <v>1</v>
      </c>
      <c r="H104" s="7" t="s">
        <v>3889</v>
      </c>
      <c r="I104" s="7">
        <v>1</v>
      </c>
      <c r="J104" s="7">
        <v>1</v>
      </c>
      <c r="K104" s="7">
        <v>1</v>
      </c>
      <c r="L104" s="7">
        <v>14</v>
      </c>
      <c r="M104" s="7">
        <v>14</v>
      </c>
      <c r="N104" s="7">
        <v>1</v>
      </c>
      <c r="O104" s="7"/>
      <c r="P104" s="7"/>
      <c r="Q104" s="7"/>
      <c r="R104" s="7"/>
      <c r="S104" s="7">
        <v>0</v>
      </c>
      <c r="T104" s="7">
        <v>0</v>
      </c>
      <c r="U104" s="7">
        <v>8</v>
      </c>
      <c r="V104" s="7">
        <v>8</v>
      </c>
      <c r="W104" s="7">
        <v>2</v>
      </c>
      <c r="X104" s="7">
        <v>0</v>
      </c>
      <c r="Y104" s="7">
        <v>2</v>
      </c>
      <c r="Z104" s="7"/>
      <c r="AA104" s="7" t="s">
        <v>3902</v>
      </c>
      <c r="AB104" s="7">
        <v>8902</v>
      </c>
      <c r="AC104" s="7">
        <v>4</v>
      </c>
      <c r="AD104" s="7">
        <v>1203</v>
      </c>
      <c r="AE104" s="7">
        <v>0</v>
      </c>
      <c r="AF104" s="7">
        <v>10</v>
      </c>
      <c r="AG104" s="7">
        <v>0</v>
      </c>
      <c r="AH104" s="7">
        <v>10</v>
      </c>
      <c r="AI104" s="7"/>
      <c r="AJ104" s="7">
        <v>31</v>
      </c>
      <c r="AK104" s="7">
        <v>0</v>
      </c>
      <c r="AL104" s="7"/>
      <c r="AM104" s="7"/>
      <c r="AN104" s="7">
        <v>10001</v>
      </c>
      <c r="AO104" s="7"/>
      <c r="AP104" s="7">
        <v>0</v>
      </c>
      <c r="AQ104" s="7">
        <v>4000</v>
      </c>
      <c r="AR104" s="7">
        <v>0</v>
      </c>
      <c r="AS104" s="7">
        <v>2</v>
      </c>
      <c r="AT104" s="54"/>
      <c r="AU104" s="54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spans="1:58">
      <c r="A105" s="7">
        <v>416227</v>
      </c>
      <c r="B105" s="7">
        <v>1</v>
      </c>
      <c r="C105" s="7" t="s">
        <v>3591</v>
      </c>
      <c r="D105" s="7" t="s">
        <v>3718</v>
      </c>
      <c r="E105" s="7" t="s">
        <v>3502</v>
      </c>
      <c r="F105" s="7" t="s">
        <v>3793</v>
      </c>
      <c r="G105" s="7">
        <v>1</v>
      </c>
      <c r="H105" s="7" t="s">
        <v>3890</v>
      </c>
      <c r="I105" s="7">
        <v>1</v>
      </c>
      <c r="J105" s="7">
        <v>1</v>
      </c>
      <c r="K105" s="7">
        <v>1</v>
      </c>
      <c r="L105" s="7">
        <v>14</v>
      </c>
      <c r="M105" s="7">
        <v>14</v>
      </c>
      <c r="N105" s="7">
        <v>1</v>
      </c>
      <c r="O105" s="7"/>
      <c r="P105" s="7"/>
      <c r="Q105" s="7"/>
      <c r="R105" s="7"/>
      <c r="S105" s="7">
        <v>0</v>
      </c>
      <c r="T105" s="7">
        <v>0</v>
      </c>
      <c r="U105" s="7">
        <v>8</v>
      </c>
      <c r="V105" s="7">
        <v>8</v>
      </c>
      <c r="W105" s="7">
        <v>2</v>
      </c>
      <c r="X105" s="7">
        <v>0</v>
      </c>
      <c r="Y105" s="7">
        <v>2</v>
      </c>
      <c r="Z105" s="7"/>
      <c r="AA105" s="7" t="s">
        <v>3902</v>
      </c>
      <c r="AB105" s="7">
        <v>8902</v>
      </c>
      <c r="AC105" s="7">
        <v>5</v>
      </c>
      <c r="AD105" s="7">
        <v>1203</v>
      </c>
      <c r="AE105" s="7">
        <v>0</v>
      </c>
      <c r="AF105" s="7">
        <v>10</v>
      </c>
      <c r="AG105" s="7">
        <v>0</v>
      </c>
      <c r="AH105" s="7">
        <v>10</v>
      </c>
      <c r="AI105" s="7"/>
      <c r="AJ105" s="7">
        <v>31</v>
      </c>
      <c r="AK105" s="7">
        <v>0</v>
      </c>
      <c r="AL105" s="7"/>
      <c r="AM105" s="7"/>
      <c r="AN105" s="7">
        <v>10001</v>
      </c>
      <c r="AO105" s="7"/>
      <c r="AP105" s="7">
        <v>0</v>
      </c>
      <c r="AQ105" s="7">
        <v>4000</v>
      </c>
      <c r="AR105" s="7">
        <v>0</v>
      </c>
      <c r="AS105" s="7">
        <v>2</v>
      </c>
      <c r="AT105" s="54"/>
      <c r="AU105" s="54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spans="1:58">
      <c r="A106" s="7">
        <v>416228</v>
      </c>
      <c r="B106" s="7">
        <v>1</v>
      </c>
      <c r="C106" s="7" t="s">
        <v>3592</v>
      </c>
      <c r="D106" s="7" t="s">
        <v>3719</v>
      </c>
      <c r="E106" s="7" t="s">
        <v>3794</v>
      </c>
      <c r="F106" s="7" t="s">
        <v>3794</v>
      </c>
      <c r="G106" s="7">
        <v>1</v>
      </c>
      <c r="H106" s="7" t="s">
        <v>3891</v>
      </c>
      <c r="I106" s="7">
        <v>1</v>
      </c>
      <c r="J106" s="7">
        <v>1</v>
      </c>
      <c r="K106" s="7">
        <v>1</v>
      </c>
      <c r="L106" s="7">
        <v>14</v>
      </c>
      <c r="M106" s="7">
        <v>14</v>
      </c>
      <c r="N106" s="7">
        <v>1</v>
      </c>
      <c r="O106" s="7"/>
      <c r="P106" s="7"/>
      <c r="Q106" s="7"/>
      <c r="R106" s="7"/>
      <c r="S106" s="7">
        <v>0</v>
      </c>
      <c r="T106" s="7">
        <v>0</v>
      </c>
      <c r="U106" s="7">
        <v>8</v>
      </c>
      <c r="V106" s="7">
        <v>8</v>
      </c>
      <c r="W106" s="7">
        <v>2</v>
      </c>
      <c r="X106" s="7">
        <v>0</v>
      </c>
      <c r="Y106" s="7">
        <v>2</v>
      </c>
      <c r="Z106" s="7"/>
      <c r="AA106" s="7" t="s">
        <v>3902</v>
      </c>
      <c r="AB106" s="7">
        <v>8902</v>
      </c>
      <c r="AC106" s="7">
        <v>6</v>
      </c>
      <c r="AD106" s="7">
        <v>1203</v>
      </c>
      <c r="AE106" s="7">
        <v>0</v>
      </c>
      <c r="AF106" s="7">
        <v>10</v>
      </c>
      <c r="AG106" s="7">
        <v>0</v>
      </c>
      <c r="AH106" s="7">
        <v>10</v>
      </c>
      <c r="AI106" s="7"/>
      <c r="AJ106" s="7">
        <v>31</v>
      </c>
      <c r="AK106" s="7">
        <v>0</v>
      </c>
      <c r="AL106" s="7"/>
      <c r="AM106" s="7"/>
      <c r="AN106" s="7">
        <v>10001</v>
      </c>
      <c r="AO106" s="7"/>
      <c r="AP106" s="7">
        <v>0</v>
      </c>
      <c r="AQ106" s="7">
        <v>4000</v>
      </c>
      <c r="AR106" s="7">
        <v>0</v>
      </c>
      <c r="AS106" s="7">
        <v>2</v>
      </c>
      <c r="AT106" s="54"/>
      <c r="AU106" s="54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spans="1:58">
      <c r="A107" s="7">
        <v>416229</v>
      </c>
      <c r="B107" s="7">
        <v>1</v>
      </c>
      <c r="C107" s="7" t="s">
        <v>3593</v>
      </c>
      <c r="D107" s="7" t="s">
        <v>3720</v>
      </c>
      <c r="E107" s="7" t="s">
        <v>3795</v>
      </c>
      <c r="F107" s="7" t="s">
        <v>3795</v>
      </c>
      <c r="G107" s="7">
        <v>1</v>
      </c>
      <c r="H107" s="7" t="s">
        <v>3892</v>
      </c>
      <c r="I107" s="7">
        <v>1</v>
      </c>
      <c r="J107" s="7">
        <v>1</v>
      </c>
      <c r="K107" s="7">
        <v>1</v>
      </c>
      <c r="L107" s="7">
        <v>14</v>
      </c>
      <c r="M107" s="7">
        <v>14</v>
      </c>
      <c r="N107" s="7">
        <v>1</v>
      </c>
      <c r="O107" s="7"/>
      <c r="P107" s="7"/>
      <c r="Q107" s="7"/>
      <c r="R107" s="7"/>
      <c r="S107" s="7">
        <v>0</v>
      </c>
      <c r="T107" s="7">
        <v>0</v>
      </c>
      <c r="U107" s="7">
        <v>8</v>
      </c>
      <c r="V107" s="7">
        <v>8</v>
      </c>
      <c r="W107" s="7">
        <v>2</v>
      </c>
      <c r="X107" s="7">
        <v>0</v>
      </c>
      <c r="Y107" s="7">
        <v>2</v>
      </c>
      <c r="Z107" s="7"/>
      <c r="AA107" s="7" t="s">
        <v>3902</v>
      </c>
      <c r="AB107" s="7">
        <v>8902</v>
      </c>
      <c r="AC107" s="7">
        <v>7</v>
      </c>
      <c r="AD107" s="7">
        <v>1203</v>
      </c>
      <c r="AE107" s="7">
        <v>0</v>
      </c>
      <c r="AF107" s="7">
        <v>10</v>
      </c>
      <c r="AG107" s="7">
        <v>0</v>
      </c>
      <c r="AH107" s="7">
        <v>10</v>
      </c>
      <c r="AI107" s="7"/>
      <c r="AJ107" s="7">
        <v>31</v>
      </c>
      <c r="AK107" s="7">
        <v>0</v>
      </c>
      <c r="AL107" s="7"/>
      <c r="AM107" s="7"/>
      <c r="AN107" s="7">
        <v>10001</v>
      </c>
      <c r="AO107" s="7"/>
      <c r="AP107" s="7">
        <v>0</v>
      </c>
      <c r="AQ107" s="7">
        <v>4000</v>
      </c>
      <c r="AR107" s="7">
        <v>0</v>
      </c>
      <c r="AS107" s="7">
        <v>2</v>
      </c>
      <c r="AT107" s="54"/>
      <c r="AU107" s="54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spans="1:58">
      <c r="A108" s="7">
        <v>416230</v>
      </c>
      <c r="B108" s="7">
        <v>1</v>
      </c>
      <c r="C108" s="7" t="s">
        <v>3594</v>
      </c>
      <c r="D108" s="7" t="s">
        <v>3721</v>
      </c>
      <c r="E108" s="7" t="s">
        <v>3505</v>
      </c>
      <c r="F108" s="7" t="s">
        <v>3796</v>
      </c>
      <c r="G108" s="7">
        <v>1</v>
      </c>
      <c r="H108" s="7" t="s">
        <v>3893</v>
      </c>
      <c r="I108" s="7">
        <v>1</v>
      </c>
      <c r="J108" s="7">
        <v>1</v>
      </c>
      <c r="K108" s="7">
        <v>1</v>
      </c>
      <c r="L108" s="7">
        <v>14</v>
      </c>
      <c r="M108" s="7">
        <v>14</v>
      </c>
      <c r="N108" s="7">
        <v>1</v>
      </c>
      <c r="O108" s="7"/>
      <c r="P108" s="7"/>
      <c r="Q108" s="7"/>
      <c r="R108" s="7"/>
      <c r="S108" s="7">
        <v>0</v>
      </c>
      <c r="T108" s="7">
        <v>0</v>
      </c>
      <c r="U108" s="7">
        <v>8</v>
      </c>
      <c r="V108" s="7">
        <v>8</v>
      </c>
      <c r="W108" s="7">
        <v>2</v>
      </c>
      <c r="X108" s="7">
        <v>0</v>
      </c>
      <c r="Y108" s="7">
        <v>2</v>
      </c>
      <c r="Z108" s="7"/>
      <c r="AA108" s="7" t="s">
        <v>3902</v>
      </c>
      <c r="AB108" s="7">
        <v>8902</v>
      </c>
      <c r="AC108" s="7">
        <v>8</v>
      </c>
      <c r="AD108" s="7">
        <v>1203</v>
      </c>
      <c r="AE108" s="7">
        <v>0</v>
      </c>
      <c r="AF108" s="7">
        <v>10</v>
      </c>
      <c r="AG108" s="7">
        <v>0</v>
      </c>
      <c r="AH108" s="7">
        <v>10</v>
      </c>
      <c r="AI108" s="7"/>
      <c r="AJ108" s="7">
        <v>31</v>
      </c>
      <c r="AK108" s="7">
        <v>0</v>
      </c>
      <c r="AL108" s="7"/>
      <c r="AM108" s="7"/>
      <c r="AN108" s="7">
        <v>10001</v>
      </c>
      <c r="AO108" s="7"/>
      <c r="AP108" s="7">
        <v>0</v>
      </c>
      <c r="AQ108" s="7">
        <v>4000</v>
      </c>
      <c r="AR108" s="7">
        <v>0</v>
      </c>
      <c r="AS108" s="7">
        <v>2</v>
      </c>
      <c r="AT108" s="54"/>
      <c r="AU108" s="54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spans="1:58">
      <c r="A109" s="7">
        <v>416231</v>
      </c>
      <c r="B109" s="7">
        <v>0</v>
      </c>
      <c r="C109" s="7" t="s">
        <v>3617</v>
      </c>
      <c r="D109" s="7" t="s">
        <v>4000</v>
      </c>
      <c r="E109" s="7" t="s">
        <v>4023</v>
      </c>
      <c r="F109" s="7" t="s">
        <v>4023</v>
      </c>
      <c r="G109" s="7">
        <v>1</v>
      </c>
      <c r="H109" s="7" t="s">
        <v>3894</v>
      </c>
      <c r="I109" s="7">
        <v>1</v>
      </c>
      <c r="J109" s="7">
        <v>1</v>
      </c>
      <c r="K109" s="7">
        <v>1</v>
      </c>
      <c r="L109" s="7">
        <v>14</v>
      </c>
      <c r="M109" s="7">
        <v>14</v>
      </c>
      <c r="N109" s="7">
        <v>1</v>
      </c>
      <c r="O109" s="7"/>
      <c r="P109" s="7"/>
      <c r="Q109" s="7"/>
      <c r="R109" s="7"/>
      <c r="S109" s="7">
        <v>0</v>
      </c>
      <c r="T109" s="7">
        <v>0</v>
      </c>
      <c r="U109" s="7">
        <v>8</v>
      </c>
      <c r="V109" s="7">
        <v>8</v>
      </c>
      <c r="W109" s="7">
        <v>2</v>
      </c>
      <c r="X109" s="7">
        <v>0</v>
      </c>
      <c r="Y109" s="7">
        <v>2</v>
      </c>
      <c r="Z109" s="7"/>
      <c r="AA109" s="7" t="s">
        <v>3902</v>
      </c>
      <c r="AB109" s="7">
        <v>8902</v>
      </c>
      <c r="AC109" s="7">
        <v>9</v>
      </c>
      <c r="AD109" s="7">
        <v>1203</v>
      </c>
      <c r="AE109" s="7">
        <v>0</v>
      </c>
      <c r="AF109" s="7">
        <v>10</v>
      </c>
      <c r="AG109" s="7">
        <v>0</v>
      </c>
      <c r="AH109" s="7">
        <v>10</v>
      </c>
      <c r="AI109" s="7"/>
      <c r="AJ109" s="7">
        <v>31</v>
      </c>
      <c r="AK109" s="7">
        <v>0</v>
      </c>
      <c r="AL109" s="7"/>
      <c r="AM109" s="7"/>
      <c r="AN109" s="7">
        <v>10001</v>
      </c>
      <c r="AO109" s="7"/>
      <c r="AP109" s="7">
        <v>0</v>
      </c>
      <c r="AQ109" s="7">
        <v>4000</v>
      </c>
      <c r="AR109" s="7">
        <v>0</v>
      </c>
      <c r="AS109" s="7">
        <v>2</v>
      </c>
      <c r="AT109" s="54"/>
      <c r="AU109" s="54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spans="1:58">
      <c r="A110" s="7">
        <v>416232</v>
      </c>
      <c r="B110" s="7">
        <v>0</v>
      </c>
      <c r="C110" s="7" t="s">
        <v>3595</v>
      </c>
      <c r="D110" s="7" t="s">
        <v>3722</v>
      </c>
      <c r="E110" s="7" t="s">
        <v>3797</v>
      </c>
      <c r="F110" s="7" t="s">
        <v>3797</v>
      </c>
      <c r="G110" s="7">
        <v>1</v>
      </c>
      <c r="H110" s="7" t="s">
        <v>3895</v>
      </c>
      <c r="I110" s="7">
        <v>1</v>
      </c>
      <c r="J110" s="7">
        <v>1</v>
      </c>
      <c r="K110" s="7">
        <v>1</v>
      </c>
      <c r="L110" s="7">
        <v>14</v>
      </c>
      <c r="M110" s="7">
        <v>14</v>
      </c>
      <c r="N110" s="7">
        <v>1</v>
      </c>
      <c r="O110" s="7"/>
      <c r="P110" s="7"/>
      <c r="Q110" s="7"/>
      <c r="R110" s="7"/>
      <c r="S110" s="7">
        <v>0</v>
      </c>
      <c r="T110" s="7">
        <v>0</v>
      </c>
      <c r="U110" s="7">
        <v>8</v>
      </c>
      <c r="V110" s="7">
        <v>8</v>
      </c>
      <c r="W110" s="7">
        <v>2</v>
      </c>
      <c r="X110" s="7">
        <v>0</v>
      </c>
      <c r="Y110" s="7">
        <v>2</v>
      </c>
      <c r="Z110" s="7"/>
      <c r="AA110" s="7" t="s">
        <v>3902</v>
      </c>
      <c r="AB110" s="7">
        <v>8461</v>
      </c>
      <c r="AC110" s="7">
        <v>10</v>
      </c>
      <c r="AD110" s="7">
        <v>1208</v>
      </c>
      <c r="AE110" s="7">
        <v>0</v>
      </c>
      <c r="AF110" s="7">
        <v>10</v>
      </c>
      <c r="AG110" s="7">
        <v>0</v>
      </c>
      <c r="AH110" s="7">
        <v>10</v>
      </c>
      <c r="AI110" s="7"/>
      <c r="AJ110" s="7">
        <v>32</v>
      </c>
      <c r="AK110" s="7">
        <v>0</v>
      </c>
      <c r="AL110" s="7"/>
      <c r="AM110" s="7"/>
      <c r="AN110" s="7">
        <v>10001</v>
      </c>
      <c r="AO110" s="7"/>
      <c r="AP110" s="7">
        <v>0</v>
      </c>
      <c r="AQ110" s="7">
        <v>4000</v>
      </c>
      <c r="AR110" s="7">
        <v>0</v>
      </c>
      <c r="AS110" s="7">
        <v>2</v>
      </c>
      <c r="AT110" s="54"/>
      <c r="AU110" s="54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spans="1:58">
      <c r="A111" s="7">
        <v>416233</v>
      </c>
      <c r="B111" s="7">
        <v>0</v>
      </c>
      <c r="C111" s="7" t="s">
        <v>3596</v>
      </c>
      <c r="D111" s="7" t="s">
        <v>3723</v>
      </c>
      <c r="E111" s="7" t="s">
        <v>3798</v>
      </c>
      <c r="F111" s="7" t="s">
        <v>3798</v>
      </c>
      <c r="G111" s="7">
        <v>1</v>
      </c>
      <c r="H111" s="7" t="s">
        <v>3896</v>
      </c>
      <c r="I111" s="7">
        <v>1</v>
      </c>
      <c r="J111" s="7">
        <v>1</v>
      </c>
      <c r="K111" s="7">
        <v>1</v>
      </c>
      <c r="L111" s="7">
        <v>14</v>
      </c>
      <c r="M111" s="7">
        <v>14</v>
      </c>
      <c r="N111" s="7">
        <v>1</v>
      </c>
      <c r="O111" s="7"/>
      <c r="P111" s="7"/>
      <c r="Q111" s="7"/>
      <c r="R111" s="7"/>
      <c r="S111" s="7">
        <v>0</v>
      </c>
      <c r="T111" s="7">
        <v>0</v>
      </c>
      <c r="U111" s="7">
        <v>8</v>
      </c>
      <c r="V111" s="7">
        <v>8</v>
      </c>
      <c r="W111" s="7">
        <v>2</v>
      </c>
      <c r="X111" s="7">
        <v>0</v>
      </c>
      <c r="Y111" s="7">
        <v>2</v>
      </c>
      <c r="Z111" s="7"/>
      <c r="AA111" s="7" t="s">
        <v>3902</v>
      </c>
      <c r="AB111" s="7">
        <v>8461</v>
      </c>
      <c r="AC111" s="7">
        <v>11</v>
      </c>
      <c r="AD111" s="7">
        <v>1208</v>
      </c>
      <c r="AE111" s="7">
        <v>0</v>
      </c>
      <c r="AF111" s="7">
        <v>10</v>
      </c>
      <c r="AG111" s="7">
        <v>0</v>
      </c>
      <c r="AH111" s="7">
        <v>10</v>
      </c>
      <c r="AI111" s="7"/>
      <c r="AJ111" s="7">
        <v>32</v>
      </c>
      <c r="AK111" s="7">
        <v>0</v>
      </c>
      <c r="AL111" s="7"/>
      <c r="AM111" s="7"/>
      <c r="AN111" s="7">
        <v>10001</v>
      </c>
      <c r="AO111" s="7"/>
      <c r="AP111" s="7">
        <v>0</v>
      </c>
      <c r="AQ111" s="7">
        <v>4000</v>
      </c>
      <c r="AR111" s="7">
        <v>0</v>
      </c>
      <c r="AS111" s="7">
        <v>2</v>
      </c>
      <c r="AT111" s="54"/>
      <c r="AU111" s="54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spans="1:58">
      <c r="A112" s="7">
        <v>416234</v>
      </c>
      <c r="B112" s="7">
        <v>0</v>
      </c>
      <c r="C112" s="7" t="s">
        <v>3618</v>
      </c>
      <c r="D112" s="7" t="s">
        <v>3724</v>
      </c>
      <c r="E112" s="7" t="s">
        <v>3938</v>
      </c>
      <c r="F112" s="7" t="s">
        <v>3938</v>
      </c>
      <c r="G112" s="7">
        <v>1</v>
      </c>
      <c r="H112" s="7" t="s">
        <v>3897</v>
      </c>
      <c r="I112" s="7">
        <v>1</v>
      </c>
      <c r="J112" s="7">
        <v>1</v>
      </c>
      <c r="K112" s="7">
        <v>1</v>
      </c>
      <c r="L112" s="7">
        <v>14</v>
      </c>
      <c r="M112" s="7">
        <v>14</v>
      </c>
      <c r="N112" s="7">
        <v>1</v>
      </c>
      <c r="O112" s="7"/>
      <c r="P112" s="7"/>
      <c r="Q112" s="7"/>
      <c r="R112" s="7"/>
      <c r="S112" s="7">
        <v>0</v>
      </c>
      <c r="T112" s="7">
        <v>0</v>
      </c>
      <c r="U112" s="7">
        <v>8</v>
      </c>
      <c r="V112" s="7">
        <v>8</v>
      </c>
      <c r="W112" s="7">
        <v>2</v>
      </c>
      <c r="X112" s="7">
        <v>0</v>
      </c>
      <c r="Y112" s="7">
        <v>2</v>
      </c>
      <c r="Z112" s="7"/>
      <c r="AA112" s="7" t="s">
        <v>3902</v>
      </c>
      <c r="AB112" s="7">
        <v>8461</v>
      </c>
      <c r="AC112" s="7">
        <v>12</v>
      </c>
      <c r="AD112" s="7">
        <v>1208</v>
      </c>
      <c r="AE112" s="7">
        <v>0</v>
      </c>
      <c r="AF112" s="7">
        <v>10</v>
      </c>
      <c r="AG112" s="7">
        <v>0</v>
      </c>
      <c r="AH112" s="7">
        <v>10</v>
      </c>
      <c r="AI112" s="7"/>
      <c r="AJ112" s="7">
        <v>32</v>
      </c>
      <c r="AK112" s="7">
        <v>0</v>
      </c>
      <c r="AL112" s="7"/>
      <c r="AM112" s="7"/>
      <c r="AN112" s="7">
        <v>10001</v>
      </c>
      <c r="AO112" s="7"/>
      <c r="AP112" s="7">
        <v>0</v>
      </c>
      <c r="AQ112" s="7">
        <v>4000</v>
      </c>
      <c r="AR112" s="7">
        <v>0</v>
      </c>
      <c r="AS112" s="7">
        <v>2</v>
      </c>
      <c r="AT112" s="54"/>
      <c r="AU112" s="54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spans="1:58">
      <c r="A113" s="7">
        <v>416235</v>
      </c>
      <c r="B113" s="7">
        <v>0</v>
      </c>
      <c r="C113" s="7" t="s">
        <v>3597</v>
      </c>
      <c r="D113" s="7" t="s">
        <v>3725</v>
      </c>
      <c r="E113" s="7" t="s">
        <v>3510</v>
      </c>
      <c r="F113" s="7" t="s">
        <v>3799</v>
      </c>
      <c r="G113" s="7">
        <v>1</v>
      </c>
      <c r="H113" s="7" t="s">
        <v>3898</v>
      </c>
      <c r="I113" s="7">
        <v>1</v>
      </c>
      <c r="J113" s="7">
        <v>1</v>
      </c>
      <c r="K113" s="7">
        <v>1</v>
      </c>
      <c r="L113" s="7">
        <v>14</v>
      </c>
      <c r="M113" s="7">
        <v>14</v>
      </c>
      <c r="N113" s="7">
        <v>1</v>
      </c>
      <c r="O113" s="7"/>
      <c r="P113" s="7"/>
      <c r="Q113" s="7"/>
      <c r="R113" s="7"/>
      <c r="S113" s="7">
        <v>0</v>
      </c>
      <c r="T113" s="7">
        <v>0</v>
      </c>
      <c r="U113" s="7">
        <v>8</v>
      </c>
      <c r="V113" s="7">
        <v>8</v>
      </c>
      <c r="W113" s="7">
        <v>2</v>
      </c>
      <c r="X113" s="7">
        <v>0</v>
      </c>
      <c r="Y113" s="7">
        <v>2</v>
      </c>
      <c r="Z113" s="7"/>
      <c r="AA113" s="7" t="s">
        <v>3902</v>
      </c>
      <c r="AB113" s="7">
        <v>8461</v>
      </c>
      <c r="AC113" s="7">
        <v>13</v>
      </c>
      <c r="AD113" s="7">
        <v>1210</v>
      </c>
      <c r="AE113" s="7">
        <v>0</v>
      </c>
      <c r="AF113" s="7">
        <v>10</v>
      </c>
      <c r="AG113" s="7">
        <v>0</v>
      </c>
      <c r="AH113" s="7">
        <v>10</v>
      </c>
      <c r="AI113" s="7"/>
      <c r="AJ113" s="7">
        <v>32</v>
      </c>
      <c r="AK113" s="7">
        <v>0</v>
      </c>
      <c r="AL113" s="7"/>
      <c r="AM113" s="7"/>
      <c r="AN113" s="7">
        <v>10001</v>
      </c>
      <c r="AO113" s="7"/>
      <c r="AP113" s="7">
        <v>0</v>
      </c>
      <c r="AQ113" s="7">
        <v>4000</v>
      </c>
      <c r="AR113" s="7">
        <v>0</v>
      </c>
      <c r="AS113" s="7">
        <v>2</v>
      </c>
      <c r="AT113" s="54"/>
      <c r="AU113" s="54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spans="1:58">
      <c r="A114" s="7">
        <v>416236</v>
      </c>
      <c r="B114" s="7">
        <v>0</v>
      </c>
      <c r="C114" s="7" t="s">
        <v>3598</v>
      </c>
      <c r="D114" s="7" t="s">
        <v>3726</v>
      </c>
      <c r="E114" s="7" t="s">
        <v>3511</v>
      </c>
      <c r="F114" s="7" t="s">
        <v>3800</v>
      </c>
      <c r="G114" s="7">
        <v>1</v>
      </c>
      <c r="H114" s="7" t="s">
        <v>3899</v>
      </c>
      <c r="I114" s="7">
        <v>1</v>
      </c>
      <c r="J114" s="7">
        <v>1</v>
      </c>
      <c r="K114" s="7">
        <v>1</v>
      </c>
      <c r="L114" s="7">
        <v>14</v>
      </c>
      <c r="M114" s="7">
        <v>14</v>
      </c>
      <c r="N114" s="7">
        <v>1</v>
      </c>
      <c r="O114" s="7"/>
      <c r="P114" s="7"/>
      <c r="Q114" s="7"/>
      <c r="R114" s="7"/>
      <c r="S114" s="7">
        <v>0</v>
      </c>
      <c r="T114" s="7">
        <v>0</v>
      </c>
      <c r="U114" s="7">
        <v>8</v>
      </c>
      <c r="V114" s="7">
        <v>8</v>
      </c>
      <c r="W114" s="7">
        <v>2</v>
      </c>
      <c r="X114" s="7">
        <v>0</v>
      </c>
      <c r="Y114" s="7">
        <v>2</v>
      </c>
      <c r="Z114" s="7"/>
      <c r="AA114" s="7" t="s">
        <v>3902</v>
      </c>
      <c r="AB114" s="7">
        <v>8461</v>
      </c>
      <c r="AC114" s="7">
        <v>14</v>
      </c>
      <c r="AD114" s="7">
        <v>1210</v>
      </c>
      <c r="AE114" s="7">
        <v>0</v>
      </c>
      <c r="AF114" s="7">
        <v>10</v>
      </c>
      <c r="AG114" s="7">
        <v>0</v>
      </c>
      <c r="AH114" s="7">
        <v>10</v>
      </c>
      <c r="AI114" s="7"/>
      <c r="AJ114" s="7">
        <v>32</v>
      </c>
      <c r="AK114" s="7">
        <v>0</v>
      </c>
      <c r="AL114" s="7"/>
      <c r="AM114" s="7"/>
      <c r="AN114" s="7">
        <v>10001</v>
      </c>
      <c r="AO114" s="7"/>
      <c r="AP114" s="7">
        <v>0</v>
      </c>
      <c r="AQ114" s="7">
        <v>4000</v>
      </c>
      <c r="AR114" s="7">
        <v>0</v>
      </c>
      <c r="AS114" s="7">
        <v>2</v>
      </c>
      <c r="AT114" s="54"/>
      <c r="AU114" s="54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</sheetData>
  <autoFilter ref="A1:BF114" xr:uid="{00000000-0009-0000-0000-000005000000}"/>
  <phoneticPr fontId="3"/>
  <dataValidations count="1">
    <dataValidation type="custom" allowBlank="1" showInputMessage="1" showErrorMessage="1" sqref="D7" xr:uid="{00000000-0002-0000-0500-000000000000}">
      <formula1>LENB(D7)&lt;=52</formula1>
    </dataValidation>
  </dataValidations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2</xdr:col>
                    <xdr:colOff>304800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3</xdr:col>
                    <xdr:colOff>304800</xdr:colOff>
                    <xdr:row>0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MT商品ﾏｽﾀ参照シート!$BB$2:$BB$3</xm:f>
          </x14:formula1>
          <xm:sqref>AA2:AA114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231"/>
  <sheetViews>
    <sheetView zoomScale="80" zoomScaleNormal="8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 activeCell="L125" sqref="L13:L125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7" width="6.6640625" style="2" customWidth="1"/>
    <col min="8" max="8" width="10.6640625" style="2" customWidth="1"/>
    <col min="9" max="9" width="9" style="2"/>
    <col min="10" max="10" width="10.6640625" style="4" customWidth="1"/>
    <col min="11" max="12" width="9" style="4"/>
    <col min="13" max="13" width="11.6640625" style="4" bestFit="1" customWidth="1"/>
    <col min="14" max="16384" width="9" style="2"/>
  </cols>
  <sheetData>
    <row r="1" spans="1:17" s="16" customFormat="1">
      <c r="C1" s="19"/>
      <c r="D1" s="42"/>
      <c r="G1" s="2"/>
      <c r="H1" s="2" t="s">
        <v>2035</v>
      </c>
      <c r="I1" s="144">
        <v>44926</v>
      </c>
      <c r="J1" s="144"/>
      <c r="K1" s="17"/>
      <c r="L1" s="17"/>
      <c r="M1" s="17"/>
    </row>
    <row r="2" spans="1:17" s="16" customFormat="1">
      <c r="C2" s="19"/>
      <c r="D2" s="42"/>
      <c r="E2" s="32"/>
      <c r="F2" s="32"/>
      <c r="G2" s="2"/>
      <c r="H2" s="2" t="s">
        <v>2036</v>
      </c>
      <c r="I2" s="144">
        <v>44791</v>
      </c>
      <c r="J2" s="144"/>
      <c r="K2" s="4">
        <v>791</v>
      </c>
      <c r="L2" s="2" t="e">
        <f ca="1">[1]!T担当者(K2)</f>
        <v>#NAME?</v>
      </c>
      <c r="M2" s="2" t="e">
        <f ca="1">[1]!T担当者(L2)</f>
        <v>#NAME?</v>
      </c>
      <c r="N2" s="2"/>
    </row>
    <row r="3" spans="1:17" s="16" customFormat="1">
      <c r="C3" s="19"/>
      <c r="D3" s="42"/>
      <c r="E3" s="32"/>
      <c r="F3" s="41"/>
      <c r="G3" s="2"/>
      <c r="H3" s="2" t="s">
        <v>2247</v>
      </c>
      <c r="I3" s="144">
        <v>44792</v>
      </c>
      <c r="J3" s="144"/>
      <c r="K3" s="4">
        <v>791</v>
      </c>
      <c r="L3" s="2" t="e">
        <f ca="1">[1]!T担当者(K3)</f>
        <v>#NAME?</v>
      </c>
      <c r="M3" s="2" t="e">
        <f ca="1">[1]!T担当者(L3)</f>
        <v>#NAME?</v>
      </c>
      <c r="N3" s="2"/>
    </row>
    <row r="4" spans="1:17" s="16" customFormat="1">
      <c r="C4" s="19"/>
      <c r="E4" s="32"/>
      <c r="F4" s="32"/>
      <c r="H4" s="2" t="s">
        <v>2230</v>
      </c>
      <c r="I4" s="144">
        <v>44791</v>
      </c>
      <c r="J4" s="145"/>
      <c r="K4" s="4">
        <v>791</v>
      </c>
      <c r="L4" s="2" t="e">
        <f ca="1">[1]!T担当者(K4)</f>
        <v>#NAME?</v>
      </c>
      <c r="M4" s="2" t="e">
        <f ca="1">[1]!T担当者(L4)</f>
        <v>#NAME?</v>
      </c>
      <c r="N4" s="2"/>
    </row>
    <row r="5" spans="1:17" s="16" customFormat="1">
      <c r="C5" s="19"/>
      <c r="D5" s="16" t="s">
        <v>2004</v>
      </c>
      <c r="E5" s="32"/>
      <c r="F5" s="41"/>
      <c r="G5" s="2"/>
      <c r="H5" s="2"/>
      <c r="J5" s="17"/>
      <c r="K5" s="17"/>
      <c r="L5" s="17"/>
      <c r="M5" s="17"/>
    </row>
    <row r="6" spans="1:17" s="16" customFormat="1">
      <c r="C6" s="19"/>
      <c r="D6" s="18"/>
      <c r="E6" s="32"/>
      <c r="F6" s="41"/>
      <c r="G6" s="2"/>
      <c r="H6" s="2"/>
      <c r="J6" s="17"/>
      <c r="K6" s="17"/>
      <c r="L6" s="17"/>
      <c r="M6" s="17"/>
    </row>
    <row r="7" spans="1:17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</row>
    <row r="8" spans="1:17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1999</v>
      </c>
      <c r="L8" s="2" t="s">
        <v>2002</v>
      </c>
      <c r="M8" s="2" t="s">
        <v>2002</v>
      </c>
    </row>
    <row r="9" spans="1:17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</row>
    <row r="10" spans="1:17" s="55" customFormat="1" ht="26.4">
      <c r="A10" s="2"/>
      <c r="B10" s="2"/>
      <c r="C10" s="15" t="s">
        <v>1944</v>
      </c>
      <c r="G10" s="15" t="s">
        <v>1944</v>
      </c>
      <c r="H10" s="55" t="s">
        <v>1900</v>
      </c>
      <c r="I10" s="15" t="s">
        <v>1944</v>
      </c>
      <c r="J10" s="55" t="s">
        <v>1900</v>
      </c>
      <c r="K10" s="55" t="s">
        <v>1944</v>
      </c>
      <c r="L10" s="55" t="s">
        <v>1944</v>
      </c>
      <c r="M10" s="55" t="s">
        <v>1944</v>
      </c>
    </row>
    <row r="11" spans="1:17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34"/>
      <c r="K11" s="50" t="s">
        <v>1683</v>
      </c>
      <c r="L11" s="50" t="s">
        <v>1683</v>
      </c>
      <c r="M11" s="50" t="s">
        <v>1683</v>
      </c>
    </row>
    <row r="12" spans="1:17" s="15" customFormat="1" ht="39.6">
      <c r="A12" s="13" t="s">
        <v>1431</v>
      </c>
      <c r="B12" s="13" t="s">
        <v>1410</v>
      </c>
      <c r="C12" s="13" t="s">
        <v>2242</v>
      </c>
      <c r="D12" s="13" t="s">
        <v>2011</v>
      </c>
      <c r="E12" s="13" t="s">
        <v>4</v>
      </c>
      <c r="F12" s="13" t="s">
        <v>486</v>
      </c>
      <c r="G12" s="77" t="s">
        <v>2005</v>
      </c>
      <c r="H12" s="77" t="s">
        <v>2220</v>
      </c>
      <c r="I12" s="77" t="s">
        <v>2210</v>
      </c>
      <c r="J12" s="48" t="s">
        <v>2221</v>
      </c>
      <c r="K12" s="48" t="s">
        <v>2674</v>
      </c>
      <c r="L12" s="48" t="s">
        <v>1924</v>
      </c>
      <c r="M12" s="48" t="s">
        <v>1925</v>
      </c>
      <c r="P12" s="15" t="s">
        <v>2218</v>
      </c>
    </row>
    <row r="13" spans="1:17" ht="13.5" customHeight="1">
      <c r="A13" s="7">
        <v>1</v>
      </c>
      <c r="B13" s="7"/>
      <c r="C13" s="7">
        <v>416237</v>
      </c>
      <c r="D13" s="7" t="s">
        <v>3512</v>
      </c>
      <c r="E13" s="7" t="s">
        <v>3801</v>
      </c>
      <c r="F13" s="7" t="s">
        <v>1682</v>
      </c>
      <c r="G13" s="6">
        <v>0</v>
      </c>
      <c r="H13" s="7" t="str">
        <f>IF(G13="","",VLOOKUP(G13,MT商品ﾏｽﾀ参照シート!AM:AN,2,0))</f>
        <v>共通部署</v>
      </c>
      <c r="I13" s="6">
        <v>401705</v>
      </c>
      <c r="J13" s="7" t="e">
        <f ca="1">[1]!t仕入先名(I13)</f>
        <v>#NAME?</v>
      </c>
      <c r="K13" s="8"/>
      <c r="L13" s="8">
        <v>3201</v>
      </c>
      <c r="M13" s="123">
        <v>45569</v>
      </c>
      <c r="P13" s="2">
        <v>0</v>
      </c>
      <c r="Q13" s="2" t="s">
        <v>2052</v>
      </c>
    </row>
    <row r="14" spans="1:17" ht="13.5" customHeight="1">
      <c r="A14" s="7">
        <v>2</v>
      </c>
      <c r="B14" s="7"/>
      <c r="C14" s="7">
        <v>416238</v>
      </c>
      <c r="D14" s="7" t="s">
        <v>3513</v>
      </c>
      <c r="E14" s="7" t="s">
        <v>3802</v>
      </c>
      <c r="F14" s="7" t="s">
        <v>1682</v>
      </c>
      <c r="G14" s="6">
        <v>0</v>
      </c>
      <c r="H14" s="7" t="str">
        <f>IF(G14="","",VLOOKUP(G14,MT商品ﾏｽﾀ参照シート!AM:AN,2,0))</f>
        <v>共通部署</v>
      </c>
      <c r="I14" s="6">
        <v>401705</v>
      </c>
      <c r="J14" s="7" t="e">
        <f ca="1">[1]!t仕入先名(I14)</f>
        <v>#NAME?</v>
      </c>
      <c r="K14" s="8"/>
      <c r="L14" s="8">
        <v>4746</v>
      </c>
      <c r="M14" s="123">
        <v>45569</v>
      </c>
      <c r="P14" s="2">
        <v>100</v>
      </c>
      <c r="Q14" s="2" t="s">
        <v>2059</v>
      </c>
    </row>
    <row r="15" spans="1:17" ht="13.5" customHeight="1">
      <c r="A15" s="7">
        <v>3</v>
      </c>
      <c r="B15" s="7"/>
      <c r="C15" s="7">
        <v>416239</v>
      </c>
      <c r="D15" s="7" t="s">
        <v>3514</v>
      </c>
      <c r="E15" s="7" t="s">
        <v>3803</v>
      </c>
      <c r="F15" s="7" t="s">
        <v>1682</v>
      </c>
      <c r="G15" s="6">
        <v>0</v>
      </c>
      <c r="H15" s="7" t="str">
        <f>IF(G15="","",VLOOKUP(G15,MT商品ﾏｽﾀ参照シート!AM:AN,2,0))</f>
        <v>共通部署</v>
      </c>
      <c r="I15" s="6">
        <v>401705</v>
      </c>
      <c r="J15" s="7" t="e">
        <f ca="1">[1]!t仕入先名(I15)</f>
        <v>#NAME?</v>
      </c>
      <c r="K15" s="8"/>
      <c r="L15" s="8">
        <v>3168</v>
      </c>
      <c r="M15" s="123">
        <v>45569</v>
      </c>
      <c r="P15" s="2">
        <v>112</v>
      </c>
      <c r="Q15" s="2" t="s">
        <v>2065</v>
      </c>
    </row>
    <row r="16" spans="1:17" ht="13.5" customHeight="1">
      <c r="A16" s="7">
        <v>4</v>
      </c>
      <c r="B16" s="7"/>
      <c r="C16" s="7">
        <v>416240</v>
      </c>
      <c r="D16" s="7" t="s">
        <v>3515</v>
      </c>
      <c r="E16" s="7" t="s">
        <v>3804</v>
      </c>
      <c r="F16" s="7" t="s">
        <v>1682</v>
      </c>
      <c r="G16" s="6">
        <v>0</v>
      </c>
      <c r="H16" s="7" t="str">
        <f>IF(G16="","",VLOOKUP(G16,MT商品ﾏｽﾀ参照シート!AM:AN,2,0))</f>
        <v>共通部署</v>
      </c>
      <c r="I16" s="6">
        <v>401705</v>
      </c>
      <c r="J16" s="7" t="e">
        <f ca="1">[1]!t仕入先名(I16)</f>
        <v>#NAME?</v>
      </c>
      <c r="K16" s="8"/>
      <c r="L16" s="8">
        <v>4507</v>
      </c>
      <c r="M16" s="123">
        <v>45569</v>
      </c>
      <c r="P16" s="2">
        <v>115</v>
      </c>
      <c r="Q16" s="2" t="s">
        <v>2068</v>
      </c>
    </row>
    <row r="17" spans="1:17" ht="13.5" customHeight="1">
      <c r="A17" s="7">
        <v>5</v>
      </c>
      <c r="B17" s="7"/>
      <c r="C17" s="7">
        <v>416103</v>
      </c>
      <c r="D17" s="7" t="s">
        <v>3945</v>
      </c>
      <c r="E17" s="7" t="s">
        <v>3805</v>
      </c>
      <c r="F17" s="7" t="s">
        <v>1682</v>
      </c>
      <c r="G17" s="6">
        <v>0</v>
      </c>
      <c r="H17" s="7" t="str">
        <f>IF(G17="","",VLOOKUP(G17,MT商品ﾏｽﾀ参照シート!AM:AN,2,0))</f>
        <v>共通部署</v>
      </c>
      <c r="I17" s="6">
        <v>401705</v>
      </c>
      <c r="J17" s="7" t="e">
        <f ca="1">[1]!t仕入先名(I17)</f>
        <v>#NAME?</v>
      </c>
      <c r="K17" s="8"/>
      <c r="L17" s="8">
        <v>3342</v>
      </c>
      <c r="M17" s="123">
        <v>45569</v>
      </c>
      <c r="P17" s="2">
        <v>121</v>
      </c>
      <c r="Q17" s="2" t="s">
        <v>2070</v>
      </c>
    </row>
    <row r="18" spans="1:17" ht="13.5" customHeight="1">
      <c r="A18" s="7">
        <v>6</v>
      </c>
      <c r="B18" s="7"/>
      <c r="C18" s="7">
        <v>416104</v>
      </c>
      <c r="D18" s="7" t="s">
        <v>3516</v>
      </c>
      <c r="E18" s="7"/>
      <c r="F18" s="7" t="s">
        <v>1682</v>
      </c>
      <c r="G18" s="6">
        <v>0</v>
      </c>
      <c r="H18" s="7" t="str">
        <f>IF(G18="","",VLOOKUP(G18,MT商品ﾏｽﾀ参照シート!AM:AN,2,0))</f>
        <v>共通部署</v>
      </c>
      <c r="I18" s="6">
        <v>401705</v>
      </c>
      <c r="J18" s="7" t="e">
        <f ca="1">[1]!t仕入先名(I18)</f>
        <v>#NAME?</v>
      </c>
      <c r="K18" s="8"/>
      <c r="L18" s="8">
        <v>4144</v>
      </c>
      <c r="M18" s="123">
        <v>45569</v>
      </c>
    </row>
    <row r="19" spans="1:17" ht="13.5" customHeight="1">
      <c r="A19" s="7">
        <v>7</v>
      </c>
      <c r="B19" s="7"/>
      <c r="C19" s="7">
        <v>416105</v>
      </c>
      <c r="D19" s="7" t="s">
        <v>3517</v>
      </c>
      <c r="E19" s="7" t="s">
        <v>3806</v>
      </c>
      <c r="F19" s="7" t="s">
        <v>1682</v>
      </c>
      <c r="G19" s="6">
        <v>0</v>
      </c>
      <c r="H19" s="7" t="str">
        <f>IF(G19="","",VLOOKUP(G19,MT商品ﾏｽﾀ参照シート!AM:AN,2,0))</f>
        <v>共通部署</v>
      </c>
      <c r="I19" s="6">
        <v>401705</v>
      </c>
      <c r="J19" s="7" t="e">
        <f ca="1">[1]!t仕入先名(I19)</f>
        <v>#NAME?</v>
      </c>
      <c r="K19" s="8"/>
      <c r="L19" s="8">
        <v>4144</v>
      </c>
      <c r="M19" s="123">
        <v>45569</v>
      </c>
    </row>
    <row r="20" spans="1:17" ht="13.5" customHeight="1">
      <c r="A20" s="7">
        <v>8</v>
      </c>
      <c r="B20" s="7"/>
      <c r="C20" s="7">
        <v>416106</v>
      </c>
      <c r="D20" s="7" t="s">
        <v>3518</v>
      </c>
      <c r="E20" s="7"/>
      <c r="F20" s="7" t="s">
        <v>1682</v>
      </c>
      <c r="G20" s="6">
        <v>0</v>
      </c>
      <c r="H20" s="7" t="str">
        <f>IF(G20="","",VLOOKUP(G20,MT商品ﾏｽﾀ参照シート!AM:AN,2,0))</f>
        <v>共通部署</v>
      </c>
      <c r="I20" s="6">
        <v>401705</v>
      </c>
      <c r="J20" s="7" t="e">
        <f ca="1">[1]!t仕入先名(I20)</f>
        <v>#NAME?</v>
      </c>
      <c r="K20" s="8"/>
      <c r="L20" s="8">
        <v>4144</v>
      </c>
      <c r="M20" s="123">
        <v>45569</v>
      </c>
      <c r="P20" s="2">
        <v>200</v>
      </c>
      <c r="Q20" s="2" t="s">
        <v>2077</v>
      </c>
    </row>
    <row r="21" spans="1:17" ht="13.5" customHeight="1">
      <c r="A21" s="7">
        <v>9</v>
      </c>
      <c r="B21" s="7"/>
      <c r="C21" s="7">
        <v>416107</v>
      </c>
      <c r="D21" s="7" t="s">
        <v>3519</v>
      </c>
      <c r="E21" s="7" t="s">
        <v>3807</v>
      </c>
      <c r="F21" s="7" t="s">
        <v>1682</v>
      </c>
      <c r="G21" s="6">
        <v>0</v>
      </c>
      <c r="H21" s="7" t="str">
        <f>IF(G21="","",VLOOKUP(G21,MT商品ﾏｽﾀ参照シート!AM:AN,2,0))</f>
        <v>共通部署</v>
      </c>
      <c r="I21" s="6">
        <v>401705</v>
      </c>
      <c r="J21" s="7" t="e">
        <f ca="1">[1]!t仕入先名(I21)</f>
        <v>#NAME?</v>
      </c>
      <c r="K21" s="8"/>
      <c r="L21" s="8">
        <v>3068</v>
      </c>
      <c r="M21" s="123">
        <v>45569</v>
      </c>
      <c r="P21" s="2">
        <v>400</v>
      </c>
      <c r="Q21" s="2" t="s">
        <v>2079</v>
      </c>
    </row>
    <row r="22" spans="1:17" ht="13.5" customHeight="1">
      <c r="A22" s="7">
        <v>10</v>
      </c>
      <c r="B22" s="7"/>
      <c r="C22" s="7">
        <v>416108</v>
      </c>
      <c r="D22" s="7" t="s">
        <v>3520</v>
      </c>
      <c r="E22" s="7" t="s">
        <v>3808</v>
      </c>
      <c r="F22" s="7" t="s">
        <v>1682</v>
      </c>
      <c r="G22" s="6">
        <v>0</v>
      </c>
      <c r="H22" s="7" t="str">
        <f>IF(G22="","",VLOOKUP(G22,MT商品ﾏｽﾀ参照シート!AM:AN,2,0))</f>
        <v>共通部署</v>
      </c>
      <c r="I22" s="6">
        <v>401705</v>
      </c>
      <c r="J22" s="7" t="e">
        <f ca="1">[1]!t仕入先名(I22)</f>
        <v>#NAME?</v>
      </c>
      <c r="K22" s="8"/>
      <c r="L22" s="8">
        <v>3068</v>
      </c>
      <c r="M22" s="123">
        <v>45569</v>
      </c>
      <c r="P22" s="2">
        <v>600</v>
      </c>
      <c r="Q22" s="2" t="s">
        <v>2081</v>
      </c>
    </row>
    <row r="23" spans="1:17" ht="13.5" customHeight="1">
      <c r="A23" s="7">
        <v>11</v>
      </c>
      <c r="B23" s="7"/>
      <c r="C23" s="7">
        <v>416109</v>
      </c>
      <c r="D23" s="7" t="s">
        <v>3946</v>
      </c>
      <c r="E23" s="7" t="s">
        <v>3809</v>
      </c>
      <c r="F23" s="7" t="s">
        <v>1682</v>
      </c>
      <c r="G23" s="6">
        <v>0</v>
      </c>
      <c r="H23" s="7" t="str">
        <f>IF(G23="","",VLOOKUP(G23,MT商品ﾏｽﾀ参照シート!AM:AN,2,0))</f>
        <v>共通部署</v>
      </c>
      <c r="I23" s="6">
        <v>401705</v>
      </c>
      <c r="J23" s="7" t="e">
        <f ca="1">[1]!t仕入先名(I23)</f>
        <v>#NAME?</v>
      </c>
      <c r="K23" s="8"/>
      <c r="L23" s="8">
        <v>3068</v>
      </c>
      <c r="M23" s="123">
        <v>45569</v>
      </c>
      <c r="P23" s="2">
        <v>799</v>
      </c>
      <c r="Q23" s="2" t="s">
        <v>2083</v>
      </c>
    </row>
    <row r="24" spans="1:17" ht="13.5" customHeight="1">
      <c r="A24" s="7">
        <v>12</v>
      </c>
      <c r="B24" s="7"/>
      <c r="C24" s="7">
        <v>416110</v>
      </c>
      <c r="D24" s="7" t="s">
        <v>3521</v>
      </c>
      <c r="E24" s="7" t="s">
        <v>3810</v>
      </c>
      <c r="F24" s="7" t="s">
        <v>1682</v>
      </c>
      <c r="G24" s="6">
        <v>0</v>
      </c>
      <c r="H24" s="7" t="str">
        <f>IF(G24="","",VLOOKUP(G24,MT商品ﾏｽﾀ参照シート!AM:AN,2,0))</f>
        <v>共通部署</v>
      </c>
      <c r="I24" s="6">
        <v>401705</v>
      </c>
      <c r="J24" s="7" t="e">
        <f ca="1">[1]!t仕入先名(I24)</f>
        <v>#NAME?</v>
      </c>
      <c r="K24" s="8"/>
      <c r="L24" s="8">
        <v>2877</v>
      </c>
      <c r="M24" s="123">
        <v>45569</v>
      </c>
      <c r="P24" s="2">
        <v>860</v>
      </c>
      <c r="Q24" s="2" t="s">
        <v>2085</v>
      </c>
    </row>
    <row r="25" spans="1:17" ht="13.5" customHeight="1">
      <c r="A25" s="7">
        <v>13</v>
      </c>
      <c r="B25" s="7"/>
      <c r="C25" s="7">
        <v>416111</v>
      </c>
      <c r="D25" s="7" t="s">
        <v>3947</v>
      </c>
      <c r="E25" s="7" t="s">
        <v>3811</v>
      </c>
      <c r="F25" s="7" t="s">
        <v>1682</v>
      </c>
      <c r="G25" s="6">
        <v>0</v>
      </c>
      <c r="H25" s="7" t="str">
        <f>IF(G25="","",VLOOKUP(G25,MT商品ﾏｽﾀ参照シート!AM:AN,2,0))</f>
        <v>共通部署</v>
      </c>
      <c r="I25" s="6">
        <v>401705</v>
      </c>
      <c r="J25" s="7" t="e">
        <f ca="1">[1]!t仕入先名(I25)</f>
        <v>#NAME?</v>
      </c>
      <c r="K25" s="8"/>
      <c r="L25" s="8">
        <v>2551</v>
      </c>
      <c r="M25" s="123">
        <v>45569</v>
      </c>
      <c r="P25" s="2">
        <v>896</v>
      </c>
      <c r="Q25" s="2" t="s">
        <v>2087</v>
      </c>
    </row>
    <row r="26" spans="1:17" ht="13.5" customHeight="1">
      <c r="A26" s="7">
        <v>14</v>
      </c>
      <c r="B26" s="7"/>
      <c r="C26" s="7">
        <v>416112</v>
      </c>
      <c r="D26" s="7" t="s">
        <v>3522</v>
      </c>
      <c r="E26" s="7" t="s">
        <v>3812</v>
      </c>
      <c r="F26" s="7" t="s">
        <v>1682</v>
      </c>
      <c r="G26" s="6">
        <v>0</v>
      </c>
      <c r="H26" s="7" t="str">
        <f>IF(G26="","",VLOOKUP(G26,MT商品ﾏｽﾀ参照シート!AM:AN,2,0))</f>
        <v>共通部署</v>
      </c>
      <c r="I26" s="6">
        <v>401705</v>
      </c>
      <c r="J26" s="7" t="e">
        <f ca="1">[1]!t仕入先名(I26)</f>
        <v>#NAME?</v>
      </c>
      <c r="K26" s="8"/>
      <c r="L26" s="8">
        <v>4900</v>
      </c>
      <c r="M26" s="123">
        <v>45569</v>
      </c>
      <c r="P26" s="2">
        <v>1510</v>
      </c>
      <c r="Q26" s="2" t="s">
        <v>2089</v>
      </c>
    </row>
    <row r="27" spans="1:17" ht="13.5" customHeight="1">
      <c r="A27" s="7">
        <v>15</v>
      </c>
      <c r="B27" s="7"/>
      <c r="C27" s="7">
        <v>416113</v>
      </c>
      <c r="D27" s="7" t="s">
        <v>3523</v>
      </c>
      <c r="E27" s="7" t="s">
        <v>3813</v>
      </c>
      <c r="F27" s="7" t="s">
        <v>1682</v>
      </c>
      <c r="G27" s="6">
        <v>0</v>
      </c>
      <c r="H27" s="7" t="str">
        <f>IF(G27="","",VLOOKUP(G27,MT商品ﾏｽﾀ参照シート!AM:AN,2,0))</f>
        <v>共通部署</v>
      </c>
      <c r="I27" s="6">
        <v>401705</v>
      </c>
      <c r="J27" s="7" t="e">
        <f ca="1">[1]!t仕入先名(I27)</f>
        <v>#NAME?</v>
      </c>
      <c r="K27" s="8"/>
      <c r="L27" s="8">
        <v>4193</v>
      </c>
      <c r="M27" s="123">
        <v>45569</v>
      </c>
      <c r="P27" s="2">
        <v>1570</v>
      </c>
      <c r="Q27" s="2" t="s">
        <v>2091</v>
      </c>
    </row>
    <row r="28" spans="1:17" ht="13.5" customHeight="1">
      <c r="A28" s="7">
        <v>16</v>
      </c>
      <c r="B28" s="7"/>
      <c r="C28" s="7">
        <v>416114</v>
      </c>
      <c r="D28" s="7" t="s">
        <v>3524</v>
      </c>
      <c r="E28" s="7"/>
      <c r="F28" s="7" t="s">
        <v>1682</v>
      </c>
      <c r="G28" s="6">
        <v>0</v>
      </c>
      <c r="H28" s="7" t="str">
        <f>IF(G28="","",VLOOKUP(G28,MT商品ﾏｽﾀ参照シート!AM:AN,2,0))</f>
        <v>共通部署</v>
      </c>
      <c r="I28" s="6">
        <v>401705</v>
      </c>
      <c r="J28" s="7" t="e">
        <f ca="1">[1]!t仕入先名(I28)</f>
        <v>#NAME?</v>
      </c>
      <c r="K28" s="8"/>
      <c r="L28" s="8">
        <v>3193</v>
      </c>
      <c r="M28" s="123">
        <v>45569</v>
      </c>
      <c r="P28" s="2">
        <v>2000</v>
      </c>
      <c r="Q28" s="2" t="s">
        <v>2093</v>
      </c>
    </row>
    <row r="29" spans="1:17" ht="13.5" customHeight="1">
      <c r="A29" s="7">
        <v>17</v>
      </c>
      <c r="B29" s="7"/>
      <c r="C29" s="7">
        <v>416115</v>
      </c>
      <c r="D29" s="7" t="s">
        <v>3525</v>
      </c>
      <c r="E29" s="7" t="s">
        <v>3814</v>
      </c>
      <c r="F29" s="7" t="s">
        <v>1682</v>
      </c>
      <c r="G29" s="6">
        <v>0</v>
      </c>
      <c r="H29" s="7" t="str">
        <f>IF(G29="","",VLOOKUP(G29,MT商品ﾏｽﾀ参照シート!AM:AN,2,0))</f>
        <v>共通部署</v>
      </c>
      <c r="I29" s="6">
        <v>401705</v>
      </c>
      <c r="J29" s="7" t="e">
        <f ca="1">[1]!t仕入先名(I29)</f>
        <v>#NAME?</v>
      </c>
      <c r="K29" s="8"/>
      <c r="L29" s="8">
        <v>3519</v>
      </c>
      <c r="M29" s="123">
        <v>45569</v>
      </c>
      <c r="P29" s="2">
        <v>300</v>
      </c>
      <c r="Q29" s="2" t="s">
        <v>2095</v>
      </c>
    </row>
    <row r="30" spans="1:17" ht="13.5" customHeight="1">
      <c r="A30" s="7">
        <v>18</v>
      </c>
      <c r="B30" s="7"/>
      <c r="C30" s="7">
        <v>416116</v>
      </c>
      <c r="D30" s="7" t="s">
        <v>3526</v>
      </c>
      <c r="E30" s="7" t="s">
        <v>3815</v>
      </c>
      <c r="F30" s="7" t="s">
        <v>1682</v>
      </c>
      <c r="G30" s="6">
        <v>0</v>
      </c>
      <c r="H30" s="7" t="str">
        <f>IF(G30="","",VLOOKUP(G30,MT商品ﾏｽﾀ参照シート!AM:AN,2,0))</f>
        <v>共通部署</v>
      </c>
      <c r="I30" s="6">
        <v>401705</v>
      </c>
      <c r="J30" s="7" t="e">
        <f ca="1">[1]!t仕入先名(I30)</f>
        <v>#NAME?</v>
      </c>
      <c r="K30" s="8"/>
      <c r="L30" s="8">
        <v>3198</v>
      </c>
      <c r="M30" s="123">
        <v>45569</v>
      </c>
      <c r="P30" s="2">
        <v>500</v>
      </c>
      <c r="Q30" s="2" t="s">
        <v>2097</v>
      </c>
    </row>
    <row r="31" spans="1:17" ht="13.5" customHeight="1">
      <c r="A31" s="7">
        <v>19</v>
      </c>
      <c r="B31" s="7"/>
      <c r="C31" s="7">
        <v>416117</v>
      </c>
      <c r="D31" s="7" t="s">
        <v>3527</v>
      </c>
      <c r="E31" s="7">
        <v>49701</v>
      </c>
      <c r="F31" s="7" t="s">
        <v>1682</v>
      </c>
      <c r="G31" s="6">
        <v>0</v>
      </c>
      <c r="H31" s="7" t="str">
        <f>IF(G31="","",VLOOKUP(G31,MT商品ﾏｽﾀ参照シート!AM:AN,2,0))</f>
        <v>共通部署</v>
      </c>
      <c r="I31" s="6">
        <v>401705</v>
      </c>
      <c r="J31" s="7" t="e">
        <f ca="1">[1]!t仕入先名(I31)</f>
        <v>#NAME?</v>
      </c>
      <c r="K31" s="8"/>
      <c r="L31" s="8">
        <v>4216</v>
      </c>
      <c r="M31" s="123">
        <v>45569</v>
      </c>
      <c r="P31" s="2">
        <v>153</v>
      </c>
      <c r="Q31" s="2" t="s">
        <v>2099</v>
      </c>
    </row>
    <row r="32" spans="1:17" ht="13.5" customHeight="1">
      <c r="A32" s="7">
        <v>20</v>
      </c>
      <c r="B32" s="7"/>
      <c r="C32" s="7">
        <v>416118</v>
      </c>
      <c r="D32" s="7" t="s">
        <v>3948</v>
      </c>
      <c r="E32" s="7" t="s">
        <v>3816</v>
      </c>
      <c r="F32" s="7" t="s">
        <v>1682</v>
      </c>
      <c r="G32" s="6">
        <v>0</v>
      </c>
      <c r="H32" s="7" t="str">
        <f>IF(G32="","",VLOOKUP(G32,MT商品ﾏｽﾀ参照シート!AM:AN,2,0))</f>
        <v>共通部署</v>
      </c>
      <c r="I32" s="6">
        <v>401705</v>
      </c>
      <c r="J32" s="7" t="e">
        <f ca="1">[1]!t仕入先名(I32)</f>
        <v>#NAME?</v>
      </c>
      <c r="K32" s="8"/>
      <c r="L32" s="8">
        <v>4949</v>
      </c>
      <c r="M32" s="123">
        <v>45569</v>
      </c>
    </row>
    <row r="33" spans="1:13" ht="13.5" customHeight="1">
      <c r="A33" s="7">
        <v>21</v>
      </c>
      <c r="B33" s="7"/>
      <c r="C33" s="7">
        <v>416119</v>
      </c>
      <c r="D33" s="7" t="s">
        <v>3528</v>
      </c>
      <c r="E33" s="7">
        <v>430199</v>
      </c>
      <c r="F33" s="7" t="s">
        <v>1682</v>
      </c>
      <c r="G33" s="6">
        <v>0</v>
      </c>
      <c r="H33" s="7" t="str">
        <f>IF(G33="","",VLOOKUP(G33,MT商品ﾏｽﾀ参照シート!AM:AN,2,0))</f>
        <v>共通部署</v>
      </c>
      <c r="I33" s="6">
        <v>401705</v>
      </c>
      <c r="J33" s="7" t="e">
        <f ca="1">[1]!t仕入先名(I33)</f>
        <v>#NAME?</v>
      </c>
      <c r="K33" s="8"/>
      <c r="L33" s="8">
        <v>4314</v>
      </c>
      <c r="M33" s="123">
        <v>45569</v>
      </c>
    </row>
    <row r="34" spans="1:13" ht="13.5" customHeight="1">
      <c r="A34" s="7">
        <v>22</v>
      </c>
      <c r="B34" s="7"/>
      <c r="C34" s="7">
        <v>416145</v>
      </c>
      <c r="D34" s="7" t="s">
        <v>3529</v>
      </c>
      <c r="E34" s="7"/>
      <c r="F34" s="7" t="s">
        <v>1682</v>
      </c>
      <c r="G34" s="6">
        <v>0</v>
      </c>
      <c r="H34" s="7" t="str">
        <f>IF(G34="","",VLOOKUP(G34,MT商品ﾏｽﾀ参照シート!AM:AN,2,0))</f>
        <v>共通部署</v>
      </c>
      <c r="I34" s="6">
        <v>401705</v>
      </c>
      <c r="J34" s="7" t="e">
        <f ca="1">[1]!t仕入先名(I34)</f>
        <v>#NAME?</v>
      </c>
      <c r="K34" s="8"/>
      <c r="L34" s="8">
        <v>3094</v>
      </c>
      <c r="M34" s="123">
        <v>45569</v>
      </c>
    </row>
    <row r="35" spans="1:13" ht="13.5" customHeight="1">
      <c r="A35" s="7">
        <v>23</v>
      </c>
      <c r="B35" s="7"/>
      <c r="C35" s="7">
        <v>416146</v>
      </c>
      <c r="D35" s="7" t="s">
        <v>3530</v>
      </c>
      <c r="E35" s="7"/>
      <c r="F35" s="7" t="s">
        <v>1682</v>
      </c>
      <c r="G35" s="6">
        <v>0</v>
      </c>
      <c r="H35" s="7" t="str">
        <f>IF(G35="","",VLOOKUP(G35,MT商品ﾏｽﾀ参照シート!AM:AN,2,0))</f>
        <v>共通部署</v>
      </c>
      <c r="I35" s="6">
        <v>401705</v>
      </c>
      <c r="J35" s="7" t="e">
        <f ca="1">[1]!t仕入先名(I35)</f>
        <v>#NAME?</v>
      </c>
      <c r="K35" s="8"/>
      <c r="L35" s="8">
        <v>5811</v>
      </c>
      <c r="M35" s="123">
        <v>45569</v>
      </c>
    </row>
    <row r="36" spans="1:13" ht="13.5" customHeight="1">
      <c r="A36" s="7">
        <v>24</v>
      </c>
      <c r="B36" s="7"/>
      <c r="C36" s="7">
        <v>416147</v>
      </c>
      <c r="D36" s="7" t="s">
        <v>3531</v>
      </c>
      <c r="E36" s="7" t="s">
        <v>3817</v>
      </c>
      <c r="F36" s="7" t="s">
        <v>1682</v>
      </c>
      <c r="G36" s="6">
        <v>0</v>
      </c>
      <c r="H36" s="7" t="str">
        <f>IF(G36="","",VLOOKUP(G36,MT商品ﾏｽﾀ参照シート!AM:AN,2,0))</f>
        <v>共通部署</v>
      </c>
      <c r="I36" s="6">
        <v>401705</v>
      </c>
      <c r="J36" s="7" t="e">
        <f ca="1">[1]!t仕入先名(I36)</f>
        <v>#NAME?</v>
      </c>
      <c r="K36" s="8"/>
      <c r="L36" s="8">
        <v>5687</v>
      </c>
      <c r="M36" s="123">
        <v>45569</v>
      </c>
    </row>
    <row r="37" spans="1:13" ht="13.5" customHeight="1">
      <c r="A37" s="7">
        <v>25</v>
      </c>
      <c r="B37" s="7"/>
      <c r="C37" s="7">
        <v>416148</v>
      </c>
      <c r="D37" s="7" t="s">
        <v>3532</v>
      </c>
      <c r="E37" s="7" t="s">
        <v>3818</v>
      </c>
      <c r="F37" s="7" t="s">
        <v>1682</v>
      </c>
      <c r="G37" s="6">
        <v>0</v>
      </c>
      <c r="H37" s="7" t="str">
        <f>IF(G37="","",VLOOKUP(G37,MT商品ﾏｽﾀ参照シート!AM:AN,2,0))</f>
        <v>共通部署</v>
      </c>
      <c r="I37" s="6">
        <v>401705</v>
      </c>
      <c r="J37" s="7" t="e">
        <f ca="1">[1]!t仕入先名(I37)</f>
        <v>#NAME?</v>
      </c>
      <c r="K37" s="8"/>
      <c r="L37" s="8">
        <v>3680</v>
      </c>
      <c r="M37" s="123">
        <v>45569</v>
      </c>
    </row>
    <row r="38" spans="1:13" ht="13.5" customHeight="1">
      <c r="A38" s="7">
        <v>26</v>
      </c>
      <c r="B38" s="7"/>
      <c r="C38" s="7">
        <v>416149</v>
      </c>
      <c r="D38" s="7" t="s">
        <v>3533</v>
      </c>
      <c r="E38" s="7" t="s">
        <v>3819</v>
      </c>
      <c r="F38" s="7" t="s">
        <v>1682</v>
      </c>
      <c r="G38" s="6">
        <v>0</v>
      </c>
      <c r="H38" s="7" t="str">
        <f>IF(G38="","",VLOOKUP(G38,MT商品ﾏｽﾀ参照シート!AM:AN,2,0))</f>
        <v>共通部署</v>
      </c>
      <c r="I38" s="6">
        <v>401705</v>
      </c>
      <c r="J38" s="7" t="e">
        <f ca="1">[1]!t仕入先名(I38)</f>
        <v>#NAME?</v>
      </c>
      <c r="K38" s="8"/>
      <c r="L38" s="8">
        <v>4640</v>
      </c>
      <c r="M38" s="123">
        <v>45569</v>
      </c>
    </row>
    <row r="39" spans="1:13" ht="13.5" customHeight="1">
      <c r="A39" s="7">
        <v>27</v>
      </c>
      <c r="B39" s="7"/>
      <c r="C39" s="7">
        <v>416150</v>
      </c>
      <c r="D39" s="7" t="s">
        <v>3534</v>
      </c>
      <c r="E39" s="7" t="s">
        <v>3820</v>
      </c>
      <c r="F39" s="7" t="s">
        <v>1682</v>
      </c>
      <c r="G39" s="6">
        <v>0</v>
      </c>
      <c r="H39" s="7" t="str">
        <f>IF(G39="","",VLOOKUP(G39,MT商品ﾏｽﾀ参照シート!AM:AN,2,0))</f>
        <v>共通部署</v>
      </c>
      <c r="I39" s="6">
        <v>401705</v>
      </c>
      <c r="J39" s="7" t="e">
        <f ca="1">[1]!t仕入先名(I39)</f>
        <v>#NAME?</v>
      </c>
      <c r="K39" s="8"/>
      <c r="L39" s="8">
        <v>4533</v>
      </c>
      <c r="M39" s="123">
        <v>45569</v>
      </c>
    </row>
    <row r="40" spans="1:13" ht="13.5" customHeight="1">
      <c r="A40" s="7">
        <v>28</v>
      </c>
      <c r="B40" s="7"/>
      <c r="C40" s="7">
        <v>416151</v>
      </c>
      <c r="D40" s="7" t="s">
        <v>3535</v>
      </c>
      <c r="E40" s="7" t="s">
        <v>3821</v>
      </c>
      <c r="F40" s="7" t="s">
        <v>1682</v>
      </c>
      <c r="G40" s="6">
        <v>0</v>
      </c>
      <c r="H40" s="7" t="str">
        <f>IF(G40="","",VLOOKUP(G40,MT商品ﾏｽﾀ参照シート!AM:AN,2,0))</f>
        <v>共通部署</v>
      </c>
      <c r="I40" s="6">
        <v>401705</v>
      </c>
      <c r="J40" s="7" t="e">
        <f ca="1">[1]!t仕入先名(I40)</f>
        <v>#NAME?</v>
      </c>
      <c r="K40" s="8"/>
      <c r="L40" s="8">
        <v>3500</v>
      </c>
      <c r="M40" s="123">
        <v>45569</v>
      </c>
    </row>
    <row r="41" spans="1:13" ht="13.5" customHeight="1">
      <c r="A41" s="7">
        <v>29</v>
      </c>
      <c r="B41" s="7"/>
      <c r="C41" s="7">
        <v>416152</v>
      </c>
      <c r="D41" s="7" t="s">
        <v>3949</v>
      </c>
      <c r="E41" s="7" t="s">
        <v>3822</v>
      </c>
      <c r="F41" s="7" t="s">
        <v>1682</v>
      </c>
      <c r="G41" s="6">
        <v>0</v>
      </c>
      <c r="H41" s="7" t="str">
        <f>IF(G41="","",VLOOKUP(G41,MT商品ﾏｽﾀ参照シート!AM:AN,2,0))</f>
        <v>共通部署</v>
      </c>
      <c r="I41" s="6">
        <v>401705</v>
      </c>
      <c r="J41" s="7" t="e">
        <f ca="1">[1]!t仕入先名(I41)</f>
        <v>#NAME?</v>
      </c>
      <c r="K41" s="8"/>
      <c r="L41" s="8">
        <v>4143</v>
      </c>
      <c r="M41" s="123">
        <v>45569</v>
      </c>
    </row>
    <row r="42" spans="1:13" ht="13.5" customHeight="1">
      <c r="A42" s="7">
        <v>30</v>
      </c>
      <c r="B42" s="7"/>
      <c r="C42" s="7">
        <v>416153</v>
      </c>
      <c r="D42" s="7" t="s">
        <v>3536</v>
      </c>
      <c r="E42" s="7" t="s">
        <v>3823</v>
      </c>
      <c r="F42" s="7" t="s">
        <v>1682</v>
      </c>
      <c r="G42" s="6">
        <v>0</v>
      </c>
      <c r="H42" s="7" t="str">
        <f>IF(G42="","",VLOOKUP(G42,MT商品ﾏｽﾀ参照シート!AM:AN,2,0))</f>
        <v>共通部署</v>
      </c>
      <c r="I42" s="6">
        <v>401705</v>
      </c>
      <c r="J42" s="7" t="e">
        <f ca="1">[1]!t仕入先名(I42)</f>
        <v>#NAME?</v>
      </c>
      <c r="K42" s="8"/>
      <c r="L42" s="8">
        <v>3091</v>
      </c>
      <c r="M42" s="123">
        <v>45569</v>
      </c>
    </row>
    <row r="43" spans="1:13" ht="13.5" customHeight="1">
      <c r="A43" s="7">
        <v>31</v>
      </c>
      <c r="B43" s="7"/>
      <c r="C43" s="7">
        <v>416154</v>
      </c>
      <c r="D43" s="7" t="s">
        <v>3537</v>
      </c>
      <c r="E43" s="7" t="s">
        <v>3824</v>
      </c>
      <c r="F43" s="7" t="s">
        <v>1682</v>
      </c>
      <c r="G43" s="6">
        <v>0</v>
      </c>
      <c r="H43" s="7" t="str">
        <f>IF(G43="","",VLOOKUP(G43,MT商品ﾏｽﾀ参照シート!AM:AN,2,0))</f>
        <v>共通部署</v>
      </c>
      <c r="I43" s="6">
        <v>401705</v>
      </c>
      <c r="J43" s="7" t="e">
        <f ca="1">[1]!t仕入先名(I43)</f>
        <v>#NAME?</v>
      </c>
      <c r="K43" s="8"/>
      <c r="L43" s="8">
        <v>4367</v>
      </c>
      <c r="M43" s="123">
        <v>45569</v>
      </c>
    </row>
    <row r="44" spans="1:13" ht="13.5" customHeight="1">
      <c r="A44" s="7">
        <v>32</v>
      </c>
      <c r="B44" s="7"/>
      <c r="C44" s="7">
        <v>416155</v>
      </c>
      <c r="D44" s="7" t="s">
        <v>3538</v>
      </c>
      <c r="E44" s="7" t="s">
        <v>3825</v>
      </c>
      <c r="F44" s="7" t="s">
        <v>1682</v>
      </c>
      <c r="G44" s="6">
        <v>0</v>
      </c>
      <c r="H44" s="7" t="str">
        <f>IF(G44="","",VLOOKUP(G44,MT商品ﾏｽﾀ参照シート!AM:AN,2,0))</f>
        <v>共通部署</v>
      </c>
      <c r="I44" s="6">
        <v>401705</v>
      </c>
      <c r="J44" s="7" t="e">
        <f ca="1">[1]!t仕入先名(I44)</f>
        <v>#NAME?</v>
      </c>
      <c r="K44" s="8"/>
      <c r="L44" s="8">
        <v>2804</v>
      </c>
      <c r="M44" s="123">
        <v>45569</v>
      </c>
    </row>
    <row r="45" spans="1:13" ht="13.5" customHeight="1">
      <c r="A45" s="7">
        <v>33</v>
      </c>
      <c r="B45" s="7"/>
      <c r="C45" s="7">
        <v>416156</v>
      </c>
      <c r="D45" s="7" t="s">
        <v>3539</v>
      </c>
      <c r="E45" s="7" t="s">
        <v>3826</v>
      </c>
      <c r="F45" s="7" t="s">
        <v>1682</v>
      </c>
      <c r="G45" s="6">
        <v>0</v>
      </c>
      <c r="H45" s="7" t="str">
        <f>IF(G45="","",VLOOKUP(G45,MT商品ﾏｽﾀ参照シート!AM:AN,2,0))</f>
        <v>共通部署</v>
      </c>
      <c r="I45" s="6">
        <v>401705</v>
      </c>
      <c r="J45" s="7" t="e">
        <f ca="1">[1]!t仕入先名(I45)</f>
        <v>#NAME?</v>
      </c>
      <c r="K45" s="8"/>
      <c r="L45" s="8">
        <v>3407</v>
      </c>
      <c r="M45" s="123">
        <v>45569</v>
      </c>
    </row>
    <row r="46" spans="1:13" ht="13.5" customHeight="1">
      <c r="A46" s="7">
        <v>34</v>
      </c>
      <c r="B46" s="7"/>
      <c r="C46" s="7">
        <v>416157</v>
      </c>
      <c r="D46" s="7" t="s">
        <v>3950</v>
      </c>
      <c r="E46" s="7" t="s">
        <v>3827</v>
      </c>
      <c r="F46" s="7" t="s">
        <v>1682</v>
      </c>
      <c r="G46" s="6">
        <v>0</v>
      </c>
      <c r="H46" s="7" t="str">
        <f>IF(G46="","",VLOOKUP(G46,MT商品ﾏｽﾀ参照シート!AM:AN,2,0))</f>
        <v>共通部署</v>
      </c>
      <c r="I46" s="6">
        <v>401705</v>
      </c>
      <c r="J46" s="7" t="e">
        <f ca="1">[1]!t仕入先名(I46)</f>
        <v>#NAME?</v>
      </c>
      <c r="K46" s="8"/>
      <c r="L46" s="8">
        <v>2831</v>
      </c>
      <c r="M46" s="123">
        <v>45569</v>
      </c>
    </row>
    <row r="47" spans="1:13" ht="13.5" customHeight="1">
      <c r="A47" s="7">
        <v>35</v>
      </c>
      <c r="B47" s="7"/>
      <c r="C47" s="7">
        <v>416158</v>
      </c>
      <c r="D47" s="7" t="s">
        <v>3951</v>
      </c>
      <c r="E47" s="7" t="s">
        <v>3828</v>
      </c>
      <c r="F47" s="7" t="s">
        <v>1682</v>
      </c>
      <c r="G47" s="6">
        <v>0</v>
      </c>
      <c r="H47" s="7" t="str">
        <f>IF(G47="","",VLOOKUP(G47,MT商品ﾏｽﾀ参照シート!AM:AN,2,0))</f>
        <v>共通部署</v>
      </c>
      <c r="I47" s="6">
        <v>401705</v>
      </c>
      <c r="J47" s="7" t="e">
        <f ca="1">[1]!t仕入先名(I47)</f>
        <v>#NAME?</v>
      </c>
      <c r="K47" s="8"/>
      <c r="L47" s="8">
        <v>3401</v>
      </c>
      <c r="M47" s="123">
        <v>45569</v>
      </c>
    </row>
    <row r="48" spans="1:13" ht="13.5" customHeight="1">
      <c r="A48" s="7">
        <v>36</v>
      </c>
      <c r="B48" s="7"/>
      <c r="C48" s="7">
        <v>416159</v>
      </c>
      <c r="D48" s="7" t="s">
        <v>3540</v>
      </c>
      <c r="E48" s="7" t="s">
        <v>3829</v>
      </c>
      <c r="F48" s="7" t="s">
        <v>1682</v>
      </c>
      <c r="G48" s="6">
        <v>0</v>
      </c>
      <c r="H48" s="7" t="str">
        <f>IF(G48="","",VLOOKUP(G48,MT商品ﾏｽﾀ参照シート!AM:AN,2,0))</f>
        <v>共通部署</v>
      </c>
      <c r="I48" s="6">
        <v>401705</v>
      </c>
      <c r="J48" s="7" t="e">
        <f ca="1">[1]!t仕入先名(I48)</f>
        <v>#NAME?</v>
      </c>
      <c r="K48" s="8"/>
      <c r="L48" s="8">
        <v>4912</v>
      </c>
      <c r="M48" s="123">
        <v>45569</v>
      </c>
    </row>
    <row r="49" spans="1:13" ht="13.5" customHeight="1">
      <c r="A49" s="7">
        <v>37</v>
      </c>
      <c r="B49" s="7"/>
      <c r="C49" s="7">
        <v>416160</v>
      </c>
      <c r="D49" s="7" t="s">
        <v>3541</v>
      </c>
      <c r="E49" s="7" t="s">
        <v>3830</v>
      </c>
      <c r="F49" s="7" t="s">
        <v>1682</v>
      </c>
      <c r="G49" s="6">
        <v>0</v>
      </c>
      <c r="H49" s="7" t="str">
        <f>IF(G49="","",VLOOKUP(G49,MT商品ﾏｽﾀ参照シート!AM:AN,2,0))</f>
        <v>共通部署</v>
      </c>
      <c r="I49" s="6">
        <v>401705</v>
      </c>
      <c r="J49" s="7" t="e">
        <f ca="1">[1]!t仕入先名(I49)</f>
        <v>#NAME?</v>
      </c>
      <c r="K49" s="8"/>
      <c r="L49" s="8">
        <v>3401</v>
      </c>
      <c r="M49" s="123">
        <v>45569</v>
      </c>
    </row>
    <row r="50" spans="1:13" ht="13.5" customHeight="1">
      <c r="A50" s="7">
        <v>38</v>
      </c>
      <c r="B50" s="7"/>
      <c r="C50" s="7">
        <v>416161</v>
      </c>
      <c r="D50" s="7" t="s">
        <v>3542</v>
      </c>
      <c r="E50" s="7" t="s">
        <v>3831</v>
      </c>
      <c r="F50" s="7" t="s">
        <v>1682</v>
      </c>
      <c r="G50" s="6">
        <v>0</v>
      </c>
      <c r="H50" s="7" t="str">
        <f>IF(G50="","",VLOOKUP(G50,MT商品ﾏｽﾀ参照シート!AM:AN,2,0))</f>
        <v>共通部署</v>
      </c>
      <c r="I50" s="6">
        <v>401705</v>
      </c>
      <c r="J50" s="7" t="e">
        <f ca="1">[1]!t仕入先名(I50)</f>
        <v>#NAME?</v>
      </c>
      <c r="K50" s="8"/>
      <c r="L50" s="8">
        <v>4912</v>
      </c>
      <c r="M50" s="123">
        <v>45569</v>
      </c>
    </row>
    <row r="51" spans="1:13" ht="13.5" customHeight="1">
      <c r="A51" s="7">
        <v>39</v>
      </c>
      <c r="B51" s="7"/>
      <c r="C51" s="7">
        <v>416162</v>
      </c>
      <c r="D51" s="7" t="s">
        <v>3543</v>
      </c>
      <c r="E51" s="7" t="s">
        <v>3832</v>
      </c>
      <c r="F51" s="7" t="s">
        <v>1682</v>
      </c>
      <c r="G51" s="6">
        <v>0</v>
      </c>
      <c r="H51" s="7" t="str">
        <f>IF(G51="","",VLOOKUP(G51,MT商品ﾏｽﾀ参照シート!AM:AN,2,0))</f>
        <v>共通部署</v>
      </c>
      <c r="I51" s="6">
        <v>401705</v>
      </c>
      <c r="J51" s="7" t="e">
        <f ca="1">[1]!t仕入先名(I51)</f>
        <v>#NAME?</v>
      </c>
      <c r="K51" s="8"/>
      <c r="L51" s="8">
        <v>3515</v>
      </c>
      <c r="M51" s="123">
        <v>45569</v>
      </c>
    </row>
    <row r="52" spans="1:13" ht="13.5" customHeight="1">
      <c r="A52" s="7">
        <v>40</v>
      </c>
      <c r="B52" s="7"/>
      <c r="C52" s="7">
        <v>416163</v>
      </c>
      <c r="D52" s="7" t="s">
        <v>3544</v>
      </c>
      <c r="E52" s="7" t="s">
        <v>3833</v>
      </c>
      <c r="F52" s="7" t="s">
        <v>1682</v>
      </c>
      <c r="G52" s="6">
        <v>0</v>
      </c>
      <c r="H52" s="7" t="str">
        <f>IF(G52="","",VLOOKUP(G52,MT商品ﾏｽﾀ参照シート!AM:AN,2,0))</f>
        <v>共通部署</v>
      </c>
      <c r="I52" s="6">
        <v>401705</v>
      </c>
      <c r="J52" s="7" t="e">
        <f ca="1">[1]!t仕入先名(I52)</f>
        <v>#NAME?</v>
      </c>
      <c r="K52" s="8"/>
      <c r="L52" s="8">
        <v>3403</v>
      </c>
      <c r="M52" s="123">
        <v>45569</v>
      </c>
    </row>
    <row r="53" spans="1:13" ht="13.5" customHeight="1">
      <c r="A53" s="7">
        <v>41</v>
      </c>
      <c r="B53" s="7"/>
      <c r="C53" s="7">
        <v>416164</v>
      </c>
      <c r="D53" s="7" t="s">
        <v>3545</v>
      </c>
      <c r="E53" s="7" t="s">
        <v>3834</v>
      </c>
      <c r="F53" s="7" t="s">
        <v>1682</v>
      </c>
      <c r="G53" s="6">
        <v>0</v>
      </c>
      <c r="H53" s="7" t="str">
        <f>IF(G53="","",VLOOKUP(G53,MT商品ﾏｽﾀ参照シート!AM:AN,2,0))</f>
        <v>共通部署</v>
      </c>
      <c r="I53" s="6">
        <v>401705</v>
      </c>
      <c r="J53" s="7" t="e">
        <f ca="1">[1]!t仕入先名(I53)</f>
        <v>#NAME?</v>
      </c>
      <c r="K53" s="8"/>
      <c r="L53" s="8">
        <v>2824</v>
      </c>
      <c r="M53" s="123">
        <v>45569</v>
      </c>
    </row>
    <row r="54" spans="1:13" ht="13.5" customHeight="1">
      <c r="A54" s="7">
        <v>42</v>
      </c>
      <c r="B54" s="7"/>
      <c r="C54" s="7">
        <v>416165</v>
      </c>
      <c r="D54" s="7" t="s">
        <v>3546</v>
      </c>
      <c r="E54" s="7" t="s">
        <v>3835</v>
      </c>
      <c r="F54" s="7" t="s">
        <v>1682</v>
      </c>
      <c r="G54" s="6">
        <v>0</v>
      </c>
      <c r="H54" s="7" t="str">
        <f>IF(G54="","",VLOOKUP(G54,MT商品ﾏｽﾀ参照シート!AM:AN,2,0))</f>
        <v>共通部署</v>
      </c>
      <c r="I54" s="6">
        <v>401705</v>
      </c>
      <c r="J54" s="7" t="e">
        <f ca="1">[1]!t仕入先名(I54)</f>
        <v>#NAME?</v>
      </c>
      <c r="K54" s="8"/>
      <c r="L54" s="8">
        <v>3160</v>
      </c>
      <c r="M54" s="123">
        <v>45569</v>
      </c>
    </row>
    <row r="55" spans="1:13" ht="13.5" customHeight="1">
      <c r="A55" s="7">
        <v>43</v>
      </c>
      <c r="B55" s="7"/>
      <c r="C55" s="7">
        <v>416166</v>
      </c>
      <c r="D55" s="7" t="s">
        <v>3952</v>
      </c>
      <c r="E55" s="7" t="s">
        <v>3836</v>
      </c>
      <c r="F55" s="7" t="s">
        <v>1682</v>
      </c>
      <c r="G55" s="6">
        <v>0</v>
      </c>
      <c r="H55" s="7" t="str">
        <f>IF(G55="","",VLOOKUP(G55,MT商品ﾏｽﾀ参照シート!AM:AN,2,0))</f>
        <v>共通部署</v>
      </c>
      <c r="I55" s="6">
        <v>401705</v>
      </c>
      <c r="J55" s="7" t="e">
        <f ca="1">[1]!t仕入先名(I55)</f>
        <v>#NAME?</v>
      </c>
      <c r="K55" s="8"/>
      <c r="L55" s="8">
        <v>3324</v>
      </c>
      <c r="M55" s="123">
        <v>45569</v>
      </c>
    </row>
    <row r="56" spans="1:13" ht="13.5" customHeight="1">
      <c r="A56" s="7">
        <v>44</v>
      </c>
      <c r="B56" s="7"/>
      <c r="C56" s="7">
        <v>416167</v>
      </c>
      <c r="D56" s="7" t="s">
        <v>3953</v>
      </c>
      <c r="E56" s="7" t="s">
        <v>3837</v>
      </c>
      <c r="F56" s="7" t="s">
        <v>1682</v>
      </c>
      <c r="G56" s="6">
        <v>0</v>
      </c>
      <c r="H56" s="7" t="str">
        <f>IF(G56="","",VLOOKUP(G56,MT商品ﾏｽﾀ参照シート!AM:AN,2,0))</f>
        <v>共通部署</v>
      </c>
      <c r="I56" s="6">
        <v>401705</v>
      </c>
      <c r="J56" s="7" t="e">
        <f ca="1">[1]!t仕入先名(I56)</f>
        <v>#NAME?</v>
      </c>
      <c r="K56" s="8"/>
      <c r="L56" s="8">
        <v>3324</v>
      </c>
      <c r="M56" s="123">
        <v>45569</v>
      </c>
    </row>
    <row r="57" spans="1:13" ht="13.5" customHeight="1">
      <c r="A57" s="7">
        <v>45</v>
      </c>
      <c r="B57" s="7"/>
      <c r="C57" s="7">
        <v>416168</v>
      </c>
      <c r="D57" s="7" t="s">
        <v>3954</v>
      </c>
      <c r="E57" s="7" t="s">
        <v>3838</v>
      </c>
      <c r="F57" s="7" t="s">
        <v>1682</v>
      </c>
      <c r="G57" s="6">
        <v>0</v>
      </c>
      <c r="H57" s="7" t="str">
        <f>IF(G57="","",VLOOKUP(G57,MT商品ﾏｽﾀ参照シート!AM:AN,2,0))</f>
        <v>共通部署</v>
      </c>
      <c r="I57" s="6">
        <v>401705</v>
      </c>
      <c r="J57" s="7" t="e">
        <f ca="1">[1]!t仕入先名(I57)</f>
        <v>#NAME?</v>
      </c>
      <c r="K57" s="8"/>
      <c r="L57" s="8">
        <v>2831</v>
      </c>
      <c r="M57" s="123">
        <v>45569</v>
      </c>
    </row>
    <row r="58" spans="1:13" ht="13.5" customHeight="1">
      <c r="A58" s="7">
        <v>46</v>
      </c>
      <c r="B58" s="7"/>
      <c r="C58" s="7">
        <v>416169</v>
      </c>
      <c r="D58" s="7" t="s">
        <v>3547</v>
      </c>
      <c r="E58" s="7" t="s">
        <v>3839</v>
      </c>
      <c r="F58" s="7" t="s">
        <v>1682</v>
      </c>
      <c r="G58" s="6">
        <v>0</v>
      </c>
      <c r="H58" s="7" t="str">
        <f>IF(G58="","",VLOOKUP(G58,MT商品ﾏｽﾀ参照シート!AM:AN,2,0))</f>
        <v>共通部署</v>
      </c>
      <c r="I58" s="6">
        <v>401705</v>
      </c>
      <c r="J58" s="7" t="e">
        <f ca="1">[1]!t仕入先名(I58)</f>
        <v>#NAME?</v>
      </c>
      <c r="K58" s="8"/>
      <c r="L58" s="8">
        <v>3367</v>
      </c>
      <c r="M58" s="123">
        <v>45569</v>
      </c>
    </row>
    <row r="59" spans="1:13" ht="13.5" customHeight="1">
      <c r="A59" s="7">
        <v>47</v>
      </c>
      <c r="B59" s="7"/>
      <c r="C59" s="7">
        <v>416170</v>
      </c>
      <c r="D59" s="7" t="s">
        <v>3548</v>
      </c>
      <c r="E59" s="7" t="s">
        <v>3840</v>
      </c>
      <c r="F59" s="7" t="s">
        <v>1682</v>
      </c>
      <c r="G59" s="6">
        <v>0</v>
      </c>
      <c r="H59" s="7" t="str">
        <f>IF(G59="","",VLOOKUP(G59,MT商品ﾏｽﾀ参照シート!AM:AN,2,0))</f>
        <v>共通部署</v>
      </c>
      <c r="I59" s="6">
        <v>401705</v>
      </c>
      <c r="J59" s="7" t="e">
        <f ca="1">[1]!t仕入先名(I59)</f>
        <v>#NAME?</v>
      </c>
      <c r="K59" s="8"/>
      <c r="L59" s="8">
        <v>3993</v>
      </c>
      <c r="M59" s="123">
        <v>45569</v>
      </c>
    </row>
    <row r="60" spans="1:13" ht="13.5" customHeight="1">
      <c r="A60" s="7">
        <v>48</v>
      </c>
      <c r="B60" s="7"/>
      <c r="C60" s="7">
        <v>416171</v>
      </c>
      <c r="D60" s="7" t="s">
        <v>3549</v>
      </c>
      <c r="E60" s="7" t="s">
        <v>3841</v>
      </c>
      <c r="F60" s="7" t="s">
        <v>1682</v>
      </c>
      <c r="G60" s="6">
        <v>0</v>
      </c>
      <c r="H60" s="7" t="str">
        <f>IF(G60="","",VLOOKUP(G60,MT商品ﾏｽﾀ参照シート!AM:AN,2,0))</f>
        <v>共通部署</v>
      </c>
      <c r="I60" s="6">
        <v>401705</v>
      </c>
      <c r="J60" s="7" t="e">
        <f ca="1">[1]!t仕入先名(I60)</f>
        <v>#NAME?</v>
      </c>
      <c r="K60" s="8"/>
      <c r="L60" s="8">
        <v>4672</v>
      </c>
      <c r="M60" s="123">
        <v>45569</v>
      </c>
    </row>
    <row r="61" spans="1:13" ht="13.5" customHeight="1">
      <c r="A61" s="7">
        <v>49</v>
      </c>
      <c r="B61" s="7"/>
      <c r="C61" s="7">
        <v>416172</v>
      </c>
      <c r="D61" s="7" t="s">
        <v>3550</v>
      </c>
      <c r="E61" s="7" t="s">
        <v>3842</v>
      </c>
      <c r="F61" s="7" t="s">
        <v>1682</v>
      </c>
      <c r="G61" s="6">
        <v>0</v>
      </c>
      <c r="H61" s="7" t="str">
        <f>IF(G61="","",VLOOKUP(G61,MT商品ﾏｽﾀ参照シート!AM:AN,2,0))</f>
        <v>共通部署</v>
      </c>
      <c r="I61" s="6">
        <v>401705</v>
      </c>
      <c r="J61" s="7" t="e">
        <f ca="1">[1]!t仕入先名(I61)</f>
        <v>#NAME?</v>
      </c>
      <c r="K61" s="8"/>
      <c r="L61" s="8">
        <v>2633</v>
      </c>
      <c r="M61" s="123">
        <v>45569</v>
      </c>
    </row>
    <row r="62" spans="1:13" ht="13.5" customHeight="1">
      <c r="A62" s="7">
        <v>50</v>
      </c>
      <c r="B62" s="7"/>
      <c r="C62" s="7">
        <v>416173</v>
      </c>
      <c r="D62" s="7" t="s">
        <v>3551</v>
      </c>
      <c r="E62" s="7" t="s">
        <v>3843</v>
      </c>
      <c r="F62" s="7" t="s">
        <v>1682</v>
      </c>
      <c r="G62" s="6">
        <v>0</v>
      </c>
      <c r="H62" s="7" t="str">
        <f>IF(G62="","",VLOOKUP(G62,MT商品ﾏｽﾀ参照シート!AM:AN,2,0))</f>
        <v>共通部署</v>
      </c>
      <c r="I62" s="6">
        <v>401705</v>
      </c>
      <c r="J62" s="7" t="e">
        <f ca="1">[1]!t仕入先名(I62)</f>
        <v>#NAME?</v>
      </c>
      <c r="K62" s="8"/>
      <c r="L62" s="8">
        <v>3850</v>
      </c>
      <c r="M62" s="123">
        <v>45569</v>
      </c>
    </row>
    <row r="63" spans="1:13" ht="13.5" customHeight="1">
      <c r="A63" s="7">
        <v>51</v>
      </c>
      <c r="B63" s="7"/>
      <c r="C63" s="7">
        <v>416174</v>
      </c>
      <c r="D63" s="7" t="s">
        <v>3552</v>
      </c>
      <c r="E63" s="7" t="s">
        <v>3844</v>
      </c>
      <c r="F63" s="7" t="s">
        <v>1682</v>
      </c>
      <c r="G63" s="6">
        <v>0</v>
      </c>
      <c r="H63" s="7" t="str">
        <f>IF(G63="","",VLOOKUP(G63,MT商品ﾏｽﾀ参照シート!AM:AN,2,0))</f>
        <v>共通部署</v>
      </c>
      <c r="I63" s="6">
        <v>401705</v>
      </c>
      <c r="J63" s="7" t="e">
        <f ca="1">[1]!t仕入先名(I63)</f>
        <v>#NAME?</v>
      </c>
      <c r="K63" s="8"/>
      <c r="L63" s="8">
        <v>4418</v>
      </c>
      <c r="M63" s="123">
        <v>45569</v>
      </c>
    </row>
    <row r="64" spans="1:13" ht="13.5" customHeight="1">
      <c r="A64" s="7">
        <v>52</v>
      </c>
      <c r="B64" s="7"/>
      <c r="C64" s="7">
        <v>416175</v>
      </c>
      <c r="D64" s="7" t="s">
        <v>3553</v>
      </c>
      <c r="E64" s="7" t="s">
        <v>3845</v>
      </c>
      <c r="F64" s="7" t="s">
        <v>1682</v>
      </c>
      <c r="G64" s="6">
        <v>0</v>
      </c>
      <c r="H64" s="7" t="str">
        <f>IF(G64="","",VLOOKUP(G64,MT商品ﾏｽﾀ参照シート!AM:AN,2,0))</f>
        <v>共通部署</v>
      </c>
      <c r="I64" s="6">
        <v>401705</v>
      </c>
      <c r="J64" s="7" t="e">
        <f ca="1">[1]!t仕入先名(I64)</f>
        <v>#NAME?</v>
      </c>
      <c r="K64" s="8"/>
      <c r="L64" s="8">
        <v>2667</v>
      </c>
      <c r="M64" s="123">
        <v>45569</v>
      </c>
    </row>
    <row r="65" spans="1:13" ht="13.5" customHeight="1">
      <c r="A65" s="7">
        <v>53</v>
      </c>
      <c r="B65" s="7"/>
      <c r="C65" s="7">
        <v>416176</v>
      </c>
      <c r="D65" s="7" t="s">
        <v>3554</v>
      </c>
      <c r="E65" s="7" t="s">
        <v>3846</v>
      </c>
      <c r="F65" s="7" t="s">
        <v>1682</v>
      </c>
      <c r="G65" s="6">
        <v>0</v>
      </c>
      <c r="H65" s="7" t="str">
        <f>IF(G65="","",VLOOKUP(G65,MT商品ﾏｽﾀ参照シート!AM:AN,2,0))</f>
        <v>共通部署</v>
      </c>
      <c r="I65" s="6">
        <v>401705</v>
      </c>
      <c r="J65" s="7" t="e">
        <f ca="1">[1]!t仕入先名(I65)</f>
        <v>#NAME?</v>
      </c>
      <c r="K65" s="8"/>
      <c r="L65" s="8">
        <v>3123</v>
      </c>
      <c r="M65" s="123">
        <v>45569</v>
      </c>
    </row>
    <row r="66" spans="1:13" ht="13.5" customHeight="1">
      <c r="A66" s="7">
        <v>54</v>
      </c>
      <c r="B66" s="7"/>
      <c r="C66" s="7">
        <v>416177</v>
      </c>
      <c r="D66" s="7" t="s">
        <v>3555</v>
      </c>
      <c r="E66" s="7" t="s">
        <v>3847</v>
      </c>
      <c r="F66" s="7" t="s">
        <v>1682</v>
      </c>
      <c r="G66" s="6">
        <v>0</v>
      </c>
      <c r="H66" s="7" t="str">
        <f>IF(G66="","",VLOOKUP(G66,MT商品ﾏｽﾀ参照シート!AM:AN,2,0))</f>
        <v>共通部署</v>
      </c>
      <c r="I66" s="6">
        <v>401705</v>
      </c>
      <c r="J66" s="7" t="e">
        <f ca="1">[1]!t仕入先名(I66)</f>
        <v>#NAME?</v>
      </c>
      <c r="K66" s="8"/>
      <c r="L66" s="8">
        <v>3699</v>
      </c>
      <c r="M66" s="123">
        <v>45569</v>
      </c>
    </row>
    <row r="67" spans="1:13" ht="13.5" customHeight="1">
      <c r="A67" s="7">
        <v>55</v>
      </c>
      <c r="B67" s="7"/>
      <c r="C67" s="7">
        <v>416178</v>
      </c>
      <c r="D67" s="7" t="s">
        <v>3556</v>
      </c>
      <c r="E67" s="7" t="s">
        <v>3848</v>
      </c>
      <c r="F67" s="7" t="s">
        <v>1682</v>
      </c>
      <c r="G67" s="6">
        <v>0</v>
      </c>
      <c r="H67" s="7" t="str">
        <f>IF(G67="","",VLOOKUP(G67,MT商品ﾏｽﾀ参照シート!AM:AN,2,0))</f>
        <v>共通部署</v>
      </c>
      <c r="I67" s="6">
        <v>401705</v>
      </c>
      <c r="J67" s="7" t="e">
        <f ca="1">[1]!t仕入先名(I67)</f>
        <v>#NAME?</v>
      </c>
      <c r="K67" s="8"/>
      <c r="L67" s="8">
        <v>2886</v>
      </c>
      <c r="M67" s="123">
        <v>45569</v>
      </c>
    </row>
    <row r="68" spans="1:13" ht="13.5" customHeight="1">
      <c r="A68" s="7">
        <v>56</v>
      </c>
      <c r="B68" s="7"/>
      <c r="C68" s="7">
        <v>416179</v>
      </c>
      <c r="D68" s="7" t="s">
        <v>3557</v>
      </c>
      <c r="E68" s="7" t="s">
        <v>3849</v>
      </c>
      <c r="F68" s="7" t="s">
        <v>1682</v>
      </c>
      <c r="G68" s="6">
        <v>0</v>
      </c>
      <c r="H68" s="7" t="str">
        <f>IF(G68="","",VLOOKUP(G68,MT商品ﾏｽﾀ参照シート!AM:AN,2,0))</f>
        <v>共通部署</v>
      </c>
      <c r="I68" s="6">
        <v>401705</v>
      </c>
      <c r="J68" s="7" t="e">
        <f ca="1">[1]!t仕入先名(I68)</f>
        <v>#NAME?</v>
      </c>
      <c r="K68" s="8"/>
      <c r="L68" s="8">
        <v>6511</v>
      </c>
      <c r="M68" s="123">
        <v>45569</v>
      </c>
    </row>
    <row r="69" spans="1:13" ht="13.5" customHeight="1">
      <c r="A69" s="7">
        <v>57</v>
      </c>
      <c r="B69" s="7"/>
      <c r="C69" s="7">
        <v>416180</v>
      </c>
      <c r="D69" s="7" t="s">
        <v>3558</v>
      </c>
      <c r="E69" s="7"/>
      <c r="F69" s="7" t="s">
        <v>1682</v>
      </c>
      <c r="G69" s="6">
        <v>0</v>
      </c>
      <c r="H69" s="7" t="str">
        <f>IF(G69="","",VLOOKUP(G69,MT商品ﾏｽﾀ参照シート!AM:AN,2,0))</f>
        <v>共通部署</v>
      </c>
      <c r="I69" s="6">
        <v>401705</v>
      </c>
      <c r="J69" s="7" t="e">
        <f ca="1">[1]!t仕入先名(I69)</f>
        <v>#NAME?</v>
      </c>
      <c r="K69" s="8"/>
      <c r="L69" s="8">
        <v>6700</v>
      </c>
      <c r="M69" s="123">
        <v>45569</v>
      </c>
    </row>
    <row r="70" spans="1:13" ht="13.5" customHeight="1">
      <c r="A70" s="7">
        <v>58</v>
      </c>
      <c r="B70" s="7"/>
      <c r="C70" s="7">
        <v>416181</v>
      </c>
      <c r="D70" s="7" t="s">
        <v>3559</v>
      </c>
      <c r="E70" s="7" t="s">
        <v>3850</v>
      </c>
      <c r="F70" s="7" t="s">
        <v>1682</v>
      </c>
      <c r="G70" s="6">
        <v>0</v>
      </c>
      <c r="H70" s="7" t="str">
        <f>IF(G70="","",VLOOKUP(G70,MT商品ﾏｽﾀ参照シート!AM:AN,2,0))</f>
        <v>共通部署</v>
      </c>
      <c r="I70" s="6">
        <v>401705</v>
      </c>
      <c r="J70" s="7" t="e">
        <f ca="1">[1]!t仕入先名(I70)</f>
        <v>#NAME?</v>
      </c>
      <c r="K70" s="8"/>
      <c r="L70" s="8">
        <v>4213</v>
      </c>
      <c r="M70" s="123">
        <v>45569</v>
      </c>
    </row>
    <row r="71" spans="1:13" ht="13.5" customHeight="1">
      <c r="A71" s="7">
        <v>59</v>
      </c>
      <c r="B71" s="7"/>
      <c r="C71" s="7">
        <v>416182</v>
      </c>
      <c r="D71" s="7" t="s">
        <v>3955</v>
      </c>
      <c r="E71" s="7" t="s">
        <v>3851</v>
      </c>
      <c r="F71" s="7" t="s">
        <v>1682</v>
      </c>
      <c r="G71" s="6">
        <v>0</v>
      </c>
      <c r="H71" s="7" t="str">
        <f>IF(G71="","",VLOOKUP(G71,MT商品ﾏｽﾀ参照シート!AM:AN,2,0))</f>
        <v>共通部署</v>
      </c>
      <c r="I71" s="6">
        <v>401705</v>
      </c>
      <c r="J71" s="7" t="e">
        <f ca="1">[1]!t仕入先名(I71)</f>
        <v>#NAME?</v>
      </c>
      <c r="K71" s="8"/>
      <c r="L71" s="8">
        <v>3736</v>
      </c>
      <c r="M71" s="123">
        <v>45569</v>
      </c>
    </row>
    <row r="72" spans="1:13" s="10" customFormat="1" ht="13.5" customHeight="1">
      <c r="A72" s="7">
        <v>60</v>
      </c>
      <c r="B72" s="7"/>
      <c r="C72" s="7">
        <v>416183</v>
      </c>
      <c r="D72" s="7" t="s">
        <v>3956</v>
      </c>
      <c r="E72" s="7"/>
      <c r="F72" s="7" t="s">
        <v>1682</v>
      </c>
      <c r="G72" s="6">
        <v>0</v>
      </c>
      <c r="H72" s="7" t="str">
        <f>IF(G72="","",VLOOKUP(G72,MT商品ﾏｽﾀ参照シート!AM:AN,2,0))</f>
        <v>共通部署</v>
      </c>
      <c r="I72" s="6">
        <v>401705</v>
      </c>
      <c r="J72" s="7" t="e">
        <f ca="1">[1]!t仕入先名(I72)</f>
        <v>#NAME?</v>
      </c>
      <c r="K72" s="11"/>
      <c r="L72" s="8">
        <v>4033</v>
      </c>
      <c r="M72" s="123">
        <v>45569</v>
      </c>
    </row>
    <row r="73" spans="1:13" ht="13.5" customHeight="1">
      <c r="A73" s="7">
        <v>61</v>
      </c>
      <c r="B73" s="7"/>
      <c r="C73" s="7">
        <v>416184</v>
      </c>
      <c r="D73" s="7" t="s">
        <v>3560</v>
      </c>
      <c r="E73" s="7"/>
      <c r="F73" s="7" t="s">
        <v>1682</v>
      </c>
      <c r="G73" s="6">
        <v>0</v>
      </c>
      <c r="H73" s="7" t="str">
        <f>IF(G73="","",VLOOKUP(G73,MT商品ﾏｽﾀ参照シート!AM:AN,2,0))</f>
        <v>共通部署</v>
      </c>
      <c r="I73" s="6">
        <v>401705</v>
      </c>
      <c r="J73" s="7" t="e">
        <f ca="1">[1]!t仕入先名(I73)</f>
        <v>#NAME?</v>
      </c>
      <c r="K73" s="8"/>
      <c r="L73" s="8">
        <v>4033</v>
      </c>
      <c r="M73" s="123">
        <v>45569</v>
      </c>
    </row>
    <row r="74" spans="1:13" ht="13.5" customHeight="1">
      <c r="A74" s="7">
        <v>62</v>
      </c>
      <c r="B74" s="7"/>
      <c r="C74" s="7">
        <v>416185</v>
      </c>
      <c r="D74" s="7" t="s">
        <v>3561</v>
      </c>
      <c r="E74" s="7" t="s">
        <v>3852</v>
      </c>
      <c r="F74" s="7" t="s">
        <v>1682</v>
      </c>
      <c r="G74" s="6">
        <v>0</v>
      </c>
      <c r="H74" s="7" t="str">
        <f>IF(G74="","",VLOOKUP(G74,MT商品ﾏｽﾀ参照シート!AM:AN,2,0))</f>
        <v>共通部署</v>
      </c>
      <c r="I74" s="6">
        <v>401705</v>
      </c>
      <c r="J74" s="7" t="e">
        <f ca="1">[1]!t仕入先名(I74)</f>
        <v>#NAME?</v>
      </c>
      <c r="K74" s="8"/>
      <c r="L74" s="8">
        <v>3356</v>
      </c>
      <c r="M74" s="123">
        <v>45569</v>
      </c>
    </row>
    <row r="75" spans="1:13" ht="13.5" customHeight="1">
      <c r="A75" s="7">
        <v>63</v>
      </c>
      <c r="B75" s="7"/>
      <c r="C75" s="7">
        <v>416186</v>
      </c>
      <c r="D75" s="7" t="s">
        <v>3957</v>
      </c>
      <c r="E75" s="7" t="s">
        <v>3853</v>
      </c>
      <c r="F75" s="7" t="s">
        <v>1682</v>
      </c>
      <c r="G75" s="6">
        <v>0</v>
      </c>
      <c r="H75" s="7" t="str">
        <f>IF(G75="","",VLOOKUP(G75,MT商品ﾏｽﾀ参照シート!AM:AN,2,0))</f>
        <v>共通部署</v>
      </c>
      <c r="I75" s="6">
        <v>401705</v>
      </c>
      <c r="J75" s="7" t="e">
        <f ca="1">[1]!t仕入先名(I75)</f>
        <v>#NAME?</v>
      </c>
      <c r="K75" s="8"/>
      <c r="L75" s="8">
        <v>2800</v>
      </c>
      <c r="M75" s="123">
        <v>45569</v>
      </c>
    </row>
    <row r="76" spans="1:13" ht="13.5" customHeight="1">
      <c r="A76" s="7">
        <v>64</v>
      </c>
      <c r="B76" s="7"/>
      <c r="C76" s="7">
        <v>416187</v>
      </c>
      <c r="D76" s="7" t="s">
        <v>3562</v>
      </c>
      <c r="E76" s="7" t="s">
        <v>3854</v>
      </c>
      <c r="F76" s="7" t="s">
        <v>1682</v>
      </c>
      <c r="G76" s="6">
        <v>0</v>
      </c>
      <c r="H76" s="7" t="str">
        <f>IF(G76="","",VLOOKUP(G76,MT商品ﾏｽﾀ参照シート!AM:AN,2,0))</f>
        <v>共通部署</v>
      </c>
      <c r="I76" s="6">
        <v>401705</v>
      </c>
      <c r="J76" s="7" t="e">
        <f ca="1">[1]!t仕入先名(I76)</f>
        <v>#NAME?</v>
      </c>
      <c r="K76" s="8"/>
      <c r="L76" s="8">
        <v>3961</v>
      </c>
      <c r="M76" s="123">
        <v>45569</v>
      </c>
    </row>
    <row r="77" spans="1:13" ht="13.5" customHeight="1">
      <c r="A77" s="7">
        <v>65</v>
      </c>
      <c r="B77" s="7"/>
      <c r="C77" s="7">
        <v>416188</v>
      </c>
      <c r="D77" s="7" t="s">
        <v>3563</v>
      </c>
      <c r="E77" s="7" t="s">
        <v>3855</v>
      </c>
      <c r="F77" s="7" t="s">
        <v>1682</v>
      </c>
      <c r="G77" s="6">
        <v>0</v>
      </c>
      <c r="H77" s="7" t="str">
        <f>IF(G77="","",VLOOKUP(G77,MT商品ﾏｽﾀ参照シート!AM:AN,2,0))</f>
        <v>共通部署</v>
      </c>
      <c r="I77" s="6">
        <v>401705</v>
      </c>
      <c r="J77" s="7" t="e">
        <f ca="1">[1]!t仕入先名(I77)</f>
        <v>#NAME?</v>
      </c>
      <c r="K77" s="8"/>
      <c r="L77" s="8">
        <v>4422</v>
      </c>
      <c r="M77" s="123">
        <v>45569</v>
      </c>
    </row>
    <row r="78" spans="1:13" ht="13.5" customHeight="1">
      <c r="A78" s="7">
        <v>66</v>
      </c>
      <c r="B78" s="7"/>
      <c r="C78" s="7">
        <v>416189</v>
      </c>
      <c r="D78" s="7" t="s">
        <v>3564</v>
      </c>
      <c r="E78" s="7" t="s">
        <v>3856</v>
      </c>
      <c r="F78" s="7" t="s">
        <v>1682</v>
      </c>
      <c r="G78" s="6">
        <v>0</v>
      </c>
      <c r="H78" s="7" t="str">
        <f>IF(G78="","",VLOOKUP(G78,MT商品ﾏｽﾀ参照シート!AM:AN,2,0))</f>
        <v>共通部署</v>
      </c>
      <c r="I78" s="6">
        <v>401705</v>
      </c>
      <c r="J78" s="7" t="e">
        <f ca="1">[1]!t仕入先名(I78)</f>
        <v>#NAME?</v>
      </c>
      <c r="K78" s="8"/>
      <c r="L78" s="8">
        <v>2918</v>
      </c>
      <c r="M78" s="123">
        <v>45569</v>
      </c>
    </row>
    <row r="79" spans="1:13" ht="13.5" customHeight="1">
      <c r="A79" s="7">
        <v>67</v>
      </c>
      <c r="B79" s="7"/>
      <c r="C79" s="7">
        <v>416190</v>
      </c>
      <c r="D79" s="7" t="s">
        <v>3958</v>
      </c>
      <c r="E79" s="7" t="s">
        <v>3857</v>
      </c>
      <c r="F79" s="7" t="s">
        <v>1682</v>
      </c>
      <c r="G79" s="6">
        <v>0</v>
      </c>
      <c r="H79" s="7" t="str">
        <f>IF(G79="","",VLOOKUP(G79,MT商品ﾏｽﾀ参照シート!AM:AN,2,0))</f>
        <v>共通部署</v>
      </c>
      <c r="I79" s="6">
        <v>401705</v>
      </c>
      <c r="J79" s="7" t="e">
        <f ca="1">[1]!t仕入先名(I79)</f>
        <v>#NAME?</v>
      </c>
      <c r="K79" s="8"/>
      <c r="L79" s="8">
        <v>3611</v>
      </c>
      <c r="M79" s="123">
        <v>45569</v>
      </c>
    </row>
    <row r="80" spans="1:13" ht="13.5" customHeight="1">
      <c r="A80" s="7">
        <v>68</v>
      </c>
      <c r="B80" s="7"/>
      <c r="C80" s="7">
        <v>416191</v>
      </c>
      <c r="D80" s="7" t="s">
        <v>3959</v>
      </c>
      <c r="E80" s="7" t="s">
        <v>3858</v>
      </c>
      <c r="F80" s="7" t="s">
        <v>1682</v>
      </c>
      <c r="G80" s="6">
        <v>0</v>
      </c>
      <c r="H80" s="7" t="str">
        <f>IF(G80="","",VLOOKUP(G80,MT商品ﾏｽﾀ参照シート!AM:AN,2,0))</f>
        <v>共通部署</v>
      </c>
      <c r="I80" s="6">
        <v>401705</v>
      </c>
      <c r="J80" s="7" t="e">
        <f ca="1">[1]!t仕入先名(I80)</f>
        <v>#NAME?</v>
      </c>
      <c r="K80" s="8"/>
      <c r="L80" s="8">
        <v>4367</v>
      </c>
      <c r="M80" s="123">
        <v>45569</v>
      </c>
    </row>
    <row r="81" spans="1:13" ht="13.5" customHeight="1">
      <c r="A81" s="7">
        <v>69</v>
      </c>
      <c r="B81" s="7"/>
      <c r="C81" s="7">
        <v>416192</v>
      </c>
      <c r="D81" s="7" t="s">
        <v>3565</v>
      </c>
      <c r="E81" s="7" t="s">
        <v>3859</v>
      </c>
      <c r="F81" s="7" t="s">
        <v>1682</v>
      </c>
      <c r="G81" s="6">
        <v>0</v>
      </c>
      <c r="H81" s="7" t="str">
        <f>IF(G81="","",VLOOKUP(G81,MT商品ﾏｽﾀ参照シート!AM:AN,2,0))</f>
        <v>共通部署</v>
      </c>
      <c r="I81" s="6">
        <v>401705</v>
      </c>
      <c r="J81" s="7" t="e">
        <f ca="1">[1]!t仕入先名(I81)</f>
        <v>#NAME?</v>
      </c>
      <c r="K81" s="8"/>
      <c r="L81" s="8">
        <v>2902</v>
      </c>
      <c r="M81" s="123">
        <v>45569</v>
      </c>
    </row>
    <row r="82" spans="1:13" ht="13.5" customHeight="1">
      <c r="A82" s="7">
        <v>70</v>
      </c>
      <c r="B82" s="7"/>
      <c r="C82" s="7">
        <v>416193</v>
      </c>
      <c r="D82" s="7" t="s">
        <v>3566</v>
      </c>
      <c r="E82" s="7" t="s">
        <v>3860</v>
      </c>
      <c r="F82" s="7" t="s">
        <v>1682</v>
      </c>
      <c r="G82" s="6">
        <v>0</v>
      </c>
      <c r="H82" s="7" t="str">
        <f>IF(G82="","",VLOOKUP(G82,MT商品ﾏｽﾀ参照シート!AM:AN,2,0))</f>
        <v>共通部署</v>
      </c>
      <c r="I82" s="6">
        <v>401705</v>
      </c>
      <c r="J82" s="7" t="e">
        <f ca="1">[1]!t仕入先名(I82)</f>
        <v>#NAME?</v>
      </c>
      <c r="K82" s="8"/>
      <c r="L82" s="8">
        <v>4146</v>
      </c>
      <c r="M82" s="123">
        <v>45569</v>
      </c>
    </row>
    <row r="83" spans="1:13" ht="13.5" customHeight="1">
      <c r="A83" s="7">
        <v>71</v>
      </c>
      <c r="B83" s="7"/>
      <c r="C83" s="7">
        <v>416194</v>
      </c>
      <c r="D83" s="7" t="s">
        <v>3567</v>
      </c>
      <c r="E83" s="7" t="s">
        <v>3861</v>
      </c>
      <c r="F83" s="7" t="s">
        <v>1682</v>
      </c>
      <c r="G83" s="6">
        <v>0</v>
      </c>
      <c r="H83" s="7" t="str">
        <f>IF(G83="","",VLOOKUP(G83,MT商品ﾏｽﾀ参照シート!AM:AN,2,0))</f>
        <v>共通部署</v>
      </c>
      <c r="I83" s="6">
        <v>401705</v>
      </c>
      <c r="J83" s="7" t="e">
        <f ca="1">[1]!t仕入先名(I83)</f>
        <v>#NAME?</v>
      </c>
      <c r="K83" s="8"/>
      <c r="L83" s="8">
        <v>4131</v>
      </c>
      <c r="M83" s="123">
        <v>45569</v>
      </c>
    </row>
    <row r="84" spans="1:13" ht="13.5" customHeight="1">
      <c r="A84" s="7">
        <v>72</v>
      </c>
      <c r="B84" s="7"/>
      <c r="C84" s="7">
        <v>416195</v>
      </c>
      <c r="D84" s="7" t="s">
        <v>3568</v>
      </c>
      <c r="E84" s="7" t="s">
        <v>3862</v>
      </c>
      <c r="F84" s="7" t="s">
        <v>1682</v>
      </c>
      <c r="G84" s="6">
        <v>0</v>
      </c>
      <c r="H84" s="7" t="str">
        <f>IF(G84="","",VLOOKUP(G84,MT商品ﾏｽﾀ参照シート!AM:AN,2,0))</f>
        <v>共通部署</v>
      </c>
      <c r="I84" s="6">
        <v>401705</v>
      </c>
      <c r="J84" s="7" t="e">
        <f ca="1">[1]!t仕入先名(I84)</f>
        <v>#NAME?</v>
      </c>
      <c r="K84" s="8"/>
      <c r="L84" s="8">
        <v>2843</v>
      </c>
      <c r="M84" s="123">
        <v>45569</v>
      </c>
    </row>
    <row r="85" spans="1:13" ht="13.5" customHeight="1">
      <c r="A85" s="7">
        <v>73</v>
      </c>
      <c r="B85" s="7"/>
      <c r="C85" s="7">
        <v>416196</v>
      </c>
      <c r="D85" s="7" t="s">
        <v>3569</v>
      </c>
      <c r="E85" s="7" t="s">
        <v>3863</v>
      </c>
      <c r="F85" s="7" t="s">
        <v>1682</v>
      </c>
      <c r="G85" s="6">
        <v>0</v>
      </c>
      <c r="H85" s="7" t="str">
        <f>IF(G85="","",VLOOKUP(G85,MT商品ﾏｽﾀ参照シート!AM:AN,2,0))</f>
        <v>共通部署</v>
      </c>
      <c r="I85" s="6">
        <v>401705</v>
      </c>
      <c r="J85" s="7" t="e">
        <f ca="1">[1]!t仕入先名(I85)</f>
        <v>#NAME?</v>
      </c>
      <c r="K85" s="8"/>
      <c r="L85" s="8">
        <v>3244</v>
      </c>
      <c r="M85" s="123">
        <v>45569</v>
      </c>
    </row>
    <row r="86" spans="1:13" ht="13.5" customHeight="1">
      <c r="A86" s="7">
        <v>74</v>
      </c>
      <c r="B86" s="7"/>
      <c r="C86" s="7">
        <v>416197</v>
      </c>
      <c r="D86" s="7" t="s">
        <v>3570</v>
      </c>
      <c r="E86" s="7" t="s">
        <v>3864</v>
      </c>
      <c r="F86" s="7" t="s">
        <v>1682</v>
      </c>
      <c r="G86" s="6">
        <v>0</v>
      </c>
      <c r="H86" s="7" t="str">
        <f>IF(G86="","",VLOOKUP(G86,MT商品ﾏｽﾀ参照シート!AM:AN,2,0))</f>
        <v>共通部署</v>
      </c>
      <c r="I86" s="6">
        <v>401705</v>
      </c>
      <c r="J86" s="7" t="e">
        <f ca="1">[1]!t仕入先名(I86)</f>
        <v>#NAME?</v>
      </c>
      <c r="K86" s="8"/>
      <c r="L86" s="8">
        <v>3978</v>
      </c>
      <c r="M86" s="123">
        <v>45569</v>
      </c>
    </row>
    <row r="87" spans="1:13" ht="13.5" customHeight="1">
      <c r="A87" s="7">
        <v>75</v>
      </c>
      <c r="B87" s="7"/>
      <c r="C87" s="7">
        <v>416198</v>
      </c>
      <c r="D87" s="7" t="s">
        <v>3571</v>
      </c>
      <c r="E87" s="7" t="s">
        <v>3865</v>
      </c>
      <c r="F87" s="7" t="s">
        <v>1682</v>
      </c>
      <c r="G87" s="6">
        <v>0</v>
      </c>
      <c r="H87" s="7" t="str">
        <f>IF(G87="","",VLOOKUP(G87,MT商品ﾏｽﾀ参照シート!AM:AN,2,0))</f>
        <v>共通部署</v>
      </c>
      <c r="I87" s="6">
        <v>401705</v>
      </c>
      <c r="J87" s="7" t="e">
        <f ca="1">[1]!t仕入先名(I87)</f>
        <v>#NAME?</v>
      </c>
      <c r="K87" s="8"/>
      <c r="L87" s="8">
        <v>3420</v>
      </c>
      <c r="M87" s="123">
        <v>45569</v>
      </c>
    </row>
    <row r="88" spans="1:13" ht="13.5" customHeight="1">
      <c r="A88" s="7">
        <v>76</v>
      </c>
      <c r="B88" s="7"/>
      <c r="C88" s="7">
        <v>416199</v>
      </c>
      <c r="D88" s="7" t="s">
        <v>3572</v>
      </c>
      <c r="E88" s="7">
        <v>630003</v>
      </c>
      <c r="F88" s="7" t="s">
        <v>1682</v>
      </c>
      <c r="G88" s="6">
        <v>0</v>
      </c>
      <c r="H88" s="7" t="str">
        <f>IF(G88="","",VLOOKUP(G88,MT商品ﾏｽﾀ参照シート!AM:AN,2,0))</f>
        <v>共通部署</v>
      </c>
      <c r="I88" s="6">
        <v>401705</v>
      </c>
      <c r="J88" s="7" t="e">
        <f ca="1">[1]!t仕入先名(I88)</f>
        <v>#NAME?</v>
      </c>
      <c r="K88" s="8"/>
      <c r="L88" s="8">
        <v>5137</v>
      </c>
      <c r="M88" s="123">
        <v>45569</v>
      </c>
    </row>
    <row r="89" spans="1:13" ht="13.5" customHeight="1">
      <c r="A89" s="7">
        <v>77</v>
      </c>
      <c r="B89" s="7"/>
      <c r="C89" s="7">
        <v>416200</v>
      </c>
      <c r="D89" s="7" t="s">
        <v>3573</v>
      </c>
      <c r="E89" s="7" t="s">
        <v>3866</v>
      </c>
      <c r="F89" s="7" t="s">
        <v>1682</v>
      </c>
      <c r="G89" s="6">
        <v>0</v>
      </c>
      <c r="H89" s="7" t="str">
        <f>IF(G89="","",VLOOKUP(G89,MT商品ﾏｽﾀ参照シート!AM:AN,2,0))</f>
        <v>共通部署</v>
      </c>
      <c r="I89" s="6">
        <v>401705</v>
      </c>
      <c r="J89" s="7" t="e">
        <f ca="1">[1]!t仕入先名(I89)</f>
        <v>#NAME?</v>
      </c>
      <c r="K89" s="8"/>
      <c r="L89" s="8">
        <v>6162</v>
      </c>
      <c r="M89" s="123">
        <v>45569</v>
      </c>
    </row>
    <row r="90" spans="1:13" ht="13.5" customHeight="1">
      <c r="A90" s="7">
        <v>78</v>
      </c>
      <c r="B90" s="7"/>
      <c r="C90" s="7">
        <v>416201</v>
      </c>
      <c r="D90" s="7" t="s">
        <v>3574</v>
      </c>
      <c r="E90" s="7" t="s">
        <v>3867</v>
      </c>
      <c r="F90" s="7" t="s">
        <v>1682</v>
      </c>
      <c r="G90" s="6">
        <v>0</v>
      </c>
      <c r="H90" s="7" t="str">
        <f>IF(G90="","",VLOOKUP(G90,MT商品ﾏｽﾀ参照シート!AM:AN,2,0))</f>
        <v>共通部署</v>
      </c>
      <c r="I90" s="6">
        <v>401705</v>
      </c>
      <c r="J90" s="7" t="e">
        <f ca="1">[1]!t仕入先名(I90)</f>
        <v>#NAME?</v>
      </c>
      <c r="K90" s="8"/>
      <c r="L90" s="8">
        <v>3742</v>
      </c>
      <c r="M90" s="123">
        <v>45569</v>
      </c>
    </row>
    <row r="91" spans="1:13" ht="13.5" customHeight="1">
      <c r="A91" s="7">
        <v>79</v>
      </c>
      <c r="B91" s="7"/>
      <c r="C91" s="7">
        <v>416202</v>
      </c>
      <c r="D91" s="7" t="s">
        <v>3575</v>
      </c>
      <c r="E91" s="7" t="s">
        <v>3868</v>
      </c>
      <c r="F91" s="7" t="s">
        <v>1682</v>
      </c>
      <c r="G91" s="6">
        <v>0</v>
      </c>
      <c r="H91" s="7" t="str">
        <f>IF(G91="","",VLOOKUP(G91,MT商品ﾏｽﾀ参照シート!AM:AN,2,0))</f>
        <v>共通部署</v>
      </c>
      <c r="I91" s="6">
        <v>401705</v>
      </c>
      <c r="J91" s="7" t="e">
        <f ca="1">[1]!t仕入先名(I91)</f>
        <v>#NAME?</v>
      </c>
      <c r="K91" s="8"/>
      <c r="L91" s="8">
        <v>4211</v>
      </c>
      <c r="M91" s="123">
        <v>45569</v>
      </c>
    </row>
    <row r="92" spans="1:13" ht="13.5" customHeight="1">
      <c r="A92" s="7">
        <v>80</v>
      </c>
      <c r="B92" s="7"/>
      <c r="C92" s="7">
        <v>416203</v>
      </c>
      <c r="D92" s="7" t="s">
        <v>3960</v>
      </c>
      <c r="E92" s="7" t="s">
        <v>3869</v>
      </c>
      <c r="F92" s="7" t="s">
        <v>1682</v>
      </c>
      <c r="G92" s="6">
        <v>0</v>
      </c>
      <c r="H92" s="7" t="str">
        <f>IF(G92="","",VLOOKUP(G92,MT商品ﾏｽﾀ参照シート!AM:AN,2,0))</f>
        <v>共通部署</v>
      </c>
      <c r="I92" s="6">
        <v>401705</v>
      </c>
      <c r="J92" s="7" t="e">
        <f ca="1">[1]!t仕入先名(I92)</f>
        <v>#NAME?</v>
      </c>
      <c r="K92" s="8"/>
      <c r="L92" s="8">
        <v>3922</v>
      </c>
      <c r="M92" s="123">
        <v>45569</v>
      </c>
    </row>
    <row r="93" spans="1:13" ht="13.5" customHeight="1">
      <c r="A93" s="7">
        <v>81</v>
      </c>
      <c r="B93" s="7"/>
      <c r="C93" s="7">
        <v>416204</v>
      </c>
      <c r="D93" s="7" t="s">
        <v>3576</v>
      </c>
      <c r="E93" s="7" t="s">
        <v>3870</v>
      </c>
      <c r="F93" s="7" t="s">
        <v>1682</v>
      </c>
      <c r="G93" s="6">
        <v>0</v>
      </c>
      <c r="H93" s="7" t="str">
        <f>IF(G93="","",VLOOKUP(G93,MT商品ﾏｽﾀ参照シート!AM:AN,2,0))</f>
        <v>共通部署</v>
      </c>
      <c r="I93" s="6">
        <v>401705</v>
      </c>
      <c r="J93" s="7" t="e">
        <f ca="1">[1]!t仕入先名(I93)</f>
        <v>#NAME?</v>
      </c>
      <c r="K93" s="8"/>
      <c r="L93" s="8">
        <v>2600</v>
      </c>
      <c r="M93" s="123">
        <v>45569</v>
      </c>
    </row>
    <row r="94" spans="1:13" ht="13.5" customHeight="1">
      <c r="A94" s="7">
        <v>82</v>
      </c>
      <c r="B94" s="7"/>
      <c r="C94" s="7">
        <v>416205</v>
      </c>
      <c r="D94" s="7" t="s">
        <v>3577</v>
      </c>
      <c r="E94" s="7" t="s">
        <v>3871</v>
      </c>
      <c r="F94" s="7" t="s">
        <v>1682</v>
      </c>
      <c r="G94" s="6">
        <v>0</v>
      </c>
      <c r="H94" s="7" t="str">
        <f>IF(G94="","",VLOOKUP(G94,MT商品ﾏｽﾀ参照シート!AM:AN,2,0))</f>
        <v>共通部署</v>
      </c>
      <c r="I94" s="6">
        <v>401705</v>
      </c>
      <c r="J94" s="7" t="e">
        <f ca="1">[1]!t仕入先名(I94)</f>
        <v>#NAME?</v>
      </c>
      <c r="K94" s="8"/>
      <c r="L94" s="8">
        <v>6193</v>
      </c>
      <c r="M94" s="123">
        <v>45569</v>
      </c>
    </row>
    <row r="95" spans="1:13" ht="13.5" customHeight="1">
      <c r="A95" s="7">
        <v>83</v>
      </c>
      <c r="B95" s="7"/>
      <c r="C95" s="7">
        <v>416206</v>
      </c>
      <c r="D95" s="7" t="s">
        <v>3961</v>
      </c>
      <c r="E95" s="7">
        <v>106803</v>
      </c>
      <c r="F95" s="7" t="s">
        <v>1682</v>
      </c>
      <c r="G95" s="6">
        <v>0</v>
      </c>
      <c r="H95" s="7" t="str">
        <f>IF(G95="","",VLOOKUP(G95,MT商品ﾏｽﾀ参照シート!AM:AN,2,0))</f>
        <v>共通部署</v>
      </c>
      <c r="I95" s="6">
        <v>401705</v>
      </c>
      <c r="J95" s="7" t="e">
        <f ca="1">[1]!t仕入先名(I95)</f>
        <v>#NAME?</v>
      </c>
      <c r="K95" s="8"/>
      <c r="L95" s="8">
        <v>3850</v>
      </c>
      <c r="M95" s="123">
        <v>45569</v>
      </c>
    </row>
    <row r="96" spans="1:13" ht="13.5" customHeight="1">
      <c r="A96" s="7">
        <v>84</v>
      </c>
      <c r="B96" s="7"/>
      <c r="C96" s="7">
        <v>416207</v>
      </c>
      <c r="D96" s="7" t="s">
        <v>3578</v>
      </c>
      <c r="E96" s="7"/>
      <c r="F96" s="7" t="s">
        <v>1682</v>
      </c>
      <c r="G96" s="6">
        <v>0</v>
      </c>
      <c r="H96" s="7" t="str">
        <f>IF(G96="","",VLOOKUP(G96,MT商品ﾏｽﾀ参照シート!AM:AN,2,0))</f>
        <v>共通部署</v>
      </c>
      <c r="I96" s="6">
        <v>401705</v>
      </c>
      <c r="J96" s="7" t="e">
        <f ca="1">[1]!t仕入先名(I96)</f>
        <v>#NAME?</v>
      </c>
      <c r="K96" s="8"/>
      <c r="L96" s="8">
        <v>3632</v>
      </c>
      <c r="M96" s="123">
        <v>45569</v>
      </c>
    </row>
    <row r="97" spans="1:13" ht="13.5" customHeight="1">
      <c r="A97" s="7">
        <v>85</v>
      </c>
      <c r="B97" s="7"/>
      <c r="C97" s="7">
        <v>416208</v>
      </c>
      <c r="D97" s="7" t="s">
        <v>3579</v>
      </c>
      <c r="E97" s="7" t="s">
        <v>3872</v>
      </c>
      <c r="F97" s="7" t="s">
        <v>1682</v>
      </c>
      <c r="G97" s="6">
        <v>0</v>
      </c>
      <c r="H97" s="7" t="str">
        <f>IF(G97="","",VLOOKUP(G97,MT商品ﾏｽﾀ参照シート!AM:AN,2,0))</f>
        <v>共通部署</v>
      </c>
      <c r="I97" s="6">
        <v>401705</v>
      </c>
      <c r="J97" s="7" t="e">
        <f ca="1">[1]!t仕入先名(I97)</f>
        <v>#NAME?</v>
      </c>
      <c r="K97" s="8"/>
      <c r="L97" s="8">
        <v>4200</v>
      </c>
      <c r="M97" s="123">
        <v>45569</v>
      </c>
    </row>
    <row r="98" spans="1:13" ht="13.5" customHeight="1">
      <c r="A98" s="7">
        <v>86</v>
      </c>
      <c r="B98" s="7"/>
      <c r="C98" s="7">
        <v>416209</v>
      </c>
      <c r="D98" s="7" t="s">
        <v>3580</v>
      </c>
      <c r="E98" s="7" t="s">
        <v>3873</v>
      </c>
      <c r="F98" s="7" t="s">
        <v>1682</v>
      </c>
      <c r="G98" s="6">
        <v>0</v>
      </c>
      <c r="H98" s="7" t="str">
        <f>IF(G98="","",VLOOKUP(G98,MT商品ﾏｽﾀ参照シート!AM:AN,2,0))</f>
        <v>共通部署</v>
      </c>
      <c r="I98" s="6">
        <v>401705</v>
      </c>
      <c r="J98" s="7" t="e">
        <f ca="1">[1]!t仕入先名(I98)</f>
        <v>#NAME?</v>
      </c>
      <c r="K98" s="8"/>
      <c r="L98" s="8">
        <v>2847</v>
      </c>
      <c r="M98" s="123">
        <v>45569</v>
      </c>
    </row>
    <row r="99" spans="1:13" ht="13.5" customHeight="1">
      <c r="A99" s="7">
        <v>87</v>
      </c>
      <c r="B99" s="7"/>
      <c r="C99" s="7">
        <v>416210</v>
      </c>
      <c r="D99" s="7" t="s">
        <v>3581</v>
      </c>
      <c r="E99" s="7" t="s">
        <v>3874</v>
      </c>
      <c r="F99" s="7" t="s">
        <v>1682</v>
      </c>
      <c r="G99" s="6">
        <v>0</v>
      </c>
      <c r="H99" s="7" t="str">
        <f>IF(G99="","",VLOOKUP(G99,MT商品ﾏｽﾀ参照シート!AM:AN,2,0))</f>
        <v>共通部署</v>
      </c>
      <c r="I99" s="6">
        <v>401705</v>
      </c>
      <c r="J99" s="7" t="e">
        <f ca="1">[1]!t仕入先名(I99)</f>
        <v>#NAME?</v>
      </c>
      <c r="K99" s="8"/>
      <c r="L99" s="8">
        <v>2567</v>
      </c>
      <c r="M99" s="123">
        <v>45569</v>
      </c>
    </row>
    <row r="100" spans="1:13" ht="13.5" customHeight="1">
      <c r="A100" s="7">
        <v>88</v>
      </c>
      <c r="B100" s="7"/>
      <c r="C100" s="7">
        <v>416211</v>
      </c>
      <c r="D100" s="7" t="s">
        <v>3582</v>
      </c>
      <c r="E100" s="7" t="s">
        <v>3875</v>
      </c>
      <c r="F100" s="7" t="s">
        <v>1682</v>
      </c>
      <c r="G100" s="6">
        <v>0</v>
      </c>
      <c r="H100" s="7" t="str">
        <f>IF(G100="","",VLOOKUP(G100,MT商品ﾏｽﾀ参照シート!AM:AN,2,0))</f>
        <v>共通部署</v>
      </c>
      <c r="I100" s="6">
        <v>401705</v>
      </c>
      <c r="J100" s="7" t="e">
        <f ca="1">[1]!t仕入先名(I100)</f>
        <v>#NAME?</v>
      </c>
      <c r="K100" s="8"/>
      <c r="L100" s="8">
        <v>2881</v>
      </c>
      <c r="M100" s="123">
        <v>45569</v>
      </c>
    </row>
    <row r="101" spans="1:13" ht="13.5" customHeight="1">
      <c r="A101" s="7">
        <v>89</v>
      </c>
      <c r="B101" s="7"/>
      <c r="C101" s="7">
        <v>416212</v>
      </c>
      <c r="D101" s="7" t="s">
        <v>3962</v>
      </c>
      <c r="E101" s="7" t="s">
        <v>3876</v>
      </c>
      <c r="F101" s="7" t="s">
        <v>1682</v>
      </c>
      <c r="G101" s="6">
        <v>0</v>
      </c>
      <c r="H101" s="7" t="str">
        <f>IF(G101="","",VLOOKUP(G101,MT商品ﾏｽﾀ参照シート!AM:AN,2,0))</f>
        <v>共通部署</v>
      </c>
      <c r="I101" s="6">
        <v>401705</v>
      </c>
      <c r="J101" s="7" t="e">
        <f ca="1">[1]!t仕入先名(I101)</f>
        <v>#NAME?</v>
      </c>
      <c r="K101" s="8"/>
      <c r="L101" s="8">
        <v>3729</v>
      </c>
      <c r="M101" s="123">
        <v>45569</v>
      </c>
    </row>
    <row r="102" spans="1:13" ht="13.5" customHeight="1">
      <c r="A102" s="7">
        <v>90</v>
      </c>
      <c r="B102" s="7"/>
      <c r="C102" s="7">
        <v>416213</v>
      </c>
      <c r="D102" s="7" t="s">
        <v>3583</v>
      </c>
      <c r="E102" s="7" t="s">
        <v>3877</v>
      </c>
      <c r="F102" s="7" t="s">
        <v>1682</v>
      </c>
      <c r="G102" s="6">
        <v>0</v>
      </c>
      <c r="H102" s="7" t="str">
        <f>IF(G102="","",VLOOKUP(G102,MT商品ﾏｽﾀ参照シート!AM:AN,2,0))</f>
        <v>共通部署</v>
      </c>
      <c r="I102" s="6">
        <v>401705</v>
      </c>
      <c r="J102" s="7" t="e">
        <f ca="1">[1]!t仕入先名(I102)</f>
        <v>#NAME?</v>
      </c>
      <c r="K102" s="8"/>
      <c r="L102" s="8">
        <v>3476</v>
      </c>
      <c r="M102" s="123">
        <v>45569</v>
      </c>
    </row>
    <row r="103" spans="1:13" ht="13.5" customHeight="1">
      <c r="A103" s="7">
        <v>91</v>
      </c>
      <c r="B103" s="7"/>
      <c r="C103" s="7">
        <v>416214</v>
      </c>
      <c r="D103" s="7" t="s">
        <v>3963</v>
      </c>
      <c r="E103" s="7" t="s">
        <v>3878</v>
      </c>
      <c r="F103" s="7" t="s">
        <v>1682</v>
      </c>
      <c r="G103" s="6">
        <v>0</v>
      </c>
      <c r="H103" s="7" t="str">
        <f>IF(G103="","",VLOOKUP(G103,MT商品ﾏｽﾀ参照シート!AM:AN,2,0))</f>
        <v>共通部署</v>
      </c>
      <c r="I103" s="6">
        <v>401705</v>
      </c>
      <c r="J103" s="7" t="e">
        <f ca="1">[1]!t仕入先名(I103)</f>
        <v>#NAME?</v>
      </c>
      <c r="K103" s="8"/>
      <c r="L103" s="8">
        <v>2520</v>
      </c>
      <c r="M103" s="123">
        <v>45569</v>
      </c>
    </row>
    <row r="104" spans="1:13" ht="13.5" customHeight="1">
      <c r="A104" s="7">
        <v>92</v>
      </c>
      <c r="B104" s="7"/>
      <c r="C104" s="7">
        <v>416215</v>
      </c>
      <c r="D104" s="7" t="s">
        <v>3964</v>
      </c>
      <c r="E104" s="7" t="s">
        <v>3879</v>
      </c>
      <c r="F104" s="7" t="s">
        <v>1682</v>
      </c>
      <c r="G104" s="6">
        <v>0</v>
      </c>
      <c r="H104" s="7" t="str">
        <f>IF(G104="","",VLOOKUP(G104,MT商品ﾏｽﾀ参照シート!AM:AN,2,0))</f>
        <v>共通部署</v>
      </c>
      <c r="I104" s="6">
        <v>401705</v>
      </c>
      <c r="J104" s="7" t="e">
        <f ca="1">[1]!t仕入先名(I104)</f>
        <v>#NAME?</v>
      </c>
      <c r="K104" s="8"/>
      <c r="L104" s="8">
        <v>3224</v>
      </c>
      <c r="M104" s="123">
        <v>45569</v>
      </c>
    </row>
    <row r="105" spans="1:13" ht="13.5" customHeight="1">
      <c r="A105" s="7">
        <v>93</v>
      </c>
      <c r="B105" s="7"/>
      <c r="C105" s="7">
        <v>416216</v>
      </c>
      <c r="D105" s="7" t="s">
        <v>3584</v>
      </c>
      <c r="E105" s="7"/>
      <c r="F105" s="7" t="s">
        <v>1682</v>
      </c>
      <c r="G105" s="6">
        <v>0</v>
      </c>
      <c r="H105" s="7" t="str">
        <f>IF(G105="","",VLOOKUP(G105,MT商品ﾏｽﾀ参照シート!AM:AN,2,0))</f>
        <v>共通部署</v>
      </c>
      <c r="I105" s="6">
        <v>401705</v>
      </c>
      <c r="J105" s="7" t="e">
        <f ca="1">[1]!t仕入先名(I105)</f>
        <v>#NAME?</v>
      </c>
      <c r="K105" s="8"/>
      <c r="L105" s="8">
        <v>2797</v>
      </c>
      <c r="M105" s="123">
        <v>45569</v>
      </c>
    </row>
    <row r="106" spans="1:13" ht="13.5" customHeight="1">
      <c r="A106" s="7">
        <v>94</v>
      </c>
      <c r="B106" s="7"/>
      <c r="C106" s="7">
        <v>416217</v>
      </c>
      <c r="D106" s="7" t="s">
        <v>3585</v>
      </c>
      <c r="E106" s="7" t="s">
        <v>3880</v>
      </c>
      <c r="F106" s="7" t="s">
        <v>1682</v>
      </c>
      <c r="G106" s="6">
        <v>0</v>
      </c>
      <c r="H106" s="7" t="str">
        <f>IF(G106="","",VLOOKUP(G106,MT商品ﾏｽﾀ参照シート!AM:AN,2,0))</f>
        <v>共通部署</v>
      </c>
      <c r="I106" s="6">
        <v>401705</v>
      </c>
      <c r="J106" s="7" t="e">
        <f ca="1">[1]!t仕入先名(I106)</f>
        <v>#NAME?</v>
      </c>
      <c r="K106" s="8"/>
      <c r="L106" s="8">
        <v>3068</v>
      </c>
      <c r="M106" s="123">
        <v>45569</v>
      </c>
    </row>
    <row r="107" spans="1:13" ht="13.5" customHeight="1">
      <c r="A107" s="7">
        <v>95</v>
      </c>
      <c r="B107" s="7"/>
      <c r="C107" s="7">
        <v>416218</v>
      </c>
      <c r="D107" s="7" t="s">
        <v>3586</v>
      </c>
      <c r="E107" s="7" t="s">
        <v>3881</v>
      </c>
      <c r="F107" s="7" t="s">
        <v>1682</v>
      </c>
      <c r="G107" s="6">
        <v>0</v>
      </c>
      <c r="H107" s="7" t="str">
        <f>IF(G107="","",VLOOKUP(G107,MT商品ﾏｽﾀ参照シート!AM:AN,2,0))</f>
        <v>共通部署</v>
      </c>
      <c r="I107" s="6">
        <v>401705</v>
      </c>
      <c r="J107" s="7" t="e">
        <f ca="1">[1]!t仕入先名(I107)</f>
        <v>#NAME?</v>
      </c>
      <c r="K107" s="8"/>
      <c r="L107" s="8">
        <v>3224</v>
      </c>
      <c r="M107" s="123">
        <v>45569</v>
      </c>
    </row>
    <row r="108" spans="1:13" ht="13.5" customHeight="1">
      <c r="A108" s="7">
        <v>96</v>
      </c>
      <c r="B108" s="7"/>
      <c r="C108" s="7">
        <v>416219</v>
      </c>
      <c r="D108" s="7" t="s">
        <v>3965</v>
      </c>
      <c r="E108" s="7" t="s">
        <v>3882</v>
      </c>
      <c r="F108" s="7" t="s">
        <v>1682</v>
      </c>
      <c r="G108" s="6">
        <v>0</v>
      </c>
      <c r="H108" s="7" t="str">
        <f>IF(G108="","",VLOOKUP(G108,MT商品ﾏｽﾀ参照シート!AM:AN,2,0))</f>
        <v>共通部署</v>
      </c>
      <c r="I108" s="6">
        <v>401705</v>
      </c>
      <c r="J108" s="7" t="e">
        <f ca="1">[1]!t仕入先名(I108)</f>
        <v>#NAME?</v>
      </c>
      <c r="K108" s="8"/>
      <c r="L108" s="8">
        <v>3334</v>
      </c>
      <c r="M108" s="123">
        <v>45569</v>
      </c>
    </row>
    <row r="109" spans="1:13" ht="13.5" customHeight="1">
      <c r="A109" s="7">
        <v>97</v>
      </c>
      <c r="B109" s="7"/>
      <c r="C109" s="7">
        <v>416220</v>
      </c>
      <c r="D109" s="7" t="s">
        <v>3587</v>
      </c>
      <c r="E109" s="7" t="s">
        <v>3883</v>
      </c>
      <c r="F109" s="7" t="s">
        <v>1682</v>
      </c>
      <c r="G109" s="6">
        <v>0</v>
      </c>
      <c r="H109" s="7" t="str">
        <f>IF(G109="","",VLOOKUP(G109,MT商品ﾏｽﾀ参照シート!AM:AN,2,0))</f>
        <v>共通部署</v>
      </c>
      <c r="I109" s="6">
        <v>401705</v>
      </c>
      <c r="J109" s="7" t="e">
        <f ca="1">[1]!t仕入先名(I109)</f>
        <v>#NAME?</v>
      </c>
      <c r="K109" s="8"/>
      <c r="L109" s="8">
        <v>2774</v>
      </c>
      <c r="M109" s="123">
        <v>45569</v>
      </c>
    </row>
    <row r="110" spans="1:13" ht="13.5" customHeight="1">
      <c r="A110" s="7">
        <v>98</v>
      </c>
      <c r="B110" s="7"/>
      <c r="C110" s="7">
        <v>416221</v>
      </c>
      <c r="D110" s="7" t="s">
        <v>3966</v>
      </c>
      <c r="E110" s="7" t="s">
        <v>3884</v>
      </c>
      <c r="F110" s="7" t="s">
        <v>1682</v>
      </c>
      <c r="G110" s="6">
        <v>0</v>
      </c>
      <c r="H110" s="7" t="str">
        <f>IF(G110="","",VLOOKUP(G110,MT商品ﾏｽﾀ参照シート!AM:AN,2,0))</f>
        <v>共通部署</v>
      </c>
      <c r="I110" s="6">
        <v>401705</v>
      </c>
      <c r="J110" s="7" t="e">
        <f ca="1">[1]!t仕入先名(I110)</f>
        <v>#NAME?</v>
      </c>
      <c r="K110" s="8"/>
      <c r="L110" s="8">
        <v>2868</v>
      </c>
      <c r="M110" s="123">
        <v>45569</v>
      </c>
    </row>
    <row r="111" spans="1:13" ht="13.5" customHeight="1">
      <c r="A111" s="7">
        <v>99</v>
      </c>
      <c r="B111" s="7"/>
      <c r="C111" s="7">
        <v>416222</v>
      </c>
      <c r="D111" s="7" t="s">
        <v>3967</v>
      </c>
      <c r="E111" s="7" t="s">
        <v>3885</v>
      </c>
      <c r="F111" s="7" t="s">
        <v>1682</v>
      </c>
      <c r="G111" s="6">
        <v>0</v>
      </c>
      <c r="H111" s="7" t="str">
        <f>IF(G111="","",VLOOKUP(G111,MT商品ﾏｽﾀ参照シート!AM:AN,2,0))</f>
        <v>共通部署</v>
      </c>
      <c r="I111" s="6">
        <v>401705</v>
      </c>
      <c r="J111" s="7" t="e">
        <f ca="1">[1]!t仕入先名(I111)</f>
        <v>#NAME?</v>
      </c>
      <c r="K111" s="8"/>
      <c r="L111" s="8">
        <v>3982</v>
      </c>
      <c r="M111" s="123">
        <v>45569</v>
      </c>
    </row>
    <row r="112" spans="1:13" ht="13.5" customHeight="1">
      <c r="A112" s="7">
        <v>100</v>
      </c>
      <c r="B112" s="7"/>
      <c r="C112" s="7">
        <v>416223</v>
      </c>
      <c r="D112" s="7" t="s">
        <v>3588</v>
      </c>
      <c r="E112" s="7" t="s">
        <v>3886</v>
      </c>
      <c r="F112" s="7" t="s">
        <v>1682</v>
      </c>
      <c r="G112" s="6">
        <v>0</v>
      </c>
      <c r="H112" s="7" t="str">
        <f>IF(G112="","",VLOOKUP(G112,MT商品ﾏｽﾀ参照シート!AM:AN,2,0))</f>
        <v>共通部署</v>
      </c>
      <c r="I112" s="6">
        <v>401705</v>
      </c>
      <c r="J112" s="7" t="e">
        <f ca="1">[1]!t仕入先名(I112)</f>
        <v>#NAME?</v>
      </c>
      <c r="K112" s="8"/>
      <c r="L112" s="8">
        <v>4351</v>
      </c>
      <c r="M112" s="123">
        <v>45569</v>
      </c>
    </row>
    <row r="113" spans="1:13" ht="13.5" customHeight="1">
      <c r="A113" s="7">
        <v>101</v>
      </c>
      <c r="B113" s="7"/>
      <c r="C113" s="7">
        <v>416224</v>
      </c>
      <c r="D113" s="7" t="s">
        <v>3968</v>
      </c>
      <c r="E113" s="7" t="s">
        <v>3887</v>
      </c>
      <c r="F113" s="7" t="s">
        <v>1682</v>
      </c>
      <c r="G113" s="6">
        <v>0</v>
      </c>
      <c r="H113" s="7" t="str">
        <f>IF(G113="","",VLOOKUP(G113,MT商品ﾏｽﾀ参照シート!AM:AN,2,0))</f>
        <v>共通部署</v>
      </c>
      <c r="I113" s="6">
        <v>401705</v>
      </c>
      <c r="J113" s="7" t="e">
        <f ca="1">[1]!t仕入先名(I113)</f>
        <v>#NAME?</v>
      </c>
      <c r="K113" s="8"/>
      <c r="L113" s="8">
        <v>4579</v>
      </c>
      <c r="M113" s="123">
        <v>45569</v>
      </c>
    </row>
    <row r="114" spans="1:13" ht="13.5" customHeight="1">
      <c r="A114" s="7">
        <v>102</v>
      </c>
      <c r="B114" s="7"/>
      <c r="C114" s="7">
        <v>416225</v>
      </c>
      <c r="D114" s="7" t="s">
        <v>3589</v>
      </c>
      <c r="E114" s="7" t="s">
        <v>3888</v>
      </c>
      <c r="F114" s="7" t="s">
        <v>1682</v>
      </c>
      <c r="G114" s="6">
        <v>0</v>
      </c>
      <c r="H114" s="7" t="str">
        <f>IF(G114="","",VLOOKUP(G114,MT商品ﾏｽﾀ参照シート!AM:AN,2,0))</f>
        <v>共通部署</v>
      </c>
      <c r="I114" s="6">
        <v>401705</v>
      </c>
      <c r="J114" s="7" t="e">
        <f ca="1">[1]!t仕入先名(I114)</f>
        <v>#NAME?</v>
      </c>
      <c r="K114" s="8"/>
      <c r="L114" s="8">
        <v>3390</v>
      </c>
      <c r="M114" s="123">
        <v>45569</v>
      </c>
    </row>
    <row r="115" spans="1:13" ht="13.5" customHeight="1">
      <c r="A115" s="7">
        <v>103</v>
      </c>
      <c r="B115" s="7"/>
      <c r="C115" s="7">
        <v>416226</v>
      </c>
      <c r="D115" s="7" t="s">
        <v>3590</v>
      </c>
      <c r="E115" s="7" t="s">
        <v>3889</v>
      </c>
      <c r="F115" s="7" t="s">
        <v>1682</v>
      </c>
      <c r="G115" s="6">
        <v>0</v>
      </c>
      <c r="H115" s="7" t="str">
        <f>IF(G115="","",VLOOKUP(G115,MT商品ﾏｽﾀ参照シート!AM:AN,2,0))</f>
        <v>共通部署</v>
      </c>
      <c r="I115" s="6">
        <v>401705</v>
      </c>
      <c r="J115" s="7" t="e">
        <f ca="1">[1]!t仕入先名(I115)</f>
        <v>#NAME?</v>
      </c>
      <c r="K115" s="8"/>
      <c r="L115" s="8">
        <v>4333</v>
      </c>
      <c r="M115" s="123">
        <v>45569</v>
      </c>
    </row>
    <row r="116" spans="1:13" ht="13.5" customHeight="1">
      <c r="A116" s="7">
        <v>104</v>
      </c>
      <c r="B116" s="7"/>
      <c r="C116" s="7">
        <v>416227</v>
      </c>
      <c r="D116" s="7" t="s">
        <v>3591</v>
      </c>
      <c r="E116" s="7" t="s">
        <v>3890</v>
      </c>
      <c r="F116" s="7" t="s">
        <v>1682</v>
      </c>
      <c r="G116" s="6">
        <v>0</v>
      </c>
      <c r="H116" s="7" t="str">
        <f>IF(G116="","",VLOOKUP(G116,MT商品ﾏｽﾀ参照シート!AM:AN,2,0))</f>
        <v>共通部署</v>
      </c>
      <c r="I116" s="6">
        <v>401705</v>
      </c>
      <c r="J116" s="7" t="e">
        <f ca="1">[1]!t仕入先名(I116)</f>
        <v>#NAME?</v>
      </c>
      <c r="K116" s="8"/>
      <c r="L116" s="8">
        <v>3068</v>
      </c>
      <c r="M116" s="123">
        <v>45569</v>
      </c>
    </row>
    <row r="117" spans="1:13" ht="13.5" customHeight="1">
      <c r="A117" s="7">
        <v>105</v>
      </c>
      <c r="B117" s="7"/>
      <c r="C117" s="7">
        <v>416228</v>
      </c>
      <c r="D117" s="7" t="s">
        <v>3592</v>
      </c>
      <c r="E117" s="7" t="s">
        <v>3891</v>
      </c>
      <c r="F117" s="7" t="s">
        <v>1682</v>
      </c>
      <c r="G117" s="6">
        <v>0</v>
      </c>
      <c r="H117" s="7" t="str">
        <f>IF(G117="","",VLOOKUP(G117,MT商品ﾏｽﾀ参照シート!AM:AN,2,0))</f>
        <v>共通部署</v>
      </c>
      <c r="I117" s="6">
        <v>401705</v>
      </c>
      <c r="J117" s="7" t="e">
        <f ca="1">[1]!t仕入先名(I117)</f>
        <v>#NAME?</v>
      </c>
      <c r="K117" s="8"/>
      <c r="L117" s="8">
        <v>3068</v>
      </c>
      <c r="M117" s="123">
        <v>45569</v>
      </c>
    </row>
    <row r="118" spans="1:13" ht="13.5" customHeight="1">
      <c r="A118" s="7">
        <v>106</v>
      </c>
      <c r="B118" s="7"/>
      <c r="C118" s="7">
        <v>416229</v>
      </c>
      <c r="D118" s="7" t="s">
        <v>3593</v>
      </c>
      <c r="E118" s="7" t="s">
        <v>3892</v>
      </c>
      <c r="F118" s="7" t="s">
        <v>1682</v>
      </c>
      <c r="G118" s="6">
        <v>0</v>
      </c>
      <c r="H118" s="7" t="str">
        <f>IF(G118="","",VLOOKUP(G118,MT商品ﾏｽﾀ参照シート!AM:AN,2,0))</f>
        <v>共通部署</v>
      </c>
      <c r="I118" s="6">
        <v>401705</v>
      </c>
      <c r="J118" s="7" t="e">
        <f ca="1">[1]!t仕入先名(I118)</f>
        <v>#NAME?</v>
      </c>
      <c r="K118" s="8"/>
      <c r="L118" s="8">
        <v>3068</v>
      </c>
      <c r="M118" s="123">
        <v>45569</v>
      </c>
    </row>
    <row r="119" spans="1:13" ht="13.5" customHeight="1">
      <c r="A119" s="7">
        <v>107</v>
      </c>
      <c r="B119" s="7"/>
      <c r="C119" s="7">
        <v>416230</v>
      </c>
      <c r="D119" s="7" t="s">
        <v>3594</v>
      </c>
      <c r="E119" s="7" t="s">
        <v>3893</v>
      </c>
      <c r="F119" s="7" t="s">
        <v>1682</v>
      </c>
      <c r="G119" s="6">
        <v>0</v>
      </c>
      <c r="H119" s="7" t="str">
        <f>IF(G119="","",VLOOKUP(G119,MT商品ﾏｽﾀ参照シート!AM:AN,2,0))</f>
        <v>共通部署</v>
      </c>
      <c r="I119" s="6">
        <v>401705</v>
      </c>
      <c r="J119" s="7" t="e">
        <f ca="1">[1]!t仕入先名(I119)</f>
        <v>#NAME?</v>
      </c>
      <c r="K119" s="8"/>
      <c r="L119" s="8">
        <v>3129</v>
      </c>
      <c r="M119" s="123">
        <v>45569</v>
      </c>
    </row>
    <row r="120" spans="1:13" ht="13.5" customHeight="1">
      <c r="A120" s="7">
        <v>108</v>
      </c>
      <c r="B120" s="7"/>
      <c r="C120" s="7">
        <v>416231</v>
      </c>
      <c r="D120" s="7" t="s">
        <v>3969</v>
      </c>
      <c r="E120" s="7" t="s">
        <v>3894</v>
      </c>
      <c r="F120" s="7" t="s">
        <v>1682</v>
      </c>
      <c r="G120" s="6">
        <v>0</v>
      </c>
      <c r="H120" s="7" t="str">
        <f>IF(G120="","",VLOOKUP(G120,MT商品ﾏｽﾀ参照シート!AM:AN,2,0))</f>
        <v>共通部署</v>
      </c>
      <c r="I120" s="6">
        <v>401705</v>
      </c>
      <c r="J120" s="7" t="e">
        <f ca="1">[1]!t仕入先名(I120)</f>
        <v>#NAME?</v>
      </c>
      <c r="K120" s="8"/>
      <c r="L120" s="8">
        <v>3234</v>
      </c>
      <c r="M120" s="123">
        <v>45569</v>
      </c>
    </row>
    <row r="121" spans="1:13" ht="13.5" customHeight="1">
      <c r="A121" s="7">
        <v>109</v>
      </c>
      <c r="B121" s="7"/>
      <c r="C121" s="7">
        <v>416232</v>
      </c>
      <c r="D121" s="7" t="s">
        <v>3595</v>
      </c>
      <c r="E121" s="7" t="s">
        <v>3895</v>
      </c>
      <c r="F121" s="7" t="s">
        <v>1682</v>
      </c>
      <c r="G121" s="6">
        <v>0</v>
      </c>
      <c r="H121" s="7" t="str">
        <f>IF(G121="","",VLOOKUP(G121,MT商品ﾏｽﾀ参照シート!AM:AN,2,0))</f>
        <v>共通部署</v>
      </c>
      <c r="I121" s="6">
        <v>401705</v>
      </c>
      <c r="J121" s="7" t="e">
        <f ca="1">[1]!t仕入先名(I121)</f>
        <v>#NAME?</v>
      </c>
      <c r="K121" s="8"/>
      <c r="L121" s="8">
        <v>3368</v>
      </c>
      <c r="M121" s="123">
        <v>45569</v>
      </c>
    </row>
    <row r="122" spans="1:13" ht="13.5" customHeight="1">
      <c r="A122" s="7">
        <v>110</v>
      </c>
      <c r="B122" s="7"/>
      <c r="C122" s="7">
        <v>416233</v>
      </c>
      <c r="D122" s="7" t="s">
        <v>3596</v>
      </c>
      <c r="E122" s="7" t="s">
        <v>3896</v>
      </c>
      <c r="F122" s="7" t="s">
        <v>1682</v>
      </c>
      <c r="G122" s="6">
        <v>0</v>
      </c>
      <c r="H122" s="7" t="str">
        <f>IF(G122="","",VLOOKUP(G122,MT商品ﾏｽﾀ参照シート!AM:AN,2,0))</f>
        <v>共通部署</v>
      </c>
      <c r="I122" s="6">
        <v>401705</v>
      </c>
      <c r="J122" s="7" t="e">
        <f ca="1">[1]!t仕入先名(I122)</f>
        <v>#NAME?</v>
      </c>
      <c r="K122" s="8"/>
      <c r="L122" s="8">
        <v>3301</v>
      </c>
      <c r="M122" s="123">
        <v>45569</v>
      </c>
    </row>
    <row r="123" spans="1:13" ht="13.5" customHeight="1">
      <c r="A123" s="7">
        <v>111</v>
      </c>
      <c r="B123" s="7"/>
      <c r="C123" s="7">
        <v>416234</v>
      </c>
      <c r="D123" s="7" t="s">
        <v>3970</v>
      </c>
      <c r="E123" s="7" t="s">
        <v>3897</v>
      </c>
      <c r="F123" s="7" t="s">
        <v>1682</v>
      </c>
      <c r="G123" s="6">
        <v>0</v>
      </c>
      <c r="H123" s="7" t="str">
        <f>IF(G123="","",VLOOKUP(G123,MT商品ﾏｽﾀ参照シート!AM:AN,2,0))</f>
        <v>共通部署</v>
      </c>
      <c r="I123" s="6">
        <v>401705</v>
      </c>
      <c r="J123" s="7" t="e">
        <f ca="1">[1]!t仕入先名(I123)</f>
        <v>#NAME?</v>
      </c>
      <c r="K123" s="8"/>
      <c r="L123" s="8">
        <v>4331</v>
      </c>
      <c r="M123" s="123">
        <v>45569</v>
      </c>
    </row>
    <row r="124" spans="1:13" ht="13.5" customHeight="1">
      <c r="A124" s="7">
        <v>112</v>
      </c>
      <c r="B124" s="7"/>
      <c r="C124" s="7">
        <v>416235</v>
      </c>
      <c r="D124" s="7" t="s">
        <v>3597</v>
      </c>
      <c r="E124" s="7" t="s">
        <v>3898</v>
      </c>
      <c r="F124" s="7" t="s">
        <v>1682</v>
      </c>
      <c r="G124" s="6">
        <v>0</v>
      </c>
      <c r="H124" s="7" t="str">
        <f>IF(G124="","",VLOOKUP(G124,MT商品ﾏｽﾀ参照シート!AM:AN,2,0))</f>
        <v>共通部署</v>
      </c>
      <c r="I124" s="6">
        <v>401705</v>
      </c>
      <c r="J124" s="7" t="e">
        <f ca="1">[1]!t仕入先名(I124)</f>
        <v>#NAME?</v>
      </c>
      <c r="K124" s="8"/>
      <c r="L124" s="8">
        <v>3234</v>
      </c>
      <c r="M124" s="123">
        <v>45569</v>
      </c>
    </row>
    <row r="125" spans="1:13" ht="13.5" customHeight="1">
      <c r="A125" s="7">
        <v>113</v>
      </c>
      <c r="B125" s="7"/>
      <c r="C125" s="7">
        <v>416236</v>
      </c>
      <c r="D125" s="7" t="s">
        <v>3598</v>
      </c>
      <c r="E125" s="7" t="s">
        <v>3899</v>
      </c>
      <c r="F125" s="7" t="s">
        <v>1682</v>
      </c>
      <c r="G125" s="6">
        <v>0</v>
      </c>
      <c r="H125" s="7" t="str">
        <f>IF(G125="","",VLOOKUP(G125,MT商品ﾏｽﾀ参照シート!AM:AN,2,0))</f>
        <v>共通部署</v>
      </c>
      <c r="I125" s="6">
        <v>401705</v>
      </c>
      <c r="J125" s="7" t="e">
        <f ca="1">[1]!t仕入先名(I125)</f>
        <v>#NAME?</v>
      </c>
      <c r="K125" s="8"/>
      <c r="L125" s="8">
        <v>3234</v>
      </c>
      <c r="M125" s="123">
        <v>45569</v>
      </c>
    </row>
    <row r="126" spans="1:13" ht="13.5" customHeight="1">
      <c r="A126" s="7">
        <v>114</v>
      </c>
      <c r="B126" s="7"/>
      <c r="C126" s="7"/>
      <c r="D126" s="7"/>
      <c r="E126" s="7"/>
      <c r="F126" s="7"/>
      <c r="G126" s="6"/>
      <c r="H126" s="7" t="str">
        <f>IF(G126="","",VLOOKUP(G126,MT商品ﾏｽﾀ参照シート!AM:AN,2,0))</f>
        <v/>
      </c>
      <c r="I126" s="6"/>
      <c r="J126" s="7" t="e">
        <f ca="1">[1]!t仕入先名(I126)</f>
        <v>#NAME?</v>
      </c>
      <c r="K126" s="8"/>
      <c r="L126" s="8"/>
      <c r="M126" s="123"/>
    </row>
    <row r="127" spans="1:13" ht="13.5" customHeight="1">
      <c r="A127" s="7">
        <v>115</v>
      </c>
      <c r="B127" s="7"/>
      <c r="C127" s="7"/>
      <c r="D127" s="7"/>
      <c r="E127" s="7"/>
      <c r="F127" s="7"/>
      <c r="G127" s="6"/>
      <c r="H127" s="7" t="str">
        <f>IF(G127="","",VLOOKUP(G127,MT商品ﾏｽﾀ参照シート!AM:AN,2,0))</f>
        <v/>
      </c>
      <c r="I127" s="6"/>
      <c r="J127" s="7" t="e">
        <f ca="1">[1]!t仕入先名(I127)</f>
        <v>#NAME?</v>
      </c>
      <c r="K127" s="8"/>
      <c r="L127" s="8"/>
      <c r="M127" s="123"/>
    </row>
    <row r="128" spans="1:13" ht="13.5" customHeight="1">
      <c r="A128" s="7">
        <v>116</v>
      </c>
      <c r="B128" s="7"/>
      <c r="C128" s="7"/>
      <c r="D128" s="7"/>
      <c r="E128" s="7"/>
      <c r="F128" s="7"/>
      <c r="G128" s="6"/>
      <c r="H128" s="7" t="str">
        <f>IF(G128="","",VLOOKUP(G128,MT商品ﾏｽﾀ参照シート!AM:AN,2,0))</f>
        <v/>
      </c>
      <c r="I128" s="6"/>
      <c r="J128" s="7" t="e">
        <f ca="1">[1]!t仕入先名(I128)</f>
        <v>#NAME?</v>
      </c>
      <c r="K128" s="8"/>
      <c r="L128" s="8"/>
      <c r="M128" s="123"/>
    </row>
    <row r="129" spans="1:13" ht="13.5" customHeight="1">
      <c r="A129" s="7">
        <v>117</v>
      </c>
      <c r="B129" s="7"/>
      <c r="C129" s="7"/>
      <c r="D129" s="7"/>
      <c r="E129" s="7"/>
      <c r="F129" s="7"/>
      <c r="G129" s="6"/>
      <c r="H129" s="7" t="str">
        <f>IF(G129="","",VLOOKUP(G129,MT商品ﾏｽﾀ参照シート!AM:AN,2,0))</f>
        <v/>
      </c>
      <c r="I129" s="6"/>
      <c r="J129" s="7" t="e">
        <f ca="1">[1]!t仕入先名(I129)</f>
        <v>#NAME?</v>
      </c>
      <c r="K129" s="8"/>
      <c r="L129" s="8"/>
      <c r="M129" s="123"/>
    </row>
    <row r="130" spans="1:13" ht="13.5" customHeight="1">
      <c r="A130" s="7">
        <v>118</v>
      </c>
      <c r="B130" s="7"/>
      <c r="C130" s="7"/>
      <c r="D130" s="7"/>
      <c r="E130" s="7"/>
      <c r="F130" s="7"/>
      <c r="G130" s="6"/>
      <c r="H130" s="7" t="str">
        <f>IF(G130="","",VLOOKUP(G130,MT商品ﾏｽﾀ参照シート!AM:AN,2,0))</f>
        <v/>
      </c>
      <c r="I130" s="6"/>
      <c r="J130" s="7" t="e">
        <f ca="1">[1]!t仕入先名(I130)</f>
        <v>#NAME?</v>
      </c>
      <c r="K130" s="8"/>
      <c r="L130" s="8"/>
      <c r="M130" s="123"/>
    </row>
    <row r="131" spans="1:13" ht="13.5" customHeight="1">
      <c r="A131" s="7">
        <v>119</v>
      </c>
      <c r="B131" s="7"/>
      <c r="C131" s="7"/>
      <c r="D131" s="7"/>
      <c r="E131" s="7"/>
      <c r="F131" s="7"/>
      <c r="G131" s="6"/>
      <c r="H131" s="7" t="str">
        <f>IF(G131="","",VLOOKUP(G131,MT商品ﾏｽﾀ参照シート!AM:AN,2,0))</f>
        <v/>
      </c>
      <c r="I131" s="6"/>
      <c r="J131" s="7" t="e">
        <f ca="1">[1]!t仕入先名(I131)</f>
        <v>#NAME?</v>
      </c>
      <c r="K131" s="8"/>
      <c r="L131" s="8"/>
      <c r="M131" s="123"/>
    </row>
    <row r="132" spans="1:13" ht="13.5" customHeight="1">
      <c r="A132" s="7">
        <v>120</v>
      </c>
      <c r="B132" s="7"/>
      <c r="C132" s="7"/>
      <c r="D132" s="7"/>
      <c r="E132" s="7"/>
      <c r="F132" s="7"/>
      <c r="G132" s="6"/>
      <c r="H132" s="7" t="str">
        <f>IF(G132="","",VLOOKUP(G132,MT商品ﾏｽﾀ参照シート!AM:AN,2,0))</f>
        <v/>
      </c>
      <c r="I132" s="6"/>
      <c r="J132" s="7" t="e">
        <f ca="1">[1]!t仕入先名(I132)</f>
        <v>#NAME?</v>
      </c>
      <c r="K132" s="8"/>
      <c r="L132" s="8"/>
      <c r="M132" s="123"/>
    </row>
    <row r="133" spans="1:13" ht="13.5" customHeight="1">
      <c r="A133" s="7">
        <v>121</v>
      </c>
      <c r="B133" s="7"/>
      <c r="C133" s="7"/>
      <c r="D133" s="7"/>
      <c r="E133" s="7"/>
      <c r="F133" s="7"/>
      <c r="G133" s="6"/>
      <c r="H133" s="7" t="str">
        <f>IF(G133="","",VLOOKUP(G133,MT商品ﾏｽﾀ参照シート!AM:AN,2,0))</f>
        <v/>
      </c>
      <c r="I133" s="6"/>
      <c r="J133" s="7" t="e">
        <f ca="1">[1]!t仕入先名(I133)</f>
        <v>#NAME?</v>
      </c>
      <c r="K133" s="8"/>
      <c r="L133" s="8"/>
      <c r="M133" s="123"/>
    </row>
    <row r="134" spans="1:13" ht="13.5" customHeight="1">
      <c r="A134" s="7">
        <v>122</v>
      </c>
      <c r="B134" s="7"/>
      <c r="C134" s="7"/>
      <c r="D134" s="7"/>
      <c r="E134" s="7"/>
      <c r="F134" s="7"/>
      <c r="G134" s="6"/>
      <c r="H134" s="7" t="str">
        <f>IF(G134="","",VLOOKUP(G134,MT商品ﾏｽﾀ参照シート!AM:AN,2,0))</f>
        <v/>
      </c>
      <c r="I134" s="6"/>
      <c r="J134" s="7" t="e">
        <f ca="1">[1]!t仕入先名(I134)</f>
        <v>#NAME?</v>
      </c>
      <c r="K134" s="8"/>
      <c r="L134" s="8"/>
      <c r="M134" s="123"/>
    </row>
    <row r="135" spans="1:13" ht="13.5" customHeight="1">
      <c r="A135" s="7">
        <v>123</v>
      </c>
      <c r="B135" s="7"/>
      <c r="C135" s="7"/>
      <c r="D135" s="7"/>
      <c r="E135" s="7"/>
      <c r="F135" s="7"/>
      <c r="G135" s="6"/>
      <c r="H135" s="7" t="str">
        <f>IF(G135="","",VLOOKUP(G135,MT商品ﾏｽﾀ参照シート!AM:AN,2,0))</f>
        <v/>
      </c>
      <c r="I135" s="6"/>
      <c r="J135" s="7" t="e">
        <f ca="1">[1]!t仕入先名(I135)</f>
        <v>#NAME?</v>
      </c>
      <c r="K135" s="8"/>
      <c r="L135" s="8"/>
      <c r="M135" s="123"/>
    </row>
    <row r="136" spans="1:13" ht="13.5" customHeight="1">
      <c r="A136" s="7">
        <v>124</v>
      </c>
      <c r="B136" s="7"/>
      <c r="C136" s="7"/>
      <c r="D136" s="7"/>
      <c r="E136" s="7"/>
      <c r="F136" s="7"/>
      <c r="G136" s="6"/>
      <c r="H136" s="7" t="str">
        <f>IF(G136="","",VLOOKUP(G136,MT商品ﾏｽﾀ参照シート!AM:AN,2,0))</f>
        <v/>
      </c>
      <c r="I136" s="6"/>
      <c r="J136" s="7" t="e">
        <f ca="1">[1]!t仕入先名(I136)</f>
        <v>#NAME?</v>
      </c>
      <c r="K136" s="8"/>
      <c r="L136" s="8"/>
      <c r="M136" s="123"/>
    </row>
    <row r="137" spans="1:13" ht="13.5" customHeight="1">
      <c r="A137" s="7">
        <v>125</v>
      </c>
      <c r="B137" s="7"/>
      <c r="C137" s="7"/>
      <c r="D137" s="7"/>
      <c r="E137" s="7"/>
      <c r="F137" s="7"/>
      <c r="G137" s="6"/>
      <c r="H137" s="7" t="str">
        <f>IF(G137="","",VLOOKUP(G137,MT商品ﾏｽﾀ参照シート!AM:AN,2,0))</f>
        <v/>
      </c>
      <c r="I137" s="6"/>
      <c r="J137" s="7" t="e">
        <f ca="1">[1]!t仕入先名(I137)</f>
        <v>#NAME?</v>
      </c>
      <c r="K137" s="8"/>
      <c r="L137" s="8"/>
      <c r="M137" s="123"/>
    </row>
    <row r="138" spans="1:13" ht="13.5" customHeight="1">
      <c r="A138" s="7">
        <v>126</v>
      </c>
      <c r="B138" s="7"/>
      <c r="C138" s="7"/>
      <c r="D138" s="7"/>
      <c r="E138" s="7"/>
      <c r="F138" s="7"/>
      <c r="G138" s="6"/>
      <c r="H138" s="7" t="str">
        <f>IF(G138="","",VLOOKUP(G138,MT商品ﾏｽﾀ参照シート!AM:AN,2,0))</f>
        <v/>
      </c>
      <c r="I138" s="6"/>
      <c r="J138" s="7" t="e">
        <f ca="1">[1]!t仕入先名(I138)</f>
        <v>#NAME?</v>
      </c>
      <c r="K138" s="8"/>
      <c r="L138" s="8"/>
      <c r="M138" s="123"/>
    </row>
    <row r="139" spans="1:13" ht="13.5" customHeight="1">
      <c r="A139" s="7">
        <v>127</v>
      </c>
      <c r="B139" s="7"/>
      <c r="C139" s="7"/>
      <c r="D139" s="7"/>
      <c r="E139" s="7"/>
      <c r="F139" s="7"/>
      <c r="G139" s="6"/>
      <c r="H139" s="7" t="str">
        <f>IF(G139="","",VLOOKUP(G139,MT商品ﾏｽﾀ参照シート!AM:AN,2,0))</f>
        <v/>
      </c>
      <c r="I139" s="6"/>
      <c r="J139" s="7" t="e">
        <f ca="1">[1]!t仕入先名(I139)</f>
        <v>#NAME?</v>
      </c>
      <c r="K139" s="8"/>
      <c r="L139" s="8"/>
      <c r="M139" s="123"/>
    </row>
    <row r="140" spans="1:13" ht="13.5" customHeight="1">
      <c r="A140" s="7">
        <v>128</v>
      </c>
      <c r="B140" s="7"/>
      <c r="C140" s="7"/>
      <c r="D140" s="7"/>
      <c r="E140" s="7"/>
      <c r="F140" s="7"/>
      <c r="G140" s="6"/>
      <c r="H140" s="7" t="str">
        <f>IF(G140="","",VLOOKUP(G140,MT商品ﾏｽﾀ参照シート!AM:AN,2,0))</f>
        <v/>
      </c>
      <c r="I140" s="6"/>
      <c r="J140" s="7" t="e">
        <f ca="1">[1]!t仕入先名(I140)</f>
        <v>#NAME?</v>
      </c>
      <c r="K140" s="8"/>
      <c r="L140" s="8"/>
      <c r="M140" s="123"/>
    </row>
    <row r="141" spans="1:13" ht="13.5" customHeight="1">
      <c r="A141" s="7">
        <v>129</v>
      </c>
      <c r="B141" s="7"/>
      <c r="C141" s="7"/>
      <c r="D141" s="7"/>
      <c r="E141" s="7"/>
      <c r="F141" s="7"/>
      <c r="G141" s="6"/>
      <c r="H141" s="7" t="str">
        <f>IF(G141="","",VLOOKUP(G141,MT商品ﾏｽﾀ参照シート!AM:AN,2,0))</f>
        <v/>
      </c>
      <c r="I141" s="6"/>
      <c r="J141" s="7" t="e">
        <f ca="1">[1]!t仕入先名(I141)</f>
        <v>#NAME?</v>
      </c>
      <c r="K141" s="8"/>
      <c r="L141" s="8"/>
      <c r="M141" s="123"/>
    </row>
    <row r="142" spans="1:13" ht="13.5" customHeight="1">
      <c r="A142" s="7">
        <v>130</v>
      </c>
      <c r="B142" s="7"/>
      <c r="C142" s="7"/>
      <c r="D142" s="7"/>
      <c r="E142" s="7"/>
      <c r="F142" s="7"/>
      <c r="G142" s="6"/>
      <c r="H142" s="7" t="str">
        <f>IF(G142="","",VLOOKUP(G142,MT商品ﾏｽﾀ参照シート!AM:AN,2,0))</f>
        <v/>
      </c>
      <c r="I142" s="6"/>
      <c r="J142" s="7" t="e">
        <f ca="1">[1]!t仕入先名(I142)</f>
        <v>#NAME?</v>
      </c>
      <c r="K142" s="8"/>
      <c r="L142" s="8"/>
      <c r="M142" s="123"/>
    </row>
    <row r="143" spans="1:13" ht="13.5" customHeight="1">
      <c r="A143" s="7">
        <v>131</v>
      </c>
      <c r="B143" s="7"/>
      <c r="C143" s="7"/>
      <c r="D143" s="7"/>
      <c r="E143" s="7"/>
      <c r="F143" s="7"/>
      <c r="G143" s="6"/>
      <c r="H143" s="7" t="str">
        <f>IF(G143="","",VLOOKUP(G143,MT商品ﾏｽﾀ参照シート!AM:AN,2,0))</f>
        <v/>
      </c>
      <c r="I143" s="6"/>
      <c r="J143" s="7" t="e">
        <f ca="1">[1]!t仕入先名(I143)</f>
        <v>#NAME?</v>
      </c>
      <c r="K143" s="8"/>
      <c r="L143" s="8"/>
      <c r="M143" s="123"/>
    </row>
    <row r="144" spans="1:13" ht="13.5" customHeight="1">
      <c r="A144" s="7">
        <v>132</v>
      </c>
      <c r="B144" s="7"/>
      <c r="C144" s="7"/>
      <c r="D144" s="7"/>
      <c r="E144" s="7"/>
      <c r="F144" s="7"/>
      <c r="G144" s="6"/>
      <c r="H144" s="7" t="str">
        <f>IF(G144="","",VLOOKUP(G144,MT商品ﾏｽﾀ参照シート!AM:AN,2,0))</f>
        <v/>
      </c>
      <c r="I144" s="6"/>
      <c r="J144" s="7" t="e">
        <f ca="1">[1]!t仕入先名(I144)</f>
        <v>#NAME?</v>
      </c>
      <c r="K144" s="8"/>
      <c r="L144" s="8"/>
      <c r="M144" s="123"/>
    </row>
    <row r="145" spans="1:13" ht="13.5" customHeight="1">
      <c r="A145" s="7">
        <v>133</v>
      </c>
      <c r="B145" s="7"/>
      <c r="C145" s="7"/>
      <c r="D145" s="7"/>
      <c r="E145" s="7"/>
      <c r="F145" s="7"/>
      <c r="G145" s="6"/>
      <c r="H145" s="7" t="str">
        <f>IF(G145="","",VLOOKUP(G145,MT商品ﾏｽﾀ参照シート!AM:AN,2,0))</f>
        <v/>
      </c>
      <c r="I145" s="6"/>
      <c r="J145" s="7" t="e">
        <f ca="1">[1]!t仕入先名(I145)</f>
        <v>#NAME?</v>
      </c>
      <c r="K145" s="8"/>
      <c r="L145" s="8"/>
      <c r="M145" s="123"/>
    </row>
    <row r="146" spans="1:13" ht="13.5" customHeight="1">
      <c r="A146" s="7">
        <v>134</v>
      </c>
      <c r="B146" s="7"/>
      <c r="C146" s="7"/>
      <c r="D146" s="7"/>
      <c r="E146" s="7"/>
      <c r="F146" s="7"/>
      <c r="G146" s="6"/>
      <c r="H146" s="7" t="str">
        <f>IF(G146="","",VLOOKUP(G146,MT商品ﾏｽﾀ参照シート!AM:AN,2,0))</f>
        <v/>
      </c>
      <c r="I146" s="6"/>
      <c r="J146" s="7" t="e">
        <f ca="1">[1]!t仕入先名(I146)</f>
        <v>#NAME?</v>
      </c>
      <c r="K146" s="8"/>
      <c r="L146" s="8"/>
      <c r="M146" s="123"/>
    </row>
    <row r="147" spans="1:13" ht="13.5" customHeight="1">
      <c r="A147" s="7">
        <v>135</v>
      </c>
      <c r="B147" s="7"/>
      <c r="C147" s="7"/>
      <c r="D147" s="7"/>
      <c r="E147" s="7"/>
      <c r="F147" s="7"/>
      <c r="G147" s="6"/>
      <c r="H147" s="7" t="str">
        <f>IF(G147="","",VLOOKUP(G147,MT商品ﾏｽﾀ参照シート!AM:AN,2,0))</f>
        <v/>
      </c>
      <c r="I147" s="6"/>
      <c r="J147" s="7" t="e">
        <f ca="1">[1]!t仕入先名(I147)</f>
        <v>#NAME?</v>
      </c>
      <c r="K147" s="8"/>
      <c r="L147" s="8"/>
      <c r="M147" s="123"/>
    </row>
    <row r="148" spans="1:13" ht="13.5" customHeight="1">
      <c r="A148" s="7">
        <v>136</v>
      </c>
      <c r="B148" s="7"/>
      <c r="C148" s="7"/>
      <c r="D148" s="7"/>
      <c r="E148" s="7"/>
      <c r="F148" s="7"/>
      <c r="G148" s="6"/>
      <c r="H148" s="7" t="str">
        <f>IF(G148="","",VLOOKUP(G148,MT商品ﾏｽﾀ参照シート!AM:AN,2,0))</f>
        <v/>
      </c>
      <c r="I148" s="6"/>
      <c r="J148" s="7" t="e">
        <f ca="1">[1]!t仕入先名(I148)</f>
        <v>#NAME?</v>
      </c>
      <c r="K148" s="8"/>
      <c r="L148" s="8"/>
      <c r="M148" s="123"/>
    </row>
    <row r="149" spans="1:13" ht="13.5" customHeight="1">
      <c r="A149" s="7">
        <v>137</v>
      </c>
      <c r="B149" s="7"/>
      <c r="C149" s="7"/>
      <c r="D149" s="7"/>
      <c r="E149" s="7"/>
      <c r="F149" s="7"/>
      <c r="G149" s="6"/>
      <c r="H149" s="7" t="str">
        <f>IF(G149="","",VLOOKUP(G149,MT商品ﾏｽﾀ参照シート!AM:AN,2,0))</f>
        <v/>
      </c>
      <c r="I149" s="6"/>
      <c r="J149" s="7" t="e">
        <f ca="1">[1]!t仕入先名(I149)</f>
        <v>#NAME?</v>
      </c>
      <c r="K149" s="8"/>
      <c r="L149" s="8"/>
      <c r="M149" s="123"/>
    </row>
    <row r="150" spans="1:13" ht="13.5" customHeight="1">
      <c r="A150" s="7">
        <v>138</v>
      </c>
      <c r="B150" s="7"/>
      <c r="C150" s="7"/>
      <c r="D150" s="7"/>
      <c r="E150" s="7"/>
      <c r="F150" s="7"/>
      <c r="G150" s="6"/>
      <c r="H150" s="7" t="str">
        <f>IF(G150="","",VLOOKUP(G150,MT商品ﾏｽﾀ参照シート!AM:AN,2,0))</f>
        <v/>
      </c>
      <c r="I150" s="6"/>
      <c r="J150" s="7" t="e">
        <f ca="1">[1]!t仕入先名(I150)</f>
        <v>#NAME?</v>
      </c>
      <c r="K150" s="8"/>
      <c r="L150" s="8"/>
      <c r="M150" s="123"/>
    </row>
    <row r="151" spans="1:13" ht="13.5" customHeight="1">
      <c r="A151" s="7">
        <v>139</v>
      </c>
      <c r="B151" s="7"/>
      <c r="C151" s="7"/>
      <c r="D151" s="7"/>
      <c r="E151" s="7"/>
      <c r="F151" s="7"/>
      <c r="G151" s="6"/>
      <c r="H151" s="7" t="str">
        <f>IF(G151="","",VLOOKUP(G151,MT商品ﾏｽﾀ参照シート!AM:AN,2,0))</f>
        <v/>
      </c>
      <c r="I151" s="6"/>
      <c r="J151" s="7" t="e">
        <f ca="1">[1]!t仕入先名(I151)</f>
        <v>#NAME?</v>
      </c>
      <c r="K151" s="8"/>
      <c r="L151" s="8"/>
      <c r="M151" s="123"/>
    </row>
    <row r="152" spans="1:13" ht="13.5" customHeight="1">
      <c r="A152" s="7">
        <v>140</v>
      </c>
      <c r="B152" s="7"/>
      <c r="C152" s="7"/>
      <c r="D152" s="7"/>
      <c r="E152" s="7"/>
      <c r="F152" s="7"/>
      <c r="G152" s="6"/>
      <c r="H152" s="7" t="str">
        <f>IF(G152="","",VLOOKUP(G152,MT商品ﾏｽﾀ参照シート!AM:AN,2,0))</f>
        <v/>
      </c>
      <c r="I152" s="6"/>
      <c r="J152" s="7" t="e">
        <f ca="1">[1]!t仕入先名(I152)</f>
        <v>#NAME?</v>
      </c>
      <c r="K152" s="8"/>
      <c r="L152" s="8"/>
      <c r="M152" s="123"/>
    </row>
    <row r="153" spans="1:13" ht="13.5" customHeight="1">
      <c r="A153" s="7">
        <v>141</v>
      </c>
      <c r="B153" s="7"/>
      <c r="C153" s="7"/>
      <c r="D153" s="7"/>
      <c r="E153" s="7"/>
      <c r="F153" s="7"/>
      <c r="G153" s="6"/>
      <c r="H153" s="7" t="str">
        <f>IF(G153="","",VLOOKUP(G153,MT商品ﾏｽﾀ参照シート!AM:AN,2,0))</f>
        <v/>
      </c>
      <c r="I153" s="6"/>
      <c r="J153" s="7" t="e">
        <f ca="1">[1]!t仕入先名(I153)</f>
        <v>#NAME?</v>
      </c>
      <c r="K153" s="8"/>
      <c r="L153" s="8"/>
      <c r="M153" s="123"/>
    </row>
    <row r="154" spans="1:13" ht="13.5" customHeight="1">
      <c r="A154" s="7">
        <v>142</v>
      </c>
      <c r="B154" s="7"/>
      <c r="C154" s="7"/>
      <c r="D154" s="7"/>
      <c r="E154" s="7"/>
      <c r="F154" s="7"/>
      <c r="G154" s="6"/>
      <c r="H154" s="7" t="str">
        <f>IF(G154="","",VLOOKUP(G154,MT商品ﾏｽﾀ参照シート!AM:AN,2,0))</f>
        <v/>
      </c>
      <c r="I154" s="6"/>
      <c r="J154" s="7" t="e">
        <f ca="1">[1]!t仕入先名(I154)</f>
        <v>#NAME?</v>
      </c>
      <c r="K154" s="8"/>
      <c r="L154" s="8"/>
      <c r="M154" s="123"/>
    </row>
    <row r="155" spans="1:13" ht="13.5" customHeight="1">
      <c r="A155" s="7">
        <v>143</v>
      </c>
      <c r="B155" s="7"/>
      <c r="C155" s="7"/>
      <c r="D155" s="7"/>
      <c r="E155" s="7"/>
      <c r="F155" s="7"/>
      <c r="G155" s="6"/>
      <c r="H155" s="7" t="str">
        <f>IF(G155="","",VLOOKUP(G155,MT商品ﾏｽﾀ参照シート!AM:AN,2,0))</f>
        <v/>
      </c>
      <c r="I155" s="6"/>
      <c r="J155" s="7" t="e">
        <f ca="1">[1]!t仕入先名(I155)</f>
        <v>#NAME?</v>
      </c>
      <c r="K155" s="8"/>
      <c r="L155" s="8"/>
      <c r="M155" s="123"/>
    </row>
    <row r="156" spans="1:13" ht="13.5" customHeight="1">
      <c r="A156" s="7">
        <v>144</v>
      </c>
      <c r="B156" s="7"/>
      <c r="C156" s="7"/>
      <c r="D156" s="7"/>
      <c r="E156" s="7"/>
      <c r="F156" s="7"/>
      <c r="G156" s="6"/>
      <c r="H156" s="7" t="str">
        <f>IF(G156="","",VLOOKUP(G156,MT商品ﾏｽﾀ参照シート!AM:AN,2,0))</f>
        <v/>
      </c>
      <c r="I156" s="6"/>
      <c r="J156" s="7" t="e">
        <f ca="1">[1]!t仕入先名(I156)</f>
        <v>#NAME?</v>
      </c>
      <c r="K156" s="8"/>
      <c r="L156" s="8"/>
      <c r="M156" s="123"/>
    </row>
    <row r="157" spans="1:13" ht="13.5" customHeight="1">
      <c r="A157" s="7">
        <v>145</v>
      </c>
      <c r="B157" s="7"/>
      <c r="C157" s="7"/>
      <c r="D157" s="7"/>
      <c r="E157" s="7"/>
      <c r="F157" s="7"/>
      <c r="G157" s="6"/>
      <c r="H157" s="7" t="str">
        <f>IF(G157="","",VLOOKUP(G157,MT商品ﾏｽﾀ参照シート!AM:AN,2,0))</f>
        <v/>
      </c>
      <c r="I157" s="6"/>
      <c r="J157" s="7" t="e">
        <f ca="1">[1]!t仕入先名(I157)</f>
        <v>#NAME?</v>
      </c>
      <c r="K157" s="8"/>
      <c r="L157" s="8"/>
      <c r="M157" s="123"/>
    </row>
    <row r="158" spans="1:13" ht="13.5" customHeight="1">
      <c r="A158" s="7">
        <v>146</v>
      </c>
      <c r="B158" s="7"/>
      <c r="C158" s="7"/>
      <c r="D158" s="7"/>
      <c r="E158" s="7"/>
      <c r="F158" s="7"/>
      <c r="G158" s="6"/>
      <c r="H158" s="7" t="str">
        <f>IF(G158="","",VLOOKUP(G158,MT商品ﾏｽﾀ参照シート!AM:AN,2,0))</f>
        <v/>
      </c>
      <c r="I158" s="6"/>
      <c r="J158" s="7" t="e">
        <f ca="1">[1]!t仕入先名(I158)</f>
        <v>#NAME?</v>
      </c>
      <c r="K158" s="8"/>
      <c r="L158" s="8"/>
      <c r="M158" s="123"/>
    </row>
    <row r="159" spans="1:13" ht="13.5" customHeight="1">
      <c r="A159" s="7">
        <v>147</v>
      </c>
      <c r="B159" s="7"/>
      <c r="C159" s="7"/>
      <c r="D159" s="7"/>
      <c r="E159" s="7"/>
      <c r="F159" s="7"/>
      <c r="G159" s="6"/>
      <c r="H159" s="7" t="str">
        <f>IF(G159="","",VLOOKUP(G159,MT商品ﾏｽﾀ参照シート!AM:AN,2,0))</f>
        <v/>
      </c>
      <c r="I159" s="6"/>
      <c r="J159" s="7" t="e">
        <f ca="1">[1]!t仕入先名(I159)</f>
        <v>#NAME?</v>
      </c>
      <c r="K159" s="8"/>
      <c r="L159" s="8"/>
      <c r="M159" s="123"/>
    </row>
    <row r="160" spans="1:13" ht="13.5" customHeight="1">
      <c r="A160" s="7">
        <v>148</v>
      </c>
      <c r="B160" s="7"/>
      <c r="C160" s="7"/>
      <c r="D160" s="7"/>
      <c r="E160" s="7"/>
      <c r="F160" s="7"/>
      <c r="G160" s="6"/>
      <c r="H160" s="7" t="str">
        <f>IF(G160="","",VLOOKUP(G160,MT商品ﾏｽﾀ参照シート!AM:AN,2,0))</f>
        <v/>
      </c>
      <c r="I160" s="6"/>
      <c r="J160" s="7" t="e">
        <f ca="1">[1]!t仕入先名(I160)</f>
        <v>#NAME?</v>
      </c>
      <c r="K160" s="8"/>
      <c r="L160" s="8"/>
      <c r="M160" s="123"/>
    </row>
    <row r="161" spans="1:13" ht="13.5" customHeight="1">
      <c r="A161" s="7">
        <v>149</v>
      </c>
      <c r="B161" s="7"/>
      <c r="C161" s="7"/>
      <c r="D161" s="7"/>
      <c r="E161" s="7"/>
      <c r="F161" s="7"/>
      <c r="G161" s="6"/>
      <c r="H161" s="7" t="str">
        <f>IF(G161="","",VLOOKUP(G161,MT商品ﾏｽﾀ参照シート!AM:AN,2,0))</f>
        <v/>
      </c>
      <c r="I161" s="6"/>
      <c r="J161" s="7" t="e">
        <f ca="1">[1]!t仕入先名(I161)</f>
        <v>#NAME?</v>
      </c>
      <c r="K161" s="8"/>
      <c r="L161" s="8"/>
      <c r="M161" s="123"/>
    </row>
    <row r="162" spans="1:13" ht="13.5" customHeight="1">
      <c r="A162" s="7">
        <v>150</v>
      </c>
      <c r="B162" s="7"/>
      <c r="C162" s="7"/>
      <c r="D162" s="7"/>
      <c r="E162" s="7"/>
      <c r="F162" s="7"/>
      <c r="G162" s="6"/>
      <c r="H162" s="7" t="str">
        <f>IF(G162="","",VLOOKUP(G162,MT商品ﾏｽﾀ参照シート!AM:AN,2,0))</f>
        <v/>
      </c>
      <c r="I162" s="6"/>
      <c r="J162" s="7" t="e">
        <f ca="1">[1]!t仕入先名(I162)</f>
        <v>#NAME?</v>
      </c>
      <c r="K162" s="8"/>
      <c r="L162" s="8"/>
      <c r="M162" s="123"/>
    </row>
    <row r="163" spans="1:13" ht="13.5" customHeight="1">
      <c r="A163" s="7">
        <v>151</v>
      </c>
      <c r="B163" s="7"/>
      <c r="C163" s="7"/>
      <c r="D163" s="7"/>
      <c r="E163" s="7"/>
      <c r="F163" s="7"/>
      <c r="G163" s="6"/>
      <c r="H163" s="7" t="str">
        <f>IF(G163="","",VLOOKUP(G163,MT商品ﾏｽﾀ参照シート!AM:AN,2,0))</f>
        <v/>
      </c>
      <c r="I163" s="6"/>
      <c r="J163" s="7" t="e">
        <f ca="1">[1]!t仕入先名(I163)</f>
        <v>#NAME?</v>
      </c>
      <c r="K163" s="8"/>
      <c r="L163" s="8"/>
      <c r="M163" s="123"/>
    </row>
    <row r="164" spans="1:13" ht="13.5" customHeight="1">
      <c r="A164" s="7">
        <v>152</v>
      </c>
      <c r="B164" s="7"/>
      <c r="C164" s="7"/>
      <c r="D164" s="7"/>
      <c r="E164" s="7"/>
      <c r="F164" s="7"/>
      <c r="G164" s="6"/>
      <c r="H164" s="7" t="str">
        <f>IF(G164="","",VLOOKUP(G164,MT商品ﾏｽﾀ参照シート!AM:AN,2,0))</f>
        <v/>
      </c>
      <c r="I164" s="6"/>
      <c r="J164" s="7" t="e">
        <f ca="1">[1]!t仕入先名(I164)</f>
        <v>#NAME?</v>
      </c>
      <c r="K164" s="8"/>
      <c r="L164" s="8"/>
      <c r="M164" s="123"/>
    </row>
    <row r="165" spans="1:13" ht="13.5" customHeight="1">
      <c r="A165" s="7">
        <v>153</v>
      </c>
      <c r="B165" s="7"/>
      <c r="C165" s="7"/>
      <c r="D165" s="7"/>
      <c r="E165" s="7"/>
      <c r="F165" s="7"/>
      <c r="G165" s="6"/>
      <c r="H165" s="7" t="str">
        <f>IF(G165="","",VLOOKUP(G165,MT商品ﾏｽﾀ参照シート!AM:AN,2,0))</f>
        <v/>
      </c>
      <c r="I165" s="6"/>
      <c r="J165" s="7" t="e">
        <f ca="1">[1]!t仕入先名(I165)</f>
        <v>#NAME?</v>
      </c>
      <c r="K165" s="8"/>
      <c r="L165" s="8"/>
      <c r="M165" s="123"/>
    </row>
    <row r="166" spans="1:13" ht="13.5" customHeight="1">
      <c r="A166" s="7">
        <v>154</v>
      </c>
      <c r="B166" s="7"/>
      <c r="C166" s="7"/>
      <c r="D166" s="7"/>
      <c r="E166" s="7"/>
      <c r="F166" s="7"/>
      <c r="G166" s="6"/>
      <c r="H166" s="7" t="str">
        <f>IF(G166="","",VLOOKUP(G166,MT商品ﾏｽﾀ参照シート!AM:AN,2,0))</f>
        <v/>
      </c>
      <c r="I166" s="6"/>
      <c r="J166" s="7" t="e">
        <f ca="1">[1]!t仕入先名(I166)</f>
        <v>#NAME?</v>
      </c>
      <c r="K166" s="8"/>
      <c r="L166" s="8"/>
      <c r="M166" s="123"/>
    </row>
    <row r="167" spans="1:13" ht="13.5" customHeight="1">
      <c r="A167" s="7">
        <v>155</v>
      </c>
      <c r="B167" s="7"/>
      <c r="C167" s="7"/>
      <c r="D167" s="7"/>
      <c r="E167" s="7"/>
      <c r="F167" s="7"/>
      <c r="G167" s="6"/>
      <c r="H167" s="7" t="str">
        <f>IF(G167="","",VLOOKUP(G167,MT商品ﾏｽﾀ参照シート!AM:AN,2,0))</f>
        <v/>
      </c>
      <c r="I167" s="6"/>
      <c r="J167" s="7" t="e">
        <f ca="1">[1]!t仕入先名(I167)</f>
        <v>#NAME?</v>
      </c>
      <c r="K167" s="8"/>
      <c r="L167" s="8"/>
      <c r="M167" s="123"/>
    </row>
    <row r="168" spans="1:13" ht="13.5" customHeight="1">
      <c r="A168" s="7">
        <v>156</v>
      </c>
      <c r="B168" s="7"/>
      <c r="C168" s="7"/>
      <c r="D168" s="7"/>
      <c r="E168" s="7"/>
      <c r="F168" s="7"/>
      <c r="G168" s="6"/>
      <c r="H168" s="7" t="str">
        <f>IF(G168="","",VLOOKUP(G168,MT商品ﾏｽﾀ参照シート!AM:AN,2,0))</f>
        <v/>
      </c>
      <c r="I168" s="6"/>
      <c r="J168" s="7" t="e">
        <f ca="1">[1]!t仕入先名(I168)</f>
        <v>#NAME?</v>
      </c>
      <c r="K168" s="8"/>
      <c r="L168" s="8"/>
      <c r="M168" s="123"/>
    </row>
    <row r="169" spans="1:13" ht="13.5" customHeight="1">
      <c r="A169" s="7">
        <v>157</v>
      </c>
      <c r="B169" s="7"/>
      <c r="C169" s="7"/>
      <c r="D169" s="7"/>
      <c r="E169" s="7"/>
      <c r="F169" s="7"/>
      <c r="G169" s="6"/>
      <c r="H169" s="7" t="str">
        <f>IF(G169="","",VLOOKUP(G169,MT商品ﾏｽﾀ参照シート!AM:AN,2,0))</f>
        <v/>
      </c>
      <c r="I169" s="6"/>
      <c r="J169" s="7" t="e">
        <f ca="1">[1]!t仕入先名(I169)</f>
        <v>#NAME?</v>
      </c>
      <c r="K169" s="8"/>
      <c r="L169" s="8"/>
      <c r="M169" s="123"/>
    </row>
    <row r="170" spans="1:13" ht="13.5" customHeight="1">
      <c r="A170" s="7">
        <v>158</v>
      </c>
      <c r="B170" s="7"/>
      <c r="C170" s="7"/>
      <c r="D170" s="7"/>
      <c r="E170" s="7"/>
      <c r="F170" s="7"/>
      <c r="G170" s="6"/>
      <c r="H170" s="7" t="str">
        <f>IF(G170="","",VLOOKUP(G170,MT商品ﾏｽﾀ参照シート!AM:AN,2,0))</f>
        <v/>
      </c>
      <c r="I170" s="6"/>
      <c r="J170" s="7" t="e">
        <f ca="1">[1]!t仕入先名(I170)</f>
        <v>#NAME?</v>
      </c>
      <c r="K170" s="8"/>
      <c r="L170" s="8"/>
      <c r="M170" s="123"/>
    </row>
    <row r="171" spans="1:13" ht="13.5" customHeight="1">
      <c r="A171" s="7">
        <v>159</v>
      </c>
      <c r="B171" s="7"/>
      <c r="C171" s="7"/>
      <c r="D171" s="7"/>
      <c r="E171" s="7"/>
      <c r="F171" s="7"/>
      <c r="G171" s="6"/>
      <c r="H171" s="7" t="str">
        <f>IF(G171="","",VLOOKUP(G171,MT商品ﾏｽﾀ参照シート!AM:AN,2,0))</f>
        <v/>
      </c>
      <c r="I171" s="6"/>
      <c r="J171" s="7" t="e">
        <f ca="1">[1]!t仕入先名(I171)</f>
        <v>#NAME?</v>
      </c>
      <c r="K171" s="8"/>
      <c r="L171" s="8"/>
      <c r="M171" s="123"/>
    </row>
    <row r="172" spans="1:13" ht="13.5" customHeight="1">
      <c r="A172" s="7">
        <v>160</v>
      </c>
      <c r="B172" s="7"/>
      <c r="C172" s="7"/>
      <c r="D172" s="7"/>
      <c r="E172" s="7"/>
      <c r="F172" s="7"/>
      <c r="G172" s="6"/>
      <c r="H172" s="7" t="str">
        <f>IF(G172="","",VLOOKUP(G172,MT商品ﾏｽﾀ参照シート!AM:AN,2,0))</f>
        <v/>
      </c>
      <c r="I172" s="6"/>
      <c r="J172" s="7" t="e">
        <f ca="1">[1]!t仕入先名(I172)</f>
        <v>#NAME?</v>
      </c>
      <c r="K172" s="8"/>
      <c r="L172" s="8"/>
      <c r="M172" s="123"/>
    </row>
    <row r="173" spans="1:13" ht="13.5" customHeight="1">
      <c r="A173" s="7">
        <v>161</v>
      </c>
      <c r="B173" s="7"/>
      <c r="C173" s="7"/>
      <c r="D173" s="7"/>
      <c r="E173" s="7"/>
      <c r="F173" s="7"/>
      <c r="G173" s="6"/>
      <c r="H173" s="7" t="str">
        <f>IF(G173="","",VLOOKUP(G173,MT商品ﾏｽﾀ参照シート!AM:AN,2,0))</f>
        <v/>
      </c>
      <c r="I173" s="6"/>
      <c r="J173" s="7" t="e">
        <f ca="1">[1]!t仕入先名(I173)</f>
        <v>#NAME?</v>
      </c>
      <c r="K173" s="8"/>
      <c r="L173" s="8"/>
      <c r="M173" s="123"/>
    </row>
    <row r="174" spans="1:13" ht="13.5" customHeight="1">
      <c r="A174" s="7">
        <v>162</v>
      </c>
      <c r="B174" s="7"/>
      <c r="C174" s="7"/>
      <c r="D174" s="7"/>
      <c r="E174" s="7"/>
      <c r="F174" s="7"/>
      <c r="G174" s="6"/>
      <c r="H174" s="7" t="str">
        <f>IF(G174="","",VLOOKUP(G174,MT商品ﾏｽﾀ参照シート!AM:AN,2,0))</f>
        <v/>
      </c>
      <c r="I174" s="6"/>
      <c r="J174" s="7" t="e">
        <f ca="1">[1]!t仕入先名(I174)</f>
        <v>#NAME?</v>
      </c>
      <c r="K174" s="8"/>
      <c r="L174" s="8"/>
      <c r="M174" s="123"/>
    </row>
    <row r="175" spans="1:13" ht="13.5" customHeight="1">
      <c r="A175" s="7">
        <v>163</v>
      </c>
      <c r="B175" s="7"/>
      <c r="C175" s="7"/>
      <c r="D175" s="7"/>
      <c r="E175" s="7"/>
      <c r="F175" s="7"/>
      <c r="G175" s="6"/>
      <c r="H175" s="7" t="str">
        <f>IF(G175="","",VLOOKUP(G175,MT商品ﾏｽﾀ参照シート!AM:AN,2,0))</f>
        <v/>
      </c>
      <c r="I175" s="6"/>
      <c r="J175" s="7" t="e">
        <f ca="1">[1]!t仕入先名(I175)</f>
        <v>#NAME?</v>
      </c>
      <c r="K175" s="8"/>
      <c r="L175" s="8"/>
      <c r="M175" s="123"/>
    </row>
    <row r="176" spans="1:13" ht="13.5" customHeight="1">
      <c r="A176" s="7">
        <v>164</v>
      </c>
      <c r="B176" s="7"/>
      <c r="C176" s="7"/>
      <c r="D176" s="7"/>
      <c r="E176" s="7"/>
      <c r="F176" s="7"/>
      <c r="G176" s="6"/>
      <c r="H176" s="7" t="str">
        <f>IF(G176="","",VLOOKUP(G176,MT商品ﾏｽﾀ参照シート!AM:AN,2,0))</f>
        <v/>
      </c>
      <c r="I176" s="6"/>
      <c r="J176" s="7" t="e">
        <f ca="1">[1]!t仕入先名(I176)</f>
        <v>#NAME?</v>
      </c>
      <c r="K176" s="8"/>
      <c r="L176" s="8"/>
      <c r="M176" s="123"/>
    </row>
    <row r="177" spans="1:13" ht="13.5" customHeight="1">
      <c r="A177" s="7">
        <v>165</v>
      </c>
      <c r="B177" s="7"/>
      <c r="C177" s="7"/>
      <c r="D177" s="7"/>
      <c r="E177" s="7"/>
      <c r="F177" s="7"/>
      <c r="G177" s="6"/>
      <c r="H177" s="7" t="str">
        <f>IF(G177="","",VLOOKUP(G177,MT商品ﾏｽﾀ参照シート!AM:AN,2,0))</f>
        <v/>
      </c>
      <c r="I177" s="6"/>
      <c r="J177" s="7" t="e">
        <f ca="1">[1]!t仕入先名(I177)</f>
        <v>#NAME?</v>
      </c>
      <c r="K177" s="8"/>
      <c r="L177" s="8"/>
      <c r="M177" s="123"/>
    </row>
    <row r="178" spans="1:13" ht="13.5" customHeight="1">
      <c r="A178" s="7">
        <v>166</v>
      </c>
      <c r="B178" s="7"/>
      <c r="C178" s="7"/>
      <c r="D178" s="7"/>
      <c r="E178" s="7"/>
      <c r="F178" s="7"/>
      <c r="G178" s="6"/>
      <c r="H178" s="7" t="str">
        <f>IF(G178="","",VLOOKUP(G178,MT商品ﾏｽﾀ参照シート!AM:AN,2,0))</f>
        <v/>
      </c>
      <c r="I178" s="6"/>
      <c r="J178" s="7" t="e">
        <f ca="1">[1]!t仕入先名(I178)</f>
        <v>#NAME?</v>
      </c>
      <c r="K178" s="8"/>
      <c r="L178" s="8"/>
      <c r="M178" s="123"/>
    </row>
    <row r="179" spans="1:13" ht="13.5" customHeight="1">
      <c r="A179" s="7">
        <v>167</v>
      </c>
      <c r="B179" s="7"/>
      <c r="C179" s="7"/>
      <c r="D179" s="7"/>
      <c r="E179" s="7"/>
      <c r="F179" s="7"/>
      <c r="G179" s="6"/>
      <c r="H179" s="7" t="str">
        <f>IF(G179="","",VLOOKUP(G179,MT商品ﾏｽﾀ参照シート!AM:AN,2,0))</f>
        <v/>
      </c>
      <c r="I179" s="6"/>
      <c r="J179" s="7" t="e">
        <f ca="1">[1]!t仕入先名(I179)</f>
        <v>#NAME?</v>
      </c>
      <c r="K179" s="8"/>
      <c r="L179" s="8"/>
      <c r="M179" s="123"/>
    </row>
    <row r="180" spans="1:13" ht="13.5" customHeight="1">
      <c r="A180" s="7">
        <v>168</v>
      </c>
      <c r="B180" s="7"/>
      <c r="C180" s="7"/>
      <c r="D180" s="7"/>
      <c r="E180" s="7"/>
      <c r="F180" s="7"/>
      <c r="G180" s="6"/>
      <c r="H180" s="7" t="str">
        <f>IF(G180="","",VLOOKUP(G180,MT商品ﾏｽﾀ参照シート!AM:AN,2,0))</f>
        <v/>
      </c>
      <c r="I180" s="6"/>
      <c r="J180" s="7" t="e">
        <f ca="1">[1]!t仕入先名(I180)</f>
        <v>#NAME?</v>
      </c>
      <c r="K180" s="8"/>
      <c r="L180" s="8"/>
      <c r="M180" s="123"/>
    </row>
    <row r="181" spans="1:13" ht="13.5" customHeight="1">
      <c r="A181" s="7">
        <v>169</v>
      </c>
      <c r="B181" s="7"/>
      <c r="C181" s="7"/>
      <c r="D181" s="7"/>
      <c r="E181" s="7"/>
      <c r="F181" s="7"/>
      <c r="G181" s="6"/>
      <c r="H181" s="7" t="str">
        <f>IF(G181="","",VLOOKUP(G181,MT商品ﾏｽﾀ参照シート!AM:AN,2,0))</f>
        <v/>
      </c>
      <c r="I181" s="6"/>
      <c r="J181" s="7" t="e">
        <f ca="1">[1]!t仕入先名(I181)</f>
        <v>#NAME?</v>
      </c>
      <c r="K181" s="8"/>
      <c r="L181" s="8"/>
      <c r="M181" s="123"/>
    </row>
    <row r="182" spans="1:13" ht="13.5" customHeight="1">
      <c r="A182" s="7">
        <v>170</v>
      </c>
      <c r="B182" s="7"/>
      <c r="C182" s="7"/>
      <c r="D182" s="7"/>
      <c r="E182" s="7"/>
      <c r="F182" s="7"/>
      <c r="G182" s="6"/>
      <c r="H182" s="7" t="str">
        <f>IF(G182="","",VLOOKUP(G182,MT商品ﾏｽﾀ参照シート!AM:AN,2,0))</f>
        <v/>
      </c>
      <c r="I182" s="6"/>
      <c r="J182" s="7" t="e">
        <f ca="1">[1]!t仕入先名(I182)</f>
        <v>#NAME?</v>
      </c>
      <c r="K182" s="8"/>
      <c r="L182" s="8"/>
      <c r="M182" s="123"/>
    </row>
    <row r="183" spans="1:13" ht="13.5" customHeight="1">
      <c r="A183" s="7">
        <v>171</v>
      </c>
      <c r="B183" s="7"/>
      <c r="C183" s="7"/>
      <c r="D183" s="7"/>
      <c r="E183" s="7"/>
      <c r="F183" s="7"/>
      <c r="G183" s="6"/>
      <c r="H183" s="7" t="str">
        <f>IF(G183="","",VLOOKUP(G183,MT商品ﾏｽﾀ参照シート!AM:AN,2,0))</f>
        <v/>
      </c>
      <c r="I183" s="6"/>
      <c r="J183" s="7" t="e">
        <f ca="1">[1]!t仕入先名(I183)</f>
        <v>#NAME?</v>
      </c>
      <c r="K183" s="8"/>
      <c r="L183" s="8"/>
      <c r="M183" s="123"/>
    </row>
    <row r="184" spans="1:13" ht="13.5" customHeight="1">
      <c r="A184" s="7">
        <v>172</v>
      </c>
      <c r="B184" s="7"/>
      <c r="C184" s="7"/>
      <c r="D184" s="7"/>
      <c r="E184" s="7"/>
      <c r="F184" s="7"/>
      <c r="G184" s="6"/>
      <c r="H184" s="7" t="str">
        <f>IF(G184="","",VLOOKUP(G184,MT商品ﾏｽﾀ参照シート!AM:AN,2,0))</f>
        <v/>
      </c>
      <c r="I184" s="6"/>
      <c r="J184" s="7" t="e">
        <f ca="1">[1]!t仕入先名(I184)</f>
        <v>#NAME?</v>
      </c>
      <c r="K184" s="8"/>
      <c r="L184" s="8"/>
      <c r="M184" s="123"/>
    </row>
    <row r="185" spans="1:13" ht="13.5" customHeight="1">
      <c r="A185" s="7">
        <v>173</v>
      </c>
      <c r="B185" s="7"/>
      <c r="C185" s="7"/>
      <c r="D185" s="7"/>
      <c r="E185" s="7"/>
      <c r="F185" s="7"/>
      <c r="G185" s="6"/>
      <c r="H185" s="7" t="str">
        <f>IF(G185="","",VLOOKUP(G185,MT商品ﾏｽﾀ参照シート!AM:AN,2,0))</f>
        <v/>
      </c>
      <c r="I185" s="6"/>
      <c r="J185" s="7" t="e">
        <f ca="1">[1]!t仕入先名(I185)</f>
        <v>#NAME?</v>
      </c>
      <c r="K185" s="8"/>
      <c r="L185" s="8"/>
      <c r="M185" s="123"/>
    </row>
    <row r="186" spans="1:13" ht="13.5" customHeight="1">
      <c r="A186" s="7">
        <v>174</v>
      </c>
      <c r="B186" s="7"/>
      <c r="C186" s="7"/>
      <c r="D186" s="7"/>
      <c r="E186" s="7"/>
      <c r="F186" s="7"/>
      <c r="G186" s="6"/>
      <c r="H186" s="7" t="str">
        <f>IF(G186="","",VLOOKUP(G186,MT商品ﾏｽﾀ参照シート!AM:AN,2,0))</f>
        <v/>
      </c>
      <c r="I186" s="6"/>
      <c r="J186" s="7" t="e">
        <f ca="1">[1]!t仕入先名(I186)</f>
        <v>#NAME?</v>
      </c>
      <c r="K186" s="8"/>
      <c r="L186" s="8"/>
      <c r="M186" s="123"/>
    </row>
    <row r="187" spans="1:13" ht="13.5" customHeight="1">
      <c r="A187" s="7">
        <v>175</v>
      </c>
      <c r="B187" s="7"/>
      <c r="C187" s="7"/>
      <c r="D187" s="7"/>
      <c r="E187" s="7"/>
      <c r="F187" s="7"/>
      <c r="G187" s="6"/>
      <c r="H187" s="7" t="str">
        <f>IF(G187="","",VLOOKUP(G187,MT商品ﾏｽﾀ参照シート!AM:AN,2,0))</f>
        <v/>
      </c>
      <c r="I187" s="6"/>
      <c r="J187" s="7" t="e">
        <f ca="1">[1]!t仕入先名(I187)</f>
        <v>#NAME?</v>
      </c>
      <c r="K187" s="8"/>
      <c r="L187" s="8"/>
      <c r="M187" s="123"/>
    </row>
    <row r="188" spans="1:13" ht="13.5" customHeight="1">
      <c r="A188" s="7">
        <v>176</v>
      </c>
      <c r="B188" s="7"/>
      <c r="C188" s="7"/>
      <c r="D188" s="7"/>
      <c r="E188" s="7"/>
      <c r="F188" s="7"/>
      <c r="G188" s="6"/>
      <c r="H188" s="7" t="str">
        <f>IF(G188="","",VLOOKUP(G188,MT商品ﾏｽﾀ参照シート!AM:AN,2,0))</f>
        <v/>
      </c>
      <c r="I188" s="6"/>
      <c r="J188" s="7" t="e">
        <f ca="1">[1]!t仕入先名(I188)</f>
        <v>#NAME?</v>
      </c>
      <c r="K188" s="8"/>
      <c r="L188" s="8"/>
      <c r="M188" s="123"/>
    </row>
    <row r="189" spans="1:13" ht="13.5" customHeight="1">
      <c r="A189" s="7">
        <v>177</v>
      </c>
      <c r="B189" s="7"/>
      <c r="C189" s="7"/>
      <c r="D189" s="7"/>
      <c r="E189" s="7"/>
      <c r="F189" s="7"/>
      <c r="G189" s="6"/>
      <c r="H189" s="7" t="str">
        <f>IF(G189="","",VLOOKUP(G189,MT商品ﾏｽﾀ参照シート!AM:AN,2,0))</f>
        <v/>
      </c>
      <c r="I189" s="6"/>
      <c r="J189" s="7" t="e">
        <f ca="1">[1]!t仕入先名(I189)</f>
        <v>#NAME?</v>
      </c>
      <c r="K189" s="8"/>
      <c r="L189" s="8"/>
      <c r="M189" s="123"/>
    </row>
    <row r="190" spans="1:13" ht="13.5" customHeight="1">
      <c r="A190" s="7">
        <v>178</v>
      </c>
      <c r="B190" s="7"/>
      <c r="C190" s="7"/>
      <c r="D190" s="7"/>
      <c r="E190" s="7"/>
      <c r="F190" s="7"/>
      <c r="G190" s="6"/>
      <c r="H190" s="7" t="str">
        <f>IF(G190="","",VLOOKUP(G190,MT商品ﾏｽﾀ参照シート!AM:AN,2,0))</f>
        <v/>
      </c>
      <c r="I190" s="6"/>
      <c r="J190" s="7" t="e">
        <f ca="1">[1]!t仕入先名(I190)</f>
        <v>#NAME?</v>
      </c>
      <c r="K190" s="8"/>
      <c r="L190" s="8"/>
      <c r="M190" s="123"/>
    </row>
    <row r="191" spans="1:13" ht="13.5" customHeight="1">
      <c r="A191" s="7">
        <v>179</v>
      </c>
      <c r="B191" s="7"/>
      <c r="C191" s="7"/>
      <c r="D191" s="7"/>
      <c r="E191" s="7"/>
      <c r="F191" s="7"/>
      <c r="G191" s="6"/>
      <c r="H191" s="7" t="str">
        <f>IF(G191="","",VLOOKUP(G191,MT商品ﾏｽﾀ参照シート!AM:AN,2,0))</f>
        <v/>
      </c>
      <c r="I191" s="6"/>
      <c r="J191" s="7" t="e">
        <f ca="1">[1]!t仕入先名(I191)</f>
        <v>#NAME?</v>
      </c>
      <c r="K191" s="8"/>
      <c r="L191" s="8"/>
      <c r="M191" s="123"/>
    </row>
    <row r="192" spans="1:13" ht="13.5" customHeight="1">
      <c r="A192" s="7">
        <v>180</v>
      </c>
      <c r="B192" s="7"/>
      <c r="C192" s="7"/>
      <c r="D192" s="7"/>
      <c r="E192" s="7"/>
      <c r="F192" s="7"/>
      <c r="G192" s="6"/>
      <c r="H192" s="7" t="str">
        <f>IF(G192="","",VLOOKUP(G192,MT商品ﾏｽﾀ参照シート!AM:AN,2,0))</f>
        <v/>
      </c>
      <c r="I192" s="6"/>
      <c r="J192" s="7" t="e">
        <f ca="1">[1]!t仕入先名(I192)</f>
        <v>#NAME?</v>
      </c>
      <c r="K192" s="8"/>
      <c r="L192" s="8"/>
      <c r="M192" s="123"/>
    </row>
    <row r="193" spans="1:13" ht="13.5" customHeight="1">
      <c r="A193" s="7">
        <v>181</v>
      </c>
      <c r="B193" s="7"/>
      <c r="C193" s="7"/>
      <c r="D193" s="7"/>
      <c r="E193" s="7"/>
      <c r="F193" s="7"/>
      <c r="G193" s="6"/>
      <c r="H193" s="7" t="str">
        <f>IF(G193="","",VLOOKUP(G193,MT商品ﾏｽﾀ参照シート!AM:AN,2,0))</f>
        <v/>
      </c>
      <c r="I193" s="6"/>
      <c r="J193" s="7" t="e">
        <f ca="1">[1]!t仕入先名(I193)</f>
        <v>#NAME?</v>
      </c>
      <c r="K193" s="8"/>
      <c r="L193" s="8"/>
      <c r="M193" s="123"/>
    </row>
    <row r="194" spans="1:13" ht="13.5" customHeight="1">
      <c r="A194" s="7">
        <v>182</v>
      </c>
      <c r="B194" s="7"/>
      <c r="C194" s="7"/>
      <c r="D194" s="7"/>
      <c r="E194" s="7"/>
      <c r="F194" s="7"/>
      <c r="G194" s="6"/>
      <c r="H194" s="7" t="str">
        <f>IF(G194="","",VLOOKUP(G194,MT商品ﾏｽﾀ参照シート!AM:AN,2,0))</f>
        <v/>
      </c>
      <c r="I194" s="6"/>
      <c r="J194" s="7" t="e">
        <f ca="1">[1]!t仕入先名(I194)</f>
        <v>#NAME?</v>
      </c>
      <c r="K194" s="8"/>
      <c r="L194" s="8"/>
      <c r="M194" s="123"/>
    </row>
    <row r="195" spans="1:13" ht="13.5" customHeight="1">
      <c r="A195" s="7">
        <v>183</v>
      </c>
      <c r="B195" s="7"/>
      <c r="C195" s="7"/>
      <c r="D195" s="7"/>
      <c r="E195" s="7"/>
      <c r="F195" s="7"/>
      <c r="G195" s="6"/>
      <c r="H195" s="7" t="str">
        <f>IF(G195="","",VLOOKUP(G195,MT商品ﾏｽﾀ参照シート!AM:AN,2,0))</f>
        <v/>
      </c>
      <c r="I195" s="6"/>
      <c r="J195" s="7" t="e">
        <f ca="1">[1]!t仕入先名(I195)</f>
        <v>#NAME?</v>
      </c>
      <c r="K195" s="8"/>
      <c r="L195" s="8"/>
      <c r="M195" s="123"/>
    </row>
    <row r="196" spans="1:13" ht="13.5" customHeight="1">
      <c r="A196" s="7">
        <v>184</v>
      </c>
      <c r="B196" s="7"/>
      <c r="C196" s="7"/>
      <c r="D196" s="7"/>
      <c r="E196" s="7"/>
      <c r="F196" s="7"/>
      <c r="G196" s="6"/>
      <c r="H196" s="7" t="str">
        <f>IF(G196="","",VLOOKUP(G196,MT商品ﾏｽﾀ参照シート!AM:AN,2,0))</f>
        <v/>
      </c>
      <c r="I196" s="6"/>
      <c r="J196" s="7" t="e">
        <f ca="1">[1]!t仕入先名(I196)</f>
        <v>#NAME?</v>
      </c>
      <c r="K196" s="8"/>
      <c r="L196" s="8"/>
      <c r="M196" s="123"/>
    </row>
    <row r="197" spans="1:13" ht="13.5" customHeight="1">
      <c r="A197" s="7">
        <v>185</v>
      </c>
      <c r="B197" s="7"/>
      <c r="C197" s="7"/>
      <c r="D197" s="7"/>
      <c r="E197" s="7"/>
      <c r="F197" s="7"/>
      <c r="G197" s="6"/>
      <c r="H197" s="7" t="str">
        <f>IF(G197="","",VLOOKUP(G197,MT商品ﾏｽﾀ参照シート!AM:AN,2,0))</f>
        <v/>
      </c>
      <c r="I197" s="6"/>
      <c r="J197" s="7" t="e">
        <f ca="1">[1]!t仕入先名(I197)</f>
        <v>#NAME?</v>
      </c>
      <c r="K197" s="8"/>
      <c r="L197" s="8"/>
      <c r="M197" s="123"/>
    </row>
    <row r="198" spans="1:13" ht="13.5" customHeight="1">
      <c r="A198" s="7">
        <v>186</v>
      </c>
      <c r="B198" s="7"/>
      <c r="C198" s="7"/>
      <c r="D198" s="7"/>
      <c r="E198" s="7"/>
      <c r="F198" s="7"/>
      <c r="G198" s="6"/>
      <c r="H198" s="7" t="str">
        <f>IF(G198="","",VLOOKUP(G198,MT商品ﾏｽﾀ参照シート!AM:AN,2,0))</f>
        <v/>
      </c>
      <c r="I198" s="6"/>
      <c r="J198" s="7" t="e">
        <f ca="1">[1]!t仕入先名(I198)</f>
        <v>#NAME?</v>
      </c>
      <c r="K198" s="8"/>
      <c r="L198" s="8"/>
      <c r="M198" s="123"/>
    </row>
    <row r="199" spans="1:13" ht="13.5" customHeight="1">
      <c r="A199" s="7">
        <v>187</v>
      </c>
      <c r="B199" s="7"/>
      <c r="C199" s="7"/>
      <c r="D199" s="7"/>
      <c r="E199" s="7"/>
      <c r="F199" s="7"/>
      <c r="G199" s="6"/>
      <c r="H199" s="7" t="str">
        <f>IF(G199="","",VLOOKUP(G199,MT商品ﾏｽﾀ参照シート!AM:AN,2,0))</f>
        <v/>
      </c>
      <c r="I199" s="6"/>
      <c r="J199" s="7" t="e">
        <f ca="1">[1]!t仕入先名(I199)</f>
        <v>#NAME?</v>
      </c>
      <c r="K199" s="8"/>
      <c r="L199" s="8"/>
      <c r="M199" s="123"/>
    </row>
    <row r="200" spans="1:13" ht="13.5" customHeight="1">
      <c r="A200" s="7">
        <v>188</v>
      </c>
      <c r="B200" s="7"/>
      <c r="C200" s="7"/>
      <c r="D200" s="7"/>
      <c r="E200" s="7"/>
      <c r="F200" s="7"/>
      <c r="G200" s="6"/>
      <c r="H200" s="7" t="str">
        <f>IF(G200="","",VLOOKUP(G200,MT商品ﾏｽﾀ参照シート!AM:AN,2,0))</f>
        <v/>
      </c>
      <c r="I200" s="6"/>
      <c r="J200" s="7" t="e">
        <f ca="1">[1]!t仕入先名(I200)</f>
        <v>#NAME?</v>
      </c>
      <c r="K200" s="8"/>
      <c r="L200" s="8"/>
      <c r="M200" s="123"/>
    </row>
    <row r="201" spans="1:13" ht="13.5" customHeight="1">
      <c r="A201" s="7">
        <v>189</v>
      </c>
      <c r="B201" s="7"/>
      <c r="C201" s="7"/>
      <c r="D201" s="7"/>
      <c r="E201" s="7"/>
      <c r="F201" s="7"/>
      <c r="G201" s="6"/>
      <c r="H201" s="7" t="str">
        <f>IF(G201="","",VLOOKUP(G201,MT商品ﾏｽﾀ参照シート!AM:AN,2,0))</f>
        <v/>
      </c>
      <c r="I201" s="6"/>
      <c r="J201" s="7" t="e">
        <f ca="1">[1]!t仕入先名(I201)</f>
        <v>#NAME?</v>
      </c>
      <c r="K201" s="8"/>
      <c r="L201" s="8"/>
      <c r="M201" s="123"/>
    </row>
    <row r="202" spans="1:13" ht="13.5" customHeight="1">
      <c r="A202" s="7">
        <v>190</v>
      </c>
      <c r="B202" s="7"/>
      <c r="C202" s="7"/>
      <c r="D202" s="7"/>
      <c r="E202" s="7"/>
      <c r="F202" s="7"/>
      <c r="G202" s="6"/>
      <c r="H202" s="7" t="str">
        <f>IF(G202="","",VLOOKUP(G202,MT商品ﾏｽﾀ参照シート!AM:AN,2,0))</f>
        <v/>
      </c>
      <c r="I202" s="6"/>
      <c r="J202" s="7" t="e">
        <f ca="1">[1]!t仕入先名(I202)</f>
        <v>#NAME?</v>
      </c>
      <c r="K202" s="8"/>
      <c r="L202" s="8"/>
      <c r="M202" s="123"/>
    </row>
    <row r="203" spans="1:13" ht="13.5" customHeight="1">
      <c r="A203" s="7">
        <v>191</v>
      </c>
      <c r="B203" s="7"/>
      <c r="C203" s="7"/>
      <c r="D203" s="7"/>
      <c r="E203" s="7"/>
      <c r="F203" s="7"/>
      <c r="G203" s="6"/>
      <c r="H203" s="7" t="str">
        <f>IF(G203="","",VLOOKUP(G203,MT商品ﾏｽﾀ参照シート!AM:AN,2,0))</f>
        <v/>
      </c>
      <c r="I203" s="6"/>
      <c r="J203" s="7" t="e">
        <f ca="1">[1]!t仕入先名(I203)</f>
        <v>#NAME?</v>
      </c>
      <c r="K203" s="8"/>
      <c r="L203" s="8"/>
      <c r="M203" s="123"/>
    </row>
    <row r="204" spans="1:13" ht="13.5" customHeight="1">
      <c r="A204" s="7">
        <v>192</v>
      </c>
      <c r="B204" s="7"/>
      <c r="C204" s="7"/>
      <c r="D204" s="7"/>
      <c r="E204" s="7"/>
      <c r="F204" s="7"/>
      <c r="G204" s="6"/>
      <c r="H204" s="7" t="str">
        <f>IF(G204="","",VLOOKUP(G204,MT商品ﾏｽﾀ参照シート!AM:AN,2,0))</f>
        <v/>
      </c>
      <c r="I204" s="6"/>
      <c r="J204" s="7" t="e">
        <f ca="1">[1]!t仕入先名(I204)</f>
        <v>#NAME?</v>
      </c>
      <c r="K204" s="8"/>
      <c r="L204" s="8"/>
      <c r="M204" s="123"/>
    </row>
    <row r="205" spans="1:13" ht="13.5" customHeight="1">
      <c r="A205" s="7">
        <v>193</v>
      </c>
      <c r="B205" s="7"/>
      <c r="C205" s="7"/>
      <c r="D205" s="7"/>
      <c r="E205" s="7"/>
      <c r="F205" s="7"/>
      <c r="G205" s="6"/>
      <c r="H205" s="7" t="str">
        <f>IF(G205="","",VLOOKUP(G205,MT商品ﾏｽﾀ参照シート!AM:AN,2,0))</f>
        <v/>
      </c>
      <c r="I205" s="6"/>
      <c r="J205" s="7" t="e">
        <f ca="1">[1]!t仕入先名(I205)</f>
        <v>#NAME?</v>
      </c>
      <c r="K205" s="8"/>
      <c r="L205" s="8"/>
      <c r="M205" s="123"/>
    </row>
    <row r="206" spans="1:13" ht="13.5" customHeight="1">
      <c r="A206" s="7">
        <v>194</v>
      </c>
      <c r="B206" s="7"/>
      <c r="C206" s="7"/>
      <c r="D206" s="7"/>
      <c r="E206" s="7"/>
      <c r="F206" s="7"/>
      <c r="G206" s="6"/>
      <c r="H206" s="7" t="str">
        <f>IF(G206="","",VLOOKUP(G206,MT商品ﾏｽﾀ参照シート!AM:AN,2,0))</f>
        <v/>
      </c>
      <c r="I206" s="6"/>
      <c r="J206" s="7" t="e">
        <f ca="1">[1]!t仕入先名(I206)</f>
        <v>#NAME?</v>
      </c>
      <c r="K206" s="8"/>
      <c r="L206" s="8"/>
      <c r="M206" s="123"/>
    </row>
    <row r="207" spans="1:13" ht="13.5" customHeight="1">
      <c r="A207" s="7">
        <v>195</v>
      </c>
      <c r="B207" s="7"/>
      <c r="C207" s="7"/>
      <c r="D207" s="7"/>
      <c r="E207" s="7"/>
      <c r="F207" s="7"/>
      <c r="G207" s="6"/>
      <c r="H207" s="7" t="str">
        <f>IF(G207="","",VLOOKUP(G207,MT商品ﾏｽﾀ参照シート!AM:AN,2,0))</f>
        <v/>
      </c>
      <c r="I207" s="6"/>
      <c r="J207" s="7" t="e">
        <f ca="1">[1]!t仕入先名(I207)</f>
        <v>#NAME?</v>
      </c>
      <c r="K207" s="8"/>
      <c r="L207" s="8"/>
      <c r="M207" s="123"/>
    </row>
    <row r="208" spans="1:13" ht="13.5" customHeight="1">
      <c r="A208" s="7">
        <v>196</v>
      </c>
      <c r="B208" s="7"/>
      <c r="C208" s="7"/>
      <c r="D208" s="7"/>
      <c r="E208" s="7"/>
      <c r="F208" s="7"/>
      <c r="G208" s="6"/>
      <c r="H208" s="7" t="str">
        <f>IF(G208="","",VLOOKUP(G208,MT商品ﾏｽﾀ参照シート!AM:AN,2,0))</f>
        <v/>
      </c>
      <c r="I208" s="6"/>
      <c r="J208" s="7" t="e">
        <f ca="1">[1]!t仕入先名(I208)</f>
        <v>#NAME?</v>
      </c>
      <c r="K208" s="8"/>
      <c r="L208" s="8"/>
      <c r="M208" s="123"/>
    </row>
    <row r="209" spans="1:13" ht="13.5" customHeight="1">
      <c r="A209" s="7">
        <v>197</v>
      </c>
      <c r="B209" s="7"/>
      <c r="C209" s="7"/>
      <c r="D209" s="7"/>
      <c r="E209" s="7"/>
      <c r="F209" s="7"/>
      <c r="G209" s="6"/>
      <c r="H209" s="7" t="str">
        <f>IF(G209="","",VLOOKUP(G209,MT商品ﾏｽﾀ参照シート!AM:AN,2,0))</f>
        <v/>
      </c>
      <c r="I209" s="6"/>
      <c r="J209" s="7" t="e">
        <f ca="1">[1]!t仕入先名(I209)</f>
        <v>#NAME?</v>
      </c>
      <c r="K209" s="8"/>
      <c r="L209" s="8"/>
      <c r="M209" s="123"/>
    </row>
    <row r="210" spans="1:13" ht="13.5" customHeight="1">
      <c r="A210" s="7">
        <v>198</v>
      </c>
      <c r="B210" s="7"/>
      <c r="C210" s="7"/>
      <c r="D210" s="7"/>
      <c r="E210" s="7"/>
      <c r="F210" s="7"/>
      <c r="G210" s="6"/>
      <c r="H210" s="7" t="str">
        <f>IF(G210="","",VLOOKUP(G210,MT商品ﾏｽﾀ参照シート!AM:AN,2,0))</f>
        <v/>
      </c>
      <c r="I210" s="6"/>
      <c r="J210" s="7" t="e">
        <f ca="1">[1]!t仕入先名(I210)</f>
        <v>#NAME?</v>
      </c>
      <c r="K210" s="8"/>
      <c r="L210" s="8"/>
      <c r="M210" s="123"/>
    </row>
    <row r="211" spans="1:13" ht="13.5" customHeight="1">
      <c r="A211" s="7">
        <v>199</v>
      </c>
      <c r="B211" s="7"/>
      <c r="C211" s="7"/>
      <c r="D211" s="7"/>
      <c r="E211" s="7"/>
      <c r="F211" s="7"/>
      <c r="G211" s="6"/>
      <c r="H211" s="7" t="str">
        <f>IF(G211="","",VLOOKUP(G211,MT商品ﾏｽﾀ参照シート!AM:AN,2,0))</f>
        <v/>
      </c>
      <c r="I211" s="6"/>
      <c r="J211" s="7" t="e">
        <f ca="1">[1]!t仕入先名(I211)</f>
        <v>#NAME?</v>
      </c>
      <c r="K211" s="8"/>
      <c r="L211" s="8"/>
      <c r="M211" s="123"/>
    </row>
    <row r="212" spans="1:13" ht="13.5" customHeight="1">
      <c r="A212" s="7">
        <v>200</v>
      </c>
      <c r="B212" s="7"/>
      <c r="C212" s="7"/>
      <c r="D212" s="7"/>
      <c r="E212" s="7"/>
      <c r="F212" s="7"/>
      <c r="G212" s="6"/>
      <c r="H212" s="7" t="str">
        <f>IF(G212="","",VLOOKUP(G212,MT商品ﾏｽﾀ参照シート!AM:AN,2,0))</f>
        <v/>
      </c>
      <c r="I212" s="6"/>
      <c r="J212" s="7" t="e">
        <f ca="1">[1]!t仕入先名(I212)</f>
        <v>#NAME?</v>
      </c>
      <c r="K212" s="8"/>
      <c r="L212" s="8"/>
      <c r="M212" s="123"/>
    </row>
    <row r="213" spans="1:13" ht="13.5" customHeight="1">
      <c r="A213" s="7">
        <v>201</v>
      </c>
      <c r="B213" s="7"/>
      <c r="C213" s="7"/>
      <c r="D213" s="7"/>
      <c r="E213" s="7"/>
      <c r="F213" s="7"/>
      <c r="G213" s="6"/>
      <c r="H213" s="7" t="str">
        <f>IF(G213="","",VLOOKUP(G213,MT商品ﾏｽﾀ参照シート!AM:AN,2,0))</f>
        <v/>
      </c>
      <c r="I213" s="6"/>
      <c r="J213" s="7" t="e">
        <f ca="1">[1]!t仕入先名(I213)</f>
        <v>#NAME?</v>
      </c>
      <c r="K213" s="8"/>
      <c r="L213" s="8"/>
      <c r="M213" s="123"/>
    </row>
    <row r="214" spans="1:13" ht="13.5" customHeight="1">
      <c r="A214" s="7">
        <v>202</v>
      </c>
      <c r="B214" s="7"/>
      <c r="C214" s="7"/>
      <c r="D214" s="7"/>
      <c r="E214" s="7"/>
      <c r="F214" s="7"/>
      <c r="G214" s="6"/>
      <c r="H214" s="7" t="str">
        <f>IF(G214="","",VLOOKUP(G214,MT商品ﾏｽﾀ参照シート!AM:AN,2,0))</f>
        <v/>
      </c>
      <c r="I214" s="6"/>
      <c r="J214" s="7" t="e">
        <f ca="1">[1]!t仕入先名(I214)</f>
        <v>#NAME?</v>
      </c>
      <c r="K214" s="8"/>
      <c r="L214" s="8"/>
      <c r="M214" s="123"/>
    </row>
    <row r="215" spans="1:13" ht="13.5" customHeight="1">
      <c r="A215" s="7">
        <v>203</v>
      </c>
      <c r="B215" s="7"/>
      <c r="C215" s="7"/>
      <c r="D215" s="7"/>
      <c r="E215" s="7"/>
      <c r="F215" s="7"/>
      <c r="G215" s="6"/>
      <c r="H215" s="7" t="str">
        <f>IF(G215="","",VLOOKUP(G215,MT商品ﾏｽﾀ参照シート!AM:AN,2,0))</f>
        <v/>
      </c>
      <c r="I215" s="6"/>
      <c r="J215" s="7" t="e">
        <f ca="1">[1]!t仕入先名(I215)</f>
        <v>#NAME?</v>
      </c>
      <c r="K215" s="8"/>
      <c r="L215" s="8"/>
      <c r="M215" s="123"/>
    </row>
    <row r="216" spans="1:13" ht="13.5" customHeight="1">
      <c r="A216" s="7">
        <v>204</v>
      </c>
      <c r="B216" s="7"/>
      <c r="C216" s="7"/>
      <c r="D216" s="7"/>
      <c r="E216" s="7"/>
      <c r="F216" s="7"/>
      <c r="G216" s="6"/>
      <c r="H216" s="7" t="str">
        <f>IF(G216="","",VLOOKUP(G216,MT商品ﾏｽﾀ参照シート!AM:AN,2,0))</f>
        <v/>
      </c>
      <c r="I216" s="6"/>
      <c r="J216" s="7" t="e">
        <f ca="1">[1]!t仕入先名(I216)</f>
        <v>#NAME?</v>
      </c>
      <c r="K216" s="8"/>
      <c r="L216" s="8"/>
      <c r="M216" s="123"/>
    </row>
    <row r="217" spans="1:13" ht="13.5" customHeight="1">
      <c r="A217" s="7">
        <v>205</v>
      </c>
      <c r="B217" s="7"/>
      <c r="C217" s="7"/>
      <c r="D217" s="7"/>
      <c r="E217" s="7"/>
      <c r="F217" s="7"/>
      <c r="G217" s="6"/>
      <c r="H217" s="7" t="str">
        <f>IF(G217="","",VLOOKUP(G217,MT商品ﾏｽﾀ参照シート!AM:AN,2,0))</f>
        <v/>
      </c>
      <c r="I217" s="6"/>
      <c r="J217" s="7" t="e">
        <f ca="1">[1]!t仕入先名(I217)</f>
        <v>#NAME?</v>
      </c>
      <c r="K217" s="8"/>
      <c r="L217" s="8"/>
      <c r="M217" s="123"/>
    </row>
    <row r="218" spans="1:13" ht="13.5" customHeight="1">
      <c r="A218" s="7">
        <v>206</v>
      </c>
      <c r="B218" s="7"/>
      <c r="C218" s="7"/>
      <c r="D218" s="7"/>
      <c r="E218" s="7"/>
      <c r="F218" s="7"/>
      <c r="G218" s="6"/>
      <c r="H218" s="7" t="str">
        <f>IF(G218="","",VLOOKUP(G218,MT商品ﾏｽﾀ参照シート!AM:AN,2,0))</f>
        <v/>
      </c>
      <c r="I218" s="6"/>
      <c r="J218" s="7" t="e">
        <f ca="1">[1]!t仕入先名(I218)</f>
        <v>#NAME?</v>
      </c>
      <c r="K218" s="8"/>
      <c r="L218" s="8"/>
      <c r="M218" s="123"/>
    </row>
    <row r="219" spans="1:13" ht="13.5" customHeight="1">
      <c r="A219" s="7">
        <v>207</v>
      </c>
      <c r="B219" s="7"/>
      <c r="C219" s="7"/>
      <c r="D219" s="7"/>
      <c r="E219" s="7"/>
      <c r="F219" s="7"/>
      <c r="G219" s="6"/>
      <c r="H219" s="7" t="str">
        <f>IF(G219="","",VLOOKUP(G219,MT商品ﾏｽﾀ参照シート!AM:AN,2,0))</f>
        <v/>
      </c>
      <c r="I219" s="6"/>
      <c r="J219" s="7" t="e">
        <f ca="1">[1]!t仕入先名(I219)</f>
        <v>#NAME?</v>
      </c>
      <c r="K219" s="8"/>
      <c r="L219" s="8"/>
      <c r="M219" s="123"/>
    </row>
    <row r="220" spans="1:13" ht="13.5" customHeight="1">
      <c r="A220" s="7">
        <v>208</v>
      </c>
      <c r="B220" s="7"/>
      <c r="C220" s="7"/>
      <c r="D220" s="7"/>
      <c r="E220" s="7"/>
      <c r="F220" s="7"/>
      <c r="G220" s="6"/>
      <c r="H220" s="7" t="str">
        <f>IF(G220="","",VLOOKUP(G220,MT商品ﾏｽﾀ参照シート!AM:AN,2,0))</f>
        <v/>
      </c>
      <c r="I220" s="6"/>
      <c r="J220" s="7" t="e">
        <f ca="1">[1]!t仕入先名(I220)</f>
        <v>#NAME?</v>
      </c>
      <c r="K220" s="8"/>
      <c r="L220" s="8"/>
      <c r="M220" s="123"/>
    </row>
    <row r="221" spans="1:13" ht="13.5" customHeight="1">
      <c r="A221" s="7">
        <v>209</v>
      </c>
      <c r="B221" s="7"/>
      <c r="C221" s="7"/>
      <c r="D221" s="7"/>
      <c r="E221" s="7"/>
      <c r="F221" s="7"/>
      <c r="G221" s="6"/>
      <c r="H221" s="7" t="str">
        <f>IF(G221="","",VLOOKUP(G221,MT商品ﾏｽﾀ参照シート!AM:AN,2,0))</f>
        <v/>
      </c>
      <c r="I221" s="6"/>
      <c r="J221" s="7" t="e">
        <f ca="1">[1]!t仕入先名(I221)</f>
        <v>#NAME?</v>
      </c>
      <c r="K221" s="8"/>
      <c r="L221" s="8"/>
      <c r="M221" s="123"/>
    </row>
    <row r="222" spans="1:13" ht="13.5" customHeight="1">
      <c r="A222" s="7">
        <v>210</v>
      </c>
      <c r="B222" s="7"/>
      <c r="C222" s="7"/>
      <c r="D222" s="7"/>
      <c r="E222" s="7"/>
      <c r="F222" s="7"/>
      <c r="G222" s="6"/>
      <c r="H222" s="7" t="str">
        <f>IF(G222="","",VLOOKUP(G222,MT商品ﾏｽﾀ参照シート!AM:AN,2,0))</f>
        <v/>
      </c>
      <c r="I222" s="6"/>
      <c r="J222" s="7" t="e">
        <f ca="1">[1]!t仕入先名(I222)</f>
        <v>#NAME?</v>
      </c>
      <c r="K222" s="8"/>
      <c r="L222" s="8"/>
      <c r="M222" s="123"/>
    </row>
    <row r="223" spans="1:13" ht="13.5" customHeight="1">
      <c r="A223" s="7">
        <v>211</v>
      </c>
      <c r="B223" s="7"/>
      <c r="C223" s="7"/>
      <c r="D223" s="7"/>
      <c r="E223" s="7"/>
      <c r="F223" s="7"/>
      <c r="G223" s="6"/>
      <c r="H223" s="7" t="str">
        <f>IF(G223="","",VLOOKUP(G223,MT商品ﾏｽﾀ参照シート!AM:AN,2,0))</f>
        <v/>
      </c>
      <c r="I223" s="6"/>
      <c r="J223" s="7" t="e">
        <f ca="1">[1]!t仕入先名(I223)</f>
        <v>#NAME?</v>
      </c>
      <c r="K223" s="8"/>
      <c r="L223" s="8"/>
      <c r="M223" s="123"/>
    </row>
    <row r="224" spans="1:13" ht="13.5" customHeight="1">
      <c r="A224" s="7">
        <v>212</v>
      </c>
      <c r="B224" s="7"/>
      <c r="C224" s="7"/>
      <c r="D224" s="7"/>
      <c r="E224" s="7"/>
      <c r="F224" s="7"/>
      <c r="G224" s="6"/>
      <c r="H224" s="7" t="str">
        <f>IF(G224="","",VLOOKUP(G224,MT商品ﾏｽﾀ参照シート!AM:AN,2,0))</f>
        <v/>
      </c>
      <c r="I224" s="6"/>
      <c r="J224" s="7" t="e">
        <f ca="1">[1]!t仕入先名(I224)</f>
        <v>#NAME?</v>
      </c>
      <c r="K224" s="8"/>
      <c r="L224" s="8"/>
      <c r="M224" s="123"/>
    </row>
    <row r="225" spans="1:13" ht="13.5" customHeight="1">
      <c r="A225" s="7">
        <v>213</v>
      </c>
      <c r="B225" s="7"/>
      <c r="C225" s="7"/>
      <c r="D225" s="7"/>
      <c r="E225" s="7"/>
      <c r="F225" s="7"/>
      <c r="G225" s="6"/>
      <c r="H225" s="7" t="str">
        <f>IF(G225="","",VLOOKUP(G225,MT商品ﾏｽﾀ参照シート!AM:AN,2,0))</f>
        <v/>
      </c>
      <c r="I225" s="6"/>
      <c r="J225" s="7" t="e">
        <f ca="1">[1]!t仕入先名(I225)</f>
        <v>#NAME?</v>
      </c>
      <c r="K225" s="8"/>
      <c r="L225" s="8"/>
      <c r="M225" s="123"/>
    </row>
    <row r="226" spans="1:13" ht="13.5" customHeight="1">
      <c r="A226" s="7">
        <v>214</v>
      </c>
      <c r="B226" s="7"/>
      <c r="C226" s="7"/>
      <c r="D226" s="7"/>
      <c r="E226" s="7"/>
      <c r="F226" s="7"/>
      <c r="G226" s="6"/>
      <c r="H226" s="7" t="str">
        <f>IF(G226="","",VLOOKUP(G226,MT商品ﾏｽﾀ参照シート!AM:AN,2,0))</f>
        <v/>
      </c>
      <c r="I226" s="6"/>
      <c r="J226" s="7" t="e">
        <f ca="1">[1]!t仕入先名(I226)</f>
        <v>#NAME?</v>
      </c>
      <c r="K226" s="8"/>
      <c r="L226" s="8"/>
      <c r="M226" s="123"/>
    </row>
    <row r="227" spans="1:13" ht="13.5" customHeight="1">
      <c r="A227" s="7">
        <v>215</v>
      </c>
      <c r="B227" s="7"/>
      <c r="C227" s="7"/>
      <c r="D227" s="7"/>
      <c r="E227" s="7"/>
      <c r="F227" s="7"/>
      <c r="G227" s="6"/>
      <c r="H227" s="7" t="str">
        <f>IF(G227="","",VLOOKUP(G227,MT商品ﾏｽﾀ参照シート!AM:AN,2,0))</f>
        <v/>
      </c>
      <c r="I227" s="6"/>
      <c r="J227" s="7" t="e">
        <f ca="1">[1]!t仕入先名(I227)</f>
        <v>#NAME?</v>
      </c>
      <c r="K227" s="8"/>
      <c r="L227" s="8"/>
      <c r="M227" s="123"/>
    </row>
    <row r="228" spans="1:13" ht="13.5" customHeight="1">
      <c r="A228" s="7">
        <v>216</v>
      </c>
      <c r="B228" s="7"/>
      <c r="C228" s="7"/>
      <c r="D228" s="7"/>
      <c r="E228" s="7"/>
      <c r="F228" s="7"/>
      <c r="G228" s="6"/>
      <c r="H228" s="7" t="str">
        <f>IF(G228="","",VLOOKUP(G228,MT商品ﾏｽﾀ参照シート!AM:AN,2,0))</f>
        <v/>
      </c>
      <c r="I228" s="6"/>
      <c r="J228" s="7" t="e">
        <f ca="1">[1]!t仕入先名(I228)</f>
        <v>#NAME?</v>
      </c>
      <c r="K228" s="8"/>
      <c r="L228" s="8"/>
      <c r="M228" s="123"/>
    </row>
    <row r="229" spans="1:13" ht="13.5" customHeight="1">
      <c r="A229" s="7">
        <v>217</v>
      </c>
      <c r="B229" s="7"/>
      <c r="C229" s="7"/>
      <c r="D229" s="7"/>
      <c r="E229" s="7"/>
      <c r="F229" s="7"/>
      <c r="G229" s="6"/>
      <c r="H229" s="7" t="str">
        <f>IF(G229="","",VLOOKUP(G229,MT商品ﾏｽﾀ参照シート!AM:AN,2,0))</f>
        <v/>
      </c>
      <c r="I229" s="6"/>
      <c r="J229" s="7" t="e">
        <f ca="1">[1]!t仕入先名(I229)</f>
        <v>#NAME?</v>
      </c>
      <c r="K229" s="8"/>
      <c r="L229" s="8"/>
      <c r="M229" s="123"/>
    </row>
    <row r="230" spans="1:13" ht="13.5" customHeight="1">
      <c r="A230" s="7">
        <v>218</v>
      </c>
      <c r="B230" s="7"/>
      <c r="C230" s="7"/>
      <c r="D230" s="7"/>
      <c r="E230" s="7"/>
      <c r="F230" s="7"/>
      <c r="G230" s="6"/>
      <c r="H230" s="7" t="str">
        <f>IF(G230="","",VLOOKUP(G230,MT商品ﾏｽﾀ参照シート!AM:AN,2,0))</f>
        <v/>
      </c>
      <c r="I230" s="6"/>
      <c r="J230" s="7" t="e">
        <f ca="1">[1]!t仕入先名(I230)</f>
        <v>#NAME?</v>
      </c>
      <c r="K230" s="8"/>
      <c r="L230" s="8"/>
      <c r="M230" s="123"/>
    </row>
    <row r="231" spans="1:13" ht="13.5" customHeight="1">
      <c r="A231" s="7">
        <v>219</v>
      </c>
      <c r="B231" s="7"/>
      <c r="C231" s="7"/>
      <c r="D231" s="7"/>
      <c r="E231" s="7"/>
      <c r="F231" s="7"/>
      <c r="G231" s="6"/>
      <c r="H231" s="7" t="str">
        <f>IF(G231="","",VLOOKUP(G231,MT商品ﾏｽﾀ参照シート!AM:AN,2,0))</f>
        <v/>
      </c>
      <c r="I231" s="6"/>
      <c r="J231" s="7" t="e">
        <f ca="1">[1]!t仕入先名(I231)</f>
        <v>#NAME?</v>
      </c>
      <c r="K231" s="8"/>
      <c r="L231" s="8"/>
      <c r="M231" s="123"/>
    </row>
  </sheetData>
  <autoFilter ref="A12:O231" xr:uid="{00000000-0009-0000-0000-000006000000}"/>
  <customSheetViews>
    <customSheetView guid="{4A49014B-6EB8-41BC-821C-AA758C89CB00}" scale="80" showPageBreaks="1" showAutoFilter="1">
      <pane xSplit="4" ySplit="12" topLeftCell="E13" activePane="bottomRight" state="frozen"/>
      <selection pane="bottomRight" activeCell="L125" sqref="L13:L125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O231" xr:uid="{A9AB2BD1-879A-47AD-ADAA-F94F48C800C4}"/>
    </customSheetView>
  </customSheetViews>
  <mergeCells count="4">
    <mergeCell ref="I1:J1"/>
    <mergeCell ref="I2:J2"/>
    <mergeCell ref="I3:J3"/>
    <mergeCell ref="I4:J4"/>
  </mergeCells>
  <phoneticPr fontId="3"/>
  <conditionalFormatting sqref="C4:C6">
    <cfRule type="expression" dxfId="1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14"/>
  <sheetViews>
    <sheetView topLeftCell="A91" zoomScale="80" zoomScaleNormal="80" workbookViewId="0">
      <selection activeCell="N98" sqref="N98"/>
    </sheetView>
  </sheetViews>
  <sheetFormatPr defaultColWidth="9" defaultRowHeight="13.2"/>
  <cols>
    <col min="1" max="1" width="9.6640625" style="5" customWidth="1"/>
    <col min="2" max="2" width="6.6640625" style="2" customWidth="1"/>
    <col min="3" max="4" width="9" style="2"/>
    <col min="5" max="5" width="11.6640625" style="2" bestFit="1" customWidth="1"/>
    <col min="6" max="16384" width="9" style="2"/>
  </cols>
  <sheetData>
    <row r="1" spans="1:5">
      <c r="A1" s="139" t="s">
        <v>4028</v>
      </c>
      <c r="B1" s="131" t="s">
        <v>4029</v>
      </c>
      <c r="C1" s="131" t="s">
        <v>4030</v>
      </c>
      <c r="D1" s="131" t="s">
        <v>4031</v>
      </c>
      <c r="E1" s="131" t="s">
        <v>4032</v>
      </c>
    </row>
    <row r="2" spans="1:5" ht="13.5" customHeight="1">
      <c r="A2" s="140">
        <v>416237</v>
      </c>
      <c r="B2" s="2">
        <v>0</v>
      </c>
      <c r="C2" s="2">
        <v>401705</v>
      </c>
      <c r="D2" s="2">
        <v>3201</v>
      </c>
      <c r="E2" s="2">
        <v>1</v>
      </c>
    </row>
    <row r="3" spans="1:5" ht="13.5" customHeight="1">
      <c r="A3" s="140">
        <v>416238</v>
      </c>
      <c r="B3" s="2">
        <v>0</v>
      </c>
      <c r="C3" s="2">
        <v>401705</v>
      </c>
      <c r="D3" s="2">
        <v>4746</v>
      </c>
      <c r="E3" s="2">
        <v>1</v>
      </c>
    </row>
    <row r="4" spans="1:5" ht="13.5" customHeight="1">
      <c r="A4" s="140">
        <v>416239</v>
      </c>
      <c r="B4" s="2">
        <v>0</v>
      </c>
      <c r="C4" s="2">
        <v>401705</v>
      </c>
      <c r="D4" s="2">
        <v>3168</v>
      </c>
      <c r="E4" s="2">
        <v>1</v>
      </c>
    </row>
    <row r="5" spans="1:5" ht="13.5" customHeight="1">
      <c r="A5" s="140">
        <v>416240</v>
      </c>
      <c r="B5" s="2">
        <v>0</v>
      </c>
      <c r="C5" s="2">
        <v>401705</v>
      </c>
      <c r="D5" s="2">
        <v>4507</v>
      </c>
      <c r="E5" s="2">
        <v>1</v>
      </c>
    </row>
    <row r="6" spans="1:5" ht="13.5" customHeight="1">
      <c r="A6" s="140">
        <v>416103</v>
      </c>
      <c r="B6" s="2">
        <v>0</v>
      </c>
      <c r="C6" s="2">
        <v>401705</v>
      </c>
      <c r="D6" s="2">
        <v>3342</v>
      </c>
      <c r="E6" s="2">
        <v>1</v>
      </c>
    </row>
    <row r="7" spans="1:5" ht="13.5" customHeight="1">
      <c r="A7" s="140">
        <v>416104</v>
      </c>
      <c r="B7" s="2">
        <v>0</v>
      </c>
      <c r="C7" s="2">
        <v>401705</v>
      </c>
      <c r="D7" s="2">
        <v>4144</v>
      </c>
      <c r="E7" s="2">
        <v>1</v>
      </c>
    </row>
    <row r="8" spans="1:5" ht="13.5" customHeight="1">
      <c r="A8" s="140">
        <v>416105</v>
      </c>
      <c r="B8" s="2">
        <v>0</v>
      </c>
      <c r="C8" s="2">
        <v>401705</v>
      </c>
      <c r="D8" s="2">
        <v>4144</v>
      </c>
      <c r="E8" s="2">
        <v>1</v>
      </c>
    </row>
    <row r="9" spans="1:5" ht="13.5" customHeight="1">
      <c r="A9" s="140">
        <v>416106</v>
      </c>
      <c r="B9" s="2">
        <v>0</v>
      </c>
      <c r="C9" s="2">
        <v>401705</v>
      </c>
      <c r="D9" s="2">
        <v>4144</v>
      </c>
      <c r="E9" s="2">
        <v>1</v>
      </c>
    </row>
    <row r="10" spans="1:5" ht="13.5" customHeight="1">
      <c r="A10" s="140">
        <v>416107</v>
      </c>
      <c r="B10" s="2">
        <v>0</v>
      </c>
      <c r="C10" s="2">
        <v>401705</v>
      </c>
      <c r="D10" s="2">
        <v>3068</v>
      </c>
      <c r="E10" s="2">
        <v>1</v>
      </c>
    </row>
    <row r="11" spans="1:5" ht="13.5" customHeight="1">
      <c r="A11" s="140">
        <v>416108</v>
      </c>
      <c r="B11" s="2">
        <v>0</v>
      </c>
      <c r="C11" s="2">
        <v>401705</v>
      </c>
      <c r="D11" s="2">
        <v>3068</v>
      </c>
      <c r="E11" s="2">
        <v>1</v>
      </c>
    </row>
    <row r="12" spans="1:5" ht="13.5" customHeight="1">
      <c r="A12" s="140">
        <v>416109</v>
      </c>
      <c r="B12" s="2">
        <v>0</v>
      </c>
      <c r="C12" s="2">
        <v>401705</v>
      </c>
      <c r="D12" s="2">
        <v>3068</v>
      </c>
      <c r="E12" s="2">
        <v>1</v>
      </c>
    </row>
    <row r="13" spans="1:5" ht="13.5" customHeight="1">
      <c r="A13" s="140">
        <v>416110</v>
      </c>
      <c r="B13" s="2">
        <v>0</v>
      </c>
      <c r="C13" s="2">
        <v>401705</v>
      </c>
      <c r="D13" s="2">
        <v>2877</v>
      </c>
      <c r="E13" s="2">
        <v>1</v>
      </c>
    </row>
    <row r="14" spans="1:5" ht="13.5" customHeight="1">
      <c r="A14" s="140">
        <v>416111</v>
      </c>
      <c r="B14" s="2">
        <v>0</v>
      </c>
      <c r="C14" s="2">
        <v>401705</v>
      </c>
      <c r="D14" s="2">
        <v>2551</v>
      </c>
      <c r="E14" s="2">
        <v>1</v>
      </c>
    </row>
    <row r="15" spans="1:5" ht="13.5" customHeight="1">
      <c r="A15" s="140">
        <v>416112</v>
      </c>
      <c r="B15" s="2">
        <v>0</v>
      </c>
      <c r="C15" s="2">
        <v>401705</v>
      </c>
      <c r="D15" s="2">
        <v>4900</v>
      </c>
      <c r="E15" s="2">
        <v>1</v>
      </c>
    </row>
    <row r="16" spans="1:5" ht="13.5" customHeight="1">
      <c r="A16" s="140">
        <v>416113</v>
      </c>
      <c r="B16" s="2">
        <v>0</v>
      </c>
      <c r="C16" s="2">
        <v>401705</v>
      </c>
      <c r="D16" s="2">
        <v>4193</v>
      </c>
      <c r="E16" s="2">
        <v>1</v>
      </c>
    </row>
    <row r="17" spans="1:5" ht="13.5" customHeight="1">
      <c r="A17" s="140">
        <v>416114</v>
      </c>
      <c r="B17" s="2">
        <v>0</v>
      </c>
      <c r="C17" s="2">
        <v>401705</v>
      </c>
      <c r="D17" s="2">
        <v>3193</v>
      </c>
      <c r="E17" s="2">
        <v>1</v>
      </c>
    </row>
    <row r="18" spans="1:5" ht="13.5" customHeight="1">
      <c r="A18" s="140">
        <v>416115</v>
      </c>
      <c r="B18" s="2">
        <v>0</v>
      </c>
      <c r="C18" s="2">
        <v>401705</v>
      </c>
      <c r="D18" s="2">
        <v>3519</v>
      </c>
      <c r="E18" s="2">
        <v>1</v>
      </c>
    </row>
    <row r="19" spans="1:5" ht="13.5" customHeight="1">
      <c r="A19" s="140">
        <v>416116</v>
      </c>
      <c r="B19" s="2">
        <v>0</v>
      </c>
      <c r="C19" s="2">
        <v>401705</v>
      </c>
      <c r="D19" s="2">
        <v>3198</v>
      </c>
      <c r="E19" s="2">
        <v>1</v>
      </c>
    </row>
    <row r="20" spans="1:5" ht="13.5" customHeight="1">
      <c r="A20" s="140">
        <v>416117</v>
      </c>
      <c r="B20" s="2">
        <v>0</v>
      </c>
      <c r="C20" s="2">
        <v>401705</v>
      </c>
      <c r="D20" s="2">
        <v>4216</v>
      </c>
      <c r="E20" s="2">
        <v>1</v>
      </c>
    </row>
    <row r="21" spans="1:5" ht="13.5" customHeight="1">
      <c r="A21" s="140">
        <v>416118</v>
      </c>
      <c r="B21" s="2">
        <v>0</v>
      </c>
      <c r="C21" s="2">
        <v>401705</v>
      </c>
      <c r="D21" s="2">
        <v>4949</v>
      </c>
      <c r="E21" s="2">
        <v>1</v>
      </c>
    </row>
    <row r="22" spans="1:5" ht="13.5" customHeight="1">
      <c r="A22" s="140">
        <v>416119</v>
      </c>
      <c r="B22" s="2">
        <v>0</v>
      </c>
      <c r="C22" s="2">
        <v>401705</v>
      </c>
      <c r="D22" s="2">
        <v>4314</v>
      </c>
      <c r="E22" s="2">
        <v>1</v>
      </c>
    </row>
    <row r="23" spans="1:5" ht="13.5" customHeight="1">
      <c r="A23" s="140">
        <v>416145</v>
      </c>
      <c r="B23" s="2">
        <v>0</v>
      </c>
      <c r="C23" s="2">
        <v>401705</v>
      </c>
      <c r="D23" s="2">
        <v>3094</v>
      </c>
      <c r="E23" s="2">
        <v>1</v>
      </c>
    </row>
    <row r="24" spans="1:5" ht="13.5" customHeight="1">
      <c r="A24" s="140">
        <v>416146</v>
      </c>
      <c r="B24" s="2">
        <v>0</v>
      </c>
      <c r="C24" s="2">
        <v>401705</v>
      </c>
      <c r="D24" s="2">
        <v>5811</v>
      </c>
      <c r="E24" s="2">
        <v>1</v>
      </c>
    </row>
    <row r="25" spans="1:5" ht="13.5" customHeight="1">
      <c r="A25" s="140">
        <v>416147</v>
      </c>
      <c r="B25" s="2">
        <v>0</v>
      </c>
      <c r="C25" s="2">
        <v>401705</v>
      </c>
      <c r="D25" s="2">
        <v>5687</v>
      </c>
      <c r="E25" s="2">
        <v>1</v>
      </c>
    </row>
    <row r="26" spans="1:5" ht="13.5" customHeight="1">
      <c r="A26" s="140">
        <v>416148</v>
      </c>
      <c r="B26" s="2">
        <v>0</v>
      </c>
      <c r="C26" s="2">
        <v>401705</v>
      </c>
      <c r="D26" s="2">
        <v>3680</v>
      </c>
      <c r="E26" s="2">
        <v>1</v>
      </c>
    </row>
    <row r="27" spans="1:5" ht="13.5" customHeight="1">
      <c r="A27" s="140">
        <v>416149</v>
      </c>
      <c r="B27" s="2">
        <v>0</v>
      </c>
      <c r="C27" s="2">
        <v>401705</v>
      </c>
      <c r="D27" s="2">
        <v>4640</v>
      </c>
      <c r="E27" s="2">
        <v>1</v>
      </c>
    </row>
    <row r="28" spans="1:5" ht="13.5" customHeight="1">
      <c r="A28" s="140">
        <v>416150</v>
      </c>
      <c r="B28" s="2">
        <v>0</v>
      </c>
      <c r="C28" s="2">
        <v>401705</v>
      </c>
      <c r="D28" s="2">
        <v>4533</v>
      </c>
      <c r="E28" s="2">
        <v>1</v>
      </c>
    </row>
    <row r="29" spans="1:5" ht="13.5" customHeight="1">
      <c r="A29" s="140">
        <v>416151</v>
      </c>
      <c r="B29" s="2">
        <v>0</v>
      </c>
      <c r="C29" s="2">
        <v>401705</v>
      </c>
      <c r="D29" s="2">
        <v>3500</v>
      </c>
      <c r="E29" s="2">
        <v>1</v>
      </c>
    </row>
    <row r="30" spans="1:5" ht="13.5" customHeight="1">
      <c r="A30" s="140">
        <v>416152</v>
      </c>
      <c r="B30" s="2">
        <v>0</v>
      </c>
      <c r="C30" s="2">
        <v>401705</v>
      </c>
      <c r="D30" s="2">
        <v>4143</v>
      </c>
      <c r="E30" s="2">
        <v>1</v>
      </c>
    </row>
    <row r="31" spans="1:5" ht="13.5" customHeight="1">
      <c r="A31" s="140">
        <v>416153</v>
      </c>
      <c r="B31" s="2">
        <v>0</v>
      </c>
      <c r="C31" s="2">
        <v>401705</v>
      </c>
      <c r="D31" s="2">
        <v>3091</v>
      </c>
      <c r="E31" s="2">
        <v>1</v>
      </c>
    </row>
    <row r="32" spans="1:5" ht="13.5" customHeight="1">
      <c r="A32" s="140">
        <v>416154</v>
      </c>
      <c r="B32" s="2">
        <v>0</v>
      </c>
      <c r="C32" s="2">
        <v>401705</v>
      </c>
      <c r="D32" s="2">
        <v>4367</v>
      </c>
      <c r="E32" s="2">
        <v>1</v>
      </c>
    </row>
    <row r="33" spans="1:5" ht="13.5" customHeight="1">
      <c r="A33" s="140">
        <v>416155</v>
      </c>
      <c r="B33" s="2">
        <v>0</v>
      </c>
      <c r="C33" s="2">
        <v>401705</v>
      </c>
      <c r="D33" s="2">
        <v>2804</v>
      </c>
      <c r="E33" s="2">
        <v>1</v>
      </c>
    </row>
    <row r="34" spans="1:5" ht="13.5" customHeight="1">
      <c r="A34" s="140">
        <v>416156</v>
      </c>
      <c r="B34" s="2">
        <v>0</v>
      </c>
      <c r="C34" s="2">
        <v>401705</v>
      </c>
      <c r="D34" s="2">
        <v>3407</v>
      </c>
      <c r="E34" s="2">
        <v>1</v>
      </c>
    </row>
    <row r="35" spans="1:5" ht="13.5" customHeight="1">
      <c r="A35" s="140">
        <v>416157</v>
      </c>
      <c r="B35" s="2">
        <v>0</v>
      </c>
      <c r="C35" s="2">
        <v>401705</v>
      </c>
      <c r="D35" s="2">
        <v>2831</v>
      </c>
      <c r="E35" s="2">
        <v>1</v>
      </c>
    </row>
    <row r="36" spans="1:5" ht="13.5" customHeight="1">
      <c r="A36" s="140">
        <v>416158</v>
      </c>
      <c r="B36" s="2">
        <v>0</v>
      </c>
      <c r="C36" s="2">
        <v>401705</v>
      </c>
      <c r="D36" s="2">
        <v>3401</v>
      </c>
      <c r="E36" s="2">
        <v>1</v>
      </c>
    </row>
    <row r="37" spans="1:5" ht="13.5" customHeight="1">
      <c r="A37" s="140">
        <v>416159</v>
      </c>
      <c r="B37" s="2">
        <v>0</v>
      </c>
      <c r="C37" s="2">
        <v>401705</v>
      </c>
      <c r="D37" s="2">
        <v>4912</v>
      </c>
      <c r="E37" s="2">
        <v>1</v>
      </c>
    </row>
    <row r="38" spans="1:5" ht="13.5" customHeight="1">
      <c r="A38" s="140">
        <v>416160</v>
      </c>
      <c r="B38" s="2">
        <v>0</v>
      </c>
      <c r="C38" s="2">
        <v>401705</v>
      </c>
      <c r="D38" s="2">
        <v>3401</v>
      </c>
      <c r="E38" s="2">
        <v>1</v>
      </c>
    </row>
    <row r="39" spans="1:5" ht="13.5" customHeight="1">
      <c r="A39" s="140">
        <v>416161</v>
      </c>
      <c r="B39" s="2">
        <v>0</v>
      </c>
      <c r="C39" s="2">
        <v>401705</v>
      </c>
      <c r="D39" s="2">
        <v>4912</v>
      </c>
      <c r="E39" s="2">
        <v>1</v>
      </c>
    </row>
    <row r="40" spans="1:5" ht="13.5" customHeight="1">
      <c r="A40" s="140">
        <v>416162</v>
      </c>
      <c r="B40" s="2">
        <v>0</v>
      </c>
      <c r="C40" s="2">
        <v>401705</v>
      </c>
      <c r="D40" s="2">
        <v>3515</v>
      </c>
      <c r="E40" s="2">
        <v>1</v>
      </c>
    </row>
    <row r="41" spans="1:5" ht="13.5" customHeight="1">
      <c r="A41" s="140">
        <v>416163</v>
      </c>
      <c r="B41" s="2">
        <v>0</v>
      </c>
      <c r="C41" s="2">
        <v>401705</v>
      </c>
      <c r="D41" s="2">
        <v>3403</v>
      </c>
      <c r="E41" s="2">
        <v>1</v>
      </c>
    </row>
    <row r="42" spans="1:5" ht="13.5" customHeight="1">
      <c r="A42" s="140">
        <v>416164</v>
      </c>
      <c r="B42" s="2">
        <v>0</v>
      </c>
      <c r="C42" s="2">
        <v>401705</v>
      </c>
      <c r="D42" s="2">
        <v>2824</v>
      </c>
      <c r="E42" s="2">
        <v>1</v>
      </c>
    </row>
    <row r="43" spans="1:5" ht="13.5" customHeight="1">
      <c r="A43" s="140">
        <v>416165</v>
      </c>
      <c r="B43" s="2">
        <v>0</v>
      </c>
      <c r="C43" s="2">
        <v>401705</v>
      </c>
      <c r="D43" s="2">
        <v>3160</v>
      </c>
      <c r="E43" s="2">
        <v>1</v>
      </c>
    </row>
    <row r="44" spans="1:5" ht="13.5" customHeight="1">
      <c r="A44" s="140">
        <v>416166</v>
      </c>
      <c r="B44" s="2">
        <v>0</v>
      </c>
      <c r="C44" s="2">
        <v>401705</v>
      </c>
      <c r="D44" s="2">
        <v>3324</v>
      </c>
      <c r="E44" s="2">
        <v>1</v>
      </c>
    </row>
    <row r="45" spans="1:5" ht="13.5" customHeight="1">
      <c r="A45" s="140">
        <v>416167</v>
      </c>
      <c r="B45" s="2">
        <v>0</v>
      </c>
      <c r="C45" s="2">
        <v>401705</v>
      </c>
      <c r="D45" s="2">
        <v>3324</v>
      </c>
      <c r="E45" s="2">
        <v>1</v>
      </c>
    </row>
    <row r="46" spans="1:5" ht="13.5" customHeight="1">
      <c r="A46" s="140">
        <v>416168</v>
      </c>
      <c r="B46" s="2">
        <v>0</v>
      </c>
      <c r="C46" s="2">
        <v>401705</v>
      </c>
      <c r="D46" s="2">
        <v>2831</v>
      </c>
      <c r="E46" s="2">
        <v>1</v>
      </c>
    </row>
    <row r="47" spans="1:5" ht="13.5" customHeight="1">
      <c r="A47" s="140">
        <v>416169</v>
      </c>
      <c r="B47" s="2">
        <v>0</v>
      </c>
      <c r="C47" s="2">
        <v>401705</v>
      </c>
      <c r="D47" s="2">
        <v>3367</v>
      </c>
      <c r="E47" s="2">
        <v>1</v>
      </c>
    </row>
    <row r="48" spans="1:5" ht="13.5" customHeight="1">
      <c r="A48" s="140">
        <v>416170</v>
      </c>
      <c r="B48" s="2">
        <v>0</v>
      </c>
      <c r="C48" s="2">
        <v>401705</v>
      </c>
      <c r="D48" s="2">
        <v>3993</v>
      </c>
      <c r="E48" s="2">
        <v>1</v>
      </c>
    </row>
    <row r="49" spans="1:5" ht="13.5" customHeight="1">
      <c r="A49" s="140">
        <v>416171</v>
      </c>
      <c r="B49" s="2">
        <v>0</v>
      </c>
      <c r="C49" s="2">
        <v>401705</v>
      </c>
      <c r="D49" s="2">
        <v>4672</v>
      </c>
      <c r="E49" s="2">
        <v>1</v>
      </c>
    </row>
    <row r="50" spans="1:5" ht="13.5" customHeight="1">
      <c r="A50" s="140">
        <v>416172</v>
      </c>
      <c r="B50" s="2">
        <v>0</v>
      </c>
      <c r="C50" s="2">
        <v>401705</v>
      </c>
      <c r="D50" s="2">
        <v>2633</v>
      </c>
      <c r="E50" s="2">
        <v>1</v>
      </c>
    </row>
    <row r="51" spans="1:5" ht="13.5" customHeight="1">
      <c r="A51" s="140">
        <v>416173</v>
      </c>
      <c r="B51" s="2">
        <v>0</v>
      </c>
      <c r="C51" s="2">
        <v>401705</v>
      </c>
      <c r="D51" s="2">
        <v>3850</v>
      </c>
      <c r="E51" s="2">
        <v>1</v>
      </c>
    </row>
    <row r="52" spans="1:5" ht="13.5" customHeight="1">
      <c r="A52" s="140">
        <v>416174</v>
      </c>
      <c r="B52" s="2">
        <v>0</v>
      </c>
      <c r="C52" s="2">
        <v>401705</v>
      </c>
      <c r="D52" s="2">
        <v>4418</v>
      </c>
      <c r="E52" s="2">
        <v>1</v>
      </c>
    </row>
    <row r="53" spans="1:5" ht="13.5" customHeight="1">
      <c r="A53" s="140">
        <v>416175</v>
      </c>
      <c r="B53" s="2">
        <v>0</v>
      </c>
      <c r="C53" s="2">
        <v>401705</v>
      </c>
      <c r="D53" s="2">
        <v>2667</v>
      </c>
      <c r="E53" s="2">
        <v>1</v>
      </c>
    </row>
    <row r="54" spans="1:5" ht="13.5" customHeight="1">
      <c r="A54" s="140">
        <v>416176</v>
      </c>
      <c r="B54" s="2">
        <v>0</v>
      </c>
      <c r="C54" s="2">
        <v>401705</v>
      </c>
      <c r="D54" s="2">
        <v>3123</v>
      </c>
      <c r="E54" s="2">
        <v>1</v>
      </c>
    </row>
    <row r="55" spans="1:5" ht="13.5" customHeight="1">
      <c r="A55" s="140">
        <v>416177</v>
      </c>
      <c r="B55" s="2">
        <v>0</v>
      </c>
      <c r="C55" s="2">
        <v>401705</v>
      </c>
      <c r="D55" s="2">
        <v>3699</v>
      </c>
      <c r="E55" s="2">
        <v>1</v>
      </c>
    </row>
    <row r="56" spans="1:5" ht="13.5" customHeight="1">
      <c r="A56" s="140">
        <v>416178</v>
      </c>
      <c r="B56" s="2">
        <v>0</v>
      </c>
      <c r="C56" s="2">
        <v>401705</v>
      </c>
      <c r="D56" s="2">
        <v>2886</v>
      </c>
      <c r="E56" s="2">
        <v>1</v>
      </c>
    </row>
    <row r="57" spans="1:5" ht="13.5" customHeight="1">
      <c r="A57" s="140">
        <v>416179</v>
      </c>
      <c r="B57" s="2">
        <v>0</v>
      </c>
      <c r="C57" s="2">
        <v>401705</v>
      </c>
      <c r="D57" s="2">
        <v>6511</v>
      </c>
      <c r="E57" s="2">
        <v>1</v>
      </c>
    </row>
    <row r="58" spans="1:5" ht="13.5" customHeight="1">
      <c r="A58" s="140">
        <v>416180</v>
      </c>
      <c r="B58" s="2">
        <v>0</v>
      </c>
      <c r="C58" s="2">
        <v>401705</v>
      </c>
      <c r="D58" s="2">
        <v>6700</v>
      </c>
      <c r="E58" s="2">
        <v>1</v>
      </c>
    </row>
    <row r="59" spans="1:5" ht="13.5" customHeight="1">
      <c r="A59" s="140">
        <v>416181</v>
      </c>
      <c r="B59" s="2">
        <v>0</v>
      </c>
      <c r="C59" s="2">
        <v>401705</v>
      </c>
      <c r="D59" s="2">
        <v>4213</v>
      </c>
      <c r="E59" s="2">
        <v>1</v>
      </c>
    </row>
    <row r="60" spans="1:5" ht="13.5" customHeight="1">
      <c r="A60" s="140">
        <v>416182</v>
      </c>
      <c r="B60" s="2">
        <v>0</v>
      </c>
      <c r="C60" s="2">
        <v>401705</v>
      </c>
      <c r="D60" s="2">
        <v>3736</v>
      </c>
      <c r="E60" s="2">
        <v>1</v>
      </c>
    </row>
    <row r="61" spans="1:5" s="10" customFormat="1" ht="13.5" customHeight="1">
      <c r="A61" s="140">
        <v>416183</v>
      </c>
      <c r="B61" s="2">
        <v>0</v>
      </c>
      <c r="C61" s="2">
        <v>401705</v>
      </c>
      <c r="D61" s="2">
        <v>4033</v>
      </c>
      <c r="E61" s="2">
        <v>1</v>
      </c>
    </row>
    <row r="62" spans="1:5" ht="13.5" customHeight="1">
      <c r="A62" s="140">
        <v>416184</v>
      </c>
      <c r="B62" s="2">
        <v>0</v>
      </c>
      <c r="C62" s="2">
        <v>401705</v>
      </c>
      <c r="D62" s="2">
        <v>4033</v>
      </c>
      <c r="E62" s="2">
        <v>1</v>
      </c>
    </row>
    <row r="63" spans="1:5" ht="13.5" customHeight="1">
      <c r="A63" s="140">
        <v>416185</v>
      </c>
      <c r="B63" s="2">
        <v>0</v>
      </c>
      <c r="C63" s="2">
        <v>401705</v>
      </c>
      <c r="D63" s="2">
        <v>3356</v>
      </c>
      <c r="E63" s="2">
        <v>1</v>
      </c>
    </row>
    <row r="64" spans="1:5" ht="13.5" customHeight="1">
      <c r="A64" s="140">
        <v>416186</v>
      </c>
      <c r="B64" s="2">
        <v>0</v>
      </c>
      <c r="C64" s="2">
        <v>401705</v>
      </c>
      <c r="D64" s="2">
        <v>2800</v>
      </c>
      <c r="E64" s="2">
        <v>1</v>
      </c>
    </row>
    <row r="65" spans="1:5" ht="13.5" customHeight="1">
      <c r="A65" s="140">
        <v>416187</v>
      </c>
      <c r="B65" s="2">
        <v>0</v>
      </c>
      <c r="C65" s="2">
        <v>401705</v>
      </c>
      <c r="D65" s="2">
        <v>3961</v>
      </c>
      <c r="E65" s="2">
        <v>1</v>
      </c>
    </row>
    <row r="66" spans="1:5" ht="13.5" customHeight="1">
      <c r="A66" s="140">
        <v>416188</v>
      </c>
      <c r="B66" s="2">
        <v>0</v>
      </c>
      <c r="C66" s="2">
        <v>401705</v>
      </c>
      <c r="D66" s="2">
        <v>4422</v>
      </c>
      <c r="E66" s="2">
        <v>1</v>
      </c>
    </row>
    <row r="67" spans="1:5" ht="13.5" customHeight="1">
      <c r="A67" s="140">
        <v>416189</v>
      </c>
      <c r="B67" s="2">
        <v>0</v>
      </c>
      <c r="C67" s="2">
        <v>401705</v>
      </c>
      <c r="D67" s="2">
        <v>2918</v>
      </c>
      <c r="E67" s="2">
        <v>1</v>
      </c>
    </row>
    <row r="68" spans="1:5" ht="13.5" customHeight="1">
      <c r="A68" s="140">
        <v>416190</v>
      </c>
      <c r="B68" s="2">
        <v>0</v>
      </c>
      <c r="C68" s="2">
        <v>401705</v>
      </c>
      <c r="D68" s="2">
        <v>3611</v>
      </c>
      <c r="E68" s="2">
        <v>1</v>
      </c>
    </row>
    <row r="69" spans="1:5" ht="13.5" customHeight="1">
      <c r="A69" s="140">
        <v>416191</v>
      </c>
      <c r="B69" s="2">
        <v>0</v>
      </c>
      <c r="C69" s="2">
        <v>401705</v>
      </c>
      <c r="D69" s="2">
        <v>4367</v>
      </c>
      <c r="E69" s="2">
        <v>1</v>
      </c>
    </row>
    <row r="70" spans="1:5" ht="13.5" customHeight="1">
      <c r="A70" s="140">
        <v>416192</v>
      </c>
      <c r="B70" s="2">
        <v>0</v>
      </c>
      <c r="C70" s="2">
        <v>401705</v>
      </c>
      <c r="D70" s="2">
        <v>2902</v>
      </c>
      <c r="E70" s="2">
        <v>1</v>
      </c>
    </row>
    <row r="71" spans="1:5" ht="13.5" customHeight="1">
      <c r="A71" s="140">
        <v>416193</v>
      </c>
      <c r="B71" s="2">
        <v>0</v>
      </c>
      <c r="C71" s="2">
        <v>401705</v>
      </c>
      <c r="D71" s="2">
        <v>4146</v>
      </c>
      <c r="E71" s="2">
        <v>1</v>
      </c>
    </row>
    <row r="72" spans="1:5" ht="13.5" customHeight="1">
      <c r="A72" s="140">
        <v>416194</v>
      </c>
      <c r="B72" s="2">
        <v>0</v>
      </c>
      <c r="C72" s="2">
        <v>401705</v>
      </c>
      <c r="D72" s="2">
        <v>4131</v>
      </c>
      <c r="E72" s="2">
        <v>1</v>
      </c>
    </row>
    <row r="73" spans="1:5" ht="13.5" customHeight="1">
      <c r="A73" s="140">
        <v>416195</v>
      </c>
      <c r="B73" s="2">
        <v>0</v>
      </c>
      <c r="C73" s="2">
        <v>401705</v>
      </c>
      <c r="D73" s="2">
        <v>2843</v>
      </c>
      <c r="E73" s="2">
        <v>1</v>
      </c>
    </row>
    <row r="74" spans="1:5" ht="13.5" customHeight="1">
      <c r="A74" s="140">
        <v>416196</v>
      </c>
      <c r="B74" s="2">
        <v>0</v>
      </c>
      <c r="C74" s="2">
        <v>401705</v>
      </c>
      <c r="D74" s="2">
        <v>3244</v>
      </c>
      <c r="E74" s="2">
        <v>1</v>
      </c>
    </row>
    <row r="75" spans="1:5" ht="13.5" customHeight="1">
      <c r="A75" s="140">
        <v>416197</v>
      </c>
      <c r="B75" s="2">
        <v>0</v>
      </c>
      <c r="C75" s="2">
        <v>401705</v>
      </c>
      <c r="D75" s="2">
        <v>3978</v>
      </c>
      <c r="E75" s="2">
        <v>1</v>
      </c>
    </row>
    <row r="76" spans="1:5" ht="13.5" customHeight="1">
      <c r="A76" s="140">
        <v>416198</v>
      </c>
      <c r="B76" s="2">
        <v>0</v>
      </c>
      <c r="C76" s="2">
        <v>401705</v>
      </c>
      <c r="D76" s="2">
        <v>3420</v>
      </c>
      <c r="E76" s="2">
        <v>1</v>
      </c>
    </row>
    <row r="77" spans="1:5" ht="13.5" customHeight="1">
      <c r="A77" s="140">
        <v>416199</v>
      </c>
      <c r="B77" s="2">
        <v>0</v>
      </c>
      <c r="C77" s="2">
        <v>401705</v>
      </c>
      <c r="D77" s="2">
        <v>5137</v>
      </c>
      <c r="E77" s="2">
        <v>1</v>
      </c>
    </row>
    <row r="78" spans="1:5" ht="13.5" customHeight="1">
      <c r="A78" s="140">
        <v>416200</v>
      </c>
      <c r="B78" s="2">
        <v>0</v>
      </c>
      <c r="C78" s="2">
        <v>401705</v>
      </c>
      <c r="D78" s="2">
        <v>6162</v>
      </c>
      <c r="E78" s="2">
        <v>1</v>
      </c>
    </row>
    <row r="79" spans="1:5" ht="13.5" customHeight="1">
      <c r="A79" s="140">
        <v>416201</v>
      </c>
      <c r="B79" s="2">
        <v>0</v>
      </c>
      <c r="C79" s="2">
        <v>401705</v>
      </c>
      <c r="D79" s="2">
        <v>3742</v>
      </c>
      <c r="E79" s="2">
        <v>1</v>
      </c>
    </row>
    <row r="80" spans="1:5" ht="13.5" customHeight="1">
      <c r="A80" s="140">
        <v>416202</v>
      </c>
      <c r="B80" s="2">
        <v>0</v>
      </c>
      <c r="C80" s="2">
        <v>401705</v>
      </c>
      <c r="D80" s="2">
        <v>4211</v>
      </c>
      <c r="E80" s="2">
        <v>1</v>
      </c>
    </row>
    <row r="81" spans="1:5" ht="13.5" customHeight="1">
      <c r="A81" s="140">
        <v>416203</v>
      </c>
      <c r="B81" s="2">
        <v>0</v>
      </c>
      <c r="C81" s="2">
        <v>401705</v>
      </c>
      <c r="D81" s="2">
        <v>3922</v>
      </c>
      <c r="E81" s="2">
        <v>1</v>
      </c>
    </row>
    <row r="82" spans="1:5" ht="13.5" customHeight="1">
      <c r="A82" s="140">
        <v>416204</v>
      </c>
      <c r="B82" s="2">
        <v>0</v>
      </c>
      <c r="C82" s="2">
        <v>401705</v>
      </c>
      <c r="D82" s="2">
        <v>2600</v>
      </c>
      <c r="E82" s="2">
        <v>1</v>
      </c>
    </row>
    <row r="83" spans="1:5" ht="13.5" customHeight="1">
      <c r="A83" s="140">
        <v>416205</v>
      </c>
      <c r="B83" s="2">
        <v>0</v>
      </c>
      <c r="C83" s="2">
        <v>401705</v>
      </c>
      <c r="D83" s="2">
        <v>6193</v>
      </c>
      <c r="E83" s="2">
        <v>1</v>
      </c>
    </row>
    <row r="84" spans="1:5" ht="13.5" customHeight="1">
      <c r="A84" s="140">
        <v>416206</v>
      </c>
      <c r="B84" s="2">
        <v>0</v>
      </c>
      <c r="C84" s="2">
        <v>401705</v>
      </c>
      <c r="D84" s="2">
        <v>3850</v>
      </c>
      <c r="E84" s="2">
        <v>1</v>
      </c>
    </row>
    <row r="85" spans="1:5" ht="13.5" customHeight="1">
      <c r="A85" s="140">
        <v>416207</v>
      </c>
      <c r="B85" s="2">
        <v>0</v>
      </c>
      <c r="C85" s="2">
        <v>401705</v>
      </c>
      <c r="D85" s="2">
        <v>3632</v>
      </c>
      <c r="E85" s="2">
        <v>1</v>
      </c>
    </row>
    <row r="86" spans="1:5" ht="13.5" customHeight="1">
      <c r="A86" s="140">
        <v>416208</v>
      </c>
      <c r="B86" s="2">
        <v>0</v>
      </c>
      <c r="C86" s="2">
        <v>401705</v>
      </c>
      <c r="D86" s="2">
        <v>4200</v>
      </c>
      <c r="E86" s="2">
        <v>1</v>
      </c>
    </row>
    <row r="87" spans="1:5" ht="13.5" customHeight="1">
      <c r="A87" s="140">
        <v>416209</v>
      </c>
      <c r="B87" s="2">
        <v>0</v>
      </c>
      <c r="C87" s="2">
        <v>401705</v>
      </c>
      <c r="D87" s="2">
        <v>2847</v>
      </c>
      <c r="E87" s="2">
        <v>1</v>
      </c>
    </row>
    <row r="88" spans="1:5" ht="13.5" customHeight="1">
      <c r="A88" s="140">
        <v>416210</v>
      </c>
      <c r="B88" s="2">
        <v>0</v>
      </c>
      <c r="C88" s="2">
        <v>401705</v>
      </c>
      <c r="D88" s="2">
        <v>2567</v>
      </c>
      <c r="E88" s="2">
        <v>1</v>
      </c>
    </row>
    <row r="89" spans="1:5" ht="13.5" customHeight="1">
      <c r="A89" s="140">
        <v>416211</v>
      </c>
      <c r="B89" s="2">
        <v>0</v>
      </c>
      <c r="C89" s="2">
        <v>401705</v>
      </c>
      <c r="D89" s="2">
        <v>2881</v>
      </c>
      <c r="E89" s="2">
        <v>1</v>
      </c>
    </row>
    <row r="90" spans="1:5" ht="13.5" customHeight="1">
      <c r="A90" s="140">
        <v>416212</v>
      </c>
      <c r="B90" s="2">
        <v>0</v>
      </c>
      <c r="C90" s="2">
        <v>401705</v>
      </c>
      <c r="D90" s="2">
        <v>3729</v>
      </c>
      <c r="E90" s="2">
        <v>1</v>
      </c>
    </row>
    <row r="91" spans="1:5" ht="13.5" customHeight="1">
      <c r="A91" s="140">
        <v>416213</v>
      </c>
      <c r="B91" s="2">
        <v>0</v>
      </c>
      <c r="C91" s="2">
        <v>401705</v>
      </c>
      <c r="D91" s="2">
        <v>3476</v>
      </c>
      <c r="E91" s="2">
        <v>1</v>
      </c>
    </row>
    <row r="92" spans="1:5" ht="13.5" customHeight="1">
      <c r="A92" s="140">
        <v>416214</v>
      </c>
      <c r="B92" s="2">
        <v>0</v>
      </c>
      <c r="C92" s="2">
        <v>401705</v>
      </c>
      <c r="D92" s="2">
        <v>2520</v>
      </c>
      <c r="E92" s="2">
        <v>1</v>
      </c>
    </row>
    <row r="93" spans="1:5" ht="13.5" customHeight="1">
      <c r="A93" s="140">
        <v>416215</v>
      </c>
      <c r="B93" s="2">
        <v>0</v>
      </c>
      <c r="C93" s="2">
        <v>401705</v>
      </c>
      <c r="D93" s="2">
        <v>3224</v>
      </c>
      <c r="E93" s="2">
        <v>1</v>
      </c>
    </row>
    <row r="94" spans="1:5" ht="13.5" customHeight="1">
      <c r="A94" s="140">
        <v>416216</v>
      </c>
      <c r="B94" s="2">
        <v>0</v>
      </c>
      <c r="C94" s="2">
        <v>401705</v>
      </c>
      <c r="D94" s="2">
        <v>2797</v>
      </c>
      <c r="E94" s="2">
        <v>1</v>
      </c>
    </row>
    <row r="95" spans="1:5" ht="13.5" customHeight="1">
      <c r="A95" s="140">
        <v>416217</v>
      </c>
      <c r="B95" s="2">
        <v>0</v>
      </c>
      <c r="C95" s="2">
        <v>401705</v>
      </c>
      <c r="D95" s="2">
        <v>3068</v>
      </c>
      <c r="E95" s="2">
        <v>1</v>
      </c>
    </row>
    <row r="96" spans="1:5" ht="13.5" customHeight="1">
      <c r="A96" s="140">
        <v>416218</v>
      </c>
      <c r="B96" s="2">
        <v>0</v>
      </c>
      <c r="C96" s="2">
        <v>401705</v>
      </c>
      <c r="D96" s="2">
        <v>3224</v>
      </c>
      <c r="E96" s="2">
        <v>1</v>
      </c>
    </row>
    <row r="97" spans="1:5" ht="13.5" customHeight="1">
      <c r="A97" s="140">
        <v>416219</v>
      </c>
      <c r="B97" s="2">
        <v>0</v>
      </c>
      <c r="C97" s="2">
        <v>401705</v>
      </c>
      <c r="D97" s="2">
        <v>3334</v>
      </c>
      <c r="E97" s="2">
        <v>1</v>
      </c>
    </row>
    <row r="98" spans="1:5" ht="13.5" customHeight="1">
      <c r="A98" s="140">
        <v>416220</v>
      </c>
      <c r="B98" s="2">
        <v>0</v>
      </c>
      <c r="C98" s="2">
        <v>401705</v>
      </c>
      <c r="D98" s="2">
        <v>2774</v>
      </c>
      <c r="E98" s="2">
        <v>1</v>
      </c>
    </row>
    <row r="99" spans="1:5" ht="13.5" customHeight="1">
      <c r="A99" s="140">
        <v>416221</v>
      </c>
      <c r="B99" s="2">
        <v>0</v>
      </c>
      <c r="C99" s="2">
        <v>401705</v>
      </c>
      <c r="D99" s="2">
        <v>2868</v>
      </c>
      <c r="E99" s="2">
        <v>1</v>
      </c>
    </row>
    <row r="100" spans="1:5" ht="13.5" customHeight="1">
      <c r="A100" s="140">
        <v>416222</v>
      </c>
      <c r="B100" s="2">
        <v>0</v>
      </c>
      <c r="C100" s="2">
        <v>401705</v>
      </c>
      <c r="D100" s="2">
        <v>3982</v>
      </c>
      <c r="E100" s="2">
        <v>1</v>
      </c>
    </row>
    <row r="101" spans="1:5" ht="13.5" customHeight="1">
      <c r="A101" s="140">
        <v>416223</v>
      </c>
      <c r="B101" s="2">
        <v>0</v>
      </c>
      <c r="C101" s="2">
        <v>401705</v>
      </c>
      <c r="D101" s="2">
        <v>4351</v>
      </c>
      <c r="E101" s="2">
        <v>1</v>
      </c>
    </row>
    <row r="102" spans="1:5" ht="13.5" customHeight="1">
      <c r="A102" s="140">
        <v>416224</v>
      </c>
      <c r="B102" s="2">
        <v>0</v>
      </c>
      <c r="C102" s="2">
        <v>401705</v>
      </c>
      <c r="D102" s="2">
        <v>4579</v>
      </c>
      <c r="E102" s="2">
        <v>1</v>
      </c>
    </row>
    <row r="103" spans="1:5" ht="13.5" customHeight="1">
      <c r="A103" s="140">
        <v>416225</v>
      </c>
      <c r="B103" s="2">
        <v>0</v>
      </c>
      <c r="C103" s="2">
        <v>401705</v>
      </c>
      <c r="D103" s="2">
        <v>3390</v>
      </c>
      <c r="E103" s="2">
        <v>1</v>
      </c>
    </row>
    <row r="104" spans="1:5" ht="13.5" customHeight="1">
      <c r="A104" s="140">
        <v>416226</v>
      </c>
      <c r="B104" s="2">
        <v>0</v>
      </c>
      <c r="C104" s="2">
        <v>401705</v>
      </c>
      <c r="D104" s="2">
        <v>4333</v>
      </c>
      <c r="E104" s="2">
        <v>1</v>
      </c>
    </row>
    <row r="105" spans="1:5" ht="13.5" customHeight="1">
      <c r="A105" s="140">
        <v>416227</v>
      </c>
      <c r="B105" s="2">
        <v>0</v>
      </c>
      <c r="C105" s="2">
        <v>401705</v>
      </c>
      <c r="D105" s="2">
        <v>3068</v>
      </c>
      <c r="E105" s="2">
        <v>1</v>
      </c>
    </row>
    <row r="106" spans="1:5" ht="13.5" customHeight="1">
      <c r="A106" s="140">
        <v>416228</v>
      </c>
      <c r="B106" s="2">
        <v>0</v>
      </c>
      <c r="C106" s="2">
        <v>401705</v>
      </c>
      <c r="D106" s="2">
        <v>3068</v>
      </c>
      <c r="E106" s="2">
        <v>1</v>
      </c>
    </row>
    <row r="107" spans="1:5" ht="13.5" customHeight="1">
      <c r="A107" s="140">
        <v>416229</v>
      </c>
      <c r="B107" s="2">
        <v>0</v>
      </c>
      <c r="C107" s="2">
        <v>401705</v>
      </c>
      <c r="D107" s="2">
        <v>3068</v>
      </c>
      <c r="E107" s="2">
        <v>1</v>
      </c>
    </row>
    <row r="108" spans="1:5" ht="13.5" customHeight="1">
      <c r="A108" s="140">
        <v>416230</v>
      </c>
      <c r="B108" s="2">
        <v>0</v>
      </c>
      <c r="C108" s="2">
        <v>401705</v>
      </c>
      <c r="D108" s="2">
        <v>3129</v>
      </c>
      <c r="E108" s="2">
        <v>1</v>
      </c>
    </row>
    <row r="109" spans="1:5" ht="13.5" customHeight="1">
      <c r="A109" s="140">
        <v>416231</v>
      </c>
      <c r="B109" s="2">
        <v>0</v>
      </c>
      <c r="C109" s="2">
        <v>401705</v>
      </c>
      <c r="D109" s="2">
        <v>3234</v>
      </c>
      <c r="E109" s="2">
        <v>1</v>
      </c>
    </row>
    <row r="110" spans="1:5" ht="13.5" customHeight="1">
      <c r="A110" s="140">
        <v>416232</v>
      </c>
      <c r="B110" s="2">
        <v>0</v>
      </c>
      <c r="C110" s="2">
        <v>401705</v>
      </c>
      <c r="D110" s="2">
        <v>3368</v>
      </c>
      <c r="E110" s="2">
        <v>1</v>
      </c>
    </row>
    <row r="111" spans="1:5" ht="13.5" customHeight="1">
      <c r="A111" s="140">
        <v>416233</v>
      </c>
      <c r="B111" s="2">
        <v>0</v>
      </c>
      <c r="C111" s="2">
        <v>401705</v>
      </c>
      <c r="D111" s="2">
        <v>3301</v>
      </c>
      <c r="E111" s="2">
        <v>1</v>
      </c>
    </row>
    <row r="112" spans="1:5" ht="13.5" customHeight="1">
      <c r="A112" s="140">
        <v>416234</v>
      </c>
      <c r="B112" s="2">
        <v>0</v>
      </c>
      <c r="C112" s="2">
        <v>401705</v>
      </c>
      <c r="D112" s="2">
        <v>4331</v>
      </c>
      <c r="E112" s="2">
        <v>1</v>
      </c>
    </row>
    <row r="113" spans="1:5" ht="13.5" customHeight="1">
      <c r="A113" s="140">
        <v>416235</v>
      </c>
      <c r="B113" s="2">
        <v>0</v>
      </c>
      <c r="C113" s="2">
        <v>401705</v>
      </c>
      <c r="D113" s="2">
        <v>3234</v>
      </c>
      <c r="E113" s="2">
        <v>1</v>
      </c>
    </row>
    <row r="114" spans="1:5" ht="13.5" customHeight="1">
      <c r="A114" s="140">
        <v>416236</v>
      </c>
      <c r="B114" s="2">
        <v>0</v>
      </c>
      <c r="C114" s="2">
        <v>401705</v>
      </c>
      <c r="D114" s="2">
        <v>3234</v>
      </c>
      <c r="E114" s="2">
        <v>1</v>
      </c>
    </row>
  </sheetData>
  <phoneticPr fontId="3"/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231"/>
  <sheetViews>
    <sheetView zoomScale="80" zoomScaleNormal="80" workbookViewId="0">
      <pane xSplit="4" ySplit="12" topLeftCell="E95" activePane="bottomRight" state="frozen"/>
      <selection pane="topRight" activeCell="E1" sqref="E1"/>
      <selection pane="bottomLeft" activeCell="A13" sqref="A13"/>
      <selection pane="bottomRight" activeCell="C13" sqref="C13:E125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7" width="5.6640625" style="56" customWidth="1"/>
    <col min="8" max="8" width="10.6640625" style="2" customWidth="1"/>
    <col min="9" max="9" width="9" style="2" customWidth="1"/>
    <col min="10" max="10" width="25.6640625" style="2" customWidth="1"/>
    <col min="11" max="11" width="9" style="2" customWidth="1"/>
    <col min="12" max="12" width="25.6640625" style="2" customWidth="1"/>
    <col min="13" max="13" width="5.6640625" style="2" customWidth="1"/>
    <col min="14" max="15" width="11.6640625" style="2" bestFit="1" customWidth="1"/>
    <col min="16" max="18" width="5.6640625" style="2" customWidth="1"/>
    <col min="19" max="16384" width="9" style="2"/>
  </cols>
  <sheetData>
    <row r="1" spans="1:22" s="16" customFormat="1">
      <c r="C1" s="19"/>
      <c r="D1" s="42"/>
      <c r="G1" s="56"/>
      <c r="H1" s="2"/>
      <c r="K1" s="2" t="s">
        <v>2035</v>
      </c>
      <c r="L1" s="118">
        <v>44798</v>
      </c>
    </row>
    <row r="2" spans="1:22" s="16" customFormat="1">
      <c r="C2" s="19"/>
      <c r="D2" s="42"/>
      <c r="E2" s="32"/>
      <c r="F2" s="32"/>
      <c r="G2" s="56"/>
      <c r="H2" s="2"/>
      <c r="K2" s="2" t="s">
        <v>2036</v>
      </c>
      <c r="L2" s="118">
        <v>44799</v>
      </c>
      <c r="M2" s="4">
        <v>791</v>
      </c>
      <c r="N2" s="2" t="e">
        <f ca="1">[1]!T担当者(M2)</f>
        <v>#NAME?</v>
      </c>
    </row>
    <row r="3" spans="1:22" s="16" customFormat="1">
      <c r="C3" s="19"/>
      <c r="D3" s="42"/>
      <c r="E3" s="32"/>
      <c r="F3" s="41"/>
      <c r="G3" s="56"/>
      <c r="H3" s="2"/>
      <c r="K3" s="2" t="s">
        <v>2247</v>
      </c>
      <c r="L3" s="118">
        <v>44800</v>
      </c>
      <c r="M3" s="4">
        <v>791</v>
      </c>
      <c r="N3" s="2" t="e">
        <f ca="1">[1]!T担当者(M3)</f>
        <v>#NAME?</v>
      </c>
    </row>
    <row r="4" spans="1:22" s="16" customFormat="1">
      <c r="C4" s="19"/>
      <c r="E4" s="32"/>
      <c r="F4" s="32"/>
      <c r="G4" s="80"/>
      <c r="I4" s="32"/>
      <c r="J4" s="32"/>
      <c r="K4" s="33" t="s">
        <v>2230</v>
      </c>
      <c r="L4" s="118">
        <v>44801</v>
      </c>
      <c r="M4" s="4">
        <v>791</v>
      </c>
      <c r="N4" s="2" t="e">
        <f ca="1">[1]!T担当者(M4)</f>
        <v>#NAME?</v>
      </c>
      <c r="O4" s="32"/>
      <c r="P4" s="32"/>
      <c r="Q4" s="32"/>
      <c r="R4" s="32"/>
    </row>
    <row r="5" spans="1:22" s="16" customFormat="1">
      <c r="C5" s="19"/>
      <c r="D5" s="80" t="s">
        <v>1940</v>
      </c>
      <c r="E5" s="32"/>
      <c r="F5" s="41"/>
      <c r="G5" s="56"/>
      <c r="H5" s="2"/>
    </row>
    <row r="6" spans="1:22" s="16" customFormat="1">
      <c r="C6" s="19"/>
      <c r="D6" s="18"/>
      <c r="E6" s="32"/>
      <c r="F6" s="41"/>
      <c r="G6" s="56"/>
      <c r="H6" s="2"/>
    </row>
    <row r="7" spans="1:2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56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</row>
    <row r="8" spans="1:22">
      <c r="A8" s="117"/>
      <c r="B8" s="117"/>
      <c r="C8" s="2" t="s">
        <v>1999</v>
      </c>
      <c r="D8" s="117"/>
      <c r="E8" s="117"/>
      <c r="F8" s="117"/>
      <c r="G8" s="2" t="s">
        <v>2002</v>
      </c>
      <c r="H8" s="117"/>
      <c r="I8" s="2" t="s">
        <v>2002</v>
      </c>
      <c r="J8" s="117"/>
      <c r="K8" s="2" t="s">
        <v>2002</v>
      </c>
      <c r="L8" s="117"/>
      <c r="M8" s="2" t="s">
        <v>2002</v>
      </c>
      <c r="N8" s="2" t="s">
        <v>2002</v>
      </c>
      <c r="O8" s="2" t="s">
        <v>2002</v>
      </c>
      <c r="P8" s="2" t="s">
        <v>2002</v>
      </c>
      <c r="Q8" s="2" t="s">
        <v>2002</v>
      </c>
      <c r="R8" s="2" t="s">
        <v>2002</v>
      </c>
    </row>
    <row r="9" spans="1:22">
      <c r="D9" s="2" t="s">
        <v>1401</v>
      </c>
      <c r="G9" s="56" t="s">
        <v>1940</v>
      </c>
      <c r="H9" s="2" t="s">
        <v>1923</v>
      </c>
      <c r="I9" s="2" t="s">
        <v>1940</v>
      </c>
      <c r="J9" s="2" t="s">
        <v>1940</v>
      </c>
      <c r="K9" s="2" t="s">
        <v>1940</v>
      </c>
      <c r="L9" s="2" t="s">
        <v>1940</v>
      </c>
      <c r="M9" s="2" t="s">
        <v>1940</v>
      </c>
      <c r="N9" s="2" t="s">
        <v>1940</v>
      </c>
      <c r="O9" s="2" t="s">
        <v>1940</v>
      </c>
      <c r="P9" s="2" t="s">
        <v>1940</v>
      </c>
      <c r="Q9" s="2" t="s">
        <v>1940</v>
      </c>
      <c r="R9" s="2" t="s">
        <v>1940</v>
      </c>
    </row>
    <row r="10" spans="1:22" s="55" customFormat="1" ht="26.4">
      <c r="C10" s="78" t="s">
        <v>1944</v>
      </c>
      <c r="G10" s="78" t="s">
        <v>1944</v>
      </c>
      <c r="H10" s="55" t="s">
        <v>2012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</row>
    <row r="11" spans="1:2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5"/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</row>
    <row r="12" spans="1:22" s="15" customFormat="1" ht="39.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79" t="s">
        <v>2005</v>
      </c>
      <c r="H12" s="77" t="s">
        <v>2220</v>
      </c>
      <c r="I12" s="14" t="s">
        <v>608</v>
      </c>
      <c r="J12" s="13" t="s">
        <v>609</v>
      </c>
      <c r="K12" s="14" t="s">
        <v>606</v>
      </c>
      <c r="L12" s="13" t="s">
        <v>607</v>
      </c>
      <c r="M12" s="13" t="s">
        <v>1440</v>
      </c>
      <c r="N12" s="31" t="s">
        <v>2006</v>
      </c>
      <c r="O12" s="31" t="s">
        <v>2007</v>
      </c>
      <c r="P12" s="14" t="s">
        <v>1412</v>
      </c>
      <c r="Q12" s="14" t="s">
        <v>1941</v>
      </c>
      <c r="R12" s="14" t="s">
        <v>1942</v>
      </c>
      <c r="U12" s="15" t="s">
        <v>2219</v>
      </c>
    </row>
    <row r="13" spans="1:22" ht="13.5" customHeight="1">
      <c r="A13" s="7">
        <v>1</v>
      </c>
      <c r="B13" s="7"/>
      <c r="C13" s="7">
        <v>416237</v>
      </c>
      <c r="D13" s="7" t="s">
        <v>3512</v>
      </c>
      <c r="E13" s="7" t="s">
        <v>3801</v>
      </c>
      <c r="F13" s="7">
        <v>1</v>
      </c>
      <c r="G13" s="58">
        <v>99998</v>
      </c>
      <c r="H13" s="7" t="s">
        <v>3971</v>
      </c>
      <c r="I13" s="7">
        <v>401705</v>
      </c>
      <c r="J13" s="7" t="s">
        <v>3972</v>
      </c>
      <c r="K13" s="7">
        <v>401705</v>
      </c>
      <c r="L13" s="7" t="s">
        <v>3973</v>
      </c>
      <c r="M13" s="49">
        <v>1</v>
      </c>
      <c r="N13" s="138">
        <v>45569</v>
      </c>
      <c r="O13" s="123">
        <v>73415</v>
      </c>
      <c r="P13" s="7">
        <v>1</v>
      </c>
      <c r="Q13" s="7">
        <v>0</v>
      </c>
      <c r="R13" s="7">
        <v>1</v>
      </c>
      <c r="U13" s="2">
        <v>0</v>
      </c>
      <c r="V13" s="2" t="s">
        <v>2053</v>
      </c>
    </row>
    <row r="14" spans="1:22" ht="13.5" customHeight="1">
      <c r="A14" s="7">
        <v>2</v>
      </c>
      <c r="B14" s="7"/>
      <c r="C14" s="7">
        <v>416238</v>
      </c>
      <c r="D14" s="7" t="s">
        <v>3513</v>
      </c>
      <c r="E14" s="7" t="s">
        <v>3802</v>
      </c>
      <c r="F14" s="7">
        <v>1</v>
      </c>
      <c r="G14" s="58">
        <v>99998</v>
      </c>
      <c r="H14" s="7" t="s">
        <v>3971</v>
      </c>
      <c r="I14" s="7">
        <v>401705</v>
      </c>
      <c r="J14" s="7" t="s">
        <v>3972</v>
      </c>
      <c r="K14" s="7">
        <v>401705</v>
      </c>
      <c r="L14" s="7" t="s">
        <v>3973</v>
      </c>
      <c r="M14" s="49">
        <v>1</v>
      </c>
      <c r="N14" s="138">
        <v>45569</v>
      </c>
      <c r="O14" s="123">
        <v>73415</v>
      </c>
      <c r="P14" s="7">
        <v>1</v>
      </c>
      <c r="Q14" s="7">
        <v>0</v>
      </c>
      <c r="R14" s="7">
        <v>1</v>
      </c>
      <c r="U14" s="2">
        <v>100</v>
      </c>
      <c r="V14" s="2" t="s">
        <v>2059</v>
      </c>
    </row>
    <row r="15" spans="1:22" ht="13.5" customHeight="1">
      <c r="A15" s="7">
        <v>3</v>
      </c>
      <c r="B15" s="7"/>
      <c r="C15" s="7">
        <v>416239</v>
      </c>
      <c r="D15" s="7" t="s">
        <v>3514</v>
      </c>
      <c r="E15" s="7" t="s">
        <v>3803</v>
      </c>
      <c r="F15" s="7">
        <v>1</v>
      </c>
      <c r="G15" s="58">
        <v>99998</v>
      </c>
      <c r="H15" s="7" t="s">
        <v>3971</v>
      </c>
      <c r="I15" s="7">
        <v>401705</v>
      </c>
      <c r="J15" s="7" t="s">
        <v>3972</v>
      </c>
      <c r="K15" s="7">
        <v>401705</v>
      </c>
      <c r="L15" s="7" t="s">
        <v>3973</v>
      </c>
      <c r="M15" s="49">
        <v>1</v>
      </c>
      <c r="N15" s="138">
        <v>45569</v>
      </c>
      <c r="O15" s="123">
        <v>73415</v>
      </c>
      <c r="P15" s="7">
        <v>1</v>
      </c>
      <c r="Q15" s="7">
        <v>0</v>
      </c>
      <c r="R15" s="7">
        <v>1</v>
      </c>
      <c r="U15" s="2">
        <v>112</v>
      </c>
      <c r="V15" s="2" t="s">
        <v>2065</v>
      </c>
    </row>
    <row r="16" spans="1:22" ht="13.5" customHeight="1">
      <c r="A16" s="7">
        <v>4</v>
      </c>
      <c r="B16" s="7"/>
      <c r="C16" s="7">
        <v>416240</v>
      </c>
      <c r="D16" s="7" t="s">
        <v>3515</v>
      </c>
      <c r="E16" s="7" t="s">
        <v>3804</v>
      </c>
      <c r="F16" s="7">
        <v>1</v>
      </c>
      <c r="G16" s="58">
        <v>99998</v>
      </c>
      <c r="H16" s="7" t="s">
        <v>3971</v>
      </c>
      <c r="I16" s="7">
        <v>401705</v>
      </c>
      <c r="J16" s="7" t="s">
        <v>3972</v>
      </c>
      <c r="K16" s="7">
        <v>401705</v>
      </c>
      <c r="L16" s="7" t="s">
        <v>3973</v>
      </c>
      <c r="M16" s="49">
        <v>1</v>
      </c>
      <c r="N16" s="138">
        <v>45569</v>
      </c>
      <c r="O16" s="123">
        <v>73415</v>
      </c>
      <c r="P16" s="7">
        <v>1</v>
      </c>
      <c r="Q16" s="7">
        <v>0</v>
      </c>
      <c r="R16" s="7">
        <v>1</v>
      </c>
      <c r="U16" s="2">
        <v>115</v>
      </c>
      <c r="V16" s="2" t="s">
        <v>2068</v>
      </c>
    </row>
    <row r="17" spans="1:22" ht="13.5" customHeight="1">
      <c r="A17" s="7">
        <v>5</v>
      </c>
      <c r="B17" s="7"/>
      <c r="C17" s="7">
        <v>416103</v>
      </c>
      <c r="D17" s="7" t="s">
        <v>3945</v>
      </c>
      <c r="E17" s="7" t="s">
        <v>3805</v>
      </c>
      <c r="F17" s="7">
        <v>1</v>
      </c>
      <c r="G17" s="58">
        <v>99998</v>
      </c>
      <c r="H17" s="7" t="s">
        <v>3971</v>
      </c>
      <c r="I17" s="7">
        <v>401705</v>
      </c>
      <c r="J17" s="7" t="s">
        <v>3972</v>
      </c>
      <c r="K17" s="7">
        <v>401705</v>
      </c>
      <c r="L17" s="7" t="s">
        <v>3973</v>
      </c>
      <c r="M17" s="49">
        <v>1</v>
      </c>
      <c r="N17" s="138">
        <v>45569</v>
      </c>
      <c r="O17" s="123">
        <v>73415</v>
      </c>
      <c r="P17" s="7">
        <v>1</v>
      </c>
      <c r="Q17" s="7">
        <v>0</v>
      </c>
      <c r="R17" s="7">
        <v>1</v>
      </c>
      <c r="U17" s="2">
        <v>121</v>
      </c>
      <c r="V17" s="2" t="s">
        <v>2071</v>
      </c>
    </row>
    <row r="18" spans="1:22" ht="13.5" customHeight="1">
      <c r="A18" s="7">
        <v>6</v>
      </c>
      <c r="B18" s="7"/>
      <c r="C18" s="7">
        <v>416104</v>
      </c>
      <c r="D18" s="7" t="s">
        <v>3516</v>
      </c>
      <c r="E18" s="7"/>
      <c r="F18" s="7">
        <v>1</v>
      </c>
      <c r="G18" s="58">
        <v>99998</v>
      </c>
      <c r="H18" s="7" t="s">
        <v>3971</v>
      </c>
      <c r="I18" s="7">
        <v>401705</v>
      </c>
      <c r="J18" s="7" t="s">
        <v>3972</v>
      </c>
      <c r="K18" s="7">
        <v>401705</v>
      </c>
      <c r="L18" s="7" t="s">
        <v>3973</v>
      </c>
      <c r="M18" s="49">
        <v>1</v>
      </c>
      <c r="N18" s="138">
        <v>45569</v>
      </c>
      <c r="O18" s="123">
        <v>73415</v>
      </c>
      <c r="P18" s="7">
        <v>1</v>
      </c>
      <c r="Q18" s="7">
        <v>0</v>
      </c>
      <c r="R18" s="7">
        <v>1</v>
      </c>
      <c r="U18" s="2">
        <v>193</v>
      </c>
      <c r="V18" s="2" t="s">
        <v>2073</v>
      </c>
    </row>
    <row r="19" spans="1:22" ht="13.5" customHeight="1">
      <c r="A19" s="7">
        <v>7</v>
      </c>
      <c r="B19" s="7"/>
      <c r="C19" s="7">
        <v>416105</v>
      </c>
      <c r="D19" s="7" t="s">
        <v>3517</v>
      </c>
      <c r="E19" s="7" t="s">
        <v>3806</v>
      </c>
      <c r="F19" s="7">
        <v>1</v>
      </c>
      <c r="G19" s="58">
        <v>99998</v>
      </c>
      <c r="H19" s="7" t="s">
        <v>3971</v>
      </c>
      <c r="I19" s="7">
        <v>401705</v>
      </c>
      <c r="J19" s="7" t="s">
        <v>3972</v>
      </c>
      <c r="K19" s="7">
        <v>401705</v>
      </c>
      <c r="L19" s="7" t="s">
        <v>3973</v>
      </c>
      <c r="M19" s="49">
        <v>1</v>
      </c>
      <c r="N19" s="138">
        <v>45569</v>
      </c>
      <c r="O19" s="123">
        <v>73415</v>
      </c>
      <c r="P19" s="7">
        <v>1</v>
      </c>
      <c r="Q19" s="7">
        <v>0</v>
      </c>
      <c r="R19" s="7">
        <v>1</v>
      </c>
      <c r="U19" s="2">
        <v>10121</v>
      </c>
      <c r="V19" s="2" t="s">
        <v>2075</v>
      </c>
    </row>
    <row r="20" spans="1:22" ht="13.5" customHeight="1">
      <c r="A20" s="7">
        <v>8</v>
      </c>
      <c r="B20" s="7"/>
      <c r="C20" s="7">
        <v>416106</v>
      </c>
      <c r="D20" s="7" t="s">
        <v>3518</v>
      </c>
      <c r="E20" s="7"/>
      <c r="F20" s="7">
        <v>1</v>
      </c>
      <c r="G20" s="58">
        <v>99998</v>
      </c>
      <c r="H20" s="7" t="s">
        <v>3971</v>
      </c>
      <c r="I20" s="7">
        <v>401705</v>
      </c>
      <c r="J20" s="7" t="s">
        <v>3972</v>
      </c>
      <c r="K20" s="7">
        <v>401705</v>
      </c>
      <c r="L20" s="7" t="s">
        <v>3973</v>
      </c>
      <c r="M20" s="49">
        <v>1</v>
      </c>
      <c r="N20" s="138">
        <v>45569</v>
      </c>
      <c r="O20" s="123">
        <v>73415</v>
      </c>
      <c r="P20" s="7">
        <v>1</v>
      </c>
      <c r="Q20" s="7">
        <v>0</v>
      </c>
      <c r="R20" s="7">
        <v>1</v>
      </c>
      <c r="U20" s="2">
        <v>200</v>
      </c>
      <c r="V20" s="2" t="s">
        <v>2077</v>
      </c>
    </row>
    <row r="21" spans="1:22" ht="13.5" customHeight="1">
      <c r="A21" s="7">
        <v>9</v>
      </c>
      <c r="B21" s="7"/>
      <c r="C21" s="7">
        <v>416107</v>
      </c>
      <c r="D21" s="7" t="s">
        <v>3519</v>
      </c>
      <c r="E21" s="7" t="s">
        <v>3807</v>
      </c>
      <c r="F21" s="7">
        <v>1</v>
      </c>
      <c r="G21" s="58">
        <v>99998</v>
      </c>
      <c r="H21" s="7" t="s">
        <v>3971</v>
      </c>
      <c r="I21" s="7">
        <v>401705</v>
      </c>
      <c r="J21" s="7" t="s">
        <v>3972</v>
      </c>
      <c r="K21" s="7">
        <v>401705</v>
      </c>
      <c r="L21" s="7" t="s">
        <v>3973</v>
      </c>
      <c r="M21" s="49">
        <v>1</v>
      </c>
      <c r="N21" s="138">
        <v>45569</v>
      </c>
      <c r="O21" s="123">
        <v>73415</v>
      </c>
      <c r="P21" s="7">
        <v>1</v>
      </c>
      <c r="Q21" s="7">
        <v>0</v>
      </c>
      <c r="R21" s="7">
        <v>1</v>
      </c>
      <c r="U21" s="2">
        <v>400</v>
      </c>
      <c r="V21" s="2" t="s">
        <v>2079</v>
      </c>
    </row>
    <row r="22" spans="1:22" ht="13.5" customHeight="1">
      <c r="A22" s="7">
        <v>10</v>
      </c>
      <c r="B22" s="7"/>
      <c r="C22" s="7">
        <v>416108</v>
      </c>
      <c r="D22" s="7" t="s">
        <v>3520</v>
      </c>
      <c r="E22" s="7" t="s">
        <v>3808</v>
      </c>
      <c r="F22" s="7">
        <v>1</v>
      </c>
      <c r="G22" s="58">
        <v>99998</v>
      </c>
      <c r="H22" s="7" t="s">
        <v>3971</v>
      </c>
      <c r="I22" s="7">
        <v>401705</v>
      </c>
      <c r="J22" s="7" t="s">
        <v>3972</v>
      </c>
      <c r="K22" s="7">
        <v>401705</v>
      </c>
      <c r="L22" s="7" t="s">
        <v>3973</v>
      </c>
      <c r="M22" s="49">
        <v>1</v>
      </c>
      <c r="N22" s="138">
        <v>45569</v>
      </c>
      <c r="O22" s="123">
        <v>73415</v>
      </c>
      <c r="P22" s="7">
        <v>1</v>
      </c>
      <c r="Q22" s="7">
        <v>0</v>
      </c>
      <c r="R22" s="7">
        <v>1</v>
      </c>
      <c r="U22" s="2">
        <v>600</v>
      </c>
      <c r="V22" s="2" t="s">
        <v>2081</v>
      </c>
    </row>
    <row r="23" spans="1:22" ht="13.5" customHeight="1">
      <c r="A23" s="7">
        <v>11</v>
      </c>
      <c r="B23" s="7"/>
      <c r="C23" s="7">
        <v>416109</v>
      </c>
      <c r="D23" s="7" t="s">
        <v>3946</v>
      </c>
      <c r="E23" s="7" t="s">
        <v>3809</v>
      </c>
      <c r="F23" s="7">
        <v>1</v>
      </c>
      <c r="G23" s="58">
        <v>99998</v>
      </c>
      <c r="H23" s="7" t="s">
        <v>3971</v>
      </c>
      <c r="I23" s="7">
        <v>401705</v>
      </c>
      <c r="J23" s="7" t="s">
        <v>3972</v>
      </c>
      <c r="K23" s="7">
        <v>401705</v>
      </c>
      <c r="L23" s="7" t="s">
        <v>3973</v>
      </c>
      <c r="M23" s="49">
        <v>1</v>
      </c>
      <c r="N23" s="138">
        <v>45569</v>
      </c>
      <c r="O23" s="123">
        <v>73415</v>
      </c>
      <c r="P23" s="7">
        <v>1</v>
      </c>
      <c r="Q23" s="7">
        <v>0</v>
      </c>
      <c r="R23" s="7">
        <v>1</v>
      </c>
      <c r="U23" s="2">
        <v>799</v>
      </c>
      <c r="V23" s="2" t="s">
        <v>2083</v>
      </c>
    </row>
    <row r="24" spans="1:22" ht="13.5" customHeight="1">
      <c r="A24" s="7">
        <v>12</v>
      </c>
      <c r="B24" s="7"/>
      <c r="C24" s="7">
        <v>416110</v>
      </c>
      <c r="D24" s="7" t="s">
        <v>3521</v>
      </c>
      <c r="E24" s="7" t="s">
        <v>3810</v>
      </c>
      <c r="F24" s="7">
        <v>1</v>
      </c>
      <c r="G24" s="58">
        <v>99998</v>
      </c>
      <c r="H24" s="7" t="s">
        <v>3971</v>
      </c>
      <c r="I24" s="7">
        <v>401705</v>
      </c>
      <c r="J24" s="7" t="s">
        <v>3972</v>
      </c>
      <c r="K24" s="7">
        <v>401705</v>
      </c>
      <c r="L24" s="7" t="s">
        <v>3973</v>
      </c>
      <c r="M24" s="49">
        <v>1</v>
      </c>
      <c r="N24" s="138">
        <v>45569</v>
      </c>
      <c r="O24" s="123">
        <v>73415</v>
      </c>
      <c r="P24" s="7">
        <v>1</v>
      </c>
      <c r="Q24" s="7">
        <v>0</v>
      </c>
      <c r="R24" s="7">
        <v>1</v>
      </c>
      <c r="U24" s="2">
        <v>860</v>
      </c>
      <c r="V24" s="2" t="s">
        <v>2085</v>
      </c>
    </row>
    <row r="25" spans="1:22" ht="13.5" customHeight="1">
      <c r="A25" s="7">
        <v>13</v>
      </c>
      <c r="B25" s="7"/>
      <c r="C25" s="7">
        <v>416111</v>
      </c>
      <c r="D25" s="7" t="s">
        <v>3947</v>
      </c>
      <c r="E25" s="7" t="s">
        <v>3811</v>
      </c>
      <c r="F25" s="7">
        <v>1</v>
      </c>
      <c r="G25" s="58">
        <v>99998</v>
      </c>
      <c r="H25" s="7" t="s">
        <v>3971</v>
      </c>
      <c r="I25" s="7">
        <v>401705</v>
      </c>
      <c r="J25" s="7" t="s">
        <v>3972</v>
      </c>
      <c r="K25" s="7">
        <v>401705</v>
      </c>
      <c r="L25" s="7" t="s">
        <v>3973</v>
      </c>
      <c r="M25" s="49">
        <v>1</v>
      </c>
      <c r="N25" s="138">
        <v>45569</v>
      </c>
      <c r="O25" s="123">
        <v>73415</v>
      </c>
      <c r="P25" s="7">
        <v>1</v>
      </c>
      <c r="Q25" s="7">
        <v>0</v>
      </c>
      <c r="R25" s="7">
        <v>1</v>
      </c>
      <c r="U25" s="2">
        <v>896</v>
      </c>
      <c r="V25" s="2" t="s">
        <v>2087</v>
      </c>
    </row>
    <row r="26" spans="1:22" ht="13.5" customHeight="1">
      <c r="A26" s="7">
        <v>14</v>
      </c>
      <c r="B26" s="7"/>
      <c r="C26" s="7">
        <v>416112</v>
      </c>
      <c r="D26" s="7" t="s">
        <v>3522</v>
      </c>
      <c r="E26" s="7" t="s">
        <v>3812</v>
      </c>
      <c r="F26" s="7">
        <v>1</v>
      </c>
      <c r="G26" s="58">
        <v>99998</v>
      </c>
      <c r="H26" s="7" t="s">
        <v>3971</v>
      </c>
      <c r="I26" s="7">
        <v>401705</v>
      </c>
      <c r="J26" s="7" t="s">
        <v>3972</v>
      </c>
      <c r="K26" s="7">
        <v>401705</v>
      </c>
      <c r="L26" s="7" t="s">
        <v>3973</v>
      </c>
      <c r="M26" s="49">
        <v>1</v>
      </c>
      <c r="N26" s="138">
        <v>45569</v>
      </c>
      <c r="O26" s="123">
        <v>73415</v>
      </c>
      <c r="P26" s="7">
        <v>1</v>
      </c>
      <c r="Q26" s="7">
        <v>0</v>
      </c>
      <c r="R26" s="7">
        <v>1</v>
      </c>
      <c r="U26" s="2">
        <v>1510</v>
      </c>
      <c r="V26" s="2" t="s">
        <v>2089</v>
      </c>
    </row>
    <row r="27" spans="1:22" ht="13.5" customHeight="1">
      <c r="A27" s="7">
        <v>15</v>
      </c>
      <c r="B27" s="7"/>
      <c r="C27" s="7">
        <v>416113</v>
      </c>
      <c r="D27" s="7" t="s">
        <v>3523</v>
      </c>
      <c r="E27" s="7" t="s">
        <v>3813</v>
      </c>
      <c r="F27" s="7">
        <v>1</v>
      </c>
      <c r="G27" s="58">
        <v>99998</v>
      </c>
      <c r="H27" s="7" t="s">
        <v>3971</v>
      </c>
      <c r="I27" s="7">
        <v>401705</v>
      </c>
      <c r="J27" s="7" t="s">
        <v>3972</v>
      </c>
      <c r="K27" s="7">
        <v>401705</v>
      </c>
      <c r="L27" s="7" t="s">
        <v>3973</v>
      </c>
      <c r="M27" s="49">
        <v>1</v>
      </c>
      <c r="N27" s="138">
        <v>45569</v>
      </c>
      <c r="O27" s="123">
        <v>73415</v>
      </c>
      <c r="P27" s="7">
        <v>1</v>
      </c>
      <c r="Q27" s="7">
        <v>0</v>
      </c>
      <c r="R27" s="7">
        <v>1</v>
      </c>
      <c r="U27" s="2">
        <v>1570</v>
      </c>
      <c r="V27" s="2" t="s">
        <v>2091</v>
      </c>
    </row>
    <row r="28" spans="1:22" ht="13.5" customHeight="1">
      <c r="A28" s="7">
        <v>16</v>
      </c>
      <c r="B28" s="7"/>
      <c r="C28" s="7">
        <v>416114</v>
      </c>
      <c r="D28" s="7" t="s">
        <v>3524</v>
      </c>
      <c r="E28" s="7"/>
      <c r="F28" s="7">
        <v>1</v>
      </c>
      <c r="G28" s="58">
        <v>99998</v>
      </c>
      <c r="H28" s="7" t="s">
        <v>3971</v>
      </c>
      <c r="I28" s="7">
        <v>401705</v>
      </c>
      <c r="J28" s="7" t="s">
        <v>3972</v>
      </c>
      <c r="K28" s="7">
        <v>401705</v>
      </c>
      <c r="L28" s="7" t="s">
        <v>3973</v>
      </c>
      <c r="M28" s="49">
        <v>1</v>
      </c>
      <c r="N28" s="138">
        <v>45569</v>
      </c>
      <c r="O28" s="123">
        <v>73415</v>
      </c>
      <c r="P28" s="7">
        <v>1</v>
      </c>
      <c r="Q28" s="7">
        <v>0</v>
      </c>
      <c r="R28" s="7">
        <v>1</v>
      </c>
      <c r="U28" s="2">
        <v>2000</v>
      </c>
      <c r="V28" s="2" t="s">
        <v>2093</v>
      </c>
    </row>
    <row r="29" spans="1:22" ht="13.5" customHeight="1">
      <c r="A29" s="7">
        <v>17</v>
      </c>
      <c r="B29" s="7"/>
      <c r="C29" s="7">
        <v>416115</v>
      </c>
      <c r="D29" s="7" t="s">
        <v>3525</v>
      </c>
      <c r="E29" s="7" t="s">
        <v>3814</v>
      </c>
      <c r="F29" s="7">
        <v>1</v>
      </c>
      <c r="G29" s="58">
        <v>99998</v>
      </c>
      <c r="H29" s="7" t="s">
        <v>3971</v>
      </c>
      <c r="I29" s="7">
        <v>401705</v>
      </c>
      <c r="J29" s="7" t="s">
        <v>3972</v>
      </c>
      <c r="K29" s="7">
        <v>401705</v>
      </c>
      <c r="L29" s="7" t="s">
        <v>3973</v>
      </c>
      <c r="M29" s="49">
        <v>1</v>
      </c>
      <c r="N29" s="138">
        <v>45569</v>
      </c>
      <c r="O29" s="123">
        <v>73415</v>
      </c>
      <c r="P29" s="7">
        <v>1</v>
      </c>
      <c r="Q29" s="7">
        <v>0</v>
      </c>
      <c r="R29" s="7">
        <v>1</v>
      </c>
      <c r="U29" s="2">
        <v>300</v>
      </c>
      <c r="V29" s="2" t="s">
        <v>2095</v>
      </c>
    </row>
    <row r="30" spans="1:22" ht="13.5" customHeight="1">
      <c r="A30" s="7">
        <v>18</v>
      </c>
      <c r="B30" s="7"/>
      <c r="C30" s="7">
        <v>416116</v>
      </c>
      <c r="D30" s="7" t="s">
        <v>3526</v>
      </c>
      <c r="E30" s="7" t="s">
        <v>3815</v>
      </c>
      <c r="F30" s="7">
        <v>1</v>
      </c>
      <c r="G30" s="58">
        <v>99998</v>
      </c>
      <c r="H30" s="7" t="s">
        <v>3971</v>
      </c>
      <c r="I30" s="7">
        <v>401705</v>
      </c>
      <c r="J30" s="7" t="s">
        <v>3972</v>
      </c>
      <c r="K30" s="7">
        <v>401705</v>
      </c>
      <c r="L30" s="7" t="s">
        <v>3973</v>
      </c>
      <c r="M30" s="49">
        <v>1</v>
      </c>
      <c r="N30" s="138">
        <v>45569</v>
      </c>
      <c r="O30" s="123">
        <v>73415</v>
      </c>
      <c r="P30" s="7">
        <v>1</v>
      </c>
      <c r="Q30" s="7">
        <v>0</v>
      </c>
      <c r="R30" s="7">
        <v>1</v>
      </c>
      <c r="U30" s="2">
        <v>500</v>
      </c>
      <c r="V30" s="2" t="s">
        <v>2097</v>
      </c>
    </row>
    <row r="31" spans="1:22" ht="13.5" customHeight="1">
      <c r="A31" s="7">
        <v>19</v>
      </c>
      <c r="B31" s="7"/>
      <c r="C31" s="7">
        <v>416117</v>
      </c>
      <c r="D31" s="7" t="s">
        <v>3527</v>
      </c>
      <c r="E31" s="7">
        <v>49701</v>
      </c>
      <c r="F31" s="7">
        <v>1</v>
      </c>
      <c r="G31" s="58">
        <v>99998</v>
      </c>
      <c r="H31" s="7" t="s">
        <v>3971</v>
      </c>
      <c r="I31" s="7">
        <v>401705</v>
      </c>
      <c r="J31" s="7" t="s">
        <v>3972</v>
      </c>
      <c r="K31" s="7">
        <v>401705</v>
      </c>
      <c r="L31" s="7" t="s">
        <v>3973</v>
      </c>
      <c r="M31" s="49">
        <v>1</v>
      </c>
      <c r="N31" s="138">
        <v>45569</v>
      </c>
      <c r="O31" s="123">
        <v>73415</v>
      </c>
      <c r="P31" s="7">
        <v>1</v>
      </c>
      <c r="Q31" s="7">
        <v>0</v>
      </c>
      <c r="R31" s="7">
        <v>1</v>
      </c>
      <c r="U31" s="2">
        <v>153</v>
      </c>
      <c r="V31" s="2" t="s">
        <v>2099</v>
      </c>
    </row>
    <row r="32" spans="1:22" ht="13.5" customHeight="1">
      <c r="A32" s="7">
        <v>20</v>
      </c>
      <c r="B32" s="7"/>
      <c r="C32" s="7">
        <v>416118</v>
      </c>
      <c r="D32" s="7" t="s">
        <v>3948</v>
      </c>
      <c r="E32" s="7" t="s">
        <v>3816</v>
      </c>
      <c r="F32" s="7">
        <v>1</v>
      </c>
      <c r="G32" s="58">
        <v>99998</v>
      </c>
      <c r="H32" s="7" t="s">
        <v>3971</v>
      </c>
      <c r="I32" s="7">
        <v>401705</v>
      </c>
      <c r="J32" s="7" t="s">
        <v>3972</v>
      </c>
      <c r="K32" s="7">
        <v>401705</v>
      </c>
      <c r="L32" s="7" t="s">
        <v>3973</v>
      </c>
      <c r="M32" s="49">
        <v>1</v>
      </c>
      <c r="N32" s="138">
        <v>45569</v>
      </c>
      <c r="O32" s="123">
        <v>73415</v>
      </c>
      <c r="P32" s="7">
        <v>1</v>
      </c>
      <c r="Q32" s="7">
        <v>0</v>
      </c>
      <c r="R32" s="7">
        <v>1</v>
      </c>
      <c r="U32" s="2">
        <v>99998</v>
      </c>
      <c r="V32" s="2" t="s">
        <v>2101</v>
      </c>
    </row>
    <row r="33" spans="1:18" ht="13.5" customHeight="1">
      <c r="A33" s="7">
        <v>21</v>
      </c>
      <c r="B33" s="7"/>
      <c r="C33" s="7">
        <v>416119</v>
      </c>
      <c r="D33" s="7" t="s">
        <v>3528</v>
      </c>
      <c r="E33" s="7">
        <v>430199</v>
      </c>
      <c r="F33" s="7">
        <v>1</v>
      </c>
      <c r="G33" s="58">
        <v>99998</v>
      </c>
      <c r="H33" s="7" t="s">
        <v>3971</v>
      </c>
      <c r="I33" s="7">
        <v>401705</v>
      </c>
      <c r="J33" s="7" t="s">
        <v>3972</v>
      </c>
      <c r="K33" s="7">
        <v>401705</v>
      </c>
      <c r="L33" s="7" t="s">
        <v>3973</v>
      </c>
      <c r="M33" s="49">
        <v>1</v>
      </c>
      <c r="N33" s="138">
        <v>45569</v>
      </c>
      <c r="O33" s="123">
        <v>73415</v>
      </c>
      <c r="P33" s="7">
        <v>1</v>
      </c>
      <c r="Q33" s="7">
        <v>0</v>
      </c>
      <c r="R33" s="7">
        <v>1</v>
      </c>
    </row>
    <row r="34" spans="1:18" ht="13.5" customHeight="1">
      <c r="A34" s="7">
        <v>22</v>
      </c>
      <c r="B34" s="7"/>
      <c r="C34" s="7">
        <v>416145</v>
      </c>
      <c r="D34" s="7" t="s">
        <v>3529</v>
      </c>
      <c r="E34" s="7"/>
      <c r="F34" s="7">
        <v>1</v>
      </c>
      <c r="G34" s="58">
        <v>99998</v>
      </c>
      <c r="H34" s="7" t="s">
        <v>3971</v>
      </c>
      <c r="I34" s="7">
        <v>401705</v>
      </c>
      <c r="J34" s="7" t="s">
        <v>3972</v>
      </c>
      <c r="K34" s="7">
        <v>401705</v>
      </c>
      <c r="L34" s="7" t="s">
        <v>3973</v>
      </c>
      <c r="M34" s="49">
        <v>1</v>
      </c>
      <c r="N34" s="138">
        <v>45569</v>
      </c>
      <c r="O34" s="123">
        <v>73415</v>
      </c>
      <c r="P34" s="7">
        <v>1</v>
      </c>
      <c r="Q34" s="7">
        <v>0</v>
      </c>
      <c r="R34" s="7">
        <v>1</v>
      </c>
    </row>
    <row r="35" spans="1:18" ht="13.5" customHeight="1">
      <c r="A35" s="7">
        <v>23</v>
      </c>
      <c r="B35" s="7"/>
      <c r="C35" s="7">
        <v>416146</v>
      </c>
      <c r="D35" s="7" t="s">
        <v>3530</v>
      </c>
      <c r="E35" s="7"/>
      <c r="F35" s="7">
        <v>1</v>
      </c>
      <c r="G35" s="58">
        <v>99998</v>
      </c>
      <c r="H35" s="7" t="s">
        <v>3971</v>
      </c>
      <c r="I35" s="7">
        <v>401705</v>
      </c>
      <c r="J35" s="7" t="s">
        <v>3972</v>
      </c>
      <c r="K35" s="7">
        <v>401705</v>
      </c>
      <c r="L35" s="7" t="s">
        <v>3973</v>
      </c>
      <c r="M35" s="49">
        <v>1</v>
      </c>
      <c r="N35" s="138">
        <v>45569</v>
      </c>
      <c r="O35" s="123">
        <v>73415</v>
      </c>
      <c r="P35" s="7">
        <v>1</v>
      </c>
      <c r="Q35" s="7">
        <v>0</v>
      </c>
      <c r="R35" s="7">
        <v>1</v>
      </c>
    </row>
    <row r="36" spans="1:18" ht="13.5" customHeight="1">
      <c r="A36" s="7">
        <v>24</v>
      </c>
      <c r="B36" s="7"/>
      <c r="C36" s="7">
        <v>416147</v>
      </c>
      <c r="D36" s="7" t="s">
        <v>3531</v>
      </c>
      <c r="E36" s="7" t="s">
        <v>3817</v>
      </c>
      <c r="F36" s="7">
        <v>1</v>
      </c>
      <c r="G36" s="58">
        <v>99998</v>
      </c>
      <c r="H36" s="7" t="s">
        <v>3971</v>
      </c>
      <c r="I36" s="7">
        <v>401705</v>
      </c>
      <c r="J36" s="7" t="s">
        <v>3972</v>
      </c>
      <c r="K36" s="7">
        <v>401705</v>
      </c>
      <c r="L36" s="7" t="s">
        <v>3973</v>
      </c>
      <c r="M36" s="49">
        <v>1</v>
      </c>
      <c r="N36" s="138">
        <v>45569</v>
      </c>
      <c r="O36" s="123">
        <v>73415</v>
      </c>
      <c r="P36" s="7">
        <v>1</v>
      </c>
      <c r="Q36" s="7">
        <v>0</v>
      </c>
      <c r="R36" s="7">
        <v>1</v>
      </c>
    </row>
    <row r="37" spans="1:18" ht="13.5" customHeight="1">
      <c r="A37" s="7">
        <v>25</v>
      </c>
      <c r="B37" s="7"/>
      <c r="C37" s="7">
        <v>416148</v>
      </c>
      <c r="D37" s="7" t="s">
        <v>3532</v>
      </c>
      <c r="E37" s="7" t="s">
        <v>3818</v>
      </c>
      <c r="F37" s="7">
        <v>1</v>
      </c>
      <c r="G37" s="58">
        <v>99998</v>
      </c>
      <c r="H37" s="7" t="s">
        <v>3971</v>
      </c>
      <c r="I37" s="7">
        <v>401705</v>
      </c>
      <c r="J37" s="7" t="s">
        <v>3972</v>
      </c>
      <c r="K37" s="7">
        <v>401705</v>
      </c>
      <c r="L37" s="7" t="s">
        <v>3973</v>
      </c>
      <c r="M37" s="49">
        <v>1</v>
      </c>
      <c r="N37" s="138">
        <v>45569</v>
      </c>
      <c r="O37" s="123">
        <v>73415</v>
      </c>
      <c r="P37" s="7">
        <v>1</v>
      </c>
      <c r="Q37" s="7">
        <v>0</v>
      </c>
      <c r="R37" s="7">
        <v>1</v>
      </c>
    </row>
    <row r="38" spans="1:18" ht="13.5" customHeight="1">
      <c r="A38" s="7">
        <v>26</v>
      </c>
      <c r="B38" s="7"/>
      <c r="C38" s="7">
        <v>416149</v>
      </c>
      <c r="D38" s="7" t="s">
        <v>3533</v>
      </c>
      <c r="E38" s="7" t="s">
        <v>3819</v>
      </c>
      <c r="F38" s="7">
        <v>1</v>
      </c>
      <c r="G38" s="58">
        <v>99998</v>
      </c>
      <c r="H38" s="7" t="s">
        <v>3971</v>
      </c>
      <c r="I38" s="7">
        <v>401705</v>
      </c>
      <c r="J38" s="7" t="s">
        <v>3972</v>
      </c>
      <c r="K38" s="7">
        <v>401705</v>
      </c>
      <c r="L38" s="7" t="s">
        <v>3973</v>
      </c>
      <c r="M38" s="49">
        <v>1</v>
      </c>
      <c r="N38" s="138">
        <v>45569</v>
      </c>
      <c r="O38" s="123">
        <v>73415</v>
      </c>
      <c r="P38" s="7">
        <v>1</v>
      </c>
      <c r="Q38" s="7">
        <v>0</v>
      </c>
      <c r="R38" s="7">
        <v>1</v>
      </c>
    </row>
    <row r="39" spans="1:18" ht="13.5" customHeight="1">
      <c r="A39" s="7">
        <v>27</v>
      </c>
      <c r="B39" s="7"/>
      <c r="C39" s="7">
        <v>416150</v>
      </c>
      <c r="D39" s="7" t="s">
        <v>3534</v>
      </c>
      <c r="E39" s="7" t="s">
        <v>3820</v>
      </c>
      <c r="F39" s="7">
        <v>1</v>
      </c>
      <c r="G39" s="58">
        <v>99998</v>
      </c>
      <c r="H39" s="7" t="s">
        <v>3971</v>
      </c>
      <c r="I39" s="7">
        <v>401705</v>
      </c>
      <c r="J39" s="7" t="s">
        <v>3972</v>
      </c>
      <c r="K39" s="7">
        <v>401705</v>
      </c>
      <c r="L39" s="7" t="s">
        <v>3973</v>
      </c>
      <c r="M39" s="49">
        <v>1</v>
      </c>
      <c r="N39" s="138">
        <v>45569</v>
      </c>
      <c r="O39" s="123">
        <v>73415</v>
      </c>
      <c r="P39" s="7">
        <v>1</v>
      </c>
      <c r="Q39" s="7">
        <v>0</v>
      </c>
      <c r="R39" s="7">
        <v>1</v>
      </c>
    </row>
    <row r="40" spans="1:18" ht="13.5" customHeight="1">
      <c r="A40" s="7">
        <v>28</v>
      </c>
      <c r="B40" s="7"/>
      <c r="C40" s="7">
        <v>416151</v>
      </c>
      <c r="D40" s="7" t="s">
        <v>3535</v>
      </c>
      <c r="E40" s="7" t="s">
        <v>3821</v>
      </c>
      <c r="F40" s="7">
        <v>1</v>
      </c>
      <c r="G40" s="58">
        <v>99998</v>
      </c>
      <c r="H40" s="7" t="s">
        <v>3971</v>
      </c>
      <c r="I40" s="7">
        <v>401705</v>
      </c>
      <c r="J40" s="7" t="s">
        <v>3972</v>
      </c>
      <c r="K40" s="7">
        <v>401705</v>
      </c>
      <c r="L40" s="7" t="s">
        <v>3973</v>
      </c>
      <c r="M40" s="49">
        <v>1</v>
      </c>
      <c r="N40" s="138">
        <v>45569</v>
      </c>
      <c r="O40" s="123">
        <v>73415</v>
      </c>
      <c r="P40" s="7">
        <v>1</v>
      </c>
      <c r="Q40" s="7">
        <v>0</v>
      </c>
      <c r="R40" s="7">
        <v>1</v>
      </c>
    </row>
    <row r="41" spans="1:18" ht="13.5" customHeight="1">
      <c r="A41" s="7">
        <v>29</v>
      </c>
      <c r="B41" s="7"/>
      <c r="C41" s="7">
        <v>416152</v>
      </c>
      <c r="D41" s="7" t="s">
        <v>3949</v>
      </c>
      <c r="E41" s="7" t="s">
        <v>3822</v>
      </c>
      <c r="F41" s="7">
        <v>1</v>
      </c>
      <c r="G41" s="58">
        <v>99998</v>
      </c>
      <c r="H41" s="7" t="s">
        <v>3971</v>
      </c>
      <c r="I41" s="7">
        <v>401705</v>
      </c>
      <c r="J41" s="7" t="s">
        <v>3972</v>
      </c>
      <c r="K41" s="7">
        <v>401705</v>
      </c>
      <c r="L41" s="7" t="s">
        <v>3973</v>
      </c>
      <c r="M41" s="49">
        <v>1</v>
      </c>
      <c r="N41" s="138">
        <v>45569</v>
      </c>
      <c r="O41" s="123">
        <v>73415</v>
      </c>
      <c r="P41" s="7">
        <v>1</v>
      </c>
      <c r="Q41" s="7">
        <v>0</v>
      </c>
      <c r="R41" s="7">
        <v>1</v>
      </c>
    </row>
    <row r="42" spans="1:18" ht="13.5" customHeight="1">
      <c r="A42" s="7">
        <v>30</v>
      </c>
      <c r="B42" s="7"/>
      <c r="C42" s="7">
        <v>416153</v>
      </c>
      <c r="D42" s="7" t="s">
        <v>3536</v>
      </c>
      <c r="E42" s="7" t="s">
        <v>3823</v>
      </c>
      <c r="F42" s="7">
        <v>1</v>
      </c>
      <c r="G42" s="58">
        <v>99998</v>
      </c>
      <c r="H42" s="7" t="s">
        <v>3971</v>
      </c>
      <c r="I42" s="7">
        <v>401705</v>
      </c>
      <c r="J42" s="7" t="s">
        <v>3972</v>
      </c>
      <c r="K42" s="7">
        <v>401705</v>
      </c>
      <c r="L42" s="7" t="s">
        <v>3973</v>
      </c>
      <c r="M42" s="49">
        <v>1</v>
      </c>
      <c r="N42" s="138">
        <v>45569</v>
      </c>
      <c r="O42" s="123">
        <v>73415</v>
      </c>
      <c r="P42" s="7">
        <v>1</v>
      </c>
      <c r="Q42" s="7">
        <v>0</v>
      </c>
      <c r="R42" s="7">
        <v>1</v>
      </c>
    </row>
    <row r="43" spans="1:18" ht="13.5" customHeight="1">
      <c r="A43" s="7">
        <v>31</v>
      </c>
      <c r="B43" s="7"/>
      <c r="C43" s="7">
        <v>416154</v>
      </c>
      <c r="D43" s="7" t="s">
        <v>3537</v>
      </c>
      <c r="E43" s="7" t="s">
        <v>3824</v>
      </c>
      <c r="F43" s="7">
        <v>1</v>
      </c>
      <c r="G43" s="58">
        <v>99998</v>
      </c>
      <c r="H43" s="7" t="s">
        <v>3971</v>
      </c>
      <c r="I43" s="7">
        <v>401705</v>
      </c>
      <c r="J43" s="7" t="s">
        <v>3972</v>
      </c>
      <c r="K43" s="7">
        <v>401705</v>
      </c>
      <c r="L43" s="7" t="s">
        <v>3973</v>
      </c>
      <c r="M43" s="49">
        <v>1</v>
      </c>
      <c r="N43" s="138">
        <v>45569</v>
      </c>
      <c r="O43" s="123">
        <v>73415</v>
      </c>
      <c r="P43" s="7">
        <v>1</v>
      </c>
      <c r="Q43" s="7">
        <v>0</v>
      </c>
      <c r="R43" s="7">
        <v>1</v>
      </c>
    </row>
    <row r="44" spans="1:18" ht="13.5" customHeight="1">
      <c r="A44" s="7">
        <v>32</v>
      </c>
      <c r="B44" s="7"/>
      <c r="C44" s="7">
        <v>416155</v>
      </c>
      <c r="D44" s="7" t="s">
        <v>3538</v>
      </c>
      <c r="E44" s="7" t="s">
        <v>3825</v>
      </c>
      <c r="F44" s="7">
        <v>1</v>
      </c>
      <c r="G44" s="58">
        <v>99998</v>
      </c>
      <c r="H44" s="7" t="s">
        <v>3971</v>
      </c>
      <c r="I44" s="7">
        <v>401705</v>
      </c>
      <c r="J44" s="7" t="s">
        <v>3972</v>
      </c>
      <c r="K44" s="7">
        <v>401705</v>
      </c>
      <c r="L44" s="7" t="s">
        <v>3973</v>
      </c>
      <c r="M44" s="49">
        <v>1</v>
      </c>
      <c r="N44" s="138">
        <v>45569</v>
      </c>
      <c r="O44" s="123">
        <v>73415</v>
      </c>
      <c r="P44" s="7">
        <v>1</v>
      </c>
      <c r="Q44" s="7">
        <v>0</v>
      </c>
      <c r="R44" s="7">
        <v>1</v>
      </c>
    </row>
    <row r="45" spans="1:18" ht="13.5" customHeight="1">
      <c r="A45" s="7">
        <v>33</v>
      </c>
      <c r="B45" s="7"/>
      <c r="C45" s="7">
        <v>416156</v>
      </c>
      <c r="D45" s="7" t="s">
        <v>3539</v>
      </c>
      <c r="E45" s="7" t="s">
        <v>3826</v>
      </c>
      <c r="F45" s="7">
        <v>1</v>
      </c>
      <c r="G45" s="58">
        <v>99998</v>
      </c>
      <c r="H45" s="7" t="s">
        <v>3971</v>
      </c>
      <c r="I45" s="7">
        <v>401705</v>
      </c>
      <c r="J45" s="7" t="s">
        <v>3972</v>
      </c>
      <c r="K45" s="7">
        <v>401705</v>
      </c>
      <c r="L45" s="7" t="s">
        <v>3973</v>
      </c>
      <c r="M45" s="49">
        <v>1</v>
      </c>
      <c r="N45" s="138">
        <v>45569</v>
      </c>
      <c r="O45" s="123">
        <v>73415</v>
      </c>
      <c r="P45" s="7">
        <v>1</v>
      </c>
      <c r="Q45" s="7">
        <v>0</v>
      </c>
      <c r="R45" s="7">
        <v>1</v>
      </c>
    </row>
    <row r="46" spans="1:18" ht="13.5" customHeight="1">
      <c r="A46" s="7">
        <v>34</v>
      </c>
      <c r="B46" s="7"/>
      <c r="C46" s="7">
        <v>416157</v>
      </c>
      <c r="D46" s="7" t="s">
        <v>3950</v>
      </c>
      <c r="E46" s="7" t="s">
        <v>3827</v>
      </c>
      <c r="F46" s="7">
        <v>1</v>
      </c>
      <c r="G46" s="58">
        <v>99998</v>
      </c>
      <c r="H46" s="7" t="s">
        <v>3971</v>
      </c>
      <c r="I46" s="7">
        <v>401705</v>
      </c>
      <c r="J46" s="7" t="s">
        <v>3972</v>
      </c>
      <c r="K46" s="7">
        <v>401705</v>
      </c>
      <c r="L46" s="7" t="s">
        <v>3973</v>
      </c>
      <c r="M46" s="49">
        <v>1</v>
      </c>
      <c r="N46" s="138">
        <v>45569</v>
      </c>
      <c r="O46" s="123">
        <v>73415</v>
      </c>
      <c r="P46" s="7">
        <v>1</v>
      </c>
      <c r="Q46" s="7">
        <v>0</v>
      </c>
      <c r="R46" s="7">
        <v>1</v>
      </c>
    </row>
    <row r="47" spans="1:18" ht="13.5" customHeight="1">
      <c r="A47" s="7">
        <v>35</v>
      </c>
      <c r="B47" s="7"/>
      <c r="C47" s="7">
        <v>416158</v>
      </c>
      <c r="D47" s="7" t="s">
        <v>3951</v>
      </c>
      <c r="E47" s="7" t="s">
        <v>3828</v>
      </c>
      <c r="F47" s="7">
        <v>1</v>
      </c>
      <c r="G47" s="58">
        <v>99998</v>
      </c>
      <c r="H47" s="7" t="s">
        <v>3971</v>
      </c>
      <c r="I47" s="7">
        <v>401705</v>
      </c>
      <c r="J47" s="7" t="s">
        <v>3972</v>
      </c>
      <c r="K47" s="7">
        <v>401705</v>
      </c>
      <c r="L47" s="7" t="s">
        <v>3973</v>
      </c>
      <c r="M47" s="49">
        <v>1</v>
      </c>
      <c r="N47" s="138">
        <v>45569</v>
      </c>
      <c r="O47" s="123">
        <v>73415</v>
      </c>
      <c r="P47" s="7">
        <v>1</v>
      </c>
      <c r="Q47" s="7">
        <v>0</v>
      </c>
      <c r="R47" s="7">
        <v>1</v>
      </c>
    </row>
    <row r="48" spans="1:18" ht="13.5" customHeight="1">
      <c r="A48" s="7">
        <v>36</v>
      </c>
      <c r="B48" s="7"/>
      <c r="C48" s="7">
        <v>416159</v>
      </c>
      <c r="D48" s="7" t="s">
        <v>3540</v>
      </c>
      <c r="E48" s="7" t="s">
        <v>3829</v>
      </c>
      <c r="F48" s="7">
        <v>1</v>
      </c>
      <c r="G48" s="58">
        <v>99998</v>
      </c>
      <c r="H48" s="7" t="s">
        <v>3971</v>
      </c>
      <c r="I48" s="7">
        <v>401705</v>
      </c>
      <c r="J48" s="7" t="s">
        <v>3972</v>
      </c>
      <c r="K48" s="7">
        <v>401705</v>
      </c>
      <c r="L48" s="7" t="s">
        <v>3973</v>
      </c>
      <c r="M48" s="49">
        <v>1</v>
      </c>
      <c r="N48" s="138">
        <v>45569</v>
      </c>
      <c r="O48" s="123">
        <v>73415</v>
      </c>
      <c r="P48" s="7">
        <v>1</v>
      </c>
      <c r="Q48" s="7">
        <v>0</v>
      </c>
      <c r="R48" s="7">
        <v>1</v>
      </c>
    </row>
    <row r="49" spans="1:18" ht="13.5" customHeight="1">
      <c r="A49" s="7">
        <v>37</v>
      </c>
      <c r="B49" s="7"/>
      <c r="C49" s="7">
        <v>416160</v>
      </c>
      <c r="D49" s="7" t="s">
        <v>3541</v>
      </c>
      <c r="E49" s="7" t="s">
        <v>3830</v>
      </c>
      <c r="F49" s="7">
        <v>1</v>
      </c>
      <c r="G49" s="58">
        <v>99998</v>
      </c>
      <c r="H49" s="7" t="s">
        <v>3971</v>
      </c>
      <c r="I49" s="7">
        <v>401705</v>
      </c>
      <c r="J49" s="7" t="s">
        <v>3972</v>
      </c>
      <c r="K49" s="7">
        <v>401705</v>
      </c>
      <c r="L49" s="7" t="s">
        <v>3973</v>
      </c>
      <c r="M49" s="49">
        <v>1</v>
      </c>
      <c r="N49" s="138">
        <v>45569</v>
      </c>
      <c r="O49" s="123">
        <v>73415</v>
      </c>
      <c r="P49" s="7">
        <v>1</v>
      </c>
      <c r="Q49" s="7">
        <v>0</v>
      </c>
      <c r="R49" s="7">
        <v>1</v>
      </c>
    </row>
    <row r="50" spans="1:18" ht="13.5" customHeight="1">
      <c r="A50" s="7">
        <v>38</v>
      </c>
      <c r="B50" s="7"/>
      <c r="C50" s="7">
        <v>416161</v>
      </c>
      <c r="D50" s="7" t="s">
        <v>3542</v>
      </c>
      <c r="E50" s="7" t="s">
        <v>3831</v>
      </c>
      <c r="F50" s="7">
        <v>1</v>
      </c>
      <c r="G50" s="58">
        <v>99998</v>
      </c>
      <c r="H50" s="7" t="s">
        <v>3971</v>
      </c>
      <c r="I50" s="7">
        <v>401705</v>
      </c>
      <c r="J50" s="7" t="s">
        <v>3972</v>
      </c>
      <c r="K50" s="7">
        <v>401705</v>
      </c>
      <c r="L50" s="7" t="s">
        <v>3973</v>
      </c>
      <c r="M50" s="49">
        <v>1</v>
      </c>
      <c r="N50" s="138">
        <v>45569</v>
      </c>
      <c r="O50" s="123">
        <v>73415</v>
      </c>
      <c r="P50" s="7">
        <v>1</v>
      </c>
      <c r="Q50" s="7">
        <v>0</v>
      </c>
      <c r="R50" s="7">
        <v>1</v>
      </c>
    </row>
    <row r="51" spans="1:18" ht="13.5" customHeight="1">
      <c r="A51" s="7">
        <v>39</v>
      </c>
      <c r="B51" s="7"/>
      <c r="C51" s="7">
        <v>416162</v>
      </c>
      <c r="D51" s="7" t="s">
        <v>3543</v>
      </c>
      <c r="E51" s="7" t="s">
        <v>3832</v>
      </c>
      <c r="F51" s="7">
        <v>1</v>
      </c>
      <c r="G51" s="58">
        <v>99998</v>
      </c>
      <c r="H51" s="7" t="s">
        <v>3971</v>
      </c>
      <c r="I51" s="7">
        <v>401705</v>
      </c>
      <c r="J51" s="7" t="s">
        <v>3972</v>
      </c>
      <c r="K51" s="7">
        <v>401705</v>
      </c>
      <c r="L51" s="7" t="s">
        <v>3973</v>
      </c>
      <c r="M51" s="49">
        <v>1</v>
      </c>
      <c r="N51" s="138">
        <v>45569</v>
      </c>
      <c r="O51" s="123">
        <v>73415</v>
      </c>
      <c r="P51" s="7">
        <v>1</v>
      </c>
      <c r="Q51" s="7">
        <v>0</v>
      </c>
      <c r="R51" s="7">
        <v>1</v>
      </c>
    </row>
    <row r="52" spans="1:18" ht="13.5" customHeight="1">
      <c r="A52" s="7">
        <v>40</v>
      </c>
      <c r="B52" s="7"/>
      <c r="C52" s="7">
        <v>416163</v>
      </c>
      <c r="D52" s="7" t="s">
        <v>3544</v>
      </c>
      <c r="E52" s="7" t="s">
        <v>3833</v>
      </c>
      <c r="F52" s="7">
        <v>1</v>
      </c>
      <c r="G52" s="58">
        <v>99998</v>
      </c>
      <c r="H52" s="7" t="s">
        <v>3971</v>
      </c>
      <c r="I52" s="7">
        <v>401705</v>
      </c>
      <c r="J52" s="7" t="s">
        <v>3972</v>
      </c>
      <c r="K52" s="7">
        <v>401705</v>
      </c>
      <c r="L52" s="7" t="s">
        <v>3973</v>
      </c>
      <c r="M52" s="49">
        <v>1</v>
      </c>
      <c r="N52" s="138">
        <v>45569</v>
      </c>
      <c r="O52" s="123">
        <v>73415</v>
      </c>
      <c r="P52" s="7">
        <v>1</v>
      </c>
      <c r="Q52" s="7">
        <v>0</v>
      </c>
      <c r="R52" s="7">
        <v>1</v>
      </c>
    </row>
    <row r="53" spans="1:18" ht="13.5" customHeight="1">
      <c r="A53" s="7">
        <v>41</v>
      </c>
      <c r="B53" s="7"/>
      <c r="C53" s="7">
        <v>416164</v>
      </c>
      <c r="D53" s="7" t="s">
        <v>3545</v>
      </c>
      <c r="E53" s="7" t="s">
        <v>3834</v>
      </c>
      <c r="F53" s="7">
        <v>1</v>
      </c>
      <c r="G53" s="58">
        <v>99998</v>
      </c>
      <c r="H53" s="7" t="s">
        <v>3971</v>
      </c>
      <c r="I53" s="7">
        <v>401705</v>
      </c>
      <c r="J53" s="7" t="s">
        <v>3972</v>
      </c>
      <c r="K53" s="7">
        <v>401705</v>
      </c>
      <c r="L53" s="7" t="s">
        <v>3973</v>
      </c>
      <c r="M53" s="49">
        <v>1</v>
      </c>
      <c r="N53" s="138">
        <v>45569</v>
      </c>
      <c r="O53" s="123">
        <v>73415</v>
      </c>
      <c r="P53" s="7">
        <v>1</v>
      </c>
      <c r="Q53" s="7">
        <v>0</v>
      </c>
      <c r="R53" s="7">
        <v>1</v>
      </c>
    </row>
    <row r="54" spans="1:18" ht="13.5" customHeight="1">
      <c r="A54" s="7">
        <v>42</v>
      </c>
      <c r="B54" s="7"/>
      <c r="C54" s="7">
        <v>416165</v>
      </c>
      <c r="D54" s="7" t="s">
        <v>3546</v>
      </c>
      <c r="E54" s="7" t="s">
        <v>3835</v>
      </c>
      <c r="F54" s="7">
        <v>1</v>
      </c>
      <c r="G54" s="58">
        <v>99998</v>
      </c>
      <c r="H54" s="7" t="s">
        <v>3971</v>
      </c>
      <c r="I54" s="7">
        <v>401705</v>
      </c>
      <c r="J54" s="7" t="s">
        <v>3972</v>
      </c>
      <c r="K54" s="7">
        <v>401705</v>
      </c>
      <c r="L54" s="7" t="s">
        <v>3973</v>
      </c>
      <c r="M54" s="49">
        <v>1</v>
      </c>
      <c r="N54" s="138">
        <v>45569</v>
      </c>
      <c r="O54" s="123">
        <v>73415</v>
      </c>
      <c r="P54" s="7">
        <v>1</v>
      </c>
      <c r="Q54" s="7">
        <v>0</v>
      </c>
      <c r="R54" s="7">
        <v>1</v>
      </c>
    </row>
    <row r="55" spans="1:18" ht="13.5" customHeight="1">
      <c r="A55" s="7">
        <v>43</v>
      </c>
      <c r="B55" s="7"/>
      <c r="C55" s="7">
        <v>416166</v>
      </c>
      <c r="D55" s="7" t="s">
        <v>3952</v>
      </c>
      <c r="E55" s="7" t="s">
        <v>3836</v>
      </c>
      <c r="F55" s="7">
        <v>1</v>
      </c>
      <c r="G55" s="58">
        <v>99998</v>
      </c>
      <c r="H55" s="7" t="s">
        <v>3971</v>
      </c>
      <c r="I55" s="7">
        <v>401705</v>
      </c>
      <c r="J55" s="7" t="s">
        <v>3972</v>
      </c>
      <c r="K55" s="7">
        <v>401705</v>
      </c>
      <c r="L55" s="7" t="s">
        <v>3973</v>
      </c>
      <c r="M55" s="49">
        <v>1</v>
      </c>
      <c r="N55" s="138">
        <v>45569</v>
      </c>
      <c r="O55" s="123">
        <v>73415</v>
      </c>
      <c r="P55" s="7">
        <v>1</v>
      </c>
      <c r="Q55" s="7">
        <v>0</v>
      </c>
      <c r="R55" s="7">
        <v>1</v>
      </c>
    </row>
    <row r="56" spans="1:18" ht="13.5" customHeight="1">
      <c r="A56" s="7">
        <v>44</v>
      </c>
      <c r="B56" s="7"/>
      <c r="C56" s="7">
        <v>416167</v>
      </c>
      <c r="D56" s="7" t="s">
        <v>3953</v>
      </c>
      <c r="E56" s="7" t="s">
        <v>3837</v>
      </c>
      <c r="F56" s="7">
        <v>1</v>
      </c>
      <c r="G56" s="58">
        <v>99998</v>
      </c>
      <c r="H56" s="7" t="s">
        <v>3971</v>
      </c>
      <c r="I56" s="7">
        <v>401705</v>
      </c>
      <c r="J56" s="7" t="s">
        <v>3972</v>
      </c>
      <c r="K56" s="7">
        <v>401705</v>
      </c>
      <c r="L56" s="7" t="s">
        <v>3973</v>
      </c>
      <c r="M56" s="49">
        <v>1</v>
      </c>
      <c r="N56" s="138">
        <v>45569</v>
      </c>
      <c r="O56" s="123">
        <v>73415</v>
      </c>
      <c r="P56" s="7">
        <v>1</v>
      </c>
      <c r="Q56" s="7">
        <v>0</v>
      </c>
      <c r="R56" s="7">
        <v>1</v>
      </c>
    </row>
    <row r="57" spans="1:18" ht="13.5" customHeight="1">
      <c r="A57" s="7">
        <v>45</v>
      </c>
      <c r="B57" s="7"/>
      <c r="C57" s="7">
        <v>416168</v>
      </c>
      <c r="D57" s="7" t="s">
        <v>3954</v>
      </c>
      <c r="E57" s="7" t="s">
        <v>3838</v>
      </c>
      <c r="F57" s="7">
        <v>1</v>
      </c>
      <c r="G57" s="58">
        <v>99998</v>
      </c>
      <c r="H57" s="7" t="s">
        <v>3971</v>
      </c>
      <c r="I57" s="7">
        <v>401705</v>
      </c>
      <c r="J57" s="7" t="s">
        <v>3972</v>
      </c>
      <c r="K57" s="7">
        <v>401705</v>
      </c>
      <c r="L57" s="7" t="s">
        <v>3973</v>
      </c>
      <c r="M57" s="49">
        <v>1</v>
      </c>
      <c r="N57" s="138">
        <v>45569</v>
      </c>
      <c r="O57" s="123">
        <v>73415</v>
      </c>
      <c r="P57" s="7">
        <v>1</v>
      </c>
      <c r="Q57" s="7">
        <v>0</v>
      </c>
      <c r="R57" s="7">
        <v>1</v>
      </c>
    </row>
    <row r="58" spans="1:18" ht="13.5" customHeight="1">
      <c r="A58" s="7">
        <v>46</v>
      </c>
      <c r="B58" s="7"/>
      <c r="C58" s="7">
        <v>416169</v>
      </c>
      <c r="D58" s="7" t="s">
        <v>3547</v>
      </c>
      <c r="E58" s="7" t="s">
        <v>3839</v>
      </c>
      <c r="F58" s="7">
        <v>1</v>
      </c>
      <c r="G58" s="58">
        <v>99998</v>
      </c>
      <c r="H58" s="7" t="s">
        <v>3971</v>
      </c>
      <c r="I58" s="7">
        <v>401705</v>
      </c>
      <c r="J58" s="7" t="s">
        <v>3972</v>
      </c>
      <c r="K58" s="7">
        <v>401705</v>
      </c>
      <c r="L58" s="7" t="s">
        <v>3973</v>
      </c>
      <c r="M58" s="49">
        <v>1</v>
      </c>
      <c r="N58" s="138">
        <v>45569</v>
      </c>
      <c r="O58" s="123">
        <v>73415</v>
      </c>
      <c r="P58" s="7">
        <v>1</v>
      </c>
      <c r="Q58" s="7">
        <v>0</v>
      </c>
      <c r="R58" s="7">
        <v>1</v>
      </c>
    </row>
    <row r="59" spans="1:18" ht="13.5" customHeight="1">
      <c r="A59" s="7">
        <v>47</v>
      </c>
      <c r="B59" s="7"/>
      <c r="C59" s="7">
        <v>416170</v>
      </c>
      <c r="D59" s="7" t="s">
        <v>3548</v>
      </c>
      <c r="E59" s="7" t="s">
        <v>3840</v>
      </c>
      <c r="F59" s="7">
        <v>1</v>
      </c>
      <c r="G59" s="58">
        <v>99998</v>
      </c>
      <c r="H59" s="7" t="s">
        <v>3971</v>
      </c>
      <c r="I59" s="7">
        <v>401705</v>
      </c>
      <c r="J59" s="7" t="s">
        <v>3972</v>
      </c>
      <c r="K59" s="7">
        <v>401705</v>
      </c>
      <c r="L59" s="7" t="s">
        <v>3973</v>
      </c>
      <c r="M59" s="49">
        <v>1</v>
      </c>
      <c r="N59" s="138">
        <v>45569</v>
      </c>
      <c r="O59" s="123">
        <v>73415</v>
      </c>
      <c r="P59" s="7">
        <v>1</v>
      </c>
      <c r="Q59" s="7">
        <v>0</v>
      </c>
      <c r="R59" s="7">
        <v>1</v>
      </c>
    </row>
    <row r="60" spans="1:18" ht="13.5" customHeight="1">
      <c r="A60" s="7">
        <v>48</v>
      </c>
      <c r="B60" s="7"/>
      <c r="C60" s="7">
        <v>416171</v>
      </c>
      <c r="D60" s="7" t="s">
        <v>3549</v>
      </c>
      <c r="E60" s="7" t="s">
        <v>3841</v>
      </c>
      <c r="F60" s="7">
        <v>1</v>
      </c>
      <c r="G60" s="58">
        <v>99998</v>
      </c>
      <c r="H60" s="7" t="s">
        <v>3971</v>
      </c>
      <c r="I60" s="7">
        <v>401705</v>
      </c>
      <c r="J60" s="7" t="s">
        <v>3972</v>
      </c>
      <c r="K60" s="7">
        <v>401705</v>
      </c>
      <c r="L60" s="7" t="s">
        <v>3973</v>
      </c>
      <c r="M60" s="49">
        <v>1</v>
      </c>
      <c r="N60" s="138">
        <v>45569</v>
      </c>
      <c r="O60" s="123">
        <v>73415</v>
      </c>
      <c r="P60" s="7">
        <v>1</v>
      </c>
      <c r="Q60" s="7">
        <v>0</v>
      </c>
      <c r="R60" s="7">
        <v>1</v>
      </c>
    </row>
    <row r="61" spans="1:18" ht="13.5" customHeight="1">
      <c r="A61" s="7">
        <v>49</v>
      </c>
      <c r="B61" s="7"/>
      <c r="C61" s="7">
        <v>416172</v>
      </c>
      <c r="D61" s="7" t="s">
        <v>3550</v>
      </c>
      <c r="E61" s="7" t="s">
        <v>3842</v>
      </c>
      <c r="F61" s="7">
        <v>1</v>
      </c>
      <c r="G61" s="58">
        <v>99998</v>
      </c>
      <c r="H61" s="7" t="s">
        <v>3971</v>
      </c>
      <c r="I61" s="7">
        <v>401705</v>
      </c>
      <c r="J61" s="7" t="s">
        <v>3972</v>
      </c>
      <c r="K61" s="7">
        <v>401705</v>
      </c>
      <c r="L61" s="7" t="s">
        <v>3973</v>
      </c>
      <c r="M61" s="49">
        <v>1</v>
      </c>
      <c r="N61" s="138">
        <v>45569</v>
      </c>
      <c r="O61" s="123">
        <v>73415</v>
      </c>
      <c r="P61" s="7">
        <v>1</v>
      </c>
      <c r="Q61" s="7">
        <v>0</v>
      </c>
      <c r="R61" s="7">
        <v>1</v>
      </c>
    </row>
    <row r="62" spans="1:18" ht="13.5" customHeight="1">
      <c r="A62" s="7">
        <v>50</v>
      </c>
      <c r="B62" s="7"/>
      <c r="C62" s="7">
        <v>416173</v>
      </c>
      <c r="D62" s="7" t="s">
        <v>3551</v>
      </c>
      <c r="E62" s="7" t="s">
        <v>3843</v>
      </c>
      <c r="F62" s="7">
        <v>1</v>
      </c>
      <c r="G62" s="58">
        <v>99998</v>
      </c>
      <c r="H62" s="7" t="s">
        <v>3971</v>
      </c>
      <c r="I62" s="7">
        <v>401705</v>
      </c>
      <c r="J62" s="7" t="s">
        <v>3972</v>
      </c>
      <c r="K62" s="7">
        <v>401705</v>
      </c>
      <c r="L62" s="7" t="s">
        <v>3973</v>
      </c>
      <c r="M62" s="49">
        <v>1</v>
      </c>
      <c r="N62" s="138">
        <v>45569</v>
      </c>
      <c r="O62" s="123">
        <v>73415</v>
      </c>
      <c r="P62" s="7">
        <v>1</v>
      </c>
      <c r="Q62" s="7">
        <v>0</v>
      </c>
      <c r="R62" s="7">
        <v>1</v>
      </c>
    </row>
    <row r="63" spans="1:18" ht="13.5" customHeight="1">
      <c r="A63" s="7">
        <v>51</v>
      </c>
      <c r="B63" s="7"/>
      <c r="C63" s="7">
        <v>416174</v>
      </c>
      <c r="D63" s="7" t="s">
        <v>3552</v>
      </c>
      <c r="E63" s="7" t="s">
        <v>3844</v>
      </c>
      <c r="F63" s="7">
        <v>1</v>
      </c>
      <c r="G63" s="58">
        <v>99998</v>
      </c>
      <c r="H63" s="7" t="s">
        <v>3971</v>
      </c>
      <c r="I63" s="7">
        <v>401705</v>
      </c>
      <c r="J63" s="7" t="s">
        <v>3972</v>
      </c>
      <c r="K63" s="7">
        <v>401705</v>
      </c>
      <c r="L63" s="7" t="s">
        <v>3973</v>
      </c>
      <c r="M63" s="49">
        <v>1</v>
      </c>
      <c r="N63" s="138">
        <v>45569</v>
      </c>
      <c r="O63" s="123">
        <v>73415</v>
      </c>
      <c r="P63" s="7">
        <v>1</v>
      </c>
      <c r="Q63" s="7">
        <v>0</v>
      </c>
      <c r="R63" s="7">
        <v>1</v>
      </c>
    </row>
    <row r="64" spans="1:18" ht="13.5" customHeight="1">
      <c r="A64" s="7">
        <v>52</v>
      </c>
      <c r="B64" s="7"/>
      <c r="C64" s="7">
        <v>416175</v>
      </c>
      <c r="D64" s="7" t="s">
        <v>3553</v>
      </c>
      <c r="E64" s="7" t="s">
        <v>3845</v>
      </c>
      <c r="F64" s="7">
        <v>1</v>
      </c>
      <c r="G64" s="58">
        <v>99998</v>
      </c>
      <c r="H64" s="7" t="s">
        <v>3971</v>
      </c>
      <c r="I64" s="7">
        <v>401705</v>
      </c>
      <c r="J64" s="7" t="s">
        <v>3972</v>
      </c>
      <c r="K64" s="7">
        <v>401705</v>
      </c>
      <c r="L64" s="7" t="s">
        <v>3973</v>
      </c>
      <c r="M64" s="49">
        <v>1</v>
      </c>
      <c r="N64" s="138">
        <v>45569</v>
      </c>
      <c r="O64" s="123">
        <v>73415</v>
      </c>
      <c r="P64" s="7">
        <v>1</v>
      </c>
      <c r="Q64" s="7">
        <v>0</v>
      </c>
      <c r="R64" s="7">
        <v>1</v>
      </c>
    </row>
    <row r="65" spans="1:18" ht="13.5" customHeight="1">
      <c r="A65" s="7">
        <v>53</v>
      </c>
      <c r="B65" s="7"/>
      <c r="C65" s="7">
        <v>416176</v>
      </c>
      <c r="D65" s="7" t="s">
        <v>3554</v>
      </c>
      <c r="E65" s="7" t="s">
        <v>3846</v>
      </c>
      <c r="F65" s="7">
        <v>1</v>
      </c>
      <c r="G65" s="58">
        <v>99998</v>
      </c>
      <c r="H65" s="7" t="s">
        <v>3971</v>
      </c>
      <c r="I65" s="7">
        <v>401705</v>
      </c>
      <c r="J65" s="7" t="s">
        <v>3972</v>
      </c>
      <c r="K65" s="7">
        <v>401705</v>
      </c>
      <c r="L65" s="7" t="s">
        <v>3973</v>
      </c>
      <c r="M65" s="49">
        <v>1</v>
      </c>
      <c r="N65" s="138">
        <v>45569</v>
      </c>
      <c r="O65" s="123">
        <v>73415</v>
      </c>
      <c r="P65" s="7">
        <v>1</v>
      </c>
      <c r="Q65" s="7">
        <v>0</v>
      </c>
      <c r="R65" s="7">
        <v>1</v>
      </c>
    </row>
    <row r="66" spans="1:18" ht="13.5" customHeight="1">
      <c r="A66" s="7">
        <v>54</v>
      </c>
      <c r="B66" s="7"/>
      <c r="C66" s="7">
        <v>416177</v>
      </c>
      <c r="D66" s="7" t="s">
        <v>3555</v>
      </c>
      <c r="E66" s="7" t="s">
        <v>3847</v>
      </c>
      <c r="F66" s="7">
        <v>1</v>
      </c>
      <c r="G66" s="58">
        <v>99998</v>
      </c>
      <c r="H66" s="7" t="s">
        <v>3971</v>
      </c>
      <c r="I66" s="7">
        <v>401705</v>
      </c>
      <c r="J66" s="7" t="s">
        <v>3972</v>
      </c>
      <c r="K66" s="7">
        <v>401705</v>
      </c>
      <c r="L66" s="7" t="s">
        <v>3973</v>
      </c>
      <c r="M66" s="49">
        <v>1</v>
      </c>
      <c r="N66" s="138">
        <v>45569</v>
      </c>
      <c r="O66" s="123">
        <v>73415</v>
      </c>
      <c r="P66" s="7">
        <v>1</v>
      </c>
      <c r="Q66" s="7">
        <v>0</v>
      </c>
      <c r="R66" s="7">
        <v>1</v>
      </c>
    </row>
    <row r="67" spans="1:18" ht="13.5" customHeight="1">
      <c r="A67" s="7">
        <v>55</v>
      </c>
      <c r="B67" s="7"/>
      <c r="C67" s="7">
        <v>416178</v>
      </c>
      <c r="D67" s="7" t="s">
        <v>3556</v>
      </c>
      <c r="E67" s="7" t="s">
        <v>3848</v>
      </c>
      <c r="F67" s="7">
        <v>1</v>
      </c>
      <c r="G67" s="58">
        <v>99998</v>
      </c>
      <c r="H67" s="7" t="s">
        <v>3971</v>
      </c>
      <c r="I67" s="7">
        <v>401705</v>
      </c>
      <c r="J67" s="7" t="s">
        <v>3972</v>
      </c>
      <c r="K67" s="7">
        <v>401705</v>
      </c>
      <c r="L67" s="7" t="s">
        <v>3973</v>
      </c>
      <c r="M67" s="49">
        <v>1</v>
      </c>
      <c r="N67" s="138">
        <v>45569</v>
      </c>
      <c r="O67" s="123">
        <v>73415</v>
      </c>
      <c r="P67" s="7">
        <v>1</v>
      </c>
      <c r="Q67" s="7">
        <v>0</v>
      </c>
      <c r="R67" s="7">
        <v>1</v>
      </c>
    </row>
    <row r="68" spans="1:18" ht="13.5" customHeight="1">
      <c r="A68" s="7">
        <v>56</v>
      </c>
      <c r="B68" s="7"/>
      <c r="C68" s="7">
        <v>416179</v>
      </c>
      <c r="D68" s="7" t="s">
        <v>3557</v>
      </c>
      <c r="E68" s="7" t="s">
        <v>3849</v>
      </c>
      <c r="F68" s="7">
        <v>1</v>
      </c>
      <c r="G68" s="58">
        <v>99998</v>
      </c>
      <c r="H68" s="7" t="s">
        <v>3971</v>
      </c>
      <c r="I68" s="7">
        <v>401705</v>
      </c>
      <c r="J68" s="7" t="s">
        <v>3972</v>
      </c>
      <c r="K68" s="7">
        <v>401705</v>
      </c>
      <c r="L68" s="7" t="s">
        <v>3973</v>
      </c>
      <c r="M68" s="49">
        <v>1</v>
      </c>
      <c r="N68" s="138">
        <v>45569</v>
      </c>
      <c r="O68" s="123">
        <v>73415</v>
      </c>
      <c r="P68" s="7">
        <v>1</v>
      </c>
      <c r="Q68" s="7">
        <v>0</v>
      </c>
      <c r="R68" s="7">
        <v>1</v>
      </c>
    </row>
    <row r="69" spans="1:18" ht="13.5" customHeight="1">
      <c r="A69" s="7">
        <v>57</v>
      </c>
      <c r="B69" s="7"/>
      <c r="C69" s="7">
        <v>416180</v>
      </c>
      <c r="D69" s="7" t="s">
        <v>3558</v>
      </c>
      <c r="E69" s="7"/>
      <c r="F69" s="7">
        <v>1</v>
      </c>
      <c r="G69" s="58">
        <v>99998</v>
      </c>
      <c r="H69" s="7" t="s">
        <v>3971</v>
      </c>
      <c r="I69" s="7">
        <v>401705</v>
      </c>
      <c r="J69" s="7" t="s">
        <v>3972</v>
      </c>
      <c r="K69" s="7">
        <v>401705</v>
      </c>
      <c r="L69" s="7" t="s">
        <v>3973</v>
      </c>
      <c r="M69" s="49">
        <v>1</v>
      </c>
      <c r="N69" s="138">
        <v>45569</v>
      </c>
      <c r="O69" s="123">
        <v>73415</v>
      </c>
      <c r="P69" s="7">
        <v>1</v>
      </c>
      <c r="Q69" s="7">
        <v>0</v>
      </c>
      <c r="R69" s="7">
        <v>1</v>
      </c>
    </row>
    <row r="70" spans="1:18" ht="13.5" customHeight="1">
      <c r="A70" s="7">
        <v>58</v>
      </c>
      <c r="B70" s="7"/>
      <c r="C70" s="7">
        <v>416181</v>
      </c>
      <c r="D70" s="7" t="s">
        <v>3559</v>
      </c>
      <c r="E70" s="7" t="s">
        <v>3850</v>
      </c>
      <c r="F70" s="7">
        <v>1</v>
      </c>
      <c r="G70" s="58">
        <v>99998</v>
      </c>
      <c r="H70" s="7" t="s">
        <v>3971</v>
      </c>
      <c r="I70" s="7">
        <v>401705</v>
      </c>
      <c r="J70" s="7" t="s">
        <v>3972</v>
      </c>
      <c r="K70" s="7">
        <v>401705</v>
      </c>
      <c r="L70" s="7" t="s">
        <v>3973</v>
      </c>
      <c r="M70" s="49">
        <v>1</v>
      </c>
      <c r="N70" s="138">
        <v>45569</v>
      </c>
      <c r="O70" s="123">
        <v>73415</v>
      </c>
      <c r="P70" s="7">
        <v>1</v>
      </c>
      <c r="Q70" s="7">
        <v>0</v>
      </c>
      <c r="R70" s="7">
        <v>1</v>
      </c>
    </row>
    <row r="71" spans="1:18" ht="13.5" customHeight="1">
      <c r="A71" s="7">
        <v>59</v>
      </c>
      <c r="B71" s="7"/>
      <c r="C71" s="7">
        <v>416182</v>
      </c>
      <c r="D71" s="7" t="s">
        <v>3955</v>
      </c>
      <c r="E71" s="7" t="s">
        <v>3851</v>
      </c>
      <c r="F71" s="7">
        <v>1</v>
      </c>
      <c r="G71" s="58">
        <v>99998</v>
      </c>
      <c r="H71" s="7" t="s">
        <v>3971</v>
      </c>
      <c r="I71" s="7">
        <v>401705</v>
      </c>
      <c r="J71" s="7" t="s">
        <v>3972</v>
      </c>
      <c r="K71" s="7">
        <v>401705</v>
      </c>
      <c r="L71" s="7" t="s">
        <v>3973</v>
      </c>
      <c r="M71" s="49">
        <v>1</v>
      </c>
      <c r="N71" s="138">
        <v>45569</v>
      </c>
      <c r="O71" s="123">
        <v>73415</v>
      </c>
      <c r="P71" s="7">
        <v>1</v>
      </c>
      <c r="Q71" s="7">
        <v>0</v>
      </c>
      <c r="R71" s="7">
        <v>1</v>
      </c>
    </row>
    <row r="72" spans="1:18" s="10" customFormat="1" ht="13.5" customHeight="1">
      <c r="A72" s="7">
        <v>60</v>
      </c>
      <c r="B72" s="7"/>
      <c r="C72" s="7">
        <v>416183</v>
      </c>
      <c r="D72" s="7" t="s">
        <v>3956</v>
      </c>
      <c r="E72" s="7"/>
      <c r="F72" s="7">
        <v>1</v>
      </c>
      <c r="G72" s="58">
        <v>99998</v>
      </c>
      <c r="H72" s="7" t="s">
        <v>3971</v>
      </c>
      <c r="I72" s="7">
        <v>401705</v>
      </c>
      <c r="J72" s="7" t="s">
        <v>3972</v>
      </c>
      <c r="K72" s="7">
        <v>401705</v>
      </c>
      <c r="L72" s="7" t="s">
        <v>3973</v>
      </c>
      <c r="M72" s="49">
        <v>1</v>
      </c>
      <c r="N72" s="138">
        <v>45569</v>
      </c>
      <c r="O72" s="123">
        <v>73415</v>
      </c>
      <c r="P72" s="7">
        <v>1</v>
      </c>
      <c r="Q72" s="7">
        <v>0</v>
      </c>
      <c r="R72" s="7">
        <v>1</v>
      </c>
    </row>
    <row r="73" spans="1:18" ht="13.5" customHeight="1">
      <c r="A73" s="7">
        <v>61</v>
      </c>
      <c r="B73" s="7"/>
      <c r="C73" s="7">
        <v>416184</v>
      </c>
      <c r="D73" s="7" t="s">
        <v>3560</v>
      </c>
      <c r="E73" s="7"/>
      <c r="F73" s="7">
        <v>1</v>
      </c>
      <c r="G73" s="58">
        <v>99998</v>
      </c>
      <c r="H73" s="7" t="s">
        <v>3971</v>
      </c>
      <c r="I73" s="7">
        <v>401705</v>
      </c>
      <c r="J73" s="7" t="s">
        <v>3972</v>
      </c>
      <c r="K73" s="7">
        <v>401705</v>
      </c>
      <c r="L73" s="7" t="s">
        <v>3973</v>
      </c>
      <c r="M73" s="49">
        <v>1</v>
      </c>
      <c r="N73" s="138">
        <v>45569</v>
      </c>
      <c r="O73" s="123">
        <v>73415</v>
      </c>
      <c r="P73" s="7">
        <v>1</v>
      </c>
      <c r="Q73" s="7">
        <v>0</v>
      </c>
      <c r="R73" s="7">
        <v>1</v>
      </c>
    </row>
    <row r="74" spans="1:18" ht="13.5" customHeight="1">
      <c r="A74" s="7">
        <v>62</v>
      </c>
      <c r="B74" s="7"/>
      <c r="C74" s="7">
        <v>416185</v>
      </c>
      <c r="D74" s="7" t="s">
        <v>3561</v>
      </c>
      <c r="E74" s="7" t="s">
        <v>3852</v>
      </c>
      <c r="F74" s="7">
        <v>1</v>
      </c>
      <c r="G74" s="58">
        <v>99998</v>
      </c>
      <c r="H74" s="7" t="s">
        <v>3971</v>
      </c>
      <c r="I74" s="7">
        <v>401705</v>
      </c>
      <c r="J74" s="7" t="s">
        <v>3972</v>
      </c>
      <c r="K74" s="7">
        <v>401705</v>
      </c>
      <c r="L74" s="7" t="s">
        <v>3973</v>
      </c>
      <c r="M74" s="49">
        <v>1</v>
      </c>
      <c r="N74" s="138">
        <v>45569</v>
      </c>
      <c r="O74" s="123">
        <v>73415</v>
      </c>
      <c r="P74" s="7">
        <v>1</v>
      </c>
      <c r="Q74" s="7">
        <v>0</v>
      </c>
      <c r="R74" s="7">
        <v>1</v>
      </c>
    </row>
    <row r="75" spans="1:18" ht="13.5" customHeight="1">
      <c r="A75" s="7">
        <v>63</v>
      </c>
      <c r="B75" s="7"/>
      <c r="C75" s="7">
        <v>416186</v>
      </c>
      <c r="D75" s="7" t="s">
        <v>3957</v>
      </c>
      <c r="E75" s="7" t="s">
        <v>3853</v>
      </c>
      <c r="F75" s="7">
        <v>1</v>
      </c>
      <c r="G75" s="58">
        <v>99998</v>
      </c>
      <c r="H75" s="7" t="s">
        <v>3971</v>
      </c>
      <c r="I75" s="7">
        <v>401705</v>
      </c>
      <c r="J75" s="7" t="s">
        <v>3972</v>
      </c>
      <c r="K75" s="7">
        <v>401705</v>
      </c>
      <c r="L75" s="7" t="s">
        <v>3973</v>
      </c>
      <c r="M75" s="49">
        <v>1</v>
      </c>
      <c r="N75" s="138">
        <v>45569</v>
      </c>
      <c r="O75" s="123">
        <v>73415</v>
      </c>
      <c r="P75" s="7">
        <v>1</v>
      </c>
      <c r="Q75" s="7">
        <v>0</v>
      </c>
      <c r="R75" s="7">
        <v>1</v>
      </c>
    </row>
    <row r="76" spans="1:18" ht="13.5" customHeight="1">
      <c r="A76" s="7">
        <v>64</v>
      </c>
      <c r="B76" s="7"/>
      <c r="C76" s="7">
        <v>416187</v>
      </c>
      <c r="D76" s="7" t="s">
        <v>3562</v>
      </c>
      <c r="E76" s="7" t="s">
        <v>3854</v>
      </c>
      <c r="F76" s="7">
        <v>1</v>
      </c>
      <c r="G76" s="58">
        <v>99998</v>
      </c>
      <c r="H76" s="7" t="s">
        <v>3971</v>
      </c>
      <c r="I76" s="7">
        <v>401705</v>
      </c>
      <c r="J76" s="7" t="s">
        <v>3972</v>
      </c>
      <c r="K76" s="7">
        <v>401705</v>
      </c>
      <c r="L76" s="7" t="s">
        <v>3973</v>
      </c>
      <c r="M76" s="49">
        <v>1</v>
      </c>
      <c r="N76" s="138">
        <v>45569</v>
      </c>
      <c r="O76" s="123">
        <v>73415</v>
      </c>
      <c r="P76" s="7">
        <v>1</v>
      </c>
      <c r="Q76" s="7">
        <v>0</v>
      </c>
      <c r="R76" s="7">
        <v>1</v>
      </c>
    </row>
    <row r="77" spans="1:18" ht="13.5" customHeight="1">
      <c r="A77" s="7">
        <v>65</v>
      </c>
      <c r="B77" s="7"/>
      <c r="C77" s="7">
        <v>416188</v>
      </c>
      <c r="D77" s="7" t="s">
        <v>3563</v>
      </c>
      <c r="E77" s="7" t="s">
        <v>3855</v>
      </c>
      <c r="F77" s="7">
        <v>1</v>
      </c>
      <c r="G77" s="58">
        <v>99998</v>
      </c>
      <c r="H77" s="7" t="s">
        <v>3971</v>
      </c>
      <c r="I77" s="7">
        <v>401705</v>
      </c>
      <c r="J77" s="7" t="s">
        <v>3972</v>
      </c>
      <c r="K77" s="7">
        <v>401705</v>
      </c>
      <c r="L77" s="7" t="s">
        <v>3973</v>
      </c>
      <c r="M77" s="49">
        <v>1</v>
      </c>
      <c r="N77" s="138">
        <v>45569</v>
      </c>
      <c r="O77" s="123">
        <v>73415</v>
      </c>
      <c r="P77" s="7">
        <v>1</v>
      </c>
      <c r="Q77" s="7">
        <v>0</v>
      </c>
      <c r="R77" s="7">
        <v>1</v>
      </c>
    </row>
    <row r="78" spans="1:18" ht="13.5" customHeight="1">
      <c r="A78" s="7">
        <v>66</v>
      </c>
      <c r="B78" s="7"/>
      <c r="C78" s="7">
        <v>416189</v>
      </c>
      <c r="D78" s="7" t="s">
        <v>3564</v>
      </c>
      <c r="E78" s="7" t="s">
        <v>3856</v>
      </c>
      <c r="F78" s="7">
        <v>1</v>
      </c>
      <c r="G78" s="58">
        <v>99998</v>
      </c>
      <c r="H78" s="7" t="s">
        <v>3971</v>
      </c>
      <c r="I78" s="7">
        <v>401705</v>
      </c>
      <c r="J78" s="7" t="s">
        <v>3972</v>
      </c>
      <c r="K78" s="7">
        <v>401705</v>
      </c>
      <c r="L78" s="7" t="s">
        <v>3973</v>
      </c>
      <c r="M78" s="49">
        <v>1</v>
      </c>
      <c r="N78" s="138">
        <v>45569</v>
      </c>
      <c r="O78" s="123">
        <v>73415</v>
      </c>
      <c r="P78" s="7">
        <v>1</v>
      </c>
      <c r="Q78" s="7">
        <v>0</v>
      </c>
      <c r="R78" s="7">
        <v>1</v>
      </c>
    </row>
    <row r="79" spans="1:18" ht="13.5" customHeight="1">
      <c r="A79" s="7">
        <v>67</v>
      </c>
      <c r="B79" s="7"/>
      <c r="C79" s="7">
        <v>416190</v>
      </c>
      <c r="D79" s="7" t="s">
        <v>3958</v>
      </c>
      <c r="E79" s="7" t="s">
        <v>3857</v>
      </c>
      <c r="F79" s="7">
        <v>1</v>
      </c>
      <c r="G79" s="58">
        <v>99998</v>
      </c>
      <c r="H79" s="7" t="s">
        <v>3971</v>
      </c>
      <c r="I79" s="7">
        <v>401705</v>
      </c>
      <c r="J79" s="7" t="s">
        <v>3972</v>
      </c>
      <c r="K79" s="7">
        <v>401705</v>
      </c>
      <c r="L79" s="7" t="s">
        <v>3973</v>
      </c>
      <c r="M79" s="49">
        <v>1</v>
      </c>
      <c r="N79" s="138">
        <v>45569</v>
      </c>
      <c r="O79" s="123">
        <v>73415</v>
      </c>
      <c r="P79" s="7">
        <v>1</v>
      </c>
      <c r="Q79" s="7">
        <v>0</v>
      </c>
      <c r="R79" s="7">
        <v>1</v>
      </c>
    </row>
    <row r="80" spans="1:18" ht="13.5" customHeight="1">
      <c r="A80" s="7">
        <v>68</v>
      </c>
      <c r="B80" s="7"/>
      <c r="C80" s="7">
        <v>416191</v>
      </c>
      <c r="D80" s="7" t="s">
        <v>3959</v>
      </c>
      <c r="E80" s="7" t="s">
        <v>3858</v>
      </c>
      <c r="F80" s="7">
        <v>1</v>
      </c>
      <c r="G80" s="58">
        <v>99998</v>
      </c>
      <c r="H80" s="7" t="s">
        <v>3971</v>
      </c>
      <c r="I80" s="7">
        <v>401705</v>
      </c>
      <c r="J80" s="7" t="s">
        <v>3972</v>
      </c>
      <c r="K80" s="7">
        <v>401705</v>
      </c>
      <c r="L80" s="7" t="s">
        <v>3973</v>
      </c>
      <c r="M80" s="49">
        <v>1</v>
      </c>
      <c r="N80" s="138">
        <v>45569</v>
      </c>
      <c r="O80" s="123">
        <v>73415</v>
      </c>
      <c r="P80" s="7">
        <v>1</v>
      </c>
      <c r="Q80" s="7">
        <v>0</v>
      </c>
      <c r="R80" s="7">
        <v>1</v>
      </c>
    </row>
    <row r="81" spans="1:18" ht="13.5" customHeight="1">
      <c r="A81" s="7">
        <v>69</v>
      </c>
      <c r="B81" s="7"/>
      <c r="C81" s="7">
        <v>416192</v>
      </c>
      <c r="D81" s="7" t="s">
        <v>3565</v>
      </c>
      <c r="E81" s="7" t="s">
        <v>3859</v>
      </c>
      <c r="F81" s="7">
        <v>1</v>
      </c>
      <c r="G81" s="58">
        <v>99998</v>
      </c>
      <c r="H81" s="7" t="s">
        <v>3971</v>
      </c>
      <c r="I81" s="7">
        <v>401705</v>
      </c>
      <c r="J81" s="7" t="s">
        <v>3972</v>
      </c>
      <c r="K81" s="7">
        <v>401705</v>
      </c>
      <c r="L81" s="7" t="s">
        <v>3973</v>
      </c>
      <c r="M81" s="49">
        <v>1</v>
      </c>
      <c r="N81" s="138">
        <v>45569</v>
      </c>
      <c r="O81" s="123">
        <v>73415</v>
      </c>
      <c r="P81" s="7">
        <v>1</v>
      </c>
      <c r="Q81" s="7">
        <v>0</v>
      </c>
      <c r="R81" s="7">
        <v>1</v>
      </c>
    </row>
    <row r="82" spans="1:18" ht="13.5" customHeight="1">
      <c r="A82" s="7">
        <v>70</v>
      </c>
      <c r="B82" s="7"/>
      <c r="C82" s="7">
        <v>416193</v>
      </c>
      <c r="D82" s="7" t="s">
        <v>3566</v>
      </c>
      <c r="E82" s="7" t="s">
        <v>3860</v>
      </c>
      <c r="F82" s="7">
        <v>1</v>
      </c>
      <c r="G82" s="58">
        <v>99998</v>
      </c>
      <c r="H82" s="7" t="s">
        <v>3971</v>
      </c>
      <c r="I82" s="7">
        <v>401705</v>
      </c>
      <c r="J82" s="7" t="s">
        <v>3972</v>
      </c>
      <c r="K82" s="7">
        <v>401705</v>
      </c>
      <c r="L82" s="7" t="s">
        <v>3973</v>
      </c>
      <c r="M82" s="49">
        <v>1</v>
      </c>
      <c r="N82" s="138">
        <v>45569</v>
      </c>
      <c r="O82" s="123">
        <v>73415</v>
      </c>
      <c r="P82" s="7">
        <v>1</v>
      </c>
      <c r="Q82" s="7">
        <v>0</v>
      </c>
      <c r="R82" s="7">
        <v>1</v>
      </c>
    </row>
    <row r="83" spans="1:18" ht="13.5" customHeight="1">
      <c r="A83" s="7">
        <v>71</v>
      </c>
      <c r="B83" s="7"/>
      <c r="C83" s="7">
        <v>416194</v>
      </c>
      <c r="D83" s="7" t="s">
        <v>3567</v>
      </c>
      <c r="E83" s="7" t="s">
        <v>3861</v>
      </c>
      <c r="F83" s="7">
        <v>1</v>
      </c>
      <c r="G83" s="58">
        <v>99998</v>
      </c>
      <c r="H83" s="7" t="s">
        <v>3971</v>
      </c>
      <c r="I83" s="7">
        <v>401705</v>
      </c>
      <c r="J83" s="7" t="s">
        <v>3972</v>
      </c>
      <c r="K83" s="7">
        <v>401705</v>
      </c>
      <c r="L83" s="7" t="s">
        <v>3973</v>
      </c>
      <c r="M83" s="49">
        <v>1</v>
      </c>
      <c r="N83" s="138">
        <v>45569</v>
      </c>
      <c r="O83" s="123">
        <v>73415</v>
      </c>
      <c r="P83" s="7">
        <v>1</v>
      </c>
      <c r="Q83" s="7">
        <v>0</v>
      </c>
      <c r="R83" s="7">
        <v>1</v>
      </c>
    </row>
    <row r="84" spans="1:18" ht="13.5" customHeight="1">
      <c r="A84" s="7">
        <v>72</v>
      </c>
      <c r="B84" s="7"/>
      <c r="C84" s="7">
        <v>416195</v>
      </c>
      <c r="D84" s="7" t="s">
        <v>3568</v>
      </c>
      <c r="E84" s="7" t="s">
        <v>3862</v>
      </c>
      <c r="F84" s="7">
        <v>1</v>
      </c>
      <c r="G84" s="58">
        <v>99998</v>
      </c>
      <c r="H84" s="7" t="s">
        <v>3971</v>
      </c>
      <c r="I84" s="7">
        <v>401705</v>
      </c>
      <c r="J84" s="7" t="s">
        <v>3972</v>
      </c>
      <c r="K84" s="7">
        <v>401705</v>
      </c>
      <c r="L84" s="7" t="s">
        <v>3973</v>
      </c>
      <c r="M84" s="49">
        <v>1</v>
      </c>
      <c r="N84" s="138">
        <v>45569</v>
      </c>
      <c r="O84" s="123">
        <v>73415</v>
      </c>
      <c r="P84" s="7">
        <v>1</v>
      </c>
      <c r="Q84" s="7">
        <v>0</v>
      </c>
      <c r="R84" s="7">
        <v>1</v>
      </c>
    </row>
    <row r="85" spans="1:18" ht="13.5" customHeight="1">
      <c r="A85" s="7">
        <v>73</v>
      </c>
      <c r="B85" s="7"/>
      <c r="C85" s="7">
        <v>416196</v>
      </c>
      <c r="D85" s="7" t="s">
        <v>3569</v>
      </c>
      <c r="E85" s="7" t="s">
        <v>3863</v>
      </c>
      <c r="F85" s="7">
        <v>1</v>
      </c>
      <c r="G85" s="58">
        <v>99998</v>
      </c>
      <c r="H85" s="7" t="s">
        <v>3971</v>
      </c>
      <c r="I85" s="7">
        <v>401705</v>
      </c>
      <c r="J85" s="7" t="s">
        <v>3972</v>
      </c>
      <c r="K85" s="7">
        <v>401705</v>
      </c>
      <c r="L85" s="7" t="s">
        <v>3973</v>
      </c>
      <c r="M85" s="49">
        <v>1</v>
      </c>
      <c r="N85" s="138">
        <v>45569</v>
      </c>
      <c r="O85" s="123">
        <v>73415</v>
      </c>
      <c r="P85" s="7">
        <v>1</v>
      </c>
      <c r="Q85" s="7">
        <v>0</v>
      </c>
      <c r="R85" s="7">
        <v>1</v>
      </c>
    </row>
    <row r="86" spans="1:18" ht="13.5" customHeight="1">
      <c r="A86" s="7">
        <v>74</v>
      </c>
      <c r="B86" s="7"/>
      <c r="C86" s="7">
        <v>416197</v>
      </c>
      <c r="D86" s="7" t="s">
        <v>3570</v>
      </c>
      <c r="E86" s="7" t="s">
        <v>3864</v>
      </c>
      <c r="F86" s="7">
        <v>1</v>
      </c>
      <c r="G86" s="58">
        <v>99998</v>
      </c>
      <c r="H86" s="7" t="s">
        <v>3971</v>
      </c>
      <c r="I86" s="7">
        <v>401705</v>
      </c>
      <c r="J86" s="7" t="s">
        <v>3972</v>
      </c>
      <c r="K86" s="7">
        <v>401705</v>
      </c>
      <c r="L86" s="7" t="s">
        <v>3973</v>
      </c>
      <c r="M86" s="49">
        <v>1</v>
      </c>
      <c r="N86" s="138">
        <v>45569</v>
      </c>
      <c r="O86" s="123">
        <v>73415</v>
      </c>
      <c r="P86" s="7">
        <v>1</v>
      </c>
      <c r="Q86" s="7">
        <v>0</v>
      </c>
      <c r="R86" s="7">
        <v>1</v>
      </c>
    </row>
    <row r="87" spans="1:18" ht="13.5" customHeight="1">
      <c r="A87" s="7">
        <v>75</v>
      </c>
      <c r="B87" s="7"/>
      <c r="C87" s="7">
        <v>416198</v>
      </c>
      <c r="D87" s="7" t="s">
        <v>3571</v>
      </c>
      <c r="E87" s="7" t="s">
        <v>3865</v>
      </c>
      <c r="F87" s="7">
        <v>1</v>
      </c>
      <c r="G87" s="58">
        <v>99998</v>
      </c>
      <c r="H87" s="7" t="s">
        <v>3971</v>
      </c>
      <c r="I87" s="7">
        <v>401705</v>
      </c>
      <c r="J87" s="7" t="s">
        <v>3972</v>
      </c>
      <c r="K87" s="7">
        <v>401705</v>
      </c>
      <c r="L87" s="7" t="s">
        <v>3973</v>
      </c>
      <c r="M87" s="49">
        <v>1</v>
      </c>
      <c r="N87" s="138">
        <v>45569</v>
      </c>
      <c r="O87" s="123">
        <v>73415</v>
      </c>
      <c r="P87" s="7">
        <v>1</v>
      </c>
      <c r="Q87" s="7">
        <v>0</v>
      </c>
      <c r="R87" s="7">
        <v>1</v>
      </c>
    </row>
    <row r="88" spans="1:18" ht="13.5" customHeight="1">
      <c r="A88" s="7">
        <v>76</v>
      </c>
      <c r="B88" s="7"/>
      <c r="C88" s="7">
        <v>416199</v>
      </c>
      <c r="D88" s="7" t="s">
        <v>3572</v>
      </c>
      <c r="E88" s="7">
        <v>630003</v>
      </c>
      <c r="F88" s="7">
        <v>1</v>
      </c>
      <c r="G88" s="58">
        <v>99998</v>
      </c>
      <c r="H88" s="7" t="s">
        <v>3971</v>
      </c>
      <c r="I88" s="7">
        <v>401705</v>
      </c>
      <c r="J88" s="7" t="s">
        <v>3972</v>
      </c>
      <c r="K88" s="7">
        <v>401705</v>
      </c>
      <c r="L88" s="7" t="s">
        <v>3973</v>
      </c>
      <c r="M88" s="49">
        <v>1</v>
      </c>
      <c r="N88" s="138">
        <v>45569</v>
      </c>
      <c r="O88" s="123">
        <v>73415</v>
      </c>
      <c r="P88" s="7">
        <v>1</v>
      </c>
      <c r="Q88" s="7">
        <v>0</v>
      </c>
      <c r="R88" s="7">
        <v>1</v>
      </c>
    </row>
    <row r="89" spans="1:18" ht="13.5" customHeight="1">
      <c r="A89" s="7">
        <v>77</v>
      </c>
      <c r="B89" s="7"/>
      <c r="C89" s="7">
        <v>416200</v>
      </c>
      <c r="D89" s="7" t="s">
        <v>3573</v>
      </c>
      <c r="E89" s="7" t="s">
        <v>3866</v>
      </c>
      <c r="F89" s="7">
        <v>1</v>
      </c>
      <c r="G89" s="58">
        <v>99998</v>
      </c>
      <c r="H89" s="7" t="s">
        <v>3971</v>
      </c>
      <c r="I89" s="7">
        <v>401705</v>
      </c>
      <c r="J89" s="7" t="s">
        <v>3972</v>
      </c>
      <c r="K89" s="7">
        <v>401705</v>
      </c>
      <c r="L89" s="7" t="s">
        <v>3973</v>
      </c>
      <c r="M89" s="49">
        <v>1</v>
      </c>
      <c r="N89" s="138">
        <v>45569</v>
      </c>
      <c r="O89" s="123">
        <v>73415</v>
      </c>
      <c r="P89" s="7">
        <v>1</v>
      </c>
      <c r="Q89" s="7">
        <v>0</v>
      </c>
      <c r="R89" s="7">
        <v>1</v>
      </c>
    </row>
    <row r="90" spans="1:18" ht="13.5" customHeight="1">
      <c r="A90" s="7">
        <v>78</v>
      </c>
      <c r="B90" s="7"/>
      <c r="C90" s="7">
        <v>416201</v>
      </c>
      <c r="D90" s="7" t="s">
        <v>3574</v>
      </c>
      <c r="E90" s="7" t="s">
        <v>3867</v>
      </c>
      <c r="F90" s="7">
        <v>1</v>
      </c>
      <c r="G90" s="58">
        <v>99998</v>
      </c>
      <c r="H90" s="7" t="s">
        <v>3971</v>
      </c>
      <c r="I90" s="7">
        <v>401705</v>
      </c>
      <c r="J90" s="7" t="s">
        <v>3972</v>
      </c>
      <c r="K90" s="7">
        <v>401705</v>
      </c>
      <c r="L90" s="7" t="s">
        <v>3973</v>
      </c>
      <c r="M90" s="49">
        <v>1</v>
      </c>
      <c r="N90" s="138">
        <v>45569</v>
      </c>
      <c r="O90" s="123">
        <v>73415</v>
      </c>
      <c r="P90" s="7">
        <v>1</v>
      </c>
      <c r="Q90" s="7">
        <v>0</v>
      </c>
      <c r="R90" s="7">
        <v>1</v>
      </c>
    </row>
    <row r="91" spans="1:18" ht="13.5" customHeight="1">
      <c r="A91" s="7">
        <v>79</v>
      </c>
      <c r="B91" s="7"/>
      <c r="C91" s="7">
        <v>416202</v>
      </c>
      <c r="D91" s="7" t="s">
        <v>3575</v>
      </c>
      <c r="E91" s="7" t="s">
        <v>3868</v>
      </c>
      <c r="F91" s="7">
        <v>1</v>
      </c>
      <c r="G91" s="58">
        <v>99998</v>
      </c>
      <c r="H91" s="7" t="s">
        <v>3971</v>
      </c>
      <c r="I91" s="7">
        <v>401705</v>
      </c>
      <c r="J91" s="7" t="s">
        <v>3972</v>
      </c>
      <c r="K91" s="7">
        <v>401705</v>
      </c>
      <c r="L91" s="7" t="s">
        <v>3973</v>
      </c>
      <c r="M91" s="49">
        <v>1</v>
      </c>
      <c r="N91" s="138">
        <v>45569</v>
      </c>
      <c r="O91" s="123">
        <v>73415</v>
      </c>
      <c r="P91" s="7">
        <v>1</v>
      </c>
      <c r="Q91" s="7">
        <v>0</v>
      </c>
      <c r="R91" s="7">
        <v>1</v>
      </c>
    </row>
    <row r="92" spans="1:18" ht="13.5" customHeight="1">
      <c r="A92" s="7">
        <v>80</v>
      </c>
      <c r="B92" s="7"/>
      <c r="C92" s="7">
        <v>416203</v>
      </c>
      <c r="D92" s="7" t="s">
        <v>3960</v>
      </c>
      <c r="E92" s="7" t="s">
        <v>3869</v>
      </c>
      <c r="F92" s="7">
        <v>1</v>
      </c>
      <c r="G92" s="58">
        <v>99998</v>
      </c>
      <c r="H92" s="7" t="s">
        <v>3971</v>
      </c>
      <c r="I92" s="7">
        <v>401705</v>
      </c>
      <c r="J92" s="7" t="s">
        <v>3972</v>
      </c>
      <c r="K92" s="7">
        <v>401705</v>
      </c>
      <c r="L92" s="7" t="s">
        <v>3973</v>
      </c>
      <c r="M92" s="49">
        <v>1</v>
      </c>
      <c r="N92" s="138">
        <v>45569</v>
      </c>
      <c r="O92" s="123">
        <v>73415</v>
      </c>
      <c r="P92" s="7">
        <v>1</v>
      </c>
      <c r="Q92" s="7">
        <v>0</v>
      </c>
      <c r="R92" s="7">
        <v>1</v>
      </c>
    </row>
    <row r="93" spans="1:18" ht="13.5" customHeight="1">
      <c r="A93" s="7">
        <v>81</v>
      </c>
      <c r="B93" s="7"/>
      <c r="C93" s="7">
        <v>416204</v>
      </c>
      <c r="D93" s="7" t="s">
        <v>3576</v>
      </c>
      <c r="E93" s="7" t="s">
        <v>3870</v>
      </c>
      <c r="F93" s="7">
        <v>1</v>
      </c>
      <c r="G93" s="58">
        <v>99998</v>
      </c>
      <c r="H93" s="7" t="s">
        <v>3971</v>
      </c>
      <c r="I93" s="7">
        <v>401705</v>
      </c>
      <c r="J93" s="7" t="s">
        <v>3972</v>
      </c>
      <c r="K93" s="7">
        <v>401705</v>
      </c>
      <c r="L93" s="7" t="s">
        <v>3973</v>
      </c>
      <c r="M93" s="49">
        <v>1</v>
      </c>
      <c r="N93" s="138">
        <v>45569</v>
      </c>
      <c r="O93" s="123">
        <v>73415</v>
      </c>
      <c r="P93" s="7">
        <v>1</v>
      </c>
      <c r="Q93" s="7">
        <v>0</v>
      </c>
      <c r="R93" s="7">
        <v>1</v>
      </c>
    </row>
    <row r="94" spans="1:18" ht="13.5" customHeight="1">
      <c r="A94" s="7">
        <v>82</v>
      </c>
      <c r="B94" s="7"/>
      <c r="C94" s="7">
        <v>416205</v>
      </c>
      <c r="D94" s="7" t="s">
        <v>3577</v>
      </c>
      <c r="E94" s="7" t="s">
        <v>3871</v>
      </c>
      <c r="F94" s="7">
        <v>1</v>
      </c>
      <c r="G94" s="58">
        <v>99998</v>
      </c>
      <c r="H94" s="7" t="s">
        <v>3971</v>
      </c>
      <c r="I94" s="7">
        <v>401705</v>
      </c>
      <c r="J94" s="7" t="s">
        <v>3972</v>
      </c>
      <c r="K94" s="7">
        <v>401705</v>
      </c>
      <c r="L94" s="7" t="s">
        <v>3973</v>
      </c>
      <c r="M94" s="49">
        <v>1</v>
      </c>
      <c r="N94" s="138">
        <v>45569</v>
      </c>
      <c r="O94" s="123">
        <v>73415</v>
      </c>
      <c r="P94" s="7">
        <v>1</v>
      </c>
      <c r="Q94" s="7">
        <v>0</v>
      </c>
      <c r="R94" s="7">
        <v>1</v>
      </c>
    </row>
    <row r="95" spans="1:18" ht="13.5" customHeight="1">
      <c r="A95" s="7">
        <v>83</v>
      </c>
      <c r="B95" s="7"/>
      <c r="C95" s="7">
        <v>416206</v>
      </c>
      <c r="D95" s="7" t="s">
        <v>3961</v>
      </c>
      <c r="E95" s="7">
        <v>106803</v>
      </c>
      <c r="F95" s="7">
        <v>1</v>
      </c>
      <c r="G95" s="58">
        <v>99998</v>
      </c>
      <c r="H95" s="7" t="s">
        <v>3971</v>
      </c>
      <c r="I95" s="7">
        <v>401705</v>
      </c>
      <c r="J95" s="7" t="s">
        <v>3972</v>
      </c>
      <c r="K95" s="7">
        <v>401705</v>
      </c>
      <c r="L95" s="7" t="s">
        <v>3973</v>
      </c>
      <c r="M95" s="49">
        <v>1</v>
      </c>
      <c r="N95" s="138">
        <v>45569</v>
      </c>
      <c r="O95" s="123">
        <v>73415</v>
      </c>
      <c r="P95" s="7">
        <v>1</v>
      </c>
      <c r="Q95" s="7">
        <v>0</v>
      </c>
      <c r="R95" s="7">
        <v>1</v>
      </c>
    </row>
    <row r="96" spans="1:18" ht="13.5" customHeight="1">
      <c r="A96" s="7">
        <v>84</v>
      </c>
      <c r="B96" s="7"/>
      <c r="C96" s="7">
        <v>416207</v>
      </c>
      <c r="D96" s="7" t="s">
        <v>3578</v>
      </c>
      <c r="E96" s="7"/>
      <c r="F96" s="7">
        <v>1</v>
      </c>
      <c r="G96" s="58">
        <v>99998</v>
      </c>
      <c r="H96" s="7" t="s">
        <v>3971</v>
      </c>
      <c r="I96" s="7">
        <v>401705</v>
      </c>
      <c r="J96" s="7" t="s">
        <v>3972</v>
      </c>
      <c r="K96" s="7">
        <v>401705</v>
      </c>
      <c r="L96" s="7" t="s">
        <v>3973</v>
      </c>
      <c r="M96" s="49">
        <v>1</v>
      </c>
      <c r="N96" s="138">
        <v>45569</v>
      </c>
      <c r="O96" s="123">
        <v>73415</v>
      </c>
      <c r="P96" s="7">
        <v>1</v>
      </c>
      <c r="Q96" s="7">
        <v>0</v>
      </c>
      <c r="R96" s="7">
        <v>1</v>
      </c>
    </row>
    <row r="97" spans="1:18" ht="13.5" customHeight="1">
      <c r="A97" s="7">
        <v>85</v>
      </c>
      <c r="B97" s="7"/>
      <c r="C97" s="7">
        <v>416208</v>
      </c>
      <c r="D97" s="7" t="s">
        <v>3579</v>
      </c>
      <c r="E97" s="7" t="s">
        <v>3872</v>
      </c>
      <c r="F97" s="7">
        <v>1</v>
      </c>
      <c r="G97" s="58">
        <v>99998</v>
      </c>
      <c r="H97" s="7" t="s">
        <v>3971</v>
      </c>
      <c r="I97" s="7">
        <v>401705</v>
      </c>
      <c r="J97" s="7" t="s">
        <v>3972</v>
      </c>
      <c r="K97" s="7">
        <v>401705</v>
      </c>
      <c r="L97" s="7" t="s">
        <v>3973</v>
      </c>
      <c r="M97" s="49">
        <v>1</v>
      </c>
      <c r="N97" s="138">
        <v>45569</v>
      </c>
      <c r="O97" s="123">
        <v>73415</v>
      </c>
      <c r="P97" s="7">
        <v>1</v>
      </c>
      <c r="Q97" s="7">
        <v>0</v>
      </c>
      <c r="R97" s="7">
        <v>1</v>
      </c>
    </row>
    <row r="98" spans="1:18" ht="13.5" customHeight="1">
      <c r="A98" s="7">
        <v>86</v>
      </c>
      <c r="B98" s="7"/>
      <c r="C98" s="7">
        <v>416209</v>
      </c>
      <c r="D98" s="7" t="s">
        <v>3580</v>
      </c>
      <c r="E98" s="7" t="s">
        <v>3873</v>
      </c>
      <c r="F98" s="7">
        <v>1</v>
      </c>
      <c r="G98" s="58">
        <v>99998</v>
      </c>
      <c r="H98" s="7" t="s">
        <v>3971</v>
      </c>
      <c r="I98" s="7">
        <v>401705</v>
      </c>
      <c r="J98" s="7" t="s">
        <v>3972</v>
      </c>
      <c r="K98" s="7">
        <v>401705</v>
      </c>
      <c r="L98" s="7" t="s">
        <v>3973</v>
      </c>
      <c r="M98" s="49">
        <v>1</v>
      </c>
      <c r="N98" s="138">
        <v>45569</v>
      </c>
      <c r="O98" s="123">
        <v>73415</v>
      </c>
      <c r="P98" s="7">
        <v>1</v>
      </c>
      <c r="Q98" s="7">
        <v>0</v>
      </c>
      <c r="R98" s="7">
        <v>1</v>
      </c>
    </row>
    <row r="99" spans="1:18" ht="13.5" customHeight="1">
      <c r="A99" s="7">
        <v>87</v>
      </c>
      <c r="B99" s="7"/>
      <c r="C99" s="7">
        <v>416210</v>
      </c>
      <c r="D99" s="7" t="s">
        <v>3581</v>
      </c>
      <c r="E99" s="7" t="s">
        <v>3874</v>
      </c>
      <c r="F99" s="7">
        <v>1</v>
      </c>
      <c r="G99" s="58">
        <v>99998</v>
      </c>
      <c r="H99" s="7" t="s">
        <v>3971</v>
      </c>
      <c r="I99" s="7">
        <v>401705</v>
      </c>
      <c r="J99" s="7" t="s">
        <v>3972</v>
      </c>
      <c r="K99" s="7">
        <v>401705</v>
      </c>
      <c r="L99" s="7" t="s">
        <v>3973</v>
      </c>
      <c r="M99" s="49">
        <v>1</v>
      </c>
      <c r="N99" s="138">
        <v>45569</v>
      </c>
      <c r="O99" s="123">
        <v>73415</v>
      </c>
      <c r="P99" s="7">
        <v>1</v>
      </c>
      <c r="Q99" s="7">
        <v>0</v>
      </c>
      <c r="R99" s="7">
        <v>1</v>
      </c>
    </row>
    <row r="100" spans="1:18" ht="13.5" customHeight="1">
      <c r="A100" s="7">
        <v>88</v>
      </c>
      <c r="B100" s="7"/>
      <c r="C100" s="7">
        <v>416211</v>
      </c>
      <c r="D100" s="7" t="s">
        <v>3582</v>
      </c>
      <c r="E100" s="7" t="s">
        <v>3875</v>
      </c>
      <c r="F100" s="7">
        <v>1</v>
      </c>
      <c r="G100" s="58">
        <v>99998</v>
      </c>
      <c r="H100" s="7" t="s">
        <v>3971</v>
      </c>
      <c r="I100" s="7">
        <v>401705</v>
      </c>
      <c r="J100" s="7" t="s">
        <v>3972</v>
      </c>
      <c r="K100" s="7">
        <v>401705</v>
      </c>
      <c r="L100" s="7" t="s">
        <v>3973</v>
      </c>
      <c r="M100" s="49">
        <v>1</v>
      </c>
      <c r="N100" s="138">
        <v>45569</v>
      </c>
      <c r="O100" s="123">
        <v>73415</v>
      </c>
      <c r="P100" s="7">
        <v>1</v>
      </c>
      <c r="Q100" s="7">
        <v>0</v>
      </c>
      <c r="R100" s="7">
        <v>1</v>
      </c>
    </row>
    <row r="101" spans="1:18" ht="13.5" customHeight="1">
      <c r="A101" s="7">
        <v>89</v>
      </c>
      <c r="B101" s="7"/>
      <c r="C101" s="7">
        <v>416212</v>
      </c>
      <c r="D101" s="7" t="s">
        <v>3962</v>
      </c>
      <c r="E101" s="7" t="s">
        <v>3876</v>
      </c>
      <c r="F101" s="7">
        <v>1</v>
      </c>
      <c r="G101" s="58">
        <v>99998</v>
      </c>
      <c r="H101" s="7" t="s">
        <v>3971</v>
      </c>
      <c r="I101" s="7">
        <v>401705</v>
      </c>
      <c r="J101" s="7" t="s">
        <v>3972</v>
      </c>
      <c r="K101" s="7">
        <v>401705</v>
      </c>
      <c r="L101" s="7" t="s">
        <v>3973</v>
      </c>
      <c r="M101" s="49">
        <v>1</v>
      </c>
      <c r="N101" s="138">
        <v>45569</v>
      </c>
      <c r="O101" s="123">
        <v>73415</v>
      </c>
      <c r="P101" s="7">
        <v>1</v>
      </c>
      <c r="Q101" s="7">
        <v>0</v>
      </c>
      <c r="R101" s="7">
        <v>1</v>
      </c>
    </row>
    <row r="102" spans="1:18" ht="13.5" customHeight="1">
      <c r="A102" s="7">
        <v>90</v>
      </c>
      <c r="B102" s="7"/>
      <c r="C102" s="7">
        <v>416213</v>
      </c>
      <c r="D102" s="7" t="s">
        <v>3583</v>
      </c>
      <c r="E102" s="7" t="s">
        <v>3877</v>
      </c>
      <c r="F102" s="7">
        <v>1</v>
      </c>
      <c r="G102" s="58">
        <v>99998</v>
      </c>
      <c r="H102" s="7" t="s">
        <v>3971</v>
      </c>
      <c r="I102" s="7">
        <v>401705</v>
      </c>
      <c r="J102" s="7" t="s">
        <v>3972</v>
      </c>
      <c r="K102" s="7">
        <v>401705</v>
      </c>
      <c r="L102" s="7" t="s">
        <v>3973</v>
      </c>
      <c r="M102" s="49">
        <v>1</v>
      </c>
      <c r="N102" s="138">
        <v>45569</v>
      </c>
      <c r="O102" s="123">
        <v>73415</v>
      </c>
      <c r="P102" s="7">
        <v>1</v>
      </c>
      <c r="Q102" s="7">
        <v>0</v>
      </c>
      <c r="R102" s="7">
        <v>1</v>
      </c>
    </row>
    <row r="103" spans="1:18" ht="13.5" customHeight="1">
      <c r="A103" s="7">
        <v>91</v>
      </c>
      <c r="B103" s="7"/>
      <c r="C103" s="7">
        <v>416214</v>
      </c>
      <c r="D103" s="7" t="s">
        <v>3963</v>
      </c>
      <c r="E103" s="7" t="s">
        <v>3878</v>
      </c>
      <c r="F103" s="7">
        <v>1</v>
      </c>
      <c r="G103" s="58">
        <v>99998</v>
      </c>
      <c r="H103" s="7" t="s">
        <v>3971</v>
      </c>
      <c r="I103" s="7">
        <v>401705</v>
      </c>
      <c r="J103" s="7" t="s">
        <v>3972</v>
      </c>
      <c r="K103" s="7">
        <v>401705</v>
      </c>
      <c r="L103" s="7" t="s">
        <v>3973</v>
      </c>
      <c r="M103" s="49">
        <v>1</v>
      </c>
      <c r="N103" s="138">
        <v>45569</v>
      </c>
      <c r="O103" s="123">
        <v>73415</v>
      </c>
      <c r="P103" s="7">
        <v>1</v>
      </c>
      <c r="Q103" s="7">
        <v>0</v>
      </c>
      <c r="R103" s="7">
        <v>1</v>
      </c>
    </row>
    <row r="104" spans="1:18" ht="13.5" customHeight="1">
      <c r="A104" s="7">
        <v>92</v>
      </c>
      <c r="B104" s="7"/>
      <c r="C104" s="7">
        <v>416215</v>
      </c>
      <c r="D104" s="7" t="s">
        <v>3964</v>
      </c>
      <c r="E104" s="7" t="s">
        <v>3879</v>
      </c>
      <c r="F104" s="7">
        <v>1</v>
      </c>
      <c r="G104" s="58">
        <v>99998</v>
      </c>
      <c r="H104" s="7" t="s">
        <v>3971</v>
      </c>
      <c r="I104" s="7">
        <v>401705</v>
      </c>
      <c r="J104" s="7" t="s">
        <v>3972</v>
      </c>
      <c r="K104" s="7">
        <v>401705</v>
      </c>
      <c r="L104" s="7" t="s">
        <v>3973</v>
      </c>
      <c r="M104" s="49">
        <v>1</v>
      </c>
      <c r="N104" s="138">
        <v>45569</v>
      </c>
      <c r="O104" s="123">
        <v>73415</v>
      </c>
      <c r="P104" s="7">
        <v>1</v>
      </c>
      <c r="Q104" s="7">
        <v>0</v>
      </c>
      <c r="R104" s="7">
        <v>1</v>
      </c>
    </row>
    <row r="105" spans="1:18" ht="13.5" customHeight="1">
      <c r="A105" s="7">
        <v>93</v>
      </c>
      <c r="B105" s="7"/>
      <c r="C105" s="7">
        <v>416216</v>
      </c>
      <c r="D105" s="7" t="s">
        <v>3584</v>
      </c>
      <c r="E105" s="7"/>
      <c r="F105" s="7">
        <v>1</v>
      </c>
      <c r="G105" s="58">
        <v>99998</v>
      </c>
      <c r="H105" s="7" t="s">
        <v>3971</v>
      </c>
      <c r="I105" s="7">
        <v>401705</v>
      </c>
      <c r="J105" s="7" t="s">
        <v>3972</v>
      </c>
      <c r="K105" s="7">
        <v>401705</v>
      </c>
      <c r="L105" s="7" t="s">
        <v>3973</v>
      </c>
      <c r="M105" s="49">
        <v>1</v>
      </c>
      <c r="N105" s="138">
        <v>45569</v>
      </c>
      <c r="O105" s="123">
        <v>73415</v>
      </c>
      <c r="P105" s="7">
        <v>1</v>
      </c>
      <c r="Q105" s="7">
        <v>0</v>
      </c>
      <c r="R105" s="7">
        <v>1</v>
      </c>
    </row>
    <row r="106" spans="1:18" ht="13.5" customHeight="1">
      <c r="A106" s="7">
        <v>94</v>
      </c>
      <c r="B106" s="7"/>
      <c r="C106" s="7">
        <v>416217</v>
      </c>
      <c r="D106" s="7" t="s">
        <v>3585</v>
      </c>
      <c r="E106" s="7" t="s">
        <v>3880</v>
      </c>
      <c r="F106" s="7">
        <v>1</v>
      </c>
      <c r="G106" s="58">
        <v>99998</v>
      </c>
      <c r="H106" s="7" t="s">
        <v>3971</v>
      </c>
      <c r="I106" s="7">
        <v>401705</v>
      </c>
      <c r="J106" s="7" t="s">
        <v>3972</v>
      </c>
      <c r="K106" s="7">
        <v>401705</v>
      </c>
      <c r="L106" s="7" t="s">
        <v>3973</v>
      </c>
      <c r="M106" s="49">
        <v>1</v>
      </c>
      <c r="N106" s="138">
        <v>45569</v>
      </c>
      <c r="O106" s="123">
        <v>73415</v>
      </c>
      <c r="P106" s="7">
        <v>1</v>
      </c>
      <c r="Q106" s="7">
        <v>0</v>
      </c>
      <c r="R106" s="7">
        <v>1</v>
      </c>
    </row>
    <row r="107" spans="1:18" ht="13.5" customHeight="1">
      <c r="A107" s="7">
        <v>95</v>
      </c>
      <c r="B107" s="7"/>
      <c r="C107" s="7">
        <v>416218</v>
      </c>
      <c r="D107" s="7" t="s">
        <v>3586</v>
      </c>
      <c r="E107" s="7" t="s">
        <v>3881</v>
      </c>
      <c r="F107" s="7">
        <v>1</v>
      </c>
      <c r="G107" s="58">
        <v>99998</v>
      </c>
      <c r="H107" s="7" t="s">
        <v>3971</v>
      </c>
      <c r="I107" s="7">
        <v>401705</v>
      </c>
      <c r="J107" s="7" t="s">
        <v>3972</v>
      </c>
      <c r="K107" s="7">
        <v>401705</v>
      </c>
      <c r="L107" s="7" t="s">
        <v>3973</v>
      </c>
      <c r="M107" s="49">
        <v>1</v>
      </c>
      <c r="N107" s="138">
        <v>45569</v>
      </c>
      <c r="O107" s="123">
        <v>73415</v>
      </c>
      <c r="P107" s="7">
        <v>1</v>
      </c>
      <c r="Q107" s="7">
        <v>0</v>
      </c>
      <c r="R107" s="7">
        <v>1</v>
      </c>
    </row>
    <row r="108" spans="1:18" ht="13.5" customHeight="1">
      <c r="A108" s="7">
        <v>96</v>
      </c>
      <c r="B108" s="7"/>
      <c r="C108" s="7">
        <v>416219</v>
      </c>
      <c r="D108" s="7" t="s">
        <v>3965</v>
      </c>
      <c r="E108" s="7" t="s">
        <v>3882</v>
      </c>
      <c r="F108" s="7">
        <v>1</v>
      </c>
      <c r="G108" s="58">
        <v>99998</v>
      </c>
      <c r="H108" s="7" t="s">
        <v>3971</v>
      </c>
      <c r="I108" s="7">
        <v>401705</v>
      </c>
      <c r="J108" s="7" t="s">
        <v>3972</v>
      </c>
      <c r="K108" s="7">
        <v>401705</v>
      </c>
      <c r="L108" s="7" t="s">
        <v>3973</v>
      </c>
      <c r="M108" s="49">
        <v>1</v>
      </c>
      <c r="N108" s="138">
        <v>45569</v>
      </c>
      <c r="O108" s="123">
        <v>73415</v>
      </c>
      <c r="P108" s="7">
        <v>1</v>
      </c>
      <c r="Q108" s="7">
        <v>0</v>
      </c>
      <c r="R108" s="7">
        <v>1</v>
      </c>
    </row>
    <row r="109" spans="1:18" ht="13.5" customHeight="1">
      <c r="A109" s="7">
        <v>97</v>
      </c>
      <c r="B109" s="7"/>
      <c r="C109" s="7">
        <v>416220</v>
      </c>
      <c r="D109" s="7" t="s">
        <v>3587</v>
      </c>
      <c r="E109" s="7" t="s">
        <v>3883</v>
      </c>
      <c r="F109" s="7">
        <v>1</v>
      </c>
      <c r="G109" s="58">
        <v>99998</v>
      </c>
      <c r="H109" s="7" t="s">
        <v>3971</v>
      </c>
      <c r="I109" s="7">
        <v>401705</v>
      </c>
      <c r="J109" s="7" t="s">
        <v>3972</v>
      </c>
      <c r="K109" s="7">
        <v>401705</v>
      </c>
      <c r="L109" s="7" t="s">
        <v>3973</v>
      </c>
      <c r="M109" s="49">
        <v>1</v>
      </c>
      <c r="N109" s="138">
        <v>45569</v>
      </c>
      <c r="O109" s="123">
        <v>73415</v>
      </c>
      <c r="P109" s="7">
        <v>1</v>
      </c>
      <c r="Q109" s="7">
        <v>0</v>
      </c>
      <c r="R109" s="7">
        <v>1</v>
      </c>
    </row>
    <row r="110" spans="1:18" ht="13.5" customHeight="1">
      <c r="A110" s="7">
        <v>98</v>
      </c>
      <c r="B110" s="7"/>
      <c r="C110" s="7">
        <v>416221</v>
      </c>
      <c r="D110" s="7" t="s">
        <v>3966</v>
      </c>
      <c r="E110" s="7" t="s">
        <v>3884</v>
      </c>
      <c r="F110" s="7">
        <v>1</v>
      </c>
      <c r="G110" s="58">
        <v>99998</v>
      </c>
      <c r="H110" s="7" t="s">
        <v>3971</v>
      </c>
      <c r="I110" s="7">
        <v>401705</v>
      </c>
      <c r="J110" s="7" t="s">
        <v>3972</v>
      </c>
      <c r="K110" s="7">
        <v>401705</v>
      </c>
      <c r="L110" s="7" t="s">
        <v>3973</v>
      </c>
      <c r="M110" s="49">
        <v>1</v>
      </c>
      <c r="N110" s="138">
        <v>45569</v>
      </c>
      <c r="O110" s="123">
        <v>73415</v>
      </c>
      <c r="P110" s="7">
        <v>1</v>
      </c>
      <c r="Q110" s="7">
        <v>0</v>
      </c>
      <c r="R110" s="7">
        <v>1</v>
      </c>
    </row>
    <row r="111" spans="1:18" ht="13.5" customHeight="1">
      <c r="A111" s="7">
        <v>99</v>
      </c>
      <c r="B111" s="7"/>
      <c r="C111" s="7">
        <v>416222</v>
      </c>
      <c r="D111" s="7" t="s">
        <v>3967</v>
      </c>
      <c r="E111" s="7" t="s">
        <v>3885</v>
      </c>
      <c r="F111" s="7">
        <v>1</v>
      </c>
      <c r="G111" s="58">
        <v>99998</v>
      </c>
      <c r="H111" s="7" t="s">
        <v>3971</v>
      </c>
      <c r="I111" s="7">
        <v>401705</v>
      </c>
      <c r="J111" s="7" t="s">
        <v>3972</v>
      </c>
      <c r="K111" s="7">
        <v>401705</v>
      </c>
      <c r="L111" s="7" t="s">
        <v>3973</v>
      </c>
      <c r="M111" s="49">
        <v>1</v>
      </c>
      <c r="N111" s="138">
        <v>45569</v>
      </c>
      <c r="O111" s="123">
        <v>73415</v>
      </c>
      <c r="P111" s="7">
        <v>1</v>
      </c>
      <c r="Q111" s="7">
        <v>0</v>
      </c>
      <c r="R111" s="7">
        <v>1</v>
      </c>
    </row>
    <row r="112" spans="1:18" ht="13.5" customHeight="1">
      <c r="A112" s="7">
        <v>100</v>
      </c>
      <c r="B112" s="7"/>
      <c r="C112" s="7">
        <v>416223</v>
      </c>
      <c r="D112" s="7" t="s">
        <v>3588</v>
      </c>
      <c r="E112" s="7" t="s">
        <v>3886</v>
      </c>
      <c r="F112" s="7">
        <v>1</v>
      </c>
      <c r="G112" s="58">
        <v>99998</v>
      </c>
      <c r="H112" s="7" t="s">
        <v>3971</v>
      </c>
      <c r="I112" s="7">
        <v>401705</v>
      </c>
      <c r="J112" s="7" t="s">
        <v>3972</v>
      </c>
      <c r="K112" s="7">
        <v>401705</v>
      </c>
      <c r="L112" s="7" t="s">
        <v>3973</v>
      </c>
      <c r="M112" s="49">
        <v>1</v>
      </c>
      <c r="N112" s="138">
        <v>45569</v>
      </c>
      <c r="O112" s="123">
        <v>73415</v>
      </c>
      <c r="P112" s="7">
        <v>1</v>
      </c>
      <c r="Q112" s="7">
        <v>0</v>
      </c>
      <c r="R112" s="7">
        <v>1</v>
      </c>
    </row>
    <row r="113" spans="1:18" ht="13.5" customHeight="1">
      <c r="A113" s="7">
        <v>101</v>
      </c>
      <c r="B113" s="7"/>
      <c r="C113" s="7">
        <v>416224</v>
      </c>
      <c r="D113" s="7" t="s">
        <v>3968</v>
      </c>
      <c r="E113" s="7" t="s">
        <v>3887</v>
      </c>
      <c r="F113" s="7">
        <v>1</v>
      </c>
      <c r="G113" s="58">
        <v>99998</v>
      </c>
      <c r="H113" s="7" t="s">
        <v>3971</v>
      </c>
      <c r="I113" s="7">
        <v>401705</v>
      </c>
      <c r="J113" s="7" t="s">
        <v>3972</v>
      </c>
      <c r="K113" s="7">
        <v>401705</v>
      </c>
      <c r="L113" s="7" t="s">
        <v>3973</v>
      </c>
      <c r="M113" s="49">
        <v>1</v>
      </c>
      <c r="N113" s="138">
        <v>45569</v>
      </c>
      <c r="O113" s="123">
        <v>73415</v>
      </c>
      <c r="P113" s="7">
        <v>1</v>
      </c>
      <c r="Q113" s="7">
        <v>0</v>
      </c>
      <c r="R113" s="7">
        <v>1</v>
      </c>
    </row>
    <row r="114" spans="1:18" ht="13.5" customHeight="1">
      <c r="A114" s="7">
        <v>102</v>
      </c>
      <c r="B114" s="7"/>
      <c r="C114" s="7">
        <v>416225</v>
      </c>
      <c r="D114" s="7" t="s">
        <v>3589</v>
      </c>
      <c r="E114" s="7" t="s">
        <v>3888</v>
      </c>
      <c r="F114" s="7">
        <v>1</v>
      </c>
      <c r="G114" s="58">
        <v>99998</v>
      </c>
      <c r="H114" s="7" t="s">
        <v>3971</v>
      </c>
      <c r="I114" s="7">
        <v>401705</v>
      </c>
      <c r="J114" s="7" t="s">
        <v>3972</v>
      </c>
      <c r="K114" s="7">
        <v>401705</v>
      </c>
      <c r="L114" s="7" t="s">
        <v>3973</v>
      </c>
      <c r="M114" s="49">
        <v>1</v>
      </c>
      <c r="N114" s="138">
        <v>45569</v>
      </c>
      <c r="O114" s="123">
        <v>73415</v>
      </c>
      <c r="P114" s="7">
        <v>1</v>
      </c>
      <c r="Q114" s="7">
        <v>0</v>
      </c>
      <c r="R114" s="7">
        <v>1</v>
      </c>
    </row>
    <row r="115" spans="1:18" ht="13.5" customHeight="1">
      <c r="A115" s="7">
        <v>103</v>
      </c>
      <c r="B115" s="7"/>
      <c r="C115" s="7">
        <v>416226</v>
      </c>
      <c r="D115" s="7" t="s">
        <v>3590</v>
      </c>
      <c r="E115" s="7" t="s">
        <v>3889</v>
      </c>
      <c r="F115" s="7">
        <v>1</v>
      </c>
      <c r="G115" s="58">
        <v>99998</v>
      </c>
      <c r="H115" s="7" t="s">
        <v>3971</v>
      </c>
      <c r="I115" s="7">
        <v>401705</v>
      </c>
      <c r="J115" s="7" t="s">
        <v>3972</v>
      </c>
      <c r="K115" s="7">
        <v>401705</v>
      </c>
      <c r="L115" s="7" t="s">
        <v>3973</v>
      </c>
      <c r="M115" s="49">
        <v>1</v>
      </c>
      <c r="N115" s="138">
        <v>45569</v>
      </c>
      <c r="O115" s="123">
        <v>73415</v>
      </c>
      <c r="P115" s="7">
        <v>1</v>
      </c>
      <c r="Q115" s="7">
        <v>0</v>
      </c>
      <c r="R115" s="7">
        <v>1</v>
      </c>
    </row>
    <row r="116" spans="1:18" ht="13.5" customHeight="1">
      <c r="A116" s="7">
        <v>104</v>
      </c>
      <c r="B116" s="7"/>
      <c r="C116" s="7">
        <v>416227</v>
      </c>
      <c r="D116" s="7" t="s">
        <v>3591</v>
      </c>
      <c r="E116" s="7" t="s">
        <v>3890</v>
      </c>
      <c r="F116" s="7">
        <v>1</v>
      </c>
      <c r="G116" s="58">
        <v>99998</v>
      </c>
      <c r="H116" s="7" t="s">
        <v>3971</v>
      </c>
      <c r="I116" s="7">
        <v>401705</v>
      </c>
      <c r="J116" s="7" t="s">
        <v>3972</v>
      </c>
      <c r="K116" s="7">
        <v>401705</v>
      </c>
      <c r="L116" s="7" t="s">
        <v>3973</v>
      </c>
      <c r="M116" s="49">
        <v>1</v>
      </c>
      <c r="N116" s="138">
        <v>45569</v>
      </c>
      <c r="O116" s="123">
        <v>73415</v>
      </c>
      <c r="P116" s="7">
        <v>1</v>
      </c>
      <c r="Q116" s="7">
        <v>0</v>
      </c>
      <c r="R116" s="7">
        <v>1</v>
      </c>
    </row>
    <row r="117" spans="1:18" ht="13.5" customHeight="1">
      <c r="A117" s="7">
        <v>105</v>
      </c>
      <c r="B117" s="7"/>
      <c r="C117" s="7">
        <v>416228</v>
      </c>
      <c r="D117" s="7" t="s">
        <v>3592</v>
      </c>
      <c r="E117" s="7" t="s">
        <v>3891</v>
      </c>
      <c r="F117" s="7">
        <v>1</v>
      </c>
      <c r="G117" s="58">
        <v>99998</v>
      </c>
      <c r="H117" s="7" t="s">
        <v>3971</v>
      </c>
      <c r="I117" s="7">
        <v>401705</v>
      </c>
      <c r="J117" s="7" t="s">
        <v>3972</v>
      </c>
      <c r="K117" s="7">
        <v>401705</v>
      </c>
      <c r="L117" s="7" t="s">
        <v>3973</v>
      </c>
      <c r="M117" s="49">
        <v>1</v>
      </c>
      <c r="N117" s="138">
        <v>45569</v>
      </c>
      <c r="O117" s="123">
        <v>73415</v>
      </c>
      <c r="P117" s="7">
        <v>1</v>
      </c>
      <c r="Q117" s="7">
        <v>0</v>
      </c>
      <c r="R117" s="7">
        <v>1</v>
      </c>
    </row>
    <row r="118" spans="1:18" ht="13.5" customHeight="1">
      <c r="A118" s="7">
        <v>106</v>
      </c>
      <c r="B118" s="7"/>
      <c r="C118" s="7">
        <v>416229</v>
      </c>
      <c r="D118" s="7" t="s">
        <v>3593</v>
      </c>
      <c r="E118" s="7" t="s">
        <v>3892</v>
      </c>
      <c r="F118" s="7">
        <v>1</v>
      </c>
      <c r="G118" s="58">
        <v>99998</v>
      </c>
      <c r="H118" s="7" t="s">
        <v>3971</v>
      </c>
      <c r="I118" s="7">
        <v>401705</v>
      </c>
      <c r="J118" s="7" t="s">
        <v>3972</v>
      </c>
      <c r="K118" s="7">
        <v>401705</v>
      </c>
      <c r="L118" s="7" t="s">
        <v>3973</v>
      </c>
      <c r="M118" s="49">
        <v>1</v>
      </c>
      <c r="N118" s="138">
        <v>45569</v>
      </c>
      <c r="O118" s="123">
        <v>73415</v>
      </c>
      <c r="P118" s="7">
        <v>1</v>
      </c>
      <c r="Q118" s="7">
        <v>0</v>
      </c>
      <c r="R118" s="7">
        <v>1</v>
      </c>
    </row>
    <row r="119" spans="1:18" ht="13.5" customHeight="1">
      <c r="A119" s="7">
        <v>107</v>
      </c>
      <c r="B119" s="7"/>
      <c r="C119" s="7">
        <v>416230</v>
      </c>
      <c r="D119" s="7" t="s">
        <v>3594</v>
      </c>
      <c r="E119" s="7" t="s">
        <v>3893</v>
      </c>
      <c r="F119" s="7">
        <v>1</v>
      </c>
      <c r="G119" s="58">
        <v>99998</v>
      </c>
      <c r="H119" s="7" t="s">
        <v>3971</v>
      </c>
      <c r="I119" s="7">
        <v>401705</v>
      </c>
      <c r="J119" s="7" t="s">
        <v>3972</v>
      </c>
      <c r="K119" s="7">
        <v>401705</v>
      </c>
      <c r="L119" s="7" t="s">
        <v>3973</v>
      </c>
      <c r="M119" s="49">
        <v>1</v>
      </c>
      <c r="N119" s="138">
        <v>45569</v>
      </c>
      <c r="O119" s="123">
        <v>73415</v>
      </c>
      <c r="P119" s="7">
        <v>1</v>
      </c>
      <c r="Q119" s="7">
        <v>0</v>
      </c>
      <c r="R119" s="7">
        <v>1</v>
      </c>
    </row>
    <row r="120" spans="1:18" ht="13.5" customHeight="1">
      <c r="A120" s="7">
        <v>108</v>
      </c>
      <c r="B120" s="7"/>
      <c r="C120" s="7">
        <v>416231</v>
      </c>
      <c r="D120" s="7" t="s">
        <v>3969</v>
      </c>
      <c r="E120" s="7" t="s">
        <v>3894</v>
      </c>
      <c r="F120" s="7">
        <v>1</v>
      </c>
      <c r="G120" s="58">
        <v>99998</v>
      </c>
      <c r="H120" s="7" t="s">
        <v>3971</v>
      </c>
      <c r="I120" s="7">
        <v>401705</v>
      </c>
      <c r="J120" s="7" t="s">
        <v>3972</v>
      </c>
      <c r="K120" s="7">
        <v>401705</v>
      </c>
      <c r="L120" s="7" t="s">
        <v>3973</v>
      </c>
      <c r="M120" s="49">
        <v>1</v>
      </c>
      <c r="N120" s="138">
        <v>45569</v>
      </c>
      <c r="O120" s="123">
        <v>73415</v>
      </c>
      <c r="P120" s="7">
        <v>1</v>
      </c>
      <c r="Q120" s="7">
        <v>0</v>
      </c>
      <c r="R120" s="7">
        <v>1</v>
      </c>
    </row>
    <row r="121" spans="1:18" ht="13.5" customHeight="1">
      <c r="A121" s="7">
        <v>109</v>
      </c>
      <c r="B121" s="7"/>
      <c r="C121" s="7">
        <v>416232</v>
      </c>
      <c r="D121" s="7" t="s">
        <v>3595</v>
      </c>
      <c r="E121" s="7" t="s">
        <v>3895</v>
      </c>
      <c r="F121" s="7">
        <v>1</v>
      </c>
      <c r="G121" s="58">
        <v>99998</v>
      </c>
      <c r="H121" s="7" t="s">
        <v>3971</v>
      </c>
      <c r="I121" s="7">
        <v>401705</v>
      </c>
      <c r="J121" s="7" t="s">
        <v>3972</v>
      </c>
      <c r="K121" s="7">
        <v>401705</v>
      </c>
      <c r="L121" s="7" t="s">
        <v>3973</v>
      </c>
      <c r="M121" s="49">
        <v>1</v>
      </c>
      <c r="N121" s="138">
        <v>45569</v>
      </c>
      <c r="O121" s="123">
        <v>73415</v>
      </c>
      <c r="P121" s="7">
        <v>1</v>
      </c>
      <c r="Q121" s="7">
        <v>0</v>
      </c>
      <c r="R121" s="7">
        <v>1</v>
      </c>
    </row>
    <row r="122" spans="1:18" ht="13.5" customHeight="1">
      <c r="A122" s="7">
        <v>110</v>
      </c>
      <c r="B122" s="7"/>
      <c r="C122" s="7">
        <v>416233</v>
      </c>
      <c r="D122" s="7" t="s">
        <v>3596</v>
      </c>
      <c r="E122" s="7" t="s">
        <v>3896</v>
      </c>
      <c r="F122" s="7">
        <v>1</v>
      </c>
      <c r="G122" s="58">
        <v>99998</v>
      </c>
      <c r="H122" s="7" t="s">
        <v>3971</v>
      </c>
      <c r="I122" s="7">
        <v>401705</v>
      </c>
      <c r="J122" s="7" t="s">
        <v>3972</v>
      </c>
      <c r="K122" s="7">
        <v>401705</v>
      </c>
      <c r="L122" s="7" t="s">
        <v>3973</v>
      </c>
      <c r="M122" s="49">
        <v>1</v>
      </c>
      <c r="N122" s="138">
        <v>45569</v>
      </c>
      <c r="O122" s="123">
        <v>73415</v>
      </c>
      <c r="P122" s="7">
        <v>1</v>
      </c>
      <c r="Q122" s="7">
        <v>0</v>
      </c>
      <c r="R122" s="7">
        <v>1</v>
      </c>
    </row>
    <row r="123" spans="1:18" ht="13.5" customHeight="1">
      <c r="A123" s="7">
        <v>111</v>
      </c>
      <c r="B123" s="7"/>
      <c r="C123" s="7">
        <v>416234</v>
      </c>
      <c r="D123" s="7" t="s">
        <v>3970</v>
      </c>
      <c r="E123" s="7" t="s">
        <v>3897</v>
      </c>
      <c r="F123" s="7">
        <v>1</v>
      </c>
      <c r="G123" s="58">
        <v>99998</v>
      </c>
      <c r="H123" s="7" t="s">
        <v>3971</v>
      </c>
      <c r="I123" s="7">
        <v>401705</v>
      </c>
      <c r="J123" s="7" t="s">
        <v>3972</v>
      </c>
      <c r="K123" s="7">
        <v>401705</v>
      </c>
      <c r="L123" s="7" t="s">
        <v>3973</v>
      </c>
      <c r="M123" s="49">
        <v>1</v>
      </c>
      <c r="N123" s="138">
        <v>45569</v>
      </c>
      <c r="O123" s="123">
        <v>73415</v>
      </c>
      <c r="P123" s="7">
        <v>1</v>
      </c>
      <c r="Q123" s="7">
        <v>0</v>
      </c>
      <c r="R123" s="7">
        <v>1</v>
      </c>
    </row>
    <row r="124" spans="1:18" ht="13.5" customHeight="1">
      <c r="A124" s="7">
        <v>112</v>
      </c>
      <c r="B124" s="7"/>
      <c r="C124" s="7">
        <v>416235</v>
      </c>
      <c r="D124" s="7" t="s">
        <v>3597</v>
      </c>
      <c r="E124" s="7" t="s">
        <v>3898</v>
      </c>
      <c r="F124" s="7">
        <v>1</v>
      </c>
      <c r="G124" s="58">
        <v>99998</v>
      </c>
      <c r="H124" s="7" t="s">
        <v>3971</v>
      </c>
      <c r="I124" s="7">
        <v>401705</v>
      </c>
      <c r="J124" s="7" t="s">
        <v>3972</v>
      </c>
      <c r="K124" s="7">
        <v>401705</v>
      </c>
      <c r="L124" s="7" t="s">
        <v>3973</v>
      </c>
      <c r="M124" s="49">
        <v>1</v>
      </c>
      <c r="N124" s="138">
        <v>45569</v>
      </c>
      <c r="O124" s="123">
        <v>73415</v>
      </c>
      <c r="P124" s="7">
        <v>1</v>
      </c>
      <c r="Q124" s="7">
        <v>0</v>
      </c>
      <c r="R124" s="7">
        <v>1</v>
      </c>
    </row>
    <row r="125" spans="1:18" ht="13.5" customHeight="1">
      <c r="A125" s="7">
        <v>113</v>
      </c>
      <c r="B125" s="7"/>
      <c r="C125" s="7">
        <v>416236</v>
      </c>
      <c r="D125" s="7" t="s">
        <v>3598</v>
      </c>
      <c r="E125" s="7" t="s">
        <v>3899</v>
      </c>
      <c r="F125" s="7">
        <v>1</v>
      </c>
      <c r="G125" s="58">
        <v>99998</v>
      </c>
      <c r="H125" s="7" t="s">
        <v>3971</v>
      </c>
      <c r="I125" s="7">
        <v>401705</v>
      </c>
      <c r="J125" s="7" t="s">
        <v>3972</v>
      </c>
      <c r="K125" s="7">
        <v>401705</v>
      </c>
      <c r="L125" s="7" t="s">
        <v>3973</v>
      </c>
      <c r="M125" s="49">
        <v>1</v>
      </c>
      <c r="N125" s="138">
        <v>45569</v>
      </c>
      <c r="O125" s="123">
        <v>73415</v>
      </c>
      <c r="P125" s="7">
        <v>1</v>
      </c>
      <c r="Q125" s="7">
        <v>0</v>
      </c>
      <c r="R125" s="7">
        <v>1</v>
      </c>
    </row>
    <row r="126" spans="1:18" ht="13.5" customHeight="1">
      <c r="A126" s="7">
        <v>114</v>
      </c>
      <c r="B126" s="7"/>
      <c r="C126" s="7"/>
      <c r="D126" s="7"/>
      <c r="E126" s="7"/>
      <c r="F126" s="7"/>
      <c r="G126" s="58"/>
      <c r="H126" s="7" t="str">
        <f>IF(G126="","",VLOOKUP(G126,MT商品ﾏｽﾀ参照シート!AO:AP,2,0))</f>
        <v/>
      </c>
      <c r="I126" s="7"/>
      <c r="J126" s="7" t="e">
        <f ca="1">[1]!t仕入先名(I126)</f>
        <v>#NAME?</v>
      </c>
      <c r="K126" s="7"/>
      <c r="L126" s="7" t="e">
        <f ca="1">[1]!t発注先名(K126)</f>
        <v>#NAME?</v>
      </c>
      <c r="M126" s="49"/>
      <c r="N126" s="6"/>
      <c r="O126" s="6"/>
      <c r="P126" s="7"/>
      <c r="Q126" s="7"/>
      <c r="R126" s="7"/>
    </row>
    <row r="127" spans="1:18" ht="13.5" customHeight="1">
      <c r="A127" s="7">
        <v>115</v>
      </c>
      <c r="B127" s="7"/>
      <c r="C127" s="7"/>
      <c r="D127" s="7"/>
      <c r="E127" s="7"/>
      <c r="F127" s="7"/>
      <c r="G127" s="58"/>
      <c r="H127" s="7" t="str">
        <f>IF(G127="","",VLOOKUP(G127,MT商品ﾏｽﾀ参照シート!AO:AP,2,0))</f>
        <v/>
      </c>
      <c r="I127" s="7"/>
      <c r="J127" s="7" t="e">
        <f ca="1">[1]!t仕入先名(I127)</f>
        <v>#NAME?</v>
      </c>
      <c r="K127" s="7"/>
      <c r="L127" s="7" t="e">
        <f ca="1">[1]!t発注先名(K127)</f>
        <v>#NAME?</v>
      </c>
      <c r="M127" s="49"/>
      <c r="N127" s="6"/>
      <c r="O127" s="6"/>
      <c r="P127" s="7"/>
      <c r="Q127" s="7"/>
      <c r="R127" s="7"/>
    </row>
    <row r="128" spans="1:18" ht="13.5" customHeight="1">
      <c r="A128" s="7">
        <v>116</v>
      </c>
      <c r="B128" s="7"/>
      <c r="C128" s="7"/>
      <c r="D128" s="7"/>
      <c r="E128" s="7"/>
      <c r="F128" s="7"/>
      <c r="G128" s="58"/>
      <c r="H128" s="7" t="str">
        <f>IF(G128="","",VLOOKUP(G128,MT商品ﾏｽﾀ参照シート!AO:AP,2,0))</f>
        <v/>
      </c>
      <c r="I128" s="7"/>
      <c r="J128" s="7" t="e">
        <f ca="1">[1]!t仕入先名(I128)</f>
        <v>#NAME?</v>
      </c>
      <c r="K128" s="7"/>
      <c r="L128" s="7" t="e">
        <f ca="1">[1]!t発注先名(K128)</f>
        <v>#NAME?</v>
      </c>
      <c r="M128" s="49"/>
      <c r="N128" s="6"/>
      <c r="O128" s="6"/>
      <c r="P128" s="7"/>
      <c r="Q128" s="7"/>
      <c r="R128" s="7"/>
    </row>
    <row r="129" spans="1:18" ht="13.5" customHeight="1">
      <c r="A129" s="7">
        <v>117</v>
      </c>
      <c r="B129" s="7"/>
      <c r="C129" s="7"/>
      <c r="D129" s="7"/>
      <c r="E129" s="7"/>
      <c r="F129" s="7"/>
      <c r="G129" s="58"/>
      <c r="H129" s="7" t="str">
        <f>IF(G129="","",VLOOKUP(G129,MT商品ﾏｽﾀ参照シート!AO:AP,2,0))</f>
        <v/>
      </c>
      <c r="I129" s="7"/>
      <c r="J129" s="7" t="e">
        <f ca="1">[1]!t仕入先名(I129)</f>
        <v>#NAME?</v>
      </c>
      <c r="K129" s="7"/>
      <c r="L129" s="7" t="e">
        <f ca="1">[1]!t発注先名(K129)</f>
        <v>#NAME?</v>
      </c>
      <c r="M129" s="49"/>
      <c r="N129" s="6"/>
      <c r="O129" s="6"/>
      <c r="P129" s="7"/>
      <c r="Q129" s="7"/>
      <c r="R129" s="7"/>
    </row>
    <row r="130" spans="1:18" ht="13.5" customHeight="1">
      <c r="A130" s="7">
        <v>118</v>
      </c>
      <c r="B130" s="7"/>
      <c r="C130" s="7"/>
      <c r="D130" s="7"/>
      <c r="E130" s="7"/>
      <c r="F130" s="7"/>
      <c r="G130" s="58"/>
      <c r="H130" s="7" t="str">
        <f>IF(G130="","",VLOOKUP(G130,MT商品ﾏｽﾀ参照シート!AO:AP,2,0))</f>
        <v/>
      </c>
      <c r="I130" s="7"/>
      <c r="J130" s="7" t="e">
        <f ca="1">[1]!t仕入先名(I130)</f>
        <v>#NAME?</v>
      </c>
      <c r="K130" s="7"/>
      <c r="L130" s="7" t="e">
        <f ca="1">[1]!t発注先名(K130)</f>
        <v>#NAME?</v>
      </c>
      <c r="M130" s="49"/>
      <c r="N130" s="6"/>
      <c r="O130" s="6"/>
      <c r="P130" s="7"/>
      <c r="Q130" s="7"/>
      <c r="R130" s="7"/>
    </row>
    <row r="131" spans="1:18" ht="13.5" customHeight="1">
      <c r="A131" s="7">
        <v>119</v>
      </c>
      <c r="B131" s="7"/>
      <c r="C131" s="7"/>
      <c r="D131" s="7"/>
      <c r="E131" s="7"/>
      <c r="F131" s="7"/>
      <c r="G131" s="58"/>
      <c r="H131" s="7" t="str">
        <f>IF(G131="","",VLOOKUP(G131,MT商品ﾏｽﾀ参照シート!AO:AP,2,0))</f>
        <v/>
      </c>
      <c r="I131" s="7"/>
      <c r="J131" s="7" t="e">
        <f ca="1">[1]!t仕入先名(I131)</f>
        <v>#NAME?</v>
      </c>
      <c r="K131" s="7"/>
      <c r="L131" s="7" t="e">
        <f ca="1">[1]!t発注先名(K131)</f>
        <v>#NAME?</v>
      </c>
      <c r="M131" s="49"/>
      <c r="N131" s="6"/>
      <c r="O131" s="6"/>
      <c r="P131" s="7"/>
      <c r="Q131" s="7"/>
      <c r="R131" s="7"/>
    </row>
    <row r="132" spans="1:18" ht="13.5" customHeight="1">
      <c r="A132" s="7">
        <v>120</v>
      </c>
      <c r="B132" s="7"/>
      <c r="C132" s="7"/>
      <c r="D132" s="7"/>
      <c r="E132" s="7"/>
      <c r="F132" s="7"/>
      <c r="G132" s="58"/>
      <c r="H132" s="7" t="str">
        <f>IF(G132="","",VLOOKUP(G132,MT商品ﾏｽﾀ参照シート!AO:AP,2,0))</f>
        <v/>
      </c>
      <c r="I132" s="7"/>
      <c r="J132" s="7" t="e">
        <f ca="1">[1]!t仕入先名(I132)</f>
        <v>#NAME?</v>
      </c>
      <c r="K132" s="7"/>
      <c r="L132" s="7" t="e">
        <f ca="1">[1]!t発注先名(K132)</f>
        <v>#NAME?</v>
      </c>
      <c r="M132" s="49"/>
      <c r="N132" s="6"/>
      <c r="O132" s="6"/>
      <c r="P132" s="7"/>
      <c r="Q132" s="7"/>
      <c r="R132" s="7"/>
    </row>
    <row r="133" spans="1:18" ht="13.5" customHeight="1">
      <c r="A133" s="7">
        <v>121</v>
      </c>
      <c r="B133" s="7"/>
      <c r="C133" s="7"/>
      <c r="D133" s="7"/>
      <c r="E133" s="7"/>
      <c r="F133" s="7"/>
      <c r="G133" s="58"/>
      <c r="H133" s="7" t="str">
        <f>IF(G133="","",VLOOKUP(G133,MT商品ﾏｽﾀ参照シート!AO:AP,2,0))</f>
        <v/>
      </c>
      <c r="I133" s="7"/>
      <c r="J133" s="7" t="e">
        <f ca="1">[1]!t仕入先名(I133)</f>
        <v>#NAME?</v>
      </c>
      <c r="K133" s="7"/>
      <c r="L133" s="7" t="e">
        <f ca="1">[1]!t発注先名(K133)</f>
        <v>#NAME?</v>
      </c>
      <c r="M133" s="49"/>
      <c r="N133" s="6"/>
      <c r="O133" s="6"/>
      <c r="P133" s="7"/>
      <c r="Q133" s="7"/>
      <c r="R133" s="7"/>
    </row>
    <row r="134" spans="1:18" ht="13.5" customHeight="1">
      <c r="A134" s="7">
        <v>122</v>
      </c>
      <c r="B134" s="7"/>
      <c r="C134" s="7"/>
      <c r="D134" s="7"/>
      <c r="E134" s="7"/>
      <c r="F134" s="7"/>
      <c r="G134" s="58"/>
      <c r="H134" s="7" t="str">
        <f>IF(G134="","",VLOOKUP(G134,MT商品ﾏｽﾀ参照シート!AO:AP,2,0))</f>
        <v/>
      </c>
      <c r="I134" s="7"/>
      <c r="J134" s="7" t="e">
        <f ca="1">[1]!t仕入先名(I134)</f>
        <v>#NAME?</v>
      </c>
      <c r="K134" s="7"/>
      <c r="L134" s="7" t="e">
        <f ca="1">[1]!t発注先名(K134)</f>
        <v>#NAME?</v>
      </c>
      <c r="M134" s="49"/>
      <c r="N134" s="6"/>
      <c r="O134" s="6"/>
      <c r="P134" s="7"/>
      <c r="Q134" s="7"/>
      <c r="R134" s="7"/>
    </row>
    <row r="135" spans="1:18" ht="13.5" customHeight="1">
      <c r="A135" s="7">
        <v>123</v>
      </c>
      <c r="B135" s="7"/>
      <c r="C135" s="7"/>
      <c r="D135" s="7"/>
      <c r="E135" s="7"/>
      <c r="F135" s="7"/>
      <c r="G135" s="58"/>
      <c r="H135" s="7" t="str">
        <f>IF(G135="","",VLOOKUP(G135,MT商品ﾏｽﾀ参照シート!AO:AP,2,0))</f>
        <v/>
      </c>
      <c r="I135" s="7"/>
      <c r="J135" s="7" t="e">
        <f ca="1">[1]!t仕入先名(I135)</f>
        <v>#NAME?</v>
      </c>
      <c r="K135" s="7"/>
      <c r="L135" s="7" t="e">
        <f ca="1">[1]!t発注先名(K135)</f>
        <v>#NAME?</v>
      </c>
      <c r="M135" s="49"/>
      <c r="N135" s="6"/>
      <c r="O135" s="6"/>
      <c r="P135" s="7"/>
      <c r="Q135" s="7"/>
      <c r="R135" s="7"/>
    </row>
    <row r="136" spans="1:18" ht="13.5" customHeight="1">
      <c r="A136" s="7">
        <v>124</v>
      </c>
      <c r="B136" s="7"/>
      <c r="C136" s="7"/>
      <c r="D136" s="7"/>
      <c r="E136" s="7"/>
      <c r="F136" s="7"/>
      <c r="G136" s="58"/>
      <c r="H136" s="7" t="str">
        <f>IF(G136="","",VLOOKUP(G136,MT商品ﾏｽﾀ参照シート!AO:AP,2,0))</f>
        <v/>
      </c>
      <c r="I136" s="7"/>
      <c r="J136" s="7" t="e">
        <f ca="1">[1]!t仕入先名(I136)</f>
        <v>#NAME?</v>
      </c>
      <c r="K136" s="7"/>
      <c r="L136" s="7" t="e">
        <f ca="1">[1]!t発注先名(K136)</f>
        <v>#NAME?</v>
      </c>
      <c r="M136" s="49"/>
      <c r="N136" s="6"/>
      <c r="O136" s="6"/>
      <c r="P136" s="7"/>
      <c r="Q136" s="7"/>
      <c r="R136" s="7"/>
    </row>
    <row r="137" spans="1:18" ht="13.5" customHeight="1">
      <c r="A137" s="7">
        <v>125</v>
      </c>
      <c r="B137" s="7"/>
      <c r="C137" s="7"/>
      <c r="D137" s="7"/>
      <c r="E137" s="7"/>
      <c r="F137" s="7"/>
      <c r="G137" s="58"/>
      <c r="H137" s="7" t="str">
        <f>IF(G137="","",VLOOKUP(G137,MT商品ﾏｽﾀ参照シート!AO:AP,2,0))</f>
        <v/>
      </c>
      <c r="I137" s="7"/>
      <c r="J137" s="7" t="e">
        <f ca="1">[1]!t仕入先名(I137)</f>
        <v>#NAME?</v>
      </c>
      <c r="K137" s="7"/>
      <c r="L137" s="7" t="e">
        <f ca="1">[1]!t発注先名(K137)</f>
        <v>#NAME?</v>
      </c>
      <c r="M137" s="49"/>
      <c r="N137" s="6"/>
      <c r="O137" s="6"/>
      <c r="P137" s="7"/>
      <c r="Q137" s="7"/>
      <c r="R137" s="7"/>
    </row>
    <row r="138" spans="1:18" ht="13.5" customHeight="1">
      <c r="A138" s="7">
        <v>126</v>
      </c>
      <c r="B138" s="7"/>
      <c r="C138" s="7"/>
      <c r="D138" s="7"/>
      <c r="E138" s="7"/>
      <c r="F138" s="7"/>
      <c r="G138" s="58"/>
      <c r="H138" s="7" t="str">
        <f>IF(G138="","",VLOOKUP(G138,MT商品ﾏｽﾀ参照シート!AO:AP,2,0))</f>
        <v/>
      </c>
      <c r="I138" s="7"/>
      <c r="J138" s="7" t="e">
        <f ca="1">[1]!t仕入先名(I138)</f>
        <v>#NAME?</v>
      </c>
      <c r="K138" s="7"/>
      <c r="L138" s="7" t="e">
        <f ca="1">[1]!t発注先名(K138)</f>
        <v>#NAME?</v>
      </c>
      <c r="M138" s="49"/>
      <c r="N138" s="6"/>
      <c r="O138" s="6"/>
      <c r="P138" s="7"/>
      <c r="Q138" s="7"/>
      <c r="R138" s="7"/>
    </row>
    <row r="139" spans="1:18" ht="13.5" customHeight="1">
      <c r="A139" s="7">
        <v>127</v>
      </c>
      <c r="B139" s="7"/>
      <c r="C139" s="7"/>
      <c r="D139" s="7"/>
      <c r="E139" s="7"/>
      <c r="F139" s="7"/>
      <c r="G139" s="58"/>
      <c r="H139" s="7" t="str">
        <f>IF(G139="","",VLOOKUP(G139,MT商品ﾏｽﾀ参照シート!AO:AP,2,0))</f>
        <v/>
      </c>
      <c r="I139" s="7"/>
      <c r="J139" s="7" t="e">
        <f ca="1">[1]!t仕入先名(I139)</f>
        <v>#NAME?</v>
      </c>
      <c r="K139" s="7"/>
      <c r="L139" s="7" t="e">
        <f ca="1">[1]!t発注先名(K139)</f>
        <v>#NAME?</v>
      </c>
      <c r="M139" s="49"/>
      <c r="N139" s="6"/>
      <c r="O139" s="6"/>
      <c r="P139" s="7"/>
      <c r="Q139" s="7"/>
      <c r="R139" s="7"/>
    </row>
    <row r="140" spans="1:18" ht="13.5" customHeight="1">
      <c r="A140" s="7">
        <v>128</v>
      </c>
      <c r="B140" s="7"/>
      <c r="C140" s="7"/>
      <c r="D140" s="7"/>
      <c r="E140" s="7"/>
      <c r="F140" s="7"/>
      <c r="G140" s="58"/>
      <c r="H140" s="7" t="str">
        <f>IF(G140="","",VLOOKUP(G140,MT商品ﾏｽﾀ参照シート!AO:AP,2,0))</f>
        <v/>
      </c>
      <c r="I140" s="7"/>
      <c r="J140" s="7" t="e">
        <f ca="1">[1]!t仕入先名(I140)</f>
        <v>#NAME?</v>
      </c>
      <c r="K140" s="7"/>
      <c r="L140" s="7" t="e">
        <f ca="1">[1]!t発注先名(K140)</f>
        <v>#NAME?</v>
      </c>
      <c r="M140" s="49"/>
      <c r="N140" s="6"/>
      <c r="O140" s="6"/>
      <c r="P140" s="7"/>
      <c r="Q140" s="7"/>
      <c r="R140" s="7"/>
    </row>
    <row r="141" spans="1:18" ht="13.5" customHeight="1">
      <c r="A141" s="7">
        <v>129</v>
      </c>
      <c r="B141" s="7"/>
      <c r="C141" s="7"/>
      <c r="D141" s="7"/>
      <c r="E141" s="7"/>
      <c r="F141" s="7"/>
      <c r="G141" s="58"/>
      <c r="H141" s="7" t="str">
        <f>IF(G141="","",VLOOKUP(G141,MT商品ﾏｽﾀ参照シート!AO:AP,2,0))</f>
        <v/>
      </c>
      <c r="I141" s="7"/>
      <c r="J141" s="7" t="e">
        <f ca="1">[1]!t仕入先名(I141)</f>
        <v>#NAME?</v>
      </c>
      <c r="K141" s="7"/>
      <c r="L141" s="7" t="e">
        <f ca="1">[1]!t発注先名(K141)</f>
        <v>#NAME?</v>
      </c>
      <c r="M141" s="49"/>
      <c r="N141" s="6"/>
      <c r="O141" s="6"/>
      <c r="P141" s="7"/>
      <c r="Q141" s="7"/>
      <c r="R141" s="7"/>
    </row>
    <row r="142" spans="1:18" ht="13.5" customHeight="1">
      <c r="A142" s="7">
        <v>130</v>
      </c>
      <c r="B142" s="7"/>
      <c r="C142" s="7"/>
      <c r="D142" s="7"/>
      <c r="E142" s="7"/>
      <c r="F142" s="7"/>
      <c r="G142" s="58"/>
      <c r="H142" s="7" t="str">
        <f>IF(G142="","",VLOOKUP(G142,MT商品ﾏｽﾀ参照シート!AO:AP,2,0))</f>
        <v/>
      </c>
      <c r="I142" s="7"/>
      <c r="J142" s="7" t="e">
        <f ca="1">[1]!t仕入先名(I142)</f>
        <v>#NAME?</v>
      </c>
      <c r="K142" s="7"/>
      <c r="L142" s="7" t="e">
        <f ca="1">[1]!t発注先名(K142)</f>
        <v>#NAME?</v>
      </c>
      <c r="M142" s="49"/>
      <c r="N142" s="6"/>
      <c r="O142" s="6"/>
      <c r="P142" s="7"/>
      <c r="Q142" s="7"/>
      <c r="R142" s="7"/>
    </row>
    <row r="143" spans="1:18" ht="13.5" customHeight="1">
      <c r="A143" s="7">
        <v>131</v>
      </c>
      <c r="B143" s="7"/>
      <c r="C143" s="7"/>
      <c r="D143" s="7"/>
      <c r="E143" s="7"/>
      <c r="F143" s="7"/>
      <c r="G143" s="58"/>
      <c r="H143" s="7" t="str">
        <f>IF(G143="","",VLOOKUP(G143,MT商品ﾏｽﾀ参照シート!AO:AP,2,0))</f>
        <v/>
      </c>
      <c r="I143" s="7"/>
      <c r="J143" s="7" t="e">
        <f ca="1">[1]!t仕入先名(I143)</f>
        <v>#NAME?</v>
      </c>
      <c r="K143" s="7"/>
      <c r="L143" s="7" t="e">
        <f ca="1">[1]!t発注先名(K143)</f>
        <v>#NAME?</v>
      </c>
      <c r="M143" s="49"/>
      <c r="N143" s="6"/>
      <c r="O143" s="6"/>
      <c r="P143" s="7"/>
      <c r="Q143" s="7"/>
      <c r="R143" s="7"/>
    </row>
    <row r="144" spans="1:18" ht="13.5" customHeight="1">
      <c r="A144" s="7">
        <v>132</v>
      </c>
      <c r="B144" s="7"/>
      <c r="C144" s="7"/>
      <c r="D144" s="7"/>
      <c r="E144" s="7"/>
      <c r="F144" s="7"/>
      <c r="G144" s="58"/>
      <c r="H144" s="7" t="str">
        <f>IF(G144="","",VLOOKUP(G144,MT商品ﾏｽﾀ参照シート!AO:AP,2,0))</f>
        <v/>
      </c>
      <c r="I144" s="7"/>
      <c r="J144" s="7" t="e">
        <f ca="1">[1]!t仕入先名(I144)</f>
        <v>#NAME?</v>
      </c>
      <c r="K144" s="7"/>
      <c r="L144" s="7" t="e">
        <f ca="1">[1]!t発注先名(K144)</f>
        <v>#NAME?</v>
      </c>
      <c r="M144" s="49"/>
      <c r="N144" s="6"/>
      <c r="O144" s="6"/>
      <c r="P144" s="7"/>
      <c r="Q144" s="7"/>
      <c r="R144" s="7"/>
    </row>
    <row r="145" spans="1:18" ht="13.5" customHeight="1">
      <c r="A145" s="7">
        <v>133</v>
      </c>
      <c r="B145" s="7"/>
      <c r="C145" s="7"/>
      <c r="D145" s="7"/>
      <c r="E145" s="7"/>
      <c r="F145" s="7"/>
      <c r="G145" s="58"/>
      <c r="H145" s="7" t="str">
        <f>IF(G145="","",VLOOKUP(G145,MT商品ﾏｽﾀ参照シート!AO:AP,2,0))</f>
        <v/>
      </c>
      <c r="I145" s="7"/>
      <c r="J145" s="7" t="e">
        <f ca="1">[1]!t仕入先名(I145)</f>
        <v>#NAME?</v>
      </c>
      <c r="K145" s="7"/>
      <c r="L145" s="7" t="e">
        <f ca="1">[1]!t発注先名(K145)</f>
        <v>#NAME?</v>
      </c>
      <c r="M145" s="49"/>
      <c r="N145" s="6"/>
      <c r="O145" s="6"/>
      <c r="P145" s="7"/>
      <c r="Q145" s="7"/>
      <c r="R145" s="7"/>
    </row>
    <row r="146" spans="1:18" ht="13.5" customHeight="1">
      <c r="A146" s="7">
        <v>134</v>
      </c>
      <c r="B146" s="7"/>
      <c r="C146" s="7"/>
      <c r="D146" s="7"/>
      <c r="E146" s="7"/>
      <c r="F146" s="7"/>
      <c r="G146" s="58"/>
      <c r="H146" s="7" t="str">
        <f>IF(G146="","",VLOOKUP(G146,MT商品ﾏｽﾀ参照シート!AO:AP,2,0))</f>
        <v/>
      </c>
      <c r="I146" s="7"/>
      <c r="J146" s="7" t="e">
        <f ca="1">[1]!t仕入先名(I146)</f>
        <v>#NAME?</v>
      </c>
      <c r="K146" s="7"/>
      <c r="L146" s="7" t="e">
        <f ca="1">[1]!t発注先名(K146)</f>
        <v>#NAME?</v>
      </c>
      <c r="M146" s="49"/>
      <c r="N146" s="6"/>
      <c r="O146" s="6"/>
      <c r="P146" s="7"/>
      <c r="Q146" s="7"/>
      <c r="R146" s="7"/>
    </row>
    <row r="147" spans="1:18" ht="13.5" customHeight="1">
      <c r="A147" s="7">
        <v>135</v>
      </c>
      <c r="B147" s="7"/>
      <c r="C147" s="7"/>
      <c r="D147" s="7"/>
      <c r="E147" s="7"/>
      <c r="F147" s="7"/>
      <c r="G147" s="58"/>
      <c r="H147" s="7" t="str">
        <f>IF(G147="","",VLOOKUP(G147,MT商品ﾏｽﾀ参照シート!AO:AP,2,0))</f>
        <v/>
      </c>
      <c r="I147" s="7"/>
      <c r="J147" s="7" t="e">
        <f ca="1">[1]!t仕入先名(I147)</f>
        <v>#NAME?</v>
      </c>
      <c r="K147" s="7"/>
      <c r="L147" s="7" t="e">
        <f ca="1">[1]!t発注先名(K147)</f>
        <v>#NAME?</v>
      </c>
      <c r="M147" s="49"/>
      <c r="N147" s="6"/>
      <c r="O147" s="6"/>
      <c r="P147" s="7"/>
      <c r="Q147" s="7"/>
      <c r="R147" s="7"/>
    </row>
    <row r="148" spans="1:18" ht="13.5" customHeight="1">
      <c r="A148" s="7">
        <v>136</v>
      </c>
      <c r="B148" s="7"/>
      <c r="C148" s="7"/>
      <c r="D148" s="7"/>
      <c r="E148" s="7"/>
      <c r="F148" s="7"/>
      <c r="G148" s="58"/>
      <c r="H148" s="7" t="str">
        <f>IF(G148="","",VLOOKUP(G148,MT商品ﾏｽﾀ参照シート!AO:AP,2,0))</f>
        <v/>
      </c>
      <c r="I148" s="7"/>
      <c r="J148" s="7" t="e">
        <f ca="1">[1]!t仕入先名(I148)</f>
        <v>#NAME?</v>
      </c>
      <c r="K148" s="7"/>
      <c r="L148" s="7" t="e">
        <f ca="1">[1]!t発注先名(K148)</f>
        <v>#NAME?</v>
      </c>
      <c r="M148" s="49"/>
      <c r="N148" s="6"/>
      <c r="O148" s="6"/>
      <c r="P148" s="7"/>
      <c r="Q148" s="7"/>
      <c r="R148" s="7"/>
    </row>
    <row r="149" spans="1:18" ht="13.5" customHeight="1">
      <c r="A149" s="7">
        <v>137</v>
      </c>
      <c r="B149" s="7"/>
      <c r="C149" s="7"/>
      <c r="D149" s="7"/>
      <c r="E149" s="7"/>
      <c r="F149" s="7"/>
      <c r="G149" s="58"/>
      <c r="H149" s="7" t="str">
        <f>IF(G149="","",VLOOKUP(G149,MT商品ﾏｽﾀ参照シート!AO:AP,2,0))</f>
        <v/>
      </c>
      <c r="I149" s="7"/>
      <c r="J149" s="7" t="e">
        <f ca="1">[1]!t仕入先名(I149)</f>
        <v>#NAME?</v>
      </c>
      <c r="K149" s="7"/>
      <c r="L149" s="7" t="e">
        <f ca="1">[1]!t発注先名(K149)</f>
        <v>#NAME?</v>
      </c>
      <c r="M149" s="49"/>
      <c r="N149" s="6"/>
      <c r="O149" s="6"/>
      <c r="P149" s="7"/>
      <c r="Q149" s="7"/>
      <c r="R149" s="7"/>
    </row>
    <row r="150" spans="1:18" ht="13.5" customHeight="1">
      <c r="A150" s="7">
        <v>138</v>
      </c>
      <c r="B150" s="7"/>
      <c r="C150" s="7"/>
      <c r="D150" s="7"/>
      <c r="E150" s="7"/>
      <c r="F150" s="7"/>
      <c r="G150" s="58"/>
      <c r="H150" s="7" t="str">
        <f>IF(G150="","",VLOOKUP(G150,MT商品ﾏｽﾀ参照シート!AO:AP,2,0))</f>
        <v/>
      </c>
      <c r="I150" s="7"/>
      <c r="J150" s="7" t="e">
        <f ca="1">[1]!t仕入先名(I150)</f>
        <v>#NAME?</v>
      </c>
      <c r="K150" s="7"/>
      <c r="L150" s="7" t="e">
        <f ca="1">[1]!t発注先名(K150)</f>
        <v>#NAME?</v>
      </c>
      <c r="M150" s="49"/>
      <c r="N150" s="6"/>
      <c r="O150" s="6"/>
      <c r="P150" s="7"/>
      <c r="Q150" s="7"/>
      <c r="R150" s="7"/>
    </row>
    <row r="151" spans="1:18" ht="13.5" customHeight="1">
      <c r="A151" s="7">
        <v>139</v>
      </c>
      <c r="B151" s="7"/>
      <c r="C151" s="7"/>
      <c r="D151" s="7"/>
      <c r="E151" s="7"/>
      <c r="F151" s="7"/>
      <c r="G151" s="58"/>
      <c r="H151" s="7" t="str">
        <f>IF(G151="","",VLOOKUP(G151,MT商品ﾏｽﾀ参照シート!AO:AP,2,0))</f>
        <v/>
      </c>
      <c r="I151" s="7"/>
      <c r="J151" s="7" t="e">
        <f ca="1">[1]!t仕入先名(I151)</f>
        <v>#NAME?</v>
      </c>
      <c r="K151" s="7"/>
      <c r="L151" s="7" t="e">
        <f ca="1">[1]!t発注先名(K151)</f>
        <v>#NAME?</v>
      </c>
      <c r="M151" s="49"/>
      <c r="N151" s="6"/>
      <c r="O151" s="6"/>
      <c r="P151" s="7"/>
      <c r="Q151" s="7"/>
      <c r="R151" s="7"/>
    </row>
    <row r="152" spans="1:18" ht="13.5" customHeight="1">
      <c r="A152" s="7">
        <v>140</v>
      </c>
      <c r="B152" s="7"/>
      <c r="C152" s="7"/>
      <c r="D152" s="7"/>
      <c r="E152" s="7"/>
      <c r="F152" s="7"/>
      <c r="G152" s="58"/>
      <c r="H152" s="7" t="str">
        <f>IF(G152="","",VLOOKUP(G152,MT商品ﾏｽﾀ参照シート!AO:AP,2,0))</f>
        <v/>
      </c>
      <c r="I152" s="7"/>
      <c r="J152" s="7" t="e">
        <f ca="1">[1]!t仕入先名(I152)</f>
        <v>#NAME?</v>
      </c>
      <c r="K152" s="7"/>
      <c r="L152" s="7" t="e">
        <f ca="1">[1]!t発注先名(K152)</f>
        <v>#NAME?</v>
      </c>
      <c r="M152" s="49"/>
      <c r="N152" s="6"/>
      <c r="O152" s="6"/>
      <c r="P152" s="7"/>
      <c r="Q152" s="7"/>
      <c r="R152" s="7"/>
    </row>
    <row r="153" spans="1:18" ht="13.5" customHeight="1">
      <c r="A153" s="7">
        <v>141</v>
      </c>
      <c r="B153" s="7"/>
      <c r="C153" s="7"/>
      <c r="D153" s="7"/>
      <c r="E153" s="7"/>
      <c r="F153" s="7"/>
      <c r="G153" s="58"/>
      <c r="H153" s="7" t="str">
        <f>IF(G153="","",VLOOKUP(G153,MT商品ﾏｽﾀ参照シート!AO:AP,2,0))</f>
        <v/>
      </c>
      <c r="I153" s="7"/>
      <c r="J153" s="7" t="e">
        <f ca="1">[1]!t仕入先名(I153)</f>
        <v>#NAME?</v>
      </c>
      <c r="K153" s="7"/>
      <c r="L153" s="7" t="e">
        <f ca="1">[1]!t発注先名(K153)</f>
        <v>#NAME?</v>
      </c>
      <c r="M153" s="49"/>
      <c r="N153" s="6"/>
      <c r="O153" s="6"/>
      <c r="P153" s="7"/>
      <c r="Q153" s="7"/>
      <c r="R153" s="7"/>
    </row>
    <row r="154" spans="1:18" ht="13.5" customHeight="1">
      <c r="A154" s="7">
        <v>142</v>
      </c>
      <c r="B154" s="7"/>
      <c r="C154" s="7"/>
      <c r="D154" s="7"/>
      <c r="E154" s="7"/>
      <c r="F154" s="7"/>
      <c r="G154" s="58"/>
      <c r="H154" s="7" t="str">
        <f>IF(G154="","",VLOOKUP(G154,MT商品ﾏｽﾀ参照シート!AO:AP,2,0))</f>
        <v/>
      </c>
      <c r="I154" s="7"/>
      <c r="J154" s="7" t="e">
        <f ca="1">[1]!t仕入先名(I154)</f>
        <v>#NAME?</v>
      </c>
      <c r="K154" s="7"/>
      <c r="L154" s="7" t="e">
        <f ca="1">[1]!t発注先名(K154)</f>
        <v>#NAME?</v>
      </c>
      <c r="M154" s="49"/>
      <c r="N154" s="6"/>
      <c r="O154" s="6"/>
      <c r="P154" s="7"/>
      <c r="Q154" s="7"/>
      <c r="R154" s="7"/>
    </row>
    <row r="155" spans="1:18" ht="13.5" customHeight="1">
      <c r="A155" s="7">
        <v>143</v>
      </c>
      <c r="B155" s="7"/>
      <c r="C155" s="7"/>
      <c r="D155" s="7"/>
      <c r="E155" s="7"/>
      <c r="F155" s="7"/>
      <c r="G155" s="58"/>
      <c r="H155" s="7" t="str">
        <f>IF(G155="","",VLOOKUP(G155,MT商品ﾏｽﾀ参照シート!AO:AP,2,0))</f>
        <v/>
      </c>
      <c r="I155" s="7"/>
      <c r="J155" s="7" t="e">
        <f ca="1">[1]!t仕入先名(I155)</f>
        <v>#NAME?</v>
      </c>
      <c r="K155" s="7"/>
      <c r="L155" s="7" t="e">
        <f ca="1">[1]!t発注先名(K155)</f>
        <v>#NAME?</v>
      </c>
      <c r="M155" s="49"/>
      <c r="N155" s="6"/>
      <c r="O155" s="6"/>
      <c r="P155" s="7"/>
      <c r="Q155" s="7"/>
      <c r="R155" s="7"/>
    </row>
    <row r="156" spans="1:18" ht="13.5" customHeight="1">
      <c r="A156" s="7">
        <v>144</v>
      </c>
      <c r="B156" s="7"/>
      <c r="C156" s="7"/>
      <c r="D156" s="7"/>
      <c r="E156" s="7"/>
      <c r="F156" s="7"/>
      <c r="G156" s="58"/>
      <c r="H156" s="7" t="str">
        <f>IF(G156="","",VLOOKUP(G156,MT商品ﾏｽﾀ参照シート!AO:AP,2,0))</f>
        <v/>
      </c>
      <c r="I156" s="7"/>
      <c r="J156" s="7" t="e">
        <f ca="1">[1]!t仕入先名(I156)</f>
        <v>#NAME?</v>
      </c>
      <c r="K156" s="7"/>
      <c r="L156" s="7" t="e">
        <f ca="1">[1]!t発注先名(K156)</f>
        <v>#NAME?</v>
      </c>
      <c r="M156" s="49"/>
      <c r="N156" s="6"/>
      <c r="O156" s="6"/>
      <c r="P156" s="7"/>
      <c r="Q156" s="7"/>
      <c r="R156" s="7"/>
    </row>
    <row r="157" spans="1:18" ht="13.5" customHeight="1">
      <c r="A157" s="7">
        <v>145</v>
      </c>
      <c r="B157" s="7"/>
      <c r="C157" s="7"/>
      <c r="D157" s="7"/>
      <c r="E157" s="7"/>
      <c r="F157" s="7"/>
      <c r="G157" s="58"/>
      <c r="H157" s="7" t="str">
        <f>IF(G157="","",VLOOKUP(G157,MT商品ﾏｽﾀ参照シート!AO:AP,2,0))</f>
        <v/>
      </c>
      <c r="I157" s="7"/>
      <c r="J157" s="7" t="e">
        <f ca="1">[1]!t仕入先名(I157)</f>
        <v>#NAME?</v>
      </c>
      <c r="K157" s="7"/>
      <c r="L157" s="7" t="e">
        <f ca="1">[1]!t発注先名(K157)</f>
        <v>#NAME?</v>
      </c>
      <c r="M157" s="49"/>
      <c r="N157" s="6"/>
      <c r="O157" s="6"/>
      <c r="P157" s="7"/>
      <c r="Q157" s="7"/>
      <c r="R157" s="7"/>
    </row>
    <row r="158" spans="1:18" ht="13.5" customHeight="1">
      <c r="A158" s="7">
        <v>146</v>
      </c>
      <c r="B158" s="7"/>
      <c r="C158" s="7"/>
      <c r="D158" s="7"/>
      <c r="E158" s="7"/>
      <c r="F158" s="7"/>
      <c r="G158" s="58"/>
      <c r="H158" s="7" t="str">
        <f>IF(G158="","",VLOOKUP(G158,MT商品ﾏｽﾀ参照シート!AO:AP,2,0))</f>
        <v/>
      </c>
      <c r="I158" s="7"/>
      <c r="J158" s="7" t="e">
        <f ca="1">[1]!t仕入先名(I158)</f>
        <v>#NAME?</v>
      </c>
      <c r="K158" s="7"/>
      <c r="L158" s="7" t="e">
        <f ca="1">[1]!t発注先名(K158)</f>
        <v>#NAME?</v>
      </c>
      <c r="M158" s="49"/>
      <c r="N158" s="6"/>
      <c r="O158" s="6"/>
      <c r="P158" s="7"/>
      <c r="Q158" s="7"/>
      <c r="R158" s="7"/>
    </row>
    <row r="159" spans="1:18" ht="13.5" customHeight="1">
      <c r="A159" s="7">
        <v>147</v>
      </c>
      <c r="B159" s="7"/>
      <c r="C159" s="7"/>
      <c r="D159" s="7"/>
      <c r="E159" s="7"/>
      <c r="F159" s="7"/>
      <c r="G159" s="58"/>
      <c r="H159" s="7" t="str">
        <f>IF(G159="","",VLOOKUP(G159,MT商品ﾏｽﾀ参照シート!AO:AP,2,0))</f>
        <v/>
      </c>
      <c r="I159" s="7"/>
      <c r="J159" s="7" t="e">
        <f ca="1">[1]!t仕入先名(I159)</f>
        <v>#NAME?</v>
      </c>
      <c r="K159" s="7"/>
      <c r="L159" s="7" t="e">
        <f ca="1">[1]!t発注先名(K159)</f>
        <v>#NAME?</v>
      </c>
      <c r="M159" s="49"/>
      <c r="N159" s="6"/>
      <c r="O159" s="6"/>
      <c r="P159" s="7"/>
      <c r="Q159" s="7"/>
      <c r="R159" s="7"/>
    </row>
    <row r="160" spans="1:18" ht="13.5" customHeight="1">
      <c r="A160" s="7">
        <v>148</v>
      </c>
      <c r="B160" s="7"/>
      <c r="C160" s="7"/>
      <c r="D160" s="7"/>
      <c r="E160" s="7"/>
      <c r="F160" s="7"/>
      <c r="G160" s="58"/>
      <c r="H160" s="7" t="str">
        <f>IF(G160="","",VLOOKUP(G160,MT商品ﾏｽﾀ参照シート!AO:AP,2,0))</f>
        <v/>
      </c>
      <c r="I160" s="7"/>
      <c r="J160" s="7" t="e">
        <f ca="1">[1]!t仕入先名(I160)</f>
        <v>#NAME?</v>
      </c>
      <c r="K160" s="7"/>
      <c r="L160" s="7" t="e">
        <f ca="1">[1]!t発注先名(K160)</f>
        <v>#NAME?</v>
      </c>
      <c r="M160" s="49"/>
      <c r="N160" s="6"/>
      <c r="O160" s="6"/>
      <c r="P160" s="7"/>
      <c r="Q160" s="7"/>
      <c r="R160" s="7"/>
    </row>
    <row r="161" spans="1:18" ht="13.5" customHeight="1">
      <c r="A161" s="7">
        <v>149</v>
      </c>
      <c r="B161" s="7"/>
      <c r="C161" s="7"/>
      <c r="D161" s="7"/>
      <c r="E161" s="7"/>
      <c r="F161" s="7"/>
      <c r="G161" s="58"/>
      <c r="H161" s="7" t="str">
        <f>IF(G161="","",VLOOKUP(G161,MT商品ﾏｽﾀ参照シート!AO:AP,2,0))</f>
        <v/>
      </c>
      <c r="I161" s="7"/>
      <c r="J161" s="7" t="e">
        <f ca="1">[1]!t仕入先名(I161)</f>
        <v>#NAME?</v>
      </c>
      <c r="K161" s="7"/>
      <c r="L161" s="7" t="e">
        <f ca="1">[1]!t発注先名(K161)</f>
        <v>#NAME?</v>
      </c>
      <c r="M161" s="49"/>
      <c r="N161" s="6"/>
      <c r="O161" s="6"/>
      <c r="P161" s="7"/>
      <c r="Q161" s="7"/>
      <c r="R161" s="7"/>
    </row>
    <row r="162" spans="1:18" ht="13.5" customHeight="1">
      <c r="A162" s="7">
        <v>150</v>
      </c>
      <c r="B162" s="7"/>
      <c r="C162" s="7"/>
      <c r="D162" s="7"/>
      <c r="E162" s="7"/>
      <c r="F162" s="7"/>
      <c r="G162" s="58"/>
      <c r="H162" s="7" t="str">
        <f>IF(G162="","",VLOOKUP(G162,MT商品ﾏｽﾀ参照シート!AO:AP,2,0))</f>
        <v/>
      </c>
      <c r="I162" s="7"/>
      <c r="J162" s="7" t="e">
        <f ca="1">[1]!t仕入先名(I162)</f>
        <v>#NAME?</v>
      </c>
      <c r="K162" s="7"/>
      <c r="L162" s="7" t="e">
        <f ca="1">[1]!t発注先名(K162)</f>
        <v>#NAME?</v>
      </c>
      <c r="M162" s="49"/>
      <c r="N162" s="6"/>
      <c r="O162" s="6"/>
      <c r="P162" s="7"/>
      <c r="Q162" s="7"/>
      <c r="R162" s="7"/>
    </row>
    <row r="163" spans="1:18" ht="13.5" customHeight="1">
      <c r="A163" s="7">
        <v>151</v>
      </c>
      <c r="B163" s="7"/>
      <c r="C163" s="7"/>
      <c r="D163" s="7"/>
      <c r="E163" s="7"/>
      <c r="F163" s="7"/>
      <c r="G163" s="58"/>
      <c r="H163" s="7" t="str">
        <f>IF(G163="","",VLOOKUP(G163,MT商品ﾏｽﾀ参照シート!AO:AP,2,0))</f>
        <v/>
      </c>
      <c r="I163" s="7"/>
      <c r="J163" s="7" t="e">
        <f ca="1">[1]!t仕入先名(I163)</f>
        <v>#NAME?</v>
      </c>
      <c r="K163" s="7"/>
      <c r="L163" s="7" t="e">
        <f ca="1">[1]!t発注先名(K163)</f>
        <v>#NAME?</v>
      </c>
      <c r="M163" s="49"/>
      <c r="N163" s="6"/>
      <c r="O163" s="6"/>
      <c r="P163" s="7"/>
      <c r="Q163" s="7"/>
      <c r="R163" s="7"/>
    </row>
    <row r="164" spans="1:18" ht="13.5" customHeight="1">
      <c r="A164" s="7">
        <v>152</v>
      </c>
      <c r="B164" s="7"/>
      <c r="C164" s="7"/>
      <c r="D164" s="7"/>
      <c r="E164" s="7"/>
      <c r="F164" s="7"/>
      <c r="G164" s="58"/>
      <c r="H164" s="7" t="str">
        <f>IF(G164="","",VLOOKUP(G164,MT商品ﾏｽﾀ参照シート!AO:AP,2,0))</f>
        <v/>
      </c>
      <c r="I164" s="7"/>
      <c r="J164" s="7" t="e">
        <f ca="1">[1]!t仕入先名(I164)</f>
        <v>#NAME?</v>
      </c>
      <c r="K164" s="7"/>
      <c r="L164" s="7" t="e">
        <f ca="1">[1]!t発注先名(K164)</f>
        <v>#NAME?</v>
      </c>
      <c r="M164" s="49"/>
      <c r="N164" s="6"/>
      <c r="O164" s="6"/>
      <c r="P164" s="7"/>
      <c r="Q164" s="7"/>
      <c r="R164" s="7"/>
    </row>
    <row r="165" spans="1:18" ht="13.5" customHeight="1">
      <c r="A165" s="7">
        <v>153</v>
      </c>
      <c r="B165" s="7"/>
      <c r="C165" s="7"/>
      <c r="D165" s="7"/>
      <c r="E165" s="7"/>
      <c r="F165" s="7"/>
      <c r="G165" s="58"/>
      <c r="H165" s="7" t="str">
        <f>IF(G165="","",VLOOKUP(G165,MT商品ﾏｽﾀ参照シート!AO:AP,2,0))</f>
        <v/>
      </c>
      <c r="I165" s="7"/>
      <c r="J165" s="7" t="e">
        <f ca="1">[1]!t仕入先名(I165)</f>
        <v>#NAME?</v>
      </c>
      <c r="K165" s="7"/>
      <c r="L165" s="7" t="e">
        <f ca="1">[1]!t発注先名(K165)</f>
        <v>#NAME?</v>
      </c>
      <c r="M165" s="49"/>
      <c r="N165" s="6"/>
      <c r="O165" s="6"/>
      <c r="P165" s="7"/>
      <c r="Q165" s="7"/>
      <c r="R165" s="7"/>
    </row>
    <row r="166" spans="1:18" ht="13.5" customHeight="1">
      <c r="A166" s="7">
        <v>154</v>
      </c>
      <c r="B166" s="7"/>
      <c r="C166" s="7"/>
      <c r="D166" s="7"/>
      <c r="E166" s="7"/>
      <c r="F166" s="7"/>
      <c r="G166" s="58"/>
      <c r="H166" s="7" t="str">
        <f>IF(G166="","",VLOOKUP(G166,MT商品ﾏｽﾀ参照シート!AO:AP,2,0))</f>
        <v/>
      </c>
      <c r="I166" s="7"/>
      <c r="J166" s="7" t="e">
        <f ca="1">[1]!t仕入先名(I166)</f>
        <v>#NAME?</v>
      </c>
      <c r="K166" s="7"/>
      <c r="L166" s="7" t="e">
        <f ca="1">[1]!t発注先名(K166)</f>
        <v>#NAME?</v>
      </c>
      <c r="M166" s="49"/>
      <c r="N166" s="6"/>
      <c r="O166" s="6"/>
      <c r="P166" s="7"/>
      <c r="Q166" s="7"/>
      <c r="R166" s="7"/>
    </row>
    <row r="167" spans="1:18" ht="13.5" customHeight="1">
      <c r="A167" s="7">
        <v>155</v>
      </c>
      <c r="B167" s="7"/>
      <c r="C167" s="7"/>
      <c r="D167" s="7"/>
      <c r="E167" s="7"/>
      <c r="F167" s="7"/>
      <c r="G167" s="58"/>
      <c r="H167" s="7" t="str">
        <f>IF(G167="","",VLOOKUP(G167,MT商品ﾏｽﾀ参照シート!AO:AP,2,0))</f>
        <v/>
      </c>
      <c r="I167" s="7"/>
      <c r="J167" s="7" t="e">
        <f ca="1">[1]!t仕入先名(I167)</f>
        <v>#NAME?</v>
      </c>
      <c r="K167" s="7"/>
      <c r="L167" s="7" t="e">
        <f ca="1">[1]!t発注先名(K167)</f>
        <v>#NAME?</v>
      </c>
      <c r="M167" s="49"/>
      <c r="N167" s="6"/>
      <c r="O167" s="6"/>
      <c r="P167" s="7"/>
      <c r="Q167" s="7"/>
      <c r="R167" s="7"/>
    </row>
    <row r="168" spans="1:18" ht="13.5" customHeight="1">
      <c r="A168" s="7">
        <v>156</v>
      </c>
      <c r="B168" s="7"/>
      <c r="C168" s="7"/>
      <c r="D168" s="7"/>
      <c r="E168" s="7"/>
      <c r="F168" s="7"/>
      <c r="G168" s="58"/>
      <c r="H168" s="7" t="str">
        <f>IF(G168="","",VLOOKUP(G168,MT商品ﾏｽﾀ参照シート!AO:AP,2,0))</f>
        <v/>
      </c>
      <c r="I168" s="7"/>
      <c r="J168" s="7" t="e">
        <f ca="1">[1]!t仕入先名(I168)</f>
        <v>#NAME?</v>
      </c>
      <c r="K168" s="7"/>
      <c r="L168" s="7" t="e">
        <f ca="1">[1]!t発注先名(K168)</f>
        <v>#NAME?</v>
      </c>
      <c r="M168" s="49"/>
      <c r="N168" s="6"/>
      <c r="O168" s="6"/>
      <c r="P168" s="7"/>
      <c r="Q168" s="7"/>
      <c r="R168" s="7"/>
    </row>
    <row r="169" spans="1:18" ht="13.5" customHeight="1">
      <c r="A169" s="7">
        <v>157</v>
      </c>
      <c r="B169" s="7"/>
      <c r="C169" s="7"/>
      <c r="D169" s="7"/>
      <c r="E169" s="7"/>
      <c r="F169" s="7"/>
      <c r="G169" s="58"/>
      <c r="H169" s="7" t="str">
        <f>IF(G169="","",VLOOKUP(G169,MT商品ﾏｽﾀ参照シート!AO:AP,2,0))</f>
        <v/>
      </c>
      <c r="I169" s="7"/>
      <c r="J169" s="7" t="e">
        <f ca="1">[1]!t仕入先名(I169)</f>
        <v>#NAME?</v>
      </c>
      <c r="K169" s="7"/>
      <c r="L169" s="7" t="e">
        <f ca="1">[1]!t発注先名(K169)</f>
        <v>#NAME?</v>
      </c>
      <c r="M169" s="49"/>
      <c r="N169" s="6"/>
      <c r="O169" s="6"/>
      <c r="P169" s="7"/>
      <c r="Q169" s="7"/>
      <c r="R169" s="7"/>
    </row>
    <row r="170" spans="1:18" ht="13.5" customHeight="1">
      <c r="A170" s="7">
        <v>158</v>
      </c>
      <c r="B170" s="7"/>
      <c r="C170" s="7"/>
      <c r="D170" s="7"/>
      <c r="E170" s="7"/>
      <c r="F170" s="7"/>
      <c r="G170" s="58"/>
      <c r="H170" s="7" t="str">
        <f>IF(G170="","",VLOOKUP(G170,MT商品ﾏｽﾀ参照シート!AO:AP,2,0))</f>
        <v/>
      </c>
      <c r="I170" s="7"/>
      <c r="J170" s="7" t="e">
        <f ca="1">[1]!t仕入先名(I170)</f>
        <v>#NAME?</v>
      </c>
      <c r="K170" s="7"/>
      <c r="L170" s="7" t="e">
        <f ca="1">[1]!t発注先名(K170)</f>
        <v>#NAME?</v>
      </c>
      <c r="M170" s="49"/>
      <c r="N170" s="6"/>
      <c r="O170" s="6"/>
      <c r="P170" s="7"/>
      <c r="Q170" s="7"/>
      <c r="R170" s="7"/>
    </row>
    <row r="171" spans="1:18" ht="13.5" customHeight="1">
      <c r="A171" s="7">
        <v>159</v>
      </c>
      <c r="B171" s="7"/>
      <c r="C171" s="7"/>
      <c r="D171" s="7"/>
      <c r="E171" s="7"/>
      <c r="F171" s="7"/>
      <c r="G171" s="58"/>
      <c r="H171" s="7" t="str">
        <f>IF(G171="","",VLOOKUP(G171,MT商品ﾏｽﾀ参照シート!AO:AP,2,0))</f>
        <v/>
      </c>
      <c r="I171" s="7"/>
      <c r="J171" s="7" t="e">
        <f ca="1">[1]!t仕入先名(I171)</f>
        <v>#NAME?</v>
      </c>
      <c r="K171" s="7"/>
      <c r="L171" s="7" t="e">
        <f ca="1">[1]!t発注先名(K171)</f>
        <v>#NAME?</v>
      </c>
      <c r="M171" s="49"/>
      <c r="N171" s="6"/>
      <c r="O171" s="6"/>
      <c r="P171" s="7"/>
      <c r="Q171" s="7"/>
      <c r="R171" s="7"/>
    </row>
    <row r="172" spans="1:18" ht="13.5" customHeight="1">
      <c r="A172" s="7">
        <v>160</v>
      </c>
      <c r="B172" s="7"/>
      <c r="C172" s="7"/>
      <c r="D172" s="7"/>
      <c r="E172" s="7"/>
      <c r="F172" s="7"/>
      <c r="G172" s="58"/>
      <c r="H172" s="7" t="str">
        <f>IF(G172="","",VLOOKUP(G172,MT商品ﾏｽﾀ参照シート!AO:AP,2,0))</f>
        <v/>
      </c>
      <c r="I172" s="7"/>
      <c r="J172" s="7" t="e">
        <f ca="1">[1]!t仕入先名(I172)</f>
        <v>#NAME?</v>
      </c>
      <c r="K172" s="7"/>
      <c r="L172" s="7" t="e">
        <f ca="1">[1]!t発注先名(K172)</f>
        <v>#NAME?</v>
      </c>
      <c r="M172" s="49"/>
      <c r="N172" s="6"/>
      <c r="O172" s="6"/>
      <c r="P172" s="7"/>
      <c r="Q172" s="7"/>
      <c r="R172" s="7"/>
    </row>
    <row r="173" spans="1:18" ht="13.5" customHeight="1">
      <c r="A173" s="7">
        <v>161</v>
      </c>
      <c r="B173" s="7"/>
      <c r="C173" s="7"/>
      <c r="D173" s="7"/>
      <c r="E173" s="7"/>
      <c r="F173" s="7"/>
      <c r="G173" s="58"/>
      <c r="H173" s="7" t="str">
        <f>IF(G173="","",VLOOKUP(G173,MT商品ﾏｽﾀ参照シート!AO:AP,2,0))</f>
        <v/>
      </c>
      <c r="I173" s="7"/>
      <c r="J173" s="7" t="e">
        <f ca="1">[1]!t仕入先名(I173)</f>
        <v>#NAME?</v>
      </c>
      <c r="K173" s="7"/>
      <c r="L173" s="7" t="e">
        <f ca="1">[1]!t発注先名(K173)</f>
        <v>#NAME?</v>
      </c>
      <c r="M173" s="49"/>
      <c r="N173" s="6"/>
      <c r="O173" s="6"/>
      <c r="P173" s="7"/>
      <c r="Q173" s="7"/>
      <c r="R173" s="7"/>
    </row>
    <row r="174" spans="1:18" ht="13.5" customHeight="1">
      <c r="A174" s="7">
        <v>162</v>
      </c>
      <c r="B174" s="7"/>
      <c r="C174" s="7"/>
      <c r="D174" s="7"/>
      <c r="E174" s="7"/>
      <c r="F174" s="7"/>
      <c r="G174" s="58"/>
      <c r="H174" s="7" t="str">
        <f>IF(G174="","",VLOOKUP(G174,MT商品ﾏｽﾀ参照シート!AO:AP,2,0))</f>
        <v/>
      </c>
      <c r="I174" s="7"/>
      <c r="J174" s="7" t="e">
        <f ca="1">[1]!t仕入先名(I174)</f>
        <v>#NAME?</v>
      </c>
      <c r="K174" s="7"/>
      <c r="L174" s="7" t="e">
        <f ca="1">[1]!t発注先名(K174)</f>
        <v>#NAME?</v>
      </c>
      <c r="M174" s="49"/>
      <c r="N174" s="6"/>
      <c r="O174" s="6"/>
      <c r="P174" s="7"/>
      <c r="Q174" s="7"/>
      <c r="R174" s="7"/>
    </row>
    <row r="175" spans="1:18" ht="13.5" customHeight="1">
      <c r="A175" s="7">
        <v>163</v>
      </c>
      <c r="B175" s="7"/>
      <c r="C175" s="7"/>
      <c r="D175" s="7"/>
      <c r="E175" s="7"/>
      <c r="F175" s="7"/>
      <c r="G175" s="58"/>
      <c r="H175" s="7" t="str">
        <f>IF(G175="","",VLOOKUP(G175,MT商品ﾏｽﾀ参照シート!AO:AP,2,0))</f>
        <v/>
      </c>
      <c r="I175" s="7"/>
      <c r="J175" s="7" t="e">
        <f ca="1">[1]!t仕入先名(I175)</f>
        <v>#NAME?</v>
      </c>
      <c r="K175" s="7"/>
      <c r="L175" s="7" t="e">
        <f ca="1">[1]!t発注先名(K175)</f>
        <v>#NAME?</v>
      </c>
      <c r="M175" s="49"/>
      <c r="N175" s="6"/>
      <c r="O175" s="6"/>
      <c r="P175" s="7"/>
      <c r="Q175" s="7"/>
      <c r="R175" s="7"/>
    </row>
    <row r="176" spans="1:18" ht="13.5" customHeight="1">
      <c r="A176" s="7">
        <v>164</v>
      </c>
      <c r="B176" s="7"/>
      <c r="C176" s="7"/>
      <c r="D176" s="7"/>
      <c r="E176" s="7"/>
      <c r="F176" s="7"/>
      <c r="G176" s="58"/>
      <c r="H176" s="7" t="str">
        <f>IF(G176="","",VLOOKUP(G176,MT商品ﾏｽﾀ参照シート!AO:AP,2,0))</f>
        <v/>
      </c>
      <c r="I176" s="7"/>
      <c r="J176" s="7" t="e">
        <f ca="1">[1]!t仕入先名(I176)</f>
        <v>#NAME?</v>
      </c>
      <c r="K176" s="7"/>
      <c r="L176" s="7" t="e">
        <f ca="1">[1]!t発注先名(K176)</f>
        <v>#NAME?</v>
      </c>
      <c r="M176" s="49"/>
      <c r="N176" s="6"/>
      <c r="O176" s="6"/>
      <c r="P176" s="7"/>
      <c r="Q176" s="7"/>
      <c r="R176" s="7"/>
    </row>
    <row r="177" spans="1:18" ht="13.5" customHeight="1">
      <c r="A177" s="7">
        <v>165</v>
      </c>
      <c r="B177" s="7"/>
      <c r="C177" s="7"/>
      <c r="D177" s="7"/>
      <c r="E177" s="7"/>
      <c r="F177" s="7"/>
      <c r="G177" s="58"/>
      <c r="H177" s="7" t="str">
        <f>IF(G177="","",VLOOKUP(G177,MT商品ﾏｽﾀ参照シート!AO:AP,2,0))</f>
        <v/>
      </c>
      <c r="I177" s="7"/>
      <c r="J177" s="7" t="e">
        <f ca="1">[1]!t仕入先名(I177)</f>
        <v>#NAME?</v>
      </c>
      <c r="K177" s="7"/>
      <c r="L177" s="7" t="e">
        <f ca="1">[1]!t発注先名(K177)</f>
        <v>#NAME?</v>
      </c>
      <c r="M177" s="49"/>
      <c r="N177" s="6"/>
      <c r="O177" s="6"/>
      <c r="P177" s="7"/>
      <c r="Q177" s="7"/>
      <c r="R177" s="7"/>
    </row>
    <row r="178" spans="1:18" ht="13.5" customHeight="1">
      <c r="A178" s="7">
        <v>166</v>
      </c>
      <c r="B178" s="7"/>
      <c r="C178" s="7"/>
      <c r="D178" s="7"/>
      <c r="E178" s="7"/>
      <c r="F178" s="7"/>
      <c r="G178" s="58"/>
      <c r="H178" s="7" t="str">
        <f>IF(G178="","",VLOOKUP(G178,MT商品ﾏｽﾀ参照シート!AO:AP,2,0))</f>
        <v/>
      </c>
      <c r="I178" s="7"/>
      <c r="J178" s="7" t="e">
        <f ca="1">[1]!t仕入先名(I178)</f>
        <v>#NAME?</v>
      </c>
      <c r="K178" s="7"/>
      <c r="L178" s="7" t="e">
        <f ca="1">[1]!t発注先名(K178)</f>
        <v>#NAME?</v>
      </c>
      <c r="M178" s="49"/>
      <c r="N178" s="6"/>
      <c r="O178" s="6"/>
      <c r="P178" s="7"/>
      <c r="Q178" s="7"/>
      <c r="R178" s="7"/>
    </row>
    <row r="179" spans="1:18" ht="13.5" customHeight="1">
      <c r="A179" s="7">
        <v>167</v>
      </c>
      <c r="B179" s="7"/>
      <c r="C179" s="7"/>
      <c r="D179" s="7"/>
      <c r="E179" s="7"/>
      <c r="F179" s="7"/>
      <c r="G179" s="58"/>
      <c r="H179" s="7" t="str">
        <f>IF(G179="","",VLOOKUP(G179,MT商品ﾏｽﾀ参照シート!AO:AP,2,0))</f>
        <v/>
      </c>
      <c r="I179" s="7"/>
      <c r="J179" s="7" t="e">
        <f ca="1">[1]!t仕入先名(I179)</f>
        <v>#NAME?</v>
      </c>
      <c r="K179" s="7"/>
      <c r="L179" s="7" t="e">
        <f ca="1">[1]!t発注先名(K179)</f>
        <v>#NAME?</v>
      </c>
      <c r="M179" s="49"/>
      <c r="N179" s="6"/>
      <c r="O179" s="6"/>
      <c r="P179" s="7"/>
      <c r="Q179" s="7"/>
      <c r="R179" s="7"/>
    </row>
    <row r="180" spans="1:18" ht="13.5" customHeight="1">
      <c r="A180" s="7">
        <v>168</v>
      </c>
      <c r="B180" s="7"/>
      <c r="C180" s="7"/>
      <c r="D180" s="7"/>
      <c r="E180" s="7"/>
      <c r="F180" s="7"/>
      <c r="G180" s="58"/>
      <c r="H180" s="7" t="str">
        <f>IF(G180="","",VLOOKUP(G180,MT商品ﾏｽﾀ参照シート!AO:AP,2,0))</f>
        <v/>
      </c>
      <c r="I180" s="7"/>
      <c r="J180" s="7" t="e">
        <f ca="1">[1]!t仕入先名(I180)</f>
        <v>#NAME?</v>
      </c>
      <c r="K180" s="7"/>
      <c r="L180" s="7" t="e">
        <f ca="1">[1]!t発注先名(K180)</f>
        <v>#NAME?</v>
      </c>
      <c r="M180" s="49"/>
      <c r="N180" s="6"/>
      <c r="O180" s="6"/>
      <c r="P180" s="7"/>
      <c r="Q180" s="7"/>
      <c r="R180" s="7"/>
    </row>
    <row r="181" spans="1:18" ht="13.5" customHeight="1">
      <c r="A181" s="7">
        <v>169</v>
      </c>
      <c r="B181" s="7"/>
      <c r="C181" s="7"/>
      <c r="D181" s="7"/>
      <c r="E181" s="7"/>
      <c r="F181" s="7"/>
      <c r="G181" s="58"/>
      <c r="H181" s="7" t="str">
        <f>IF(G181="","",VLOOKUP(G181,MT商品ﾏｽﾀ参照シート!AO:AP,2,0))</f>
        <v/>
      </c>
      <c r="I181" s="7"/>
      <c r="J181" s="7" t="e">
        <f ca="1">[1]!t仕入先名(I181)</f>
        <v>#NAME?</v>
      </c>
      <c r="K181" s="7"/>
      <c r="L181" s="7" t="e">
        <f ca="1">[1]!t発注先名(K181)</f>
        <v>#NAME?</v>
      </c>
      <c r="M181" s="49"/>
      <c r="N181" s="6"/>
      <c r="O181" s="6"/>
      <c r="P181" s="7"/>
      <c r="Q181" s="7"/>
      <c r="R181" s="7"/>
    </row>
    <row r="182" spans="1:18" ht="13.5" customHeight="1">
      <c r="A182" s="7">
        <v>170</v>
      </c>
      <c r="B182" s="7"/>
      <c r="C182" s="7"/>
      <c r="D182" s="7"/>
      <c r="E182" s="7"/>
      <c r="F182" s="7"/>
      <c r="G182" s="58"/>
      <c r="H182" s="7" t="str">
        <f>IF(G182="","",VLOOKUP(G182,MT商品ﾏｽﾀ参照シート!AO:AP,2,0))</f>
        <v/>
      </c>
      <c r="I182" s="7"/>
      <c r="J182" s="7" t="e">
        <f ca="1">[1]!t仕入先名(I182)</f>
        <v>#NAME?</v>
      </c>
      <c r="K182" s="7"/>
      <c r="L182" s="7" t="e">
        <f ca="1">[1]!t発注先名(K182)</f>
        <v>#NAME?</v>
      </c>
      <c r="M182" s="49"/>
      <c r="N182" s="6"/>
      <c r="O182" s="6"/>
      <c r="P182" s="7"/>
      <c r="Q182" s="7"/>
      <c r="R182" s="7"/>
    </row>
    <row r="183" spans="1:18" ht="13.5" customHeight="1">
      <c r="A183" s="7">
        <v>171</v>
      </c>
      <c r="B183" s="7"/>
      <c r="C183" s="7"/>
      <c r="D183" s="7"/>
      <c r="E183" s="7"/>
      <c r="F183" s="7"/>
      <c r="G183" s="58"/>
      <c r="H183" s="7" t="str">
        <f>IF(G183="","",VLOOKUP(G183,MT商品ﾏｽﾀ参照シート!AO:AP,2,0))</f>
        <v/>
      </c>
      <c r="I183" s="7"/>
      <c r="J183" s="7" t="e">
        <f ca="1">[1]!t仕入先名(I183)</f>
        <v>#NAME?</v>
      </c>
      <c r="K183" s="7"/>
      <c r="L183" s="7" t="e">
        <f ca="1">[1]!t発注先名(K183)</f>
        <v>#NAME?</v>
      </c>
      <c r="M183" s="49"/>
      <c r="N183" s="6"/>
      <c r="O183" s="6"/>
      <c r="P183" s="7"/>
      <c r="Q183" s="7"/>
      <c r="R183" s="7"/>
    </row>
    <row r="184" spans="1:18" ht="13.5" customHeight="1">
      <c r="A184" s="7">
        <v>172</v>
      </c>
      <c r="B184" s="7"/>
      <c r="C184" s="7"/>
      <c r="D184" s="7"/>
      <c r="E184" s="7"/>
      <c r="F184" s="7"/>
      <c r="G184" s="58"/>
      <c r="H184" s="7" t="str">
        <f>IF(G184="","",VLOOKUP(G184,MT商品ﾏｽﾀ参照シート!AO:AP,2,0))</f>
        <v/>
      </c>
      <c r="I184" s="7"/>
      <c r="J184" s="7" t="e">
        <f ca="1">[1]!t仕入先名(I184)</f>
        <v>#NAME?</v>
      </c>
      <c r="K184" s="7"/>
      <c r="L184" s="7" t="e">
        <f ca="1">[1]!t発注先名(K184)</f>
        <v>#NAME?</v>
      </c>
      <c r="M184" s="49"/>
      <c r="N184" s="6"/>
      <c r="O184" s="6"/>
      <c r="P184" s="7"/>
      <c r="Q184" s="7"/>
      <c r="R184" s="7"/>
    </row>
    <row r="185" spans="1:18" ht="13.5" customHeight="1">
      <c r="A185" s="7">
        <v>173</v>
      </c>
      <c r="B185" s="7"/>
      <c r="C185" s="7"/>
      <c r="D185" s="7"/>
      <c r="E185" s="7"/>
      <c r="F185" s="7"/>
      <c r="G185" s="58"/>
      <c r="H185" s="7" t="str">
        <f>IF(G185="","",VLOOKUP(G185,MT商品ﾏｽﾀ参照シート!AO:AP,2,0))</f>
        <v/>
      </c>
      <c r="I185" s="7"/>
      <c r="J185" s="7" t="e">
        <f ca="1">[1]!t仕入先名(I185)</f>
        <v>#NAME?</v>
      </c>
      <c r="K185" s="7"/>
      <c r="L185" s="7" t="e">
        <f ca="1">[1]!t発注先名(K185)</f>
        <v>#NAME?</v>
      </c>
      <c r="M185" s="49"/>
      <c r="N185" s="6"/>
      <c r="O185" s="6"/>
      <c r="P185" s="7"/>
      <c r="Q185" s="7"/>
      <c r="R185" s="7"/>
    </row>
    <row r="186" spans="1:18" ht="13.5" customHeight="1">
      <c r="A186" s="7">
        <v>174</v>
      </c>
      <c r="B186" s="7"/>
      <c r="C186" s="7"/>
      <c r="D186" s="7"/>
      <c r="E186" s="7"/>
      <c r="F186" s="7"/>
      <c r="G186" s="58"/>
      <c r="H186" s="7" t="str">
        <f>IF(G186="","",VLOOKUP(G186,MT商品ﾏｽﾀ参照シート!AO:AP,2,0))</f>
        <v/>
      </c>
      <c r="I186" s="7"/>
      <c r="J186" s="7" t="e">
        <f ca="1">[1]!t仕入先名(I186)</f>
        <v>#NAME?</v>
      </c>
      <c r="K186" s="7"/>
      <c r="L186" s="7" t="e">
        <f ca="1">[1]!t発注先名(K186)</f>
        <v>#NAME?</v>
      </c>
      <c r="M186" s="49"/>
      <c r="N186" s="6"/>
      <c r="O186" s="6"/>
      <c r="P186" s="7"/>
      <c r="Q186" s="7"/>
      <c r="R186" s="7"/>
    </row>
    <row r="187" spans="1:18" ht="13.5" customHeight="1">
      <c r="A187" s="7">
        <v>175</v>
      </c>
      <c r="B187" s="7"/>
      <c r="C187" s="7"/>
      <c r="D187" s="7"/>
      <c r="E187" s="7"/>
      <c r="F187" s="7"/>
      <c r="G187" s="58"/>
      <c r="H187" s="7" t="str">
        <f>IF(G187="","",VLOOKUP(G187,MT商品ﾏｽﾀ参照シート!AO:AP,2,0))</f>
        <v/>
      </c>
      <c r="I187" s="7"/>
      <c r="J187" s="7" t="e">
        <f ca="1">[1]!t仕入先名(I187)</f>
        <v>#NAME?</v>
      </c>
      <c r="K187" s="7"/>
      <c r="L187" s="7" t="e">
        <f ca="1">[1]!t発注先名(K187)</f>
        <v>#NAME?</v>
      </c>
      <c r="M187" s="49"/>
      <c r="N187" s="6"/>
      <c r="O187" s="6"/>
      <c r="P187" s="7"/>
      <c r="Q187" s="7"/>
      <c r="R187" s="7"/>
    </row>
    <row r="188" spans="1:18" ht="13.5" customHeight="1">
      <c r="A188" s="7">
        <v>176</v>
      </c>
      <c r="B188" s="7"/>
      <c r="C188" s="7"/>
      <c r="D188" s="7"/>
      <c r="E188" s="7"/>
      <c r="F188" s="7"/>
      <c r="G188" s="58"/>
      <c r="H188" s="7" t="str">
        <f>IF(G188="","",VLOOKUP(G188,MT商品ﾏｽﾀ参照シート!AO:AP,2,0))</f>
        <v/>
      </c>
      <c r="I188" s="7"/>
      <c r="J188" s="7" t="e">
        <f ca="1">[1]!t仕入先名(I188)</f>
        <v>#NAME?</v>
      </c>
      <c r="K188" s="7"/>
      <c r="L188" s="7" t="e">
        <f ca="1">[1]!t発注先名(K188)</f>
        <v>#NAME?</v>
      </c>
      <c r="M188" s="49"/>
      <c r="N188" s="6"/>
      <c r="O188" s="6"/>
      <c r="P188" s="7"/>
      <c r="Q188" s="7"/>
      <c r="R188" s="7"/>
    </row>
    <row r="189" spans="1:18" ht="13.5" customHeight="1">
      <c r="A189" s="7">
        <v>177</v>
      </c>
      <c r="B189" s="7"/>
      <c r="C189" s="7"/>
      <c r="D189" s="7"/>
      <c r="E189" s="7"/>
      <c r="F189" s="7"/>
      <c r="G189" s="58"/>
      <c r="H189" s="7" t="str">
        <f>IF(G189="","",VLOOKUP(G189,MT商品ﾏｽﾀ参照シート!AO:AP,2,0))</f>
        <v/>
      </c>
      <c r="I189" s="7"/>
      <c r="J189" s="7" t="e">
        <f ca="1">[1]!t仕入先名(I189)</f>
        <v>#NAME?</v>
      </c>
      <c r="K189" s="7"/>
      <c r="L189" s="7" t="e">
        <f ca="1">[1]!t発注先名(K189)</f>
        <v>#NAME?</v>
      </c>
      <c r="M189" s="49"/>
      <c r="N189" s="6"/>
      <c r="O189" s="6"/>
      <c r="P189" s="7"/>
      <c r="Q189" s="7"/>
      <c r="R189" s="7"/>
    </row>
    <row r="190" spans="1:18" ht="13.5" customHeight="1">
      <c r="A190" s="7">
        <v>178</v>
      </c>
      <c r="B190" s="7"/>
      <c r="C190" s="7"/>
      <c r="D190" s="7"/>
      <c r="E190" s="7"/>
      <c r="F190" s="7"/>
      <c r="G190" s="58"/>
      <c r="H190" s="7" t="str">
        <f>IF(G190="","",VLOOKUP(G190,MT商品ﾏｽﾀ参照シート!AO:AP,2,0))</f>
        <v/>
      </c>
      <c r="I190" s="7"/>
      <c r="J190" s="7" t="e">
        <f ca="1">[1]!t仕入先名(I190)</f>
        <v>#NAME?</v>
      </c>
      <c r="K190" s="7"/>
      <c r="L190" s="7" t="e">
        <f ca="1">[1]!t発注先名(K190)</f>
        <v>#NAME?</v>
      </c>
      <c r="M190" s="49"/>
      <c r="N190" s="6"/>
      <c r="O190" s="6"/>
      <c r="P190" s="7"/>
      <c r="Q190" s="7"/>
      <c r="R190" s="7"/>
    </row>
    <row r="191" spans="1:18" ht="13.5" customHeight="1">
      <c r="A191" s="7">
        <v>179</v>
      </c>
      <c r="B191" s="7"/>
      <c r="C191" s="7"/>
      <c r="D191" s="7"/>
      <c r="E191" s="7"/>
      <c r="F191" s="7"/>
      <c r="G191" s="58"/>
      <c r="H191" s="7" t="str">
        <f>IF(G191="","",VLOOKUP(G191,MT商品ﾏｽﾀ参照シート!AO:AP,2,0))</f>
        <v/>
      </c>
      <c r="I191" s="7"/>
      <c r="J191" s="7" t="e">
        <f ca="1">[1]!t仕入先名(I191)</f>
        <v>#NAME?</v>
      </c>
      <c r="K191" s="7"/>
      <c r="L191" s="7" t="e">
        <f ca="1">[1]!t発注先名(K191)</f>
        <v>#NAME?</v>
      </c>
      <c r="M191" s="49"/>
      <c r="N191" s="6"/>
      <c r="O191" s="6"/>
      <c r="P191" s="7"/>
      <c r="Q191" s="7"/>
      <c r="R191" s="7"/>
    </row>
    <row r="192" spans="1:18" ht="13.5" customHeight="1">
      <c r="A192" s="7">
        <v>180</v>
      </c>
      <c r="B192" s="7"/>
      <c r="C192" s="7"/>
      <c r="D192" s="7"/>
      <c r="E192" s="7"/>
      <c r="F192" s="7"/>
      <c r="G192" s="58"/>
      <c r="H192" s="7" t="str">
        <f>IF(G192="","",VLOOKUP(G192,MT商品ﾏｽﾀ参照シート!AO:AP,2,0))</f>
        <v/>
      </c>
      <c r="I192" s="7"/>
      <c r="J192" s="7" t="e">
        <f ca="1">[1]!t仕入先名(I192)</f>
        <v>#NAME?</v>
      </c>
      <c r="K192" s="7"/>
      <c r="L192" s="7" t="e">
        <f ca="1">[1]!t発注先名(K192)</f>
        <v>#NAME?</v>
      </c>
      <c r="M192" s="49"/>
      <c r="N192" s="6"/>
      <c r="O192" s="6"/>
      <c r="P192" s="7"/>
      <c r="Q192" s="7"/>
      <c r="R192" s="7"/>
    </row>
    <row r="193" spans="1:18" ht="13.5" customHeight="1">
      <c r="A193" s="7">
        <v>181</v>
      </c>
      <c r="B193" s="7"/>
      <c r="C193" s="7"/>
      <c r="D193" s="7"/>
      <c r="E193" s="7"/>
      <c r="F193" s="7"/>
      <c r="G193" s="58"/>
      <c r="H193" s="7" t="str">
        <f>IF(G193="","",VLOOKUP(G193,MT商品ﾏｽﾀ参照シート!AO:AP,2,0))</f>
        <v/>
      </c>
      <c r="I193" s="7"/>
      <c r="J193" s="7" t="e">
        <f ca="1">[1]!t仕入先名(I193)</f>
        <v>#NAME?</v>
      </c>
      <c r="K193" s="7"/>
      <c r="L193" s="7" t="e">
        <f ca="1">[1]!t発注先名(K193)</f>
        <v>#NAME?</v>
      </c>
      <c r="M193" s="49"/>
      <c r="N193" s="6"/>
      <c r="O193" s="6"/>
      <c r="P193" s="7"/>
      <c r="Q193" s="7"/>
      <c r="R193" s="7"/>
    </row>
    <row r="194" spans="1:18" ht="13.5" customHeight="1">
      <c r="A194" s="7">
        <v>182</v>
      </c>
      <c r="B194" s="7"/>
      <c r="C194" s="7"/>
      <c r="D194" s="7"/>
      <c r="E194" s="7"/>
      <c r="F194" s="7"/>
      <c r="G194" s="58"/>
      <c r="H194" s="7" t="str">
        <f>IF(G194="","",VLOOKUP(G194,MT商品ﾏｽﾀ参照シート!AO:AP,2,0))</f>
        <v/>
      </c>
      <c r="I194" s="7"/>
      <c r="J194" s="7" t="e">
        <f ca="1">[1]!t仕入先名(I194)</f>
        <v>#NAME?</v>
      </c>
      <c r="K194" s="7"/>
      <c r="L194" s="7" t="e">
        <f ca="1">[1]!t発注先名(K194)</f>
        <v>#NAME?</v>
      </c>
      <c r="M194" s="49"/>
      <c r="N194" s="6"/>
      <c r="O194" s="6"/>
      <c r="P194" s="7"/>
      <c r="Q194" s="7"/>
      <c r="R194" s="7"/>
    </row>
    <row r="195" spans="1:18" ht="13.5" customHeight="1">
      <c r="A195" s="7">
        <v>183</v>
      </c>
      <c r="B195" s="7"/>
      <c r="C195" s="7"/>
      <c r="D195" s="7"/>
      <c r="E195" s="7"/>
      <c r="F195" s="7"/>
      <c r="G195" s="58"/>
      <c r="H195" s="7" t="str">
        <f>IF(G195="","",VLOOKUP(G195,MT商品ﾏｽﾀ参照シート!AO:AP,2,0))</f>
        <v/>
      </c>
      <c r="I195" s="7"/>
      <c r="J195" s="7" t="e">
        <f ca="1">[1]!t仕入先名(I195)</f>
        <v>#NAME?</v>
      </c>
      <c r="K195" s="7"/>
      <c r="L195" s="7" t="e">
        <f ca="1">[1]!t発注先名(K195)</f>
        <v>#NAME?</v>
      </c>
      <c r="M195" s="49"/>
      <c r="N195" s="6"/>
      <c r="O195" s="6"/>
      <c r="P195" s="7"/>
      <c r="Q195" s="7"/>
      <c r="R195" s="7"/>
    </row>
    <row r="196" spans="1:18" ht="13.5" customHeight="1">
      <c r="A196" s="7">
        <v>184</v>
      </c>
      <c r="B196" s="7"/>
      <c r="C196" s="7"/>
      <c r="D196" s="7"/>
      <c r="E196" s="7"/>
      <c r="F196" s="7"/>
      <c r="G196" s="58"/>
      <c r="H196" s="7" t="str">
        <f>IF(G196="","",VLOOKUP(G196,MT商品ﾏｽﾀ参照シート!AO:AP,2,0))</f>
        <v/>
      </c>
      <c r="I196" s="7"/>
      <c r="J196" s="7" t="e">
        <f ca="1">[1]!t仕入先名(I196)</f>
        <v>#NAME?</v>
      </c>
      <c r="K196" s="7"/>
      <c r="L196" s="7" t="e">
        <f ca="1">[1]!t発注先名(K196)</f>
        <v>#NAME?</v>
      </c>
      <c r="M196" s="49"/>
      <c r="N196" s="6"/>
      <c r="O196" s="6"/>
      <c r="P196" s="7"/>
      <c r="Q196" s="7"/>
      <c r="R196" s="7"/>
    </row>
    <row r="197" spans="1:18" ht="13.5" customHeight="1">
      <c r="A197" s="7">
        <v>185</v>
      </c>
      <c r="B197" s="7"/>
      <c r="C197" s="7"/>
      <c r="D197" s="7"/>
      <c r="E197" s="7"/>
      <c r="F197" s="7"/>
      <c r="G197" s="58"/>
      <c r="H197" s="7" t="str">
        <f>IF(G197="","",VLOOKUP(G197,MT商品ﾏｽﾀ参照シート!AO:AP,2,0))</f>
        <v/>
      </c>
      <c r="I197" s="7"/>
      <c r="J197" s="7" t="e">
        <f ca="1">[1]!t仕入先名(I197)</f>
        <v>#NAME?</v>
      </c>
      <c r="K197" s="7"/>
      <c r="L197" s="7" t="e">
        <f ca="1">[1]!t発注先名(K197)</f>
        <v>#NAME?</v>
      </c>
      <c r="M197" s="49"/>
      <c r="N197" s="6"/>
      <c r="O197" s="6"/>
      <c r="P197" s="7"/>
      <c r="Q197" s="7"/>
      <c r="R197" s="7"/>
    </row>
    <row r="198" spans="1:18" ht="13.5" customHeight="1">
      <c r="A198" s="7">
        <v>186</v>
      </c>
      <c r="B198" s="7"/>
      <c r="C198" s="7"/>
      <c r="D198" s="7"/>
      <c r="E198" s="7"/>
      <c r="F198" s="7"/>
      <c r="G198" s="58"/>
      <c r="H198" s="7" t="str">
        <f>IF(G198="","",VLOOKUP(G198,MT商品ﾏｽﾀ参照シート!AO:AP,2,0))</f>
        <v/>
      </c>
      <c r="I198" s="7"/>
      <c r="J198" s="7" t="e">
        <f ca="1">[1]!t仕入先名(I198)</f>
        <v>#NAME?</v>
      </c>
      <c r="K198" s="7"/>
      <c r="L198" s="7" t="e">
        <f ca="1">[1]!t発注先名(K198)</f>
        <v>#NAME?</v>
      </c>
      <c r="M198" s="49"/>
      <c r="N198" s="6"/>
      <c r="O198" s="6"/>
      <c r="P198" s="7"/>
      <c r="Q198" s="7"/>
      <c r="R198" s="7"/>
    </row>
    <row r="199" spans="1:18" ht="13.5" customHeight="1">
      <c r="A199" s="7">
        <v>187</v>
      </c>
      <c r="B199" s="7"/>
      <c r="C199" s="7"/>
      <c r="D199" s="7"/>
      <c r="E199" s="7"/>
      <c r="F199" s="7"/>
      <c r="G199" s="58"/>
      <c r="H199" s="7" t="str">
        <f>IF(G199="","",VLOOKUP(G199,MT商品ﾏｽﾀ参照シート!AO:AP,2,0))</f>
        <v/>
      </c>
      <c r="I199" s="7"/>
      <c r="J199" s="7" t="e">
        <f ca="1">[1]!t仕入先名(I199)</f>
        <v>#NAME?</v>
      </c>
      <c r="K199" s="7"/>
      <c r="L199" s="7" t="e">
        <f ca="1">[1]!t発注先名(K199)</f>
        <v>#NAME?</v>
      </c>
      <c r="M199" s="49"/>
      <c r="N199" s="6"/>
      <c r="O199" s="6"/>
      <c r="P199" s="7"/>
      <c r="Q199" s="7"/>
      <c r="R199" s="7"/>
    </row>
    <row r="200" spans="1:18" ht="13.5" customHeight="1">
      <c r="A200" s="7">
        <v>188</v>
      </c>
      <c r="B200" s="7"/>
      <c r="C200" s="7"/>
      <c r="D200" s="7"/>
      <c r="E200" s="7"/>
      <c r="F200" s="7"/>
      <c r="G200" s="58"/>
      <c r="H200" s="7" t="str">
        <f>IF(G200="","",VLOOKUP(G200,MT商品ﾏｽﾀ参照シート!AO:AP,2,0))</f>
        <v/>
      </c>
      <c r="I200" s="7"/>
      <c r="J200" s="7" t="e">
        <f ca="1">[1]!t仕入先名(I200)</f>
        <v>#NAME?</v>
      </c>
      <c r="K200" s="7"/>
      <c r="L200" s="7" t="e">
        <f ca="1">[1]!t発注先名(K200)</f>
        <v>#NAME?</v>
      </c>
      <c r="M200" s="49"/>
      <c r="N200" s="6"/>
      <c r="O200" s="6"/>
      <c r="P200" s="7"/>
      <c r="Q200" s="7"/>
      <c r="R200" s="7"/>
    </row>
    <row r="201" spans="1:18" ht="13.5" customHeight="1">
      <c r="A201" s="7">
        <v>189</v>
      </c>
      <c r="B201" s="7"/>
      <c r="C201" s="7"/>
      <c r="D201" s="7"/>
      <c r="E201" s="7"/>
      <c r="F201" s="7"/>
      <c r="G201" s="58"/>
      <c r="H201" s="7" t="str">
        <f>IF(G201="","",VLOOKUP(G201,MT商品ﾏｽﾀ参照シート!AO:AP,2,0))</f>
        <v/>
      </c>
      <c r="I201" s="7"/>
      <c r="J201" s="7" t="e">
        <f ca="1">[1]!t仕入先名(I201)</f>
        <v>#NAME?</v>
      </c>
      <c r="K201" s="7"/>
      <c r="L201" s="7" t="e">
        <f ca="1">[1]!t発注先名(K201)</f>
        <v>#NAME?</v>
      </c>
      <c r="M201" s="49"/>
      <c r="N201" s="6"/>
      <c r="O201" s="6"/>
      <c r="P201" s="7"/>
      <c r="Q201" s="7"/>
      <c r="R201" s="7"/>
    </row>
    <row r="202" spans="1:18" ht="13.5" customHeight="1">
      <c r="A202" s="7">
        <v>190</v>
      </c>
      <c r="B202" s="7"/>
      <c r="C202" s="7"/>
      <c r="D202" s="7"/>
      <c r="E202" s="7"/>
      <c r="F202" s="7"/>
      <c r="G202" s="58"/>
      <c r="H202" s="7" t="str">
        <f>IF(G202="","",VLOOKUP(G202,MT商品ﾏｽﾀ参照シート!AO:AP,2,0))</f>
        <v/>
      </c>
      <c r="I202" s="7"/>
      <c r="J202" s="7" t="e">
        <f ca="1">[1]!t仕入先名(I202)</f>
        <v>#NAME?</v>
      </c>
      <c r="K202" s="7"/>
      <c r="L202" s="7" t="e">
        <f ca="1">[1]!t発注先名(K202)</f>
        <v>#NAME?</v>
      </c>
      <c r="M202" s="49"/>
      <c r="N202" s="6"/>
      <c r="O202" s="6"/>
      <c r="P202" s="7"/>
      <c r="Q202" s="7"/>
      <c r="R202" s="7"/>
    </row>
    <row r="203" spans="1:18" ht="13.5" customHeight="1">
      <c r="A203" s="7">
        <v>191</v>
      </c>
      <c r="B203" s="7"/>
      <c r="C203" s="7"/>
      <c r="D203" s="7"/>
      <c r="E203" s="7"/>
      <c r="F203" s="7"/>
      <c r="G203" s="58"/>
      <c r="H203" s="7" t="str">
        <f>IF(G203="","",VLOOKUP(G203,MT商品ﾏｽﾀ参照シート!AO:AP,2,0))</f>
        <v/>
      </c>
      <c r="I203" s="7"/>
      <c r="J203" s="7" t="e">
        <f ca="1">[1]!t仕入先名(I203)</f>
        <v>#NAME?</v>
      </c>
      <c r="K203" s="7"/>
      <c r="L203" s="7" t="e">
        <f ca="1">[1]!t発注先名(K203)</f>
        <v>#NAME?</v>
      </c>
      <c r="M203" s="49"/>
      <c r="N203" s="6"/>
      <c r="O203" s="6"/>
      <c r="P203" s="7"/>
      <c r="Q203" s="7"/>
      <c r="R203" s="7"/>
    </row>
    <row r="204" spans="1:18" ht="13.5" customHeight="1">
      <c r="A204" s="7">
        <v>192</v>
      </c>
      <c r="B204" s="7"/>
      <c r="C204" s="7"/>
      <c r="D204" s="7"/>
      <c r="E204" s="7"/>
      <c r="F204" s="7"/>
      <c r="G204" s="58"/>
      <c r="H204" s="7" t="str">
        <f>IF(G204="","",VLOOKUP(G204,MT商品ﾏｽﾀ参照シート!AO:AP,2,0))</f>
        <v/>
      </c>
      <c r="I204" s="7"/>
      <c r="J204" s="7" t="e">
        <f ca="1">[1]!t仕入先名(I204)</f>
        <v>#NAME?</v>
      </c>
      <c r="K204" s="7"/>
      <c r="L204" s="7" t="e">
        <f ca="1">[1]!t発注先名(K204)</f>
        <v>#NAME?</v>
      </c>
      <c r="M204" s="49"/>
      <c r="N204" s="6"/>
      <c r="O204" s="6"/>
      <c r="P204" s="7"/>
      <c r="Q204" s="7"/>
      <c r="R204" s="7"/>
    </row>
    <row r="205" spans="1:18" ht="13.5" customHeight="1">
      <c r="A205" s="7">
        <v>193</v>
      </c>
      <c r="B205" s="7"/>
      <c r="C205" s="7"/>
      <c r="D205" s="7"/>
      <c r="E205" s="7"/>
      <c r="F205" s="7"/>
      <c r="G205" s="58"/>
      <c r="H205" s="7" t="str">
        <f>IF(G205="","",VLOOKUP(G205,MT商品ﾏｽﾀ参照シート!AO:AP,2,0))</f>
        <v/>
      </c>
      <c r="I205" s="7"/>
      <c r="J205" s="7" t="e">
        <f ca="1">[1]!t仕入先名(I205)</f>
        <v>#NAME?</v>
      </c>
      <c r="K205" s="7"/>
      <c r="L205" s="7" t="e">
        <f ca="1">[1]!t発注先名(K205)</f>
        <v>#NAME?</v>
      </c>
      <c r="M205" s="49"/>
      <c r="N205" s="6"/>
      <c r="O205" s="6"/>
      <c r="P205" s="7"/>
      <c r="Q205" s="7"/>
      <c r="R205" s="7"/>
    </row>
    <row r="206" spans="1:18" ht="13.5" customHeight="1">
      <c r="A206" s="7">
        <v>194</v>
      </c>
      <c r="B206" s="7"/>
      <c r="C206" s="7"/>
      <c r="D206" s="7"/>
      <c r="E206" s="7"/>
      <c r="F206" s="7"/>
      <c r="G206" s="58"/>
      <c r="H206" s="7" t="str">
        <f>IF(G206="","",VLOOKUP(G206,MT商品ﾏｽﾀ参照シート!AO:AP,2,0))</f>
        <v/>
      </c>
      <c r="I206" s="7"/>
      <c r="J206" s="7" t="e">
        <f ca="1">[1]!t仕入先名(I206)</f>
        <v>#NAME?</v>
      </c>
      <c r="K206" s="7"/>
      <c r="L206" s="7" t="e">
        <f ca="1">[1]!t発注先名(K206)</f>
        <v>#NAME?</v>
      </c>
      <c r="M206" s="49"/>
      <c r="N206" s="6"/>
      <c r="O206" s="6"/>
      <c r="P206" s="7"/>
      <c r="Q206" s="7"/>
      <c r="R206" s="7"/>
    </row>
    <row r="207" spans="1:18" ht="13.5" customHeight="1">
      <c r="A207" s="7">
        <v>195</v>
      </c>
      <c r="B207" s="7"/>
      <c r="C207" s="7"/>
      <c r="D207" s="7"/>
      <c r="E207" s="7"/>
      <c r="F207" s="7"/>
      <c r="G207" s="58"/>
      <c r="H207" s="7" t="str">
        <f>IF(G207="","",VLOOKUP(G207,MT商品ﾏｽﾀ参照シート!AO:AP,2,0))</f>
        <v/>
      </c>
      <c r="I207" s="7"/>
      <c r="J207" s="7" t="e">
        <f ca="1">[1]!t仕入先名(I207)</f>
        <v>#NAME?</v>
      </c>
      <c r="K207" s="7"/>
      <c r="L207" s="7" t="e">
        <f ca="1">[1]!t発注先名(K207)</f>
        <v>#NAME?</v>
      </c>
      <c r="M207" s="49"/>
      <c r="N207" s="6"/>
      <c r="O207" s="6"/>
      <c r="P207" s="7"/>
      <c r="Q207" s="7"/>
      <c r="R207" s="7"/>
    </row>
    <row r="208" spans="1:18" ht="13.5" customHeight="1">
      <c r="A208" s="7">
        <v>196</v>
      </c>
      <c r="B208" s="7"/>
      <c r="C208" s="7"/>
      <c r="D208" s="7"/>
      <c r="E208" s="7"/>
      <c r="F208" s="7"/>
      <c r="G208" s="58"/>
      <c r="H208" s="7" t="str">
        <f>IF(G208="","",VLOOKUP(G208,MT商品ﾏｽﾀ参照シート!AO:AP,2,0))</f>
        <v/>
      </c>
      <c r="I208" s="7"/>
      <c r="J208" s="7" t="e">
        <f ca="1">[1]!t仕入先名(I208)</f>
        <v>#NAME?</v>
      </c>
      <c r="K208" s="7"/>
      <c r="L208" s="7" t="e">
        <f ca="1">[1]!t発注先名(K208)</f>
        <v>#NAME?</v>
      </c>
      <c r="M208" s="49"/>
      <c r="N208" s="6"/>
      <c r="O208" s="6"/>
      <c r="P208" s="7"/>
      <c r="Q208" s="7"/>
      <c r="R208" s="7"/>
    </row>
    <row r="209" spans="1:18" ht="13.5" customHeight="1">
      <c r="A209" s="7">
        <v>197</v>
      </c>
      <c r="B209" s="7"/>
      <c r="C209" s="7"/>
      <c r="D209" s="7"/>
      <c r="E209" s="7"/>
      <c r="F209" s="7"/>
      <c r="G209" s="58"/>
      <c r="H209" s="7" t="str">
        <f>IF(G209="","",VLOOKUP(G209,MT商品ﾏｽﾀ参照シート!AO:AP,2,0))</f>
        <v/>
      </c>
      <c r="I209" s="7"/>
      <c r="J209" s="7" t="e">
        <f ca="1">[1]!t仕入先名(I209)</f>
        <v>#NAME?</v>
      </c>
      <c r="K209" s="7"/>
      <c r="L209" s="7" t="e">
        <f ca="1">[1]!t発注先名(K209)</f>
        <v>#NAME?</v>
      </c>
      <c r="M209" s="49"/>
      <c r="N209" s="6"/>
      <c r="O209" s="6"/>
      <c r="P209" s="7"/>
      <c r="Q209" s="7"/>
      <c r="R209" s="7"/>
    </row>
    <row r="210" spans="1:18" ht="13.5" customHeight="1">
      <c r="A210" s="7">
        <v>198</v>
      </c>
      <c r="B210" s="7"/>
      <c r="C210" s="7"/>
      <c r="D210" s="7"/>
      <c r="E210" s="7"/>
      <c r="F210" s="7"/>
      <c r="G210" s="58"/>
      <c r="H210" s="7" t="str">
        <f>IF(G210="","",VLOOKUP(G210,MT商品ﾏｽﾀ参照シート!AO:AP,2,0))</f>
        <v/>
      </c>
      <c r="I210" s="7"/>
      <c r="J210" s="7" t="e">
        <f ca="1">[1]!t仕入先名(I210)</f>
        <v>#NAME?</v>
      </c>
      <c r="K210" s="7"/>
      <c r="L210" s="7" t="e">
        <f ca="1">[1]!t発注先名(K210)</f>
        <v>#NAME?</v>
      </c>
      <c r="M210" s="49"/>
      <c r="N210" s="6"/>
      <c r="O210" s="6"/>
      <c r="P210" s="7"/>
      <c r="Q210" s="7"/>
      <c r="R210" s="7"/>
    </row>
    <row r="211" spans="1:18" ht="13.5" customHeight="1">
      <c r="A211" s="7">
        <v>199</v>
      </c>
      <c r="B211" s="7"/>
      <c r="C211" s="7"/>
      <c r="D211" s="7"/>
      <c r="E211" s="7"/>
      <c r="F211" s="7"/>
      <c r="G211" s="58"/>
      <c r="H211" s="7" t="str">
        <f>IF(G211="","",VLOOKUP(G211,MT商品ﾏｽﾀ参照シート!AO:AP,2,0))</f>
        <v/>
      </c>
      <c r="I211" s="7"/>
      <c r="J211" s="7" t="e">
        <f ca="1">[1]!t仕入先名(I211)</f>
        <v>#NAME?</v>
      </c>
      <c r="K211" s="7"/>
      <c r="L211" s="7" t="e">
        <f ca="1">[1]!t発注先名(K211)</f>
        <v>#NAME?</v>
      </c>
      <c r="M211" s="49"/>
      <c r="N211" s="6"/>
      <c r="O211" s="6"/>
      <c r="P211" s="7"/>
      <c r="Q211" s="7"/>
      <c r="R211" s="7"/>
    </row>
    <row r="212" spans="1:18" ht="13.5" customHeight="1">
      <c r="A212" s="7">
        <v>200</v>
      </c>
      <c r="B212" s="7"/>
      <c r="C212" s="7"/>
      <c r="D212" s="7"/>
      <c r="E212" s="7"/>
      <c r="F212" s="7"/>
      <c r="G212" s="58"/>
      <c r="H212" s="7" t="str">
        <f>IF(G212="","",VLOOKUP(G212,MT商品ﾏｽﾀ参照シート!AO:AP,2,0))</f>
        <v/>
      </c>
      <c r="I212" s="7"/>
      <c r="J212" s="7" t="e">
        <f ca="1">[1]!t仕入先名(I212)</f>
        <v>#NAME?</v>
      </c>
      <c r="K212" s="7"/>
      <c r="L212" s="7" t="e">
        <f ca="1">[1]!t発注先名(K212)</f>
        <v>#NAME?</v>
      </c>
      <c r="M212" s="49"/>
      <c r="N212" s="6"/>
      <c r="O212" s="6"/>
      <c r="P212" s="7"/>
      <c r="Q212" s="7"/>
      <c r="R212" s="7"/>
    </row>
    <row r="213" spans="1:18" ht="13.5" customHeight="1">
      <c r="A213" s="7">
        <v>201</v>
      </c>
      <c r="B213" s="7"/>
      <c r="C213" s="7"/>
      <c r="D213" s="7"/>
      <c r="E213" s="7"/>
      <c r="F213" s="7"/>
      <c r="G213" s="58"/>
      <c r="H213" s="7" t="str">
        <f>IF(G213="","",VLOOKUP(G213,MT商品ﾏｽﾀ参照シート!AO:AP,2,0))</f>
        <v/>
      </c>
      <c r="I213" s="7"/>
      <c r="J213" s="7" t="e">
        <f ca="1">[1]!t仕入先名(I213)</f>
        <v>#NAME?</v>
      </c>
      <c r="K213" s="7"/>
      <c r="L213" s="7" t="e">
        <f ca="1">[1]!t発注先名(K213)</f>
        <v>#NAME?</v>
      </c>
      <c r="M213" s="49"/>
      <c r="N213" s="6"/>
      <c r="O213" s="6"/>
      <c r="P213" s="7"/>
      <c r="Q213" s="7"/>
      <c r="R213" s="7"/>
    </row>
    <row r="214" spans="1:18" ht="13.5" customHeight="1">
      <c r="A214" s="7">
        <v>202</v>
      </c>
      <c r="B214" s="7"/>
      <c r="C214" s="7"/>
      <c r="D214" s="7"/>
      <c r="E214" s="7"/>
      <c r="F214" s="7"/>
      <c r="G214" s="58"/>
      <c r="H214" s="7" t="str">
        <f>IF(G214="","",VLOOKUP(G214,MT商品ﾏｽﾀ参照シート!AO:AP,2,0))</f>
        <v/>
      </c>
      <c r="I214" s="7"/>
      <c r="J214" s="7" t="e">
        <f ca="1">[1]!t仕入先名(I214)</f>
        <v>#NAME?</v>
      </c>
      <c r="K214" s="7"/>
      <c r="L214" s="7" t="e">
        <f ca="1">[1]!t発注先名(K214)</f>
        <v>#NAME?</v>
      </c>
      <c r="M214" s="49"/>
      <c r="N214" s="6"/>
      <c r="O214" s="6"/>
      <c r="P214" s="7"/>
      <c r="Q214" s="7"/>
      <c r="R214" s="7"/>
    </row>
    <row r="215" spans="1:18" ht="13.5" customHeight="1">
      <c r="A215" s="7">
        <v>203</v>
      </c>
      <c r="B215" s="7"/>
      <c r="C215" s="7"/>
      <c r="D215" s="7"/>
      <c r="E215" s="7"/>
      <c r="F215" s="7"/>
      <c r="G215" s="58"/>
      <c r="H215" s="7" t="str">
        <f>IF(G215="","",VLOOKUP(G215,MT商品ﾏｽﾀ参照シート!AO:AP,2,0))</f>
        <v/>
      </c>
      <c r="I215" s="7"/>
      <c r="J215" s="7" t="e">
        <f ca="1">[1]!t仕入先名(I215)</f>
        <v>#NAME?</v>
      </c>
      <c r="K215" s="7"/>
      <c r="L215" s="7" t="e">
        <f ca="1">[1]!t発注先名(K215)</f>
        <v>#NAME?</v>
      </c>
      <c r="M215" s="49"/>
      <c r="N215" s="6"/>
      <c r="O215" s="6"/>
      <c r="P215" s="7"/>
      <c r="Q215" s="7"/>
      <c r="R215" s="7"/>
    </row>
    <row r="216" spans="1:18" ht="13.5" customHeight="1">
      <c r="A216" s="7">
        <v>204</v>
      </c>
      <c r="B216" s="7"/>
      <c r="C216" s="7"/>
      <c r="D216" s="7"/>
      <c r="E216" s="7"/>
      <c r="F216" s="7"/>
      <c r="G216" s="58"/>
      <c r="H216" s="7" t="str">
        <f>IF(G216="","",VLOOKUP(G216,MT商品ﾏｽﾀ参照シート!AO:AP,2,0))</f>
        <v/>
      </c>
      <c r="I216" s="7"/>
      <c r="J216" s="7" t="e">
        <f ca="1">[1]!t仕入先名(I216)</f>
        <v>#NAME?</v>
      </c>
      <c r="K216" s="7"/>
      <c r="L216" s="7" t="e">
        <f ca="1">[1]!t発注先名(K216)</f>
        <v>#NAME?</v>
      </c>
      <c r="M216" s="49"/>
      <c r="N216" s="6"/>
      <c r="O216" s="6"/>
      <c r="P216" s="7"/>
      <c r="Q216" s="7"/>
      <c r="R216" s="7"/>
    </row>
    <row r="217" spans="1:18" ht="13.5" customHeight="1">
      <c r="A217" s="7">
        <v>205</v>
      </c>
      <c r="B217" s="7"/>
      <c r="C217" s="7"/>
      <c r="D217" s="7"/>
      <c r="E217" s="7"/>
      <c r="F217" s="7"/>
      <c r="G217" s="58"/>
      <c r="H217" s="7" t="str">
        <f>IF(G217="","",VLOOKUP(G217,MT商品ﾏｽﾀ参照シート!AO:AP,2,0))</f>
        <v/>
      </c>
      <c r="I217" s="7"/>
      <c r="J217" s="7" t="e">
        <f ca="1">[1]!t仕入先名(I217)</f>
        <v>#NAME?</v>
      </c>
      <c r="K217" s="7"/>
      <c r="L217" s="7" t="e">
        <f ca="1">[1]!t発注先名(K217)</f>
        <v>#NAME?</v>
      </c>
      <c r="M217" s="49"/>
      <c r="N217" s="6"/>
      <c r="O217" s="6"/>
      <c r="P217" s="7"/>
      <c r="Q217" s="7"/>
      <c r="R217" s="7"/>
    </row>
    <row r="218" spans="1:18" ht="13.5" customHeight="1">
      <c r="A218" s="7">
        <v>206</v>
      </c>
      <c r="B218" s="7"/>
      <c r="C218" s="7"/>
      <c r="D218" s="7"/>
      <c r="E218" s="7"/>
      <c r="F218" s="7"/>
      <c r="G218" s="58"/>
      <c r="H218" s="7" t="str">
        <f>IF(G218="","",VLOOKUP(G218,MT商品ﾏｽﾀ参照シート!AO:AP,2,0))</f>
        <v/>
      </c>
      <c r="I218" s="7"/>
      <c r="J218" s="7" t="e">
        <f ca="1">[1]!t仕入先名(I218)</f>
        <v>#NAME?</v>
      </c>
      <c r="K218" s="7"/>
      <c r="L218" s="7" t="e">
        <f ca="1">[1]!t発注先名(K218)</f>
        <v>#NAME?</v>
      </c>
      <c r="M218" s="49"/>
      <c r="N218" s="6"/>
      <c r="O218" s="6"/>
      <c r="P218" s="7"/>
      <c r="Q218" s="7"/>
      <c r="R218" s="7"/>
    </row>
    <row r="219" spans="1:18" ht="13.5" customHeight="1">
      <c r="A219" s="7">
        <v>207</v>
      </c>
      <c r="B219" s="7"/>
      <c r="C219" s="7"/>
      <c r="D219" s="7"/>
      <c r="E219" s="7"/>
      <c r="F219" s="7"/>
      <c r="G219" s="58"/>
      <c r="H219" s="7" t="str">
        <f>IF(G219="","",VLOOKUP(G219,MT商品ﾏｽﾀ参照シート!AO:AP,2,0))</f>
        <v/>
      </c>
      <c r="I219" s="7"/>
      <c r="J219" s="7" t="e">
        <f ca="1">[1]!t仕入先名(I219)</f>
        <v>#NAME?</v>
      </c>
      <c r="K219" s="7"/>
      <c r="L219" s="7" t="e">
        <f ca="1">[1]!t発注先名(K219)</f>
        <v>#NAME?</v>
      </c>
      <c r="M219" s="49"/>
      <c r="N219" s="6"/>
      <c r="O219" s="6"/>
      <c r="P219" s="7"/>
      <c r="Q219" s="7"/>
      <c r="R219" s="7"/>
    </row>
    <row r="220" spans="1:18" ht="13.5" customHeight="1">
      <c r="A220" s="7">
        <v>208</v>
      </c>
      <c r="B220" s="7"/>
      <c r="C220" s="7"/>
      <c r="D220" s="7"/>
      <c r="E220" s="7"/>
      <c r="F220" s="7"/>
      <c r="G220" s="58"/>
      <c r="H220" s="7" t="str">
        <f>IF(G220="","",VLOOKUP(G220,MT商品ﾏｽﾀ参照シート!AO:AP,2,0))</f>
        <v/>
      </c>
      <c r="I220" s="7"/>
      <c r="J220" s="7" t="e">
        <f ca="1">[1]!t仕入先名(I220)</f>
        <v>#NAME?</v>
      </c>
      <c r="K220" s="7"/>
      <c r="L220" s="7" t="e">
        <f ca="1">[1]!t発注先名(K220)</f>
        <v>#NAME?</v>
      </c>
      <c r="M220" s="49"/>
      <c r="N220" s="6"/>
      <c r="O220" s="6"/>
      <c r="P220" s="7"/>
      <c r="Q220" s="7"/>
      <c r="R220" s="7"/>
    </row>
    <row r="221" spans="1:18" ht="13.5" customHeight="1">
      <c r="A221" s="7">
        <v>209</v>
      </c>
      <c r="B221" s="7"/>
      <c r="C221" s="7"/>
      <c r="D221" s="7"/>
      <c r="E221" s="7"/>
      <c r="F221" s="7"/>
      <c r="G221" s="58"/>
      <c r="H221" s="7" t="str">
        <f>IF(G221="","",VLOOKUP(G221,MT商品ﾏｽﾀ参照シート!AO:AP,2,0))</f>
        <v/>
      </c>
      <c r="I221" s="7"/>
      <c r="J221" s="7" t="e">
        <f ca="1">[1]!t仕入先名(I221)</f>
        <v>#NAME?</v>
      </c>
      <c r="K221" s="7"/>
      <c r="L221" s="7" t="e">
        <f ca="1">[1]!t発注先名(K221)</f>
        <v>#NAME?</v>
      </c>
      <c r="M221" s="49"/>
      <c r="N221" s="6"/>
      <c r="O221" s="6"/>
      <c r="P221" s="7"/>
      <c r="Q221" s="7"/>
      <c r="R221" s="7"/>
    </row>
    <row r="222" spans="1:18" ht="13.5" customHeight="1">
      <c r="A222" s="7">
        <v>210</v>
      </c>
      <c r="B222" s="7"/>
      <c r="C222" s="7"/>
      <c r="D222" s="7"/>
      <c r="E222" s="7"/>
      <c r="F222" s="7"/>
      <c r="G222" s="58"/>
      <c r="H222" s="7" t="str">
        <f>IF(G222="","",VLOOKUP(G222,MT商品ﾏｽﾀ参照シート!AO:AP,2,0))</f>
        <v/>
      </c>
      <c r="I222" s="7"/>
      <c r="J222" s="7" t="e">
        <f ca="1">[1]!t仕入先名(I222)</f>
        <v>#NAME?</v>
      </c>
      <c r="K222" s="7"/>
      <c r="L222" s="7" t="e">
        <f ca="1">[1]!t発注先名(K222)</f>
        <v>#NAME?</v>
      </c>
      <c r="M222" s="49"/>
      <c r="N222" s="6"/>
      <c r="O222" s="6"/>
      <c r="P222" s="7"/>
      <c r="Q222" s="7"/>
      <c r="R222" s="7"/>
    </row>
    <row r="223" spans="1:18" ht="13.5" customHeight="1">
      <c r="A223" s="7">
        <v>211</v>
      </c>
      <c r="B223" s="7"/>
      <c r="C223" s="7"/>
      <c r="D223" s="7"/>
      <c r="E223" s="7"/>
      <c r="F223" s="7"/>
      <c r="G223" s="58"/>
      <c r="H223" s="7" t="str">
        <f>IF(G223="","",VLOOKUP(G223,MT商品ﾏｽﾀ参照シート!AO:AP,2,0))</f>
        <v/>
      </c>
      <c r="I223" s="7"/>
      <c r="J223" s="7" t="e">
        <f ca="1">[1]!t仕入先名(I223)</f>
        <v>#NAME?</v>
      </c>
      <c r="K223" s="7"/>
      <c r="L223" s="7" t="e">
        <f ca="1">[1]!t発注先名(K223)</f>
        <v>#NAME?</v>
      </c>
      <c r="M223" s="49"/>
      <c r="N223" s="6"/>
      <c r="O223" s="6"/>
      <c r="P223" s="7"/>
      <c r="Q223" s="7"/>
      <c r="R223" s="7"/>
    </row>
    <row r="224" spans="1:18" ht="13.5" customHeight="1">
      <c r="A224" s="7">
        <v>212</v>
      </c>
      <c r="B224" s="7"/>
      <c r="C224" s="7"/>
      <c r="D224" s="7"/>
      <c r="E224" s="7"/>
      <c r="F224" s="7"/>
      <c r="G224" s="58"/>
      <c r="H224" s="7" t="str">
        <f>IF(G224="","",VLOOKUP(G224,MT商品ﾏｽﾀ参照シート!AO:AP,2,0))</f>
        <v/>
      </c>
      <c r="I224" s="7"/>
      <c r="J224" s="7" t="e">
        <f ca="1">[1]!t仕入先名(I224)</f>
        <v>#NAME?</v>
      </c>
      <c r="K224" s="7"/>
      <c r="L224" s="7" t="e">
        <f ca="1">[1]!t発注先名(K224)</f>
        <v>#NAME?</v>
      </c>
      <c r="M224" s="49"/>
      <c r="N224" s="6"/>
      <c r="O224" s="6"/>
      <c r="P224" s="7"/>
      <c r="Q224" s="7"/>
      <c r="R224" s="7"/>
    </row>
    <row r="225" spans="1:18" ht="13.5" customHeight="1">
      <c r="A225" s="7">
        <v>213</v>
      </c>
      <c r="B225" s="7"/>
      <c r="C225" s="7"/>
      <c r="D225" s="7"/>
      <c r="E225" s="7"/>
      <c r="F225" s="7"/>
      <c r="G225" s="58"/>
      <c r="H225" s="7" t="str">
        <f>IF(G225="","",VLOOKUP(G225,MT商品ﾏｽﾀ参照シート!AO:AP,2,0))</f>
        <v/>
      </c>
      <c r="I225" s="7"/>
      <c r="J225" s="7" t="e">
        <f ca="1">[1]!t仕入先名(I225)</f>
        <v>#NAME?</v>
      </c>
      <c r="K225" s="7"/>
      <c r="L225" s="7" t="e">
        <f ca="1">[1]!t発注先名(K225)</f>
        <v>#NAME?</v>
      </c>
      <c r="M225" s="49"/>
      <c r="N225" s="6"/>
      <c r="O225" s="6"/>
      <c r="P225" s="7"/>
      <c r="Q225" s="7"/>
      <c r="R225" s="7"/>
    </row>
    <row r="226" spans="1:18" ht="13.5" customHeight="1">
      <c r="A226" s="7">
        <v>214</v>
      </c>
      <c r="B226" s="7"/>
      <c r="C226" s="7"/>
      <c r="D226" s="7"/>
      <c r="E226" s="7"/>
      <c r="F226" s="7"/>
      <c r="G226" s="58"/>
      <c r="H226" s="7" t="str">
        <f>IF(G226="","",VLOOKUP(G226,MT商品ﾏｽﾀ参照シート!AO:AP,2,0))</f>
        <v/>
      </c>
      <c r="I226" s="7"/>
      <c r="J226" s="7" t="e">
        <f ca="1">[1]!t仕入先名(I226)</f>
        <v>#NAME?</v>
      </c>
      <c r="K226" s="7"/>
      <c r="L226" s="7" t="e">
        <f ca="1">[1]!t発注先名(K226)</f>
        <v>#NAME?</v>
      </c>
      <c r="M226" s="49"/>
      <c r="N226" s="6"/>
      <c r="O226" s="6"/>
      <c r="P226" s="7"/>
      <c r="Q226" s="7"/>
      <c r="R226" s="7"/>
    </row>
    <row r="227" spans="1:18" ht="13.5" customHeight="1">
      <c r="A227" s="7">
        <v>215</v>
      </c>
      <c r="B227" s="7"/>
      <c r="C227" s="7"/>
      <c r="D227" s="7"/>
      <c r="E227" s="7"/>
      <c r="F227" s="7"/>
      <c r="G227" s="58"/>
      <c r="H227" s="7" t="str">
        <f>IF(G227="","",VLOOKUP(G227,MT商品ﾏｽﾀ参照シート!AO:AP,2,0))</f>
        <v/>
      </c>
      <c r="I227" s="7"/>
      <c r="J227" s="7" t="e">
        <f ca="1">[1]!t仕入先名(I227)</f>
        <v>#NAME?</v>
      </c>
      <c r="K227" s="7"/>
      <c r="L227" s="7" t="e">
        <f ca="1">[1]!t発注先名(K227)</f>
        <v>#NAME?</v>
      </c>
      <c r="M227" s="49"/>
      <c r="N227" s="6"/>
      <c r="O227" s="6"/>
      <c r="P227" s="7"/>
      <c r="Q227" s="7"/>
      <c r="R227" s="7"/>
    </row>
    <row r="228" spans="1:18" ht="13.5" customHeight="1">
      <c r="A228" s="7">
        <v>216</v>
      </c>
      <c r="B228" s="7"/>
      <c r="C228" s="7"/>
      <c r="D228" s="7"/>
      <c r="E228" s="7"/>
      <c r="F228" s="7"/>
      <c r="G228" s="58"/>
      <c r="H228" s="7" t="str">
        <f>IF(G228="","",VLOOKUP(G228,MT商品ﾏｽﾀ参照シート!AO:AP,2,0))</f>
        <v/>
      </c>
      <c r="I228" s="7"/>
      <c r="J228" s="7" t="e">
        <f ca="1">[1]!t仕入先名(I228)</f>
        <v>#NAME?</v>
      </c>
      <c r="K228" s="7"/>
      <c r="L228" s="7" t="e">
        <f ca="1">[1]!t発注先名(K228)</f>
        <v>#NAME?</v>
      </c>
      <c r="M228" s="49"/>
      <c r="N228" s="6"/>
      <c r="O228" s="6"/>
      <c r="P228" s="7"/>
      <c r="Q228" s="7"/>
      <c r="R228" s="7"/>
    </row>
    <row r="229" spans="1:18" ht="13.5" customHeight="1">
      <c r="A229" s="7">
        <v>217</v>
      </c>
      <c r="B229" s="7"/>
      <c r="C229" s="7"/>
      <c r="D229" s="7"/>
      <c r="E229" s="7"/>
      <c r="F229" s="7"/>
      <c r="G229" s="58"/>
      <c r="H229" s="7" t="str">
        <f>IF(G229="","",VLOOKUP(G229,MT商品ﾏｽﾀ参照シート!AO:AP,2,0))</f>
        <v/>
      </c>
      <c r="I229" s="7"/>
      <c r="J229" s="7" t="e">
        <f ca="1">[1]!t仕入先名(I229)</f>
        <v>#NAME?</v>
      </c>
      <c r="K229" s="7"/>
      <c r="L229" s="7" t="e">
        <f ca="1">[1]!t発注先名(K229)</f>
        <v>#NAME?</v>
      </c>
      <c r="M229" s="49"/>
      <c r="N229" s="6"/>
      <c r="O229" s="6"/>
      <c r="P229" s="7"/>
      <c r="Q229" s="7"/>
      <c r="R229" s="7"/>
    </row>
    <row r="230" spans="1:18" ht="13.5" customHeight="1">
      <c r="A230" s="7">
        <v>218</v>
      </c>
      <c r="B230" s="7"/>
      <c r="C230" s="7"/>
      <c r="D230" s="7"/>
      <c r="E230" s="7"/>
      <c r="F230" s="7"/>
      <c r="G230" s="58"/>
      <c r="H230" s="7" t="str">
        <f>IF(G230="","",VLOOKUP(G230,MT商品ﾏｽﾀ参照シート!AO:AP,2,0))</f>
        <v/>
      </c>
      <c r="I230" s="7"/>
      <c r="J230" s="7" t="e">
        <f ca="1">[1]!t仕入先名(I230)</f>
        <v>#NAME?</v>
      </c>
      <c r="K230" s="7"/>
      <c r="L230" s="7" t="e">
        <f ca="1">[1]!t発注先名(K230)</f>
        <v>#NAME?</v>
      </c>
      <c r="M230" s="49"/>
      <c r="N230" s="6"/>
      <c r="O230" s="6"/>
      <c r="P230" s="7"/>
      <c r="Q230" s="7"/>
      <c r="R230" s="7"/>
    </row>
    <row r="231" spans="1:18" ht="13.5" customHeight="1">
      <c r="A231" s="7">
        <v>219</v>
      </c>
      <c r="B231" s="7"/>
      <c r="C231" s="7"/>
      <c r="D231" s="7"/>
      <c r="E231" s="7"/>
      <c r="F231" s="7"/>
      <c r="G231" s="58"/>
      <c r="H231" s="7" t="str">
        <f>IF(G231="","",VLOOKUP(G231,MT商品ﾏｽﾀ参照シート!AO:AP,2,0))</f>
        <v/>
      </c>
      <c r="I231" s="7"/>
      <c r="J231" s="7" t="e">
        <f ca="1">[1]!t仕入先名(I231)</f>
        <v>#NAME?</v>
      </c>
      <c r="K231" s="7"/>
      <c r="L231" s="7" t="e">
        <f ca="1">[1]!t発注先名(K231)</f>
        <v>#NAME?</v>
      </c>
      <c r="M231" s="49"/>
      <c r="N231" s="6"/>
      <c r="O231" s="6"/>
      <c r="P231" s="7"/>
      <c r="Q231" s="7"/>
      <c r="R231" s="7"/>
    </row>
  </sheetData>
  <autoFilter ref="A12:AM231" xr:uid="{00000000-0009-0000-0000-000008000000}"/>
  <customSheetViews>
    <customSheetView guid="{4A49014B-6EB8-41BC-821C-AA758C89CB00}" scale="80" showPageBreaks="1" showAutoFilter="1">
      <pane xSplit="4" ySplit="12" topLeftCell="E95" activePane="bottomRight" state="frozen"/>
      <selection pane="bottomRight" activeCell="C13" sqref="C13:E125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AM231" xr:uid="{3C2AD40E-4EC7-46AF-BA2C-C3EF79249AC9}"/>
    </customSheetView>
  </customSheetViews>
  <phoneticPr fontId="3"/>
  <conditionalFormatting sqref="A10:B10">
    <cfRule type="expression" dxfId="9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8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14"/>
  <sheetViews>
    <sheetView topLeftCell="A94" zoomScale="80" zoomScaleNormal="80" workbookViewId="0">
      <selection activeCell="H114" sqref="H114"/>
    </sheetView>
  </sheetViews>
  <sheetFormatPr defaultColWidth="9" defaultRowHeight="13.2"/>
  <cols>
    <col min="1" max="1" width="9.6640625" style="5" customWidth="1"/>
    <col min="2" max="2" width="5.6640625" style="56" customWidth="1"/>
    <col min="3" max="4" width="9" style="2" customWidth="1"/>
    <col min="5" max="5" width="5.6640625" style="2" customWidth="1"/>
    <col min="6" max="7" width="11.6640625" style="2" bestFit="1" customWidth="1"/>
    <col min="8" max="10" width="5.6640625" style="2" customWidth="1"/>
    <col min="11" max="16384" width="9" style="2"/>
  </cols>
  <sheetData>
    <row r="1" spans="1:10">
      <c r="A1" s="141" t="s">
        <v>4028</v>
      </c>
      <c r="B1" s="136" t="s">
        <v>4029</v>
      </c>
      <c r="C1" s="141" t="s">
        <v>4033</v>
      </c>
      <c r="D1" s="141" t="s">
        <v>4034</v>
      </c>
      <c r="E1" s="141" t="s">
        <v>4035</v>
      </c>
      <c r="F1" s="2" t="s">
        <v>4036</v>
      </c>
      <c r="G1" s="2" t="s">
        <v>4037</v>
      </c>
      <c r="H1" s="141" t="s">
        <v>4038</v>
      </c>
      <c r="I1" s="141" t="s">
        <v>4039</v>
      </c>
      <c r="J1" s="141" t="s">
        <v>4040</v>
      </c>
    </row>
    <row r="2" spans="1:10" ht="13.5" customHeight="1">
      <c r="A2" s="140">
        <v>416237</v>
      </c>
      <c r="B2" s="142">
        <v>99998</v>
      </c>
      <c r="C2" s="140">
        <v>401705</v>
      </c>
      <c r="D2" s="140">
        <v>401705</v>
      </c>
      <c r="E2" s="143">
        <v>1</v>
      </c>
      <c r="F2" s="2">
        <v>1</v>
      </c>
      <c r="G2" s="2">
        <v>21001231</v>
      </c>
      <c r="H2" s="140">
        <v>1</v>
      </c>
      <c r="I2" s="140">
        <v>0</v>
      </c>
      <c r="J2" s="140">
        <v>1</v>
      </c>
    </row>
    <row r="3" spans="1:10" ht="13.5" customHeight="1">
      <c r="A3" s="140">
        <v>416238</v>
      </c>
      <c r="B3" s="142">
        <v>99998</v>
      </c>
      <c r="C3" s="140">
        <v>401705</v>
      </c>
      <c r="D3" s="140">
        <v>401705</v>
      </c>
      <c r="E3" s="143">
        <v>1</v>
      </c>
      <c r="F3" s="2">
        <v>1</v>
      </c>
      <c r="G3" s="2">
        <v>21001231</v>
      </c>
      <c r="H3" s="140">
        <v>1</v>
      </c>
      <c r="I3" s="140">
        <v>0</v>
      </c>
      <c r="J3" s="140">
        <v>1</v>
      </c>
    </row>
    <row r="4" spans="1:10" ht="13.5" customHeight="1">
      <c r="A4" s="140">
        <v>416239</v>
      </c>
      <c r="B4" s="142">
        <v>99998</v>
      </c>
      <c r="C4" s="140">
        <v>401705</v>
      </c>
      <c r="D4" s="140">
        <v>401705</v>
      </c>
      <c r="E4" s="143">
        <v>1</v>
      </c>
      <c r="F4" s="2">
        <v>1</v>
      </c>
      <c r="G4" s="2">
        <v>21001231</v>
      </c>
      <c r="H4" s="140">
        <v>1</v>
      </c>
      <c r="I4" s="140">
        <v>0</v>
      </c>
      <c r="J4" s="140">
        <v>1</v>
      </c>
    </row>
    <row r="5" spans="1:10" ht="13.5" customHeight="1">
      <c r="A5" s="140">
        <v>416240</v>
      </c>
      <c r="B5" s="142">
        <v>99998</v>
      </c>
      <c r="C5" s="140">
        <v>401705</v>
      </c>
      <c r="D5" s="140">
        <v>401705</v>
      </c>
      <c r="E5" s="143">
        <v>1</v>
      </c>
      <c r="F5" s="2">
        <v>1</v>
      </c>
      <c r="G5" s="2">
        <v>21001231</v>
      </c>
      <c r="H5" s="140">
        <v>1</v>
      </c>
      <c r="I5" s="140">
        <v>0</v>
      </c>
      <c r="J5" s="140">
        <v>1</v>
      </c>
    </row>
    <row r="6" spans="1:10" ht="13.5" customHeight="1">
      <c r="A6" s="140">
        <v>416103</v>
      </c>
      <c r="B6" s="142">
        <v>99998</v>
      </c>
      <c r="C6" s="140">
        <v>401705</v>
      </c>
      <c r="D6" s="140">
        <v>401705</v>
      </c>
      <c r="E6" s="143">
        <v>1</v>
      </c>
      <c r="F6" s="2">
        <v>1</v>
      </c>
      <c r="G6" s="2">
        <v>21001231</v>
      </c>
      <c r="H6" s="140">
        <v>1</v>
      </c>
      <c r="I6" s="140">
        <v>0</v>
      </c>
      <c r="J6" s="140">
        <v>1</v>
      </c>
    </row>
    <row r="7" spans="1:10" ht="13.5" customHeight="1">
      <c r="A7" s="140">
        <v>416104</v>
      </c>
      <c r="B7" s="142">
        <v>99998</v>
      </c>
      <c r="C7" s="140">
        <v>401705</v>
      </c>
      <c r="D7" s="140">
        <v>401705</v>
      </c>
      <c r="E7" s="143">
        <v>1</v>
      </c>
      <c r="F7" s="2">
        <v>1</v>
      </c>
      <c r="G7" s="2">
        <v>21001231</v>
      </c>
      <c r="H7" s="140">
        <v>1</v>
      </c>
      <c r="I7" s="140">
        <v>0</v>
      </c>
      <c r="J7" s="140">
        <v>1</v>
      </c>
    </row>
    <row r="8" spans="1:10" ht="13.5" customHeight="1">
      <c r="A8" s="140">
        <v>416105</v>
      </c>
      <c r="B8" s="142">
        <v>99998</v>
      </c>
      <c r="C8" s="140">
        <v>401705</v>
      </c>
      <c r="D8" s="140">
        <v>401705</v>
      </c>
      <c r="E8" s="143">
        <v>1</v>
      </c>
      <c r="F8" s="2">
        <v>1</v>
      </c>
      <c r="G8" s="2">
        <v>21001231</v>
      </c>
      <c r="H8" s="140">
        <v>1</v>
      </c>
      <c r="I8" s="140">
        <v>0</v>
      </c>
      <c r="J8" s="140">
        <v>1</v>
      </c>
    </row>
    <row r="9" spans="1:10" ht="13.5" customHeight="1">
      <c r="A9" s="140">
        <v>416106</v>
      </c>
      <c r="B9" s="142">
        <v>99998</v>
      </c>
      <c r="C9" s="140">
        <v>401705</v>
      </c>
      <c r="D9" s="140">
        <v>401705</v>
      </c>
      <c r="E9" s="143">
        <v>1</v>
      </c>
      <c r="F9" s="2">
        <v>1</v>
      </c>
      <c r="G9" s="2">
        <v>21001231</v>
      </c>
      <c r="H9" s="140">
        <v>1</v>
      </c>
      <c r="I9" s="140">
        <v>0</v>
      </c>
      <c r="J9" s="140">
        <v>1</v>
      </c>
    </row>
    <row r="10" spans="1:10" ht="13.5" customHeight="1">
      <c r="A10" s="140">
        <v>416107</v>
      </c>
      <c r="B10" s="142">
        <v>99998</v>
      </c>
      <c r="C10" s="140">
        <v>401705</v>
      </c>
      <c r="D10" s="140">
        <v>401705</v>
      </c>
      <c r="E10" s="143">
        <v>1</v>
      </c>
      <c r="F10" s="2">
        <v>1</v>
      </c>
      <c r="G10" s="2">
        <v>21001231</v>
      </c>
      <c r="H10" s="140">
        <v>1</v>
      </c>
      <c r="I10" s="140">
        <v>0</v>
      </c>
      <c r="J10" s="140">
        <v>1</v>
      </c>
    </row>
    <row r="11" spans="1:10" ht="13.5" customHeight="1">
      <c r="A11" s="140">
        <v>416108</v>
      </c>
      <c r="B11" s="142">
        <v>99998</v>
      </c>
      <c r="C11" s="140">
        <v>401705</v>
      </c>
      <c r="D11" s="140">
        <v>401705</v>
      </c>
      <c r="E11" s="143">
        <v>1</v>
      </c>
      <c r="F11" s="2">
        <v>1</v>
      </c>
      <c r="G11" s="2">
        <v>21001231</v>
      </c>
      <c r="H11" s="140">
        <v>1</v>
      </c>
      <c r="I11" s="140">
        <v>0</v>
      </c>
      <c r="J11" s="140">
        <v>1</v>
      </c>
    </row>
    <row r="12" spans="1:10" ht="13.5" customHeight="1">
      <c r="A12" s="140">
        <v>416109</v>
      </c>
      <c r="B12" s="142">
        <v>99998</v>
      </c>
      <c r="C12" s="140">
        <v>401705</v>
      </c>
      <c r="D12" s="140">
        <v>401705</v>
      </c>
      <c r="E12" s="143">
        <v>1</v>
      </c>
      <c r="F12" s="2">
        <v>1</v>
      </c>
      <c r="G12" s="2">
        <v>21001231</v>
      </c>
      <c r="H12" s="140">
        <v>1</v>
      </c>
      <c r="I12" s="140">
        <v>0</v>
      </c>
      <c r="J12" s="140">
        <v>1</v>
      </c>
    </row>
    <row r="13" spans="1:10" ht="13.5" customHeight="1">
      <c r="A13" s="140">
        <v>416110</v>
      </c>
      <c r="B13" s="142">
        <v>99998</v>
      </c>
      <c r="C13" s="140">
        <v>401705</v>
      </c>
      <c r="D13" s="140">
        <v>401705</v>
      </c>
      <c r="E13" s="143">
        <v>1</v>
      </c>
      <c r="F13" s="2">
        <v>1</v>
      </c>
      <c r="G13" s="2">
        <v>21001231</v>
      </c>
      <c r="H13" s="140">
        <v>1</v>
      </c>
      <c r="I13" s="140">
        <v>0</v>
      </c>
      <c r="J13" s="140">
        <v>1</v>
      </c>
    </row>
    <row r="14" spans="1:10" ht="13.5" customHeight="1">
      <c r="A14" s="140">
        <v>416111</v>
      </c>
      <c r="B14" s="142">
        <v>99998</v>
      </c>
      <c r="C14" s="140">
        <v>401705</v>
      </c>
      <c r="D14" s="140">
        <v>401705</v>
      </c>
      <c r="E14" s="143">
        <v>1</v>
      </c>
      <c r="F14" s="2">
        <v>1</v>
      </c>
      <c r="G14" s="2">
        <v>21001231</v>
      </c>
      <c r="H14" s="140">
        <v>1</v>
      </c>
      <c r="I14" s="140">
        <v>0</v>
      </c>
      <c r="J14" s="140">
        <v>1</v>
      </c>
    </row>
    <row r="15" spans="1:10" ht="13.5" customHeight="1">
      <c r="A15" s="140">
        <v>416112</v>
      </c>
      <c r="B15" s="142">
        <v>99998</v>
      </c>
      <c r="C15" s="140">
        <v>401705</v>
      </c>
      <c r="D15" s="140">
        <v>401705</v>
      </c>
      <c r="E15" s="143">
        <v>1</v>
      </c>
      <c r="F15" s="2">
        <v>1</v>
      </c>
      <c r="G15" s="2">
        <v>21001231</v>
      </c>
      <c r="H15" s="140">
        <v>1</v>
      </c>
      <c r="I15" s="140">
        <v>0</v>
      </c>
      <c r="J15" s="140">
        <v>1</v>
      </c>
    </row>
    <row r="16" spans="1:10" ht="13.5" customHeight="1">
      <c r="A16" s="140">
        <v>416113</v>
      </c>
      <c r="B16" s="142">
        <v>99998</v>
      </c>
      <c r="C16" s="140">
        <v>401705</v>
      </c>
      <c r="D16" s="140">
        <v>401705</v>
      </c>
      <c r="E16" s="143">
        <v>1</v>
      </c>
      <c r="F16" s="2">
        <v>1</v>
      </c>
      <c r="G16" s="2">
        <v>21001231</v>
      </c>
      <c r="H16" s="140">
        <v>1</v>
      </c>
      <c r="I16" s="140">
        <v>0</v>
      </c>
      <c r="J16" s="140">
        <v>1</v>
      </c>
    </row>
    <row r="17" spans="1:10" ht="13.5" customHeight="1">
      <c r="A17" s="140">
        <v>416114</v>
      </c>
      <c r="B17" s="142">
        <v>99998</v>
      </c>
      <c r="C17" s="140">
        <v>401705</v>
      </c>
      <c r="D17" s="140">
        <v>401705</v>
      </c>
      <c r="E17" s="143">
        <v>1</v>
      </c>
      <c r="F17" s="2">
        <v>1</v>
      </c>
      <c r="G17" s="2">
        <v>21001231</v>
      </c>
      <c r="H17" s="140">
        <v>1</v>
      </c>
      <c r="I17" s="140">
        <v>0</v>
      </c>
      <c r="J17" s="140">
        <v>1</v>
      </c>
    </row>
    <row r="18" spans="1:10" ht="13.5" customHeight="1">
      <c r="A18" s="140">
        <v>416115</v>
      </c>
      <c r="B18" s="142">
        <v>99998</v>
      </c>
      <c r="C18" s="140">
        <v>401705</v>
      </c>
      <c r="D18" s="140">
        <v>401705</v>
      </c>
      <c r="E18" s="143">
        <v>1</v>
      </c>
      <c r="F18" s="2">
        <v>1</v>
      </c>
      <c r="G18" s="2">
        <v>21001231</v>
      </c>
      <c r="H18" s="140">
        <v>1</v>
      </c>
      <c r="I18" s="140">
        <v>0</v>
      </c>
      <c r="J18" s="140">
        <v>1</v>
      </c>
    </row>
    <row r="19" spans="1:10" ht="13.5" customHeight="1">
      <c r="A19" s="140">
        <v>416116</v>
      </c>
      <c r="B19" s="142">
        <v>99998</v>
      </c>
      <c r="C19" s="140">
        <v>401705</v>
      </c>
      <c r="D19" s="140">
        <v>401705</v>
      </c>
      <c r="E19" s="143">
        <v>1</v>
      </c>
      <c r="F19" s="2">
        <v>1</v>
      </c>
      <c r="G19" s="2">
        <v>21001231</v>
      </c>
      <c r="H19" s="140">
        <v>1</v>
      </c>
      <c r="I19" s="140">
        <v>0</v>
      </c>
      <c r="J19" s="140">
        <v>1</v>
      </c>
    </row>
    <row r="20" spans="1:10" ht="13.5" customHeight="1">
      <c r="A20" s="140">
        <v>416117</v>
      </c>
      <c r="B20" s="142">
        <v>99998</v>
      </c>
      <c r="C20" s="140">
        <v>401705</v>
      </c>
      <c r="D20" s="140">
        <v>401705</v>
      </c>
      <c r="E20" s="143">
        <v>1</v>
      </c>
      <c r="F20" s="2">
        <v>1</v>
      </c>
      <c r="G20" s="2">
        <v>21001231</v>
      </c>
      <c r="H20" s="140">
        <v>1</v>
      </c>
      <c r="I20" s="140">
        <v>0</v>
      </c>
      <c r="J20" s="140">
        <v>1</v>
      </c>
    </row>
    <row r="21" spans="1:10" ht="13.5" customHeight="1">
      <c r="A21" s="140">
        <v>416118</v>
      </c>
      <c r="B21" s="142">
        <v>99998</v>
      </c>
      <c r="C21" s="140">
        <v>401705</v>
      </c>
      <c r="D21" s="140">
        <v>401705</v>
      </c>
      <c r="E21" s="143">
        <v>1</v>
      </c>
      <c r="F21" s="2">
        <v>1</v>
      </c>
      <c r="G21" s="2">
        <v>21001231</v>
      </c>
      <c r="H21" s="140">
        <v>1</v>
      </c>
      <c r="I21" s="140">
        <v>0</v>
      </c>
      <c r="J21" s="140">
        <v>1</v>
      </c>
    </row>
    <row r="22" spans="1:10" ht="13.5" customHeight="1">
      <c r="A22" s="140">
        <v>416119</v>
      </c>
      <c r="B22" s="142">
        <v>99998</v>
      </c>
      <c r="C22" s="140">
        <v>401705</v>
      </c>
      <c r="D22" s="140">
        <v>401705</v>
      </c>
      <c r="E22" s="143">
        <v>1</v>
      </c>
      <c r="F22" s="2">
        <v>1</v>
      </c>
      <c r="G22" s="2">
        <v>21001231</v>
      </c>
      <c r="H22" s="140">
        <v>1</v>
      </c>
      <c r="I22" s="140">
        <v>0</v>
      </c>
      <c r="J22" s="140">
        <v>1</v>
      </c>
    </row>
    <row r="23" spans="1:10" ht="13.5" customHeight="1">
      <c r="A23" s="140">
        <v>416145</v>
      </c>
      <c r="B23" s="142">
        <v>99998</v>
      </c>
      <c r="C23" s="140">
        <v>401705</v>
      </c>
      <c r="D23" s="140">
        <v>401705</v>
      </c>
      <c r="E23" s="143">
        <v>1</v>
      </c>
      <c r="F23" s="2">
        <v>1</v>
      </c>
      <c r="G23" s="2">
        <v>21001231</v>
      </c>
      <c r="H23" s="140">
        <v>1</v>
      </c>
      <c r="I23" s="140">
        <v>0</v>
      </c>
      <c r="J23" s="140">
        <v>1</v>
      </c>
    </row>
    <row r="24" spans="1:10" ht="13.5" customHeight="1">
      <c r="A24" s="140">
        <v>416146</v>
      </c>
      <c r="B24" s="142">
        <v>99998</v>
      </c>
      <c r="C24" s="140">
        <v>401705</v>
      </c>
      <c r="D24" s="140">
        <v>401705</v>
      </c>
      <c r="E24" s="143">
        <v>1</v>
      </c>
      <c r="F24" s="2">
        <v>1</v>
      </c>
      <c r="G24" s="2">
        <v>21001231</v>
      </c>
      <c r="H24" s="140">
        <v>1</v>
      </c>
      <c r="I24" s="140">
        <v>0</v>
      </c>
      <c r="J24" s="140">
        <v>1</v>
      </c>
    </row>
    <row r="25" spans="1:10" ht="13.5" customHeight="1">
      <c r="A25" s="140">
        <v>416147</v>
      </c>
      <c r="B25" s="142">
        <v>99998</v>
      </c>
      <c r="C25" s="140">
        <v>401705</v>
      </c>
      <c r="D25" s="140">
        <v>401705</v>
      </c>
      <c r="E25" s="143">
        <v>1</v>
      </c>
      <c r="F25" s="2">
        <v>1</v>
      </c>
      <c r="G25" s="2">
        <v>21001231</v>
      </c>
      <c r="H25" s="140">
        <v>1</v>
      </c>
      <c r="I25" s="140">
        <v>0</v>
      </c>
      <c r="J25" s="140">
        <v>1</v>
      </c>
    </row>
    <row r="26" spans="1:10" ht="13.5" customHeight="1">
      <c r="A26" s="140">
        <v>416148</v>
      </c>
      <c r="B26" s="142">
        <v>99998</v>
      </c>
      <c r="C26" s="140">
        <v>401705</v>
      </c>
      <c r="D26" s="140">
        <v>401705</v>
      </c>
      <c r="E26" s="143">
        <v>1</v>
      </c>
      <c r="F26" s="2">
        <v>1</v>
      </c>
      <c r="G26" s="2">
        <v>21001231</v>
      </c>
      <c r="H26" s="140">
        <v>1</v>
      </c>
      <c r="I26" s="140">
        <v>0</v>
      </c>
      <c r="J26" s="140">
        <v>1</v>
      </c>
    </row>
    <row r="27" spans="1:10" ht="13.5" customHeight="1">
      <c r="A27" s="140">
        <v>416149</v>
      </c>
      <c r="B27" s="142">
        <v>99998</v>
      </c>
      <c r="C27" s="140">
        <v>401705</v>
      </c>
      <c r="D27" s="140">
        <v>401705</v>
      </c>
      <c r="E27" s="143">
        <v>1</v>
      </c>
      <c r="F27" s="2">
        <v>1</v>
      </c>
      <c r="G27" s="2">
        <v>21001231</v>
      </c>
      <c r="H27" s="140">
        <v>1</v>
      </c>
      <c r="I27" s="140">
        <v>0</v>
      </c>
      <c r="J27" s="140">
        <v>1</v>
      </c>
    </row>
    <row r="28" spans="1:10" ht="13.5" customHeight="1">
      <c r="A28" s="140">
        <v>416150</v>
      </c>
      <c r="B28" s="142">
        <v>99998</v>
      </c>
      <c r="C28" s="140">
        <v>401705</v>
      </c>
      <c r="D28" s="140">
        <v>401705</v>
      </c>
      <c r="E28" s="143">
        <v>1</v>
      </c>
      <c r="F28" s="2">
        <v>1</v>
      </c>
      <c r="G28" s="2">
        <v>21001231</v>
      </c>
      <c r="H28" s="140">
        <v>1</v>
      </c>
      <c r="I28" s="140">
        <v>0</v>
      </c>
      <c r="J28" s="140">
        <v>1</v>
      </c>
    </row>
    <row r="29" spans="1:10" ht="13.5" customHeight="1">
      <c r="A29" s="140">
        <v>416151</v>
      </c>
      <c r="B29" s="142">
        <v>99998</v>
      </c>
      <c r="C29" s="140">
        <v>401705</v>
      </c>
      <c r="D29" s="140">
        <v>401705</v>
      </c>
      <c r="E29" s="143">
        <v>1</v>
      </c>
      <c r="F29" s="2">
        <v>1</v>
      </c>
      <c r="G29" s="2">
        <v>21001231</v>
      </c>
      <c r="H29" s="140">
        <v>1</v>
      </c>
      <c r="I29" s="140">
        <v>0</v>
      </c>
      <c r="J29" s="140">
        <v>1</v>
      </c>
    </row>
    <row r="30" spans="1:10" ht="13.5" customHeight="1">
      <c r="A30" s="140">
        <v>416152</v>
      </c>
      <c r="B30" s="142">
        <v>99998</v>
      </c>
      <c r="C30" s="140">
        <v>401705</v>
      </c>
      <c r="D30" s="140">
        <v>401705</v>
      </c>
      <c r="E30" s="143">
        <v>1</v>
      </c>
      <c r="F30" s="2">
        <v>1</v>
      </c>
      <c r="G30" s="2">
        <v>21001231</v>
      </c>
      <c r="H30" s="140">
        <v>1</v>
      </c>
      <c r="I30" s="140">
        <v>0</v>
      </c>
      <c r="J30" s="140">
        <v>1</v>
      </c>
    </row>
    <row r="31" spans="1:10" ht="13.5" customHeight="1">
      <c r="A31" s="140">
        <v>416153</v>
      </c>
      <c r="B31" s="142">
        <v>99998</v>
      </c>
      <c r="C31" s="140">
        <v>401705</v>
      </c>
      <c r="D31" s="140">
        <v>401705</v>
      </c>
      <c r="E31" s="143">
        <v>1</v>
      </c>
      <c r="F31" s="2">
        <v>1</v>
      </c>
      <c r="G31" s="2">
        <v>21001231</v>
      </c>
      <c r="H31" s="140">
        <v>1</v>
      </c>
      <c r="I31" s="140">
        <v>0</v>
      </c>
      <c r="J31" s="140">
        <v>1</v>
      </c>
    </row>
    <row r="32" spans="1:10" ht="13.5" customHeight="1">
      <c r="A32" s="140">
        <v>416154</v>
      </c>
      <c r="B32" s="142">
        <v>99998</v>
      </c>
      <c r="C32" s="140">
        <v>401705</v>
      </c>
      <c r="D32" s="140">
        <v>401705</v>
      </c>
      <c r="E32" s="143">
        <v>1</v>
      </c>
      <c r="F32" s="2">
        <v>1</v>
      </c>
      <c r="G32" s="2">
        <v>21001231</v>
      </c>
      <c r="H32" s="140">
        <v>1</v>
      </c>
      <c r="I32" s="140">
        <v>0</v>
      </c>
      <c r="J32" s="140">
        <v>1</v>
      </c>
    </row>
    <row r="33" spans="1:10" ht="13.5" customHeight="1">
      <c r="A33" s="140">
        <v>416155</v>
      </c>
      <c r="B33" s="142">
        <v>99998</v>
      </c>
      <c r="C33" s="140">
        <v>401705</v>
      </c>
      <c r="D33" s="140">
        <v>401705</v>
      </c>
      <c r="E33" s="143">
        <v>1</v>
      </c>
      <c r="F33" s="2">
        <v>1</v>
      </c>
      <c r="G33" s="2">
        <v>21001231</v>
      </c>
      <c r="H33" s="140">
        <v>1</v>
      </c>
      <c r="I33" s="140">
        <v>0</v>
      </c>
      <c r="J33" s="140">
        <v>1</v>
      </c>
    </row>
    <row r="34" spans="1:10" ht="13.5" customHeight="1">
      <c r="A34" s="140">
        <v>416156</v>
      </c>
      <c r="B34" s="142">
        <v>99998</v>
      </c>
      <c r="C34" s="140">
        <v>401705</v>
      </c>
      <c r="D34" s="140">
        <v>401705</v>
      </c>
      <c r="E34" s="143">
        <v>1</v>
      </c>
      <c r="F34" s="2">
        <v>1</v>
      </c>
      <c r="G34" s="2">
        <v>21001231</v>
      </c>
      <c r="H34" s="140">
        <v>1</v>
      </c>
      <c r="I34" s="140">
        <v>0</v>
      </c>
      <c r="J34" s="140">
        <v>1</v>
      </c>
    </row>
    <row r="35" spans="1:10" ht="13.5" customHeight="1">
      <c r="A35" s="140">
        <v>416157</v>
      </c>
      <c r="B35" s="142">
        <v>99998</v>
      </c>
      <c r="C35" s="140">
        <v>401705</v>
      </c>
      <c r="D35" s="140">
        <v>401705</v>
      </c>
      <c r="E35" s="143">
        <v>1</v>
      </c>
      <c r="F35" s="2">
        <v>1</v>
      </c>
      <c r="G35" s="2">
        <v>21001231</v>
      </c>
      <c r="H35" s="140">
        <v>1</v>
      </c>
      <c r="I35" s="140">
        <v>0</v>
      </c>
      <c r="J35" s="140">
        <v>1</v>
      </c>
    </row>
    <row r="36" spans="1:10" ht="13.5" customHeight="1">
      <c r="A36" s="140">
        <v>416158</v>
      </c>
      <c r="B36" s="142">
        <v>99998</v>
      </c>
      <c r="C36" s="140">
        <v>401705</v>
      </c>
      <c r="D36" s="140">
        <v>401705</v>
      </c>
      <c r="E36" s="143">
        <v>1</v>
      </c>
      <c r="F36" s="2">
        <v>1</v>
      </c>
      <c r="G36" s="2">
        <v>21001231</v>
      </c>
      <c r="H36" s="140">
        <v>1</v>
      </c>
      <c r="I36" s="140">
        <v>0</v>
      </c>
      <c r="J36" s="140">
        <v>1</v>
      </c>
    </row>
    <row r="37" spans="1:10" ht="13.5" customHeight="1">
      <c r="A37" s="140">
        <v>416159</v>
      </c>
      <c r="B37" s="142">
        <v>99998</v>
      </c>
      <c r="C37" s="140">
        <v>401705</v>
      </c>
      <c r="D37" s="140">
        <v>401705</v>
      </c>
      <c r="E37" s="143">
        <v>1</v>
      </c>
      <c r="F37" s="2">
        <v>1</v>
      </c>
      <c r="G37" s="2">
        <v>21001231</v>
      </c>
      <c r="H37" s="140">
        <v>1</v>
      </c>
      <c r="I37" s="140">
        <v>0</v>
      </c>
      <c r="J37" s="140">
        <v>1</v>
      </c>
    </row>
    <row r="38" spans="1:10" ht="13.5" customHeight="1">
      <c r="A38" s="140">
        <v>416160</v>
      </c>
      <c r="B38" s="142">
        <v>99998</v>
      </c>
      <c r="C38" s="140">
        <v>401705</v>
      </c>
      <c r="D38" s="140">
        <v>401705</v>
      </c>
      <c r="E38" s="143">
        <v>1</v>
      </c>
      <c r="F38" s="2">
        <v>1</v>
      </c>
      <c r="G38" s="2">
        <v>21001231</v>
      </c>
      <c r="H38" s="140">
        <v>1</v>
      </c>
      <c r="I38" s="140">
        <v>0</v>
      </c>
      <c r="J38" s="140">
        <v>1</v>
      </c>
    </row>
    <row r="39" spans="1:10" ht="13.5" customHeight="1">
      <c r="A39" s="140">
        <v>416161</v>
      </c>
      <c r="B39" s="142">
        <v>99998</v>
      </c>
      <c r="C39" s="140">
        <v>401705</v>
      </c>
      <c r="D39" s="140">
        <v>401705</v>
      </c>
      <c r="E39" s="143">
        <v>1</v>
      </c>
      <c r="F39" s="2">
        <v>1</v>
      </c>
      <c r="G39" s="2">
        <v>21001231</v>
      </c>
      <c r="H39" s="140">
        <v>1</v>
      </c>
      <c r="I39" s="140">
        <v>0</v>
      </c>
      <c r="J39" s="140">
        <v>1</v>
      </c>
    </row>
    <row r="40" spans="1:10" ht="13.5" customHeight="1">
      <c r="A40" s="140">
        <v>416162</v>
      </c>
      <c r="B40" s="142">
        <v>99998</v>
      </c>
      <c r="C40" s="140">
        <v>401705</v>
      </c>
      <c r="D40" s="140">
        <v>401705</v>
      </c>
      <c r="E40" s="143">
        <v>1</v>
      </c>
      <c r="F40" s="2">
        <v>1</v>
      </c>
      <c r="G40" s="2">
        <v>21001231</v>
      </c>
      <c r="H40" s="140">
        <v>1</v>
      </c>
      <c r="I40" s="140">
        <v>0</v>
      </c>
      <c r="J40" s="140">
        <v>1</v>
      </c>
    </row>
    <row r="41" spans="1:10" ht="13.5" customHeight="1">
      <c r="A41" s="140">
        <v>416163</v>
      </c>
      <c r="B41" s="142">
        <v>99998</v>
      </c>
      <c r="C41" s="140">
        <v>401705</v>
      </c>
      <c r="D41" s="140">
        <v>401705</v>
      </c>
      <c r="E41" s="143">
        <v>1</v>
      </c>
      <c r="F41" s="2">
        <v>1</v>
      </c>
      <c r="G41" s="2">
        <v>21001231</v>
      </c>
      <c r="H41" s="140">
        <v>1</v>
      </c>
      <c r="I41" s="140">
        <v>0</v>
      </c>
      <c r="J41" s="140">
        <v>1</v>
      </c>
    </row>
    <row r="42" spans="1:10" ht="13.5" customHeight="1">
      <c r="A42" s="140">
        <v>416164</v>
      </c>
      <c r="B42" s="142">
        <v>99998</v>
      </c>
      <c r="C42" s="140">
        <v>401705</v>
      </c>
      <c r="D42" s="140">
        <v>401705</v>
      </c>
      <c r="E42" s="143">
        <v>1</v>
      </c>
      <c r="F42" s="2">
        <v>1</v>
      </c>
      <c r="G42" s="2">
        <v>21001231</v>
      </c>
      <c r="H42" s="140">
        <v>1</v>
      </c>
      <c r="I42" s="140">
        <v>0</v>
      </c>
      <c r="J42" s="140">
        <v>1</v>
      </c>
    </row>
    <row r="43" spans="1:10" ht="13.5" customHeight="1">
      <c r="A43" s="140">
        <v>416165</v>
      </c>
      <c r="B43" s="142">
        <v>99998</v>
      </c>
      <c r="C43" s="140">
        <v>401705</v>
      </c>
      <c r="D43" s="140">
        <v>401705</v>
      </c>
      <c r="E43" s="143">
        <v>1</v>
      </c>
      <c r="F43" s="2">
        <v>1</v>
      </c>
      <c r="G43" s="2">
        <v>21001231</v>
      </c>
      <c r="H43" s="140">
        <v>1</v>
      </c>
      <c r="I43" s="140">
        <v>0</v>
      </c>
      <c r="J43" s="140">
        <v>1</v>
      </c>
    </row>
    <row r="44" spans="1:10" ht="13.5" customHeight="1">
      <c r="A44" s="140">
        <v>416166</v>
      </c>
      <c r="B44" s="142">
        <v>99998</v>
      </c>
      <c r="C44" s="140">
        <v>401705</v>
      </c>
      <c r="D44" s="140">
        <v>401705</v>
      </c>
      <c r="E44" s="143">
        <v>1</v>
      </c>
      <c r="F44" s="2">
        <v>1</v>
      </c>
      <c r="G44" s="2">
        <v>21001231</v>
      </c>
      <c r="H44" s="140">
        <v>1</v>
      </c>
      <c r="I44" s="140">
        <v>0</v>
      </c>
      <c r="J44" s="140">
        <v>1</v>
      </c>
    </row>
    <row r="45" spans="1:10" ht="13.5" customHeight="1">
      <c r="A45" s="140">
        <v>416167</v>
      </c>
      <c r="B45" s="142">
        <v>99998</v>
      </c>
      <c r="C45" s="140">
        <v>401705</v>
      </c>
      <c r="D45" s="140">
        <v>401705</v>
      </c>
      <c r="E45" s="143">
        <v>1</v>
      </c>
      <c r="F45" s="2">
        <v>1</v>
      </c>
      <c r="G45" s="2">
        <v>21001231</v>
      </c>
      <c r="H45" s="140">
        <v>1</v>
      </c>
      <c r="I45" s="140">
        <v>0</v>
      </c>
      <c r="J45" s="140">
        <v>1</v>
      </c>
    </row>
    <row r="46" spans="1:10" ht="13.5" customHeight="1">
      <c r="A46" s="140">
        <v>416168</v>
      </c>
      <c r="B46" s="142">
        <v>99998</v>
      </c>
      <c r="C46" s="140">
        <v>401705</v>
      </c>
      <c r="D46" s="140">
        <v>401705</v>
      </c>
      <c r="E46" s="143">
        <v>1</v>
      </c>
      <c r="F46" s="2">
        <v>1</v>
      </c>
      <c r="G46" s="2">
        <v>21001231</v>
      </c>
      <c r="H46" s="140">
        <v>1</v>
      </c>
      <c r="I46" s="140">
        <v>0</v>
      </c>
      <c r="J46" s="140">
        <v>1</v>
      </c>
    </row>
    <row r="47" spans="1:10" ht="13.5" customHeight="1">
      <c r="A47" s="140">
        <v>416169</v>
      </c>
      <c r="B47" s="142">
        <v>99998</v>
      </c>
      <c r="C47" s="140">
        <v>401705</v>
      </c>
      <c r="D47" s="140">
        <v>401705</v>
      </c>
      <c r="E47" s="143">
        <v>1</v>
      </c>
      <c r="F47" s="2">
        <v>1</v>
      </c>
      <c r="G47" s="2">
        <v>21001231</v>
      </c>
      <c r="H47" s="140">
        <v>1</v>
      </c>
      <c r="I47" s="140">
        <v>0</v>
      </c>
      <c r="J47" s="140">
        <v>1</v>
      </c>
    </row>
    <row r="48" spans="1:10" ht="13.5" customHeight="1">
      <c r="A48" s="140">
        <v>416170</v>
      </c>
      <c r="B48" s="142">
        <v>99998</v>
      </c>
      <c r="C48" s="140">
        <v>401705</v>
      </c>
      <c r="D48" s="140">
        <v>401705</v>
      </c>
      <c r="E48" s="143">
        <v>1</v>
      </c>
      <c r="F48" s="2">
        <v>1</v>
      </c>
      <c r="G48" s="2">
        <v>21001231</v>
      </c>
      <c r="H48" s="140">
        <v>1</v>
      </c>
      <c r="I48" s="140">
        <v>0</v>
      </c>
      <c r="J48" s="140">
        <v>1</v>
      </c>
    </row>
    <row r="49" spans="1:10" ht="13.5" customHeight="1">
      <c r="A49" s="140">
        <v>416171</v>
      </c>
      <c r="B49" s="142">
        <v>99998</v>
      </c>
      <c r="C49" s="140">
        <v>401705</v>
      </c>
      <c r="D49" s="140">
        <v>401705</v>
      </c>
      <c r="E49" s="143">
        <v>1</v>
      </c>
      <c r="F49" s="2">
        <v>1</v>
      </c>
      <c r="G49" s="2">
        <v>21001231</v>
      </c>
      <c r="H49" s="140">
        <v>1</v>
      </c>
      <c r="I49" s="140">
        <v>0</v>
      </c>
      <c r="J49" s="140">
        <v>1</v>
      </c>
    </row>
    <row r="50" spans="1:10" ht="13.5" customHeight="1">
      <c r="A50" s="140">
        <v>416172</v>
      </c>
      <c r="B50" s="142">
        <v>99998</v>
      </c>
      <c r="C50" s="140">
        <v>401705</v>
      </c>
      <c r="D50" s="140">
        <v>401705</v>
      </c>
      <c r="E50" s="143">
        <v>1</v>
      </c>
      <c r="F50" s="2">
        <v>1</v>
      </c>
      <c r="G50" s="2">
        <v>21001231</v>
      </c>
      <c r="H50" s="140">
        <v>1</v>
      </c>
      <c r="I50" s="140">
        <v>0</v>
      </c>
      <c r="J50" s="140">
        <v>1</v>
      </c>
    </row>
    <row r="51" spans="1:10" ht="13.5" customHeight="1">
      <c r="A51" s="140">
        <v>416173</v>
      </c>
      <c r="B51" s="142">
        <v>99998</v>
      </c>
      <c r="C51" s="140">
        <v>401705</v>
      </c>
      <c r="D51" s="140">
        <v>401705</v>
      </c>
      <c r="E51" s="143">
        <v>1</v>
      </c>
      <c r="F51" s="2">
        <v>1</v>
      </c>
      <c r="G51" s="2">
        <v>21001231</v>
      </c>
      <c r="H51" s="140">
        <v>1</v>
      </c>
      <c r="I51" s="140">
        <v>0</v>
      </c>
      <c r="J51" s="140">
        <v>1</v>
      </c>
    </row>
    <row r="52" spans="1:10" ht="13.5" customHeight="1">
      <c r="A52" s="140">
        <v>416174</v>
      </c>
      <c r="B52" s="142">
        <v>99998</v>
      </c>
      <c r="C52" s="140">
        <v>401705</v>
      </c>
      <c r="D52" s="140">
        <v>401705</v>
      </c>
      <c r="E52" s="143">
        <v>1</v>
      </c>
      <c r="F52" s="2">
        <v>1</v>
      </c>
      <c r="G52" s="2">
        <v>21001231</v>
      </c>
      <c r="H52" s="140">
        <v>1</v>
      </c>
      <c r="I52" s="140">
        <v>0</v>
      </c>
      <c r="J52" s="140">
        <v>1</v>
      </c>
    </row>
    <row r="53" spans="1:10" ht="13.5" customHeight="1">
      <c r="A53" s="140">
        <v>416175</v>
      </c>
      <c r="B53" s="142">
        <v>99998</v>
      </c>
      <c r="C53" s="140">
        <v>401705</v>
      </c>
      <c r="D53" s="140">
        <v>401705</v>
      </c>
      <c r="E53" s="143">
        <v>1</v>
      </c>
      <c r="F53" s="2">
        <v>1</v>
      </c>
      <c r="G53" s="2">
        <v>21001231</v>
      </c>
      <c r="H53" s="140">
        <v>1</v>
      </c>
      <c r="I53" s="140">
        <v>0</v>
      </c>
      <c r="J53" s="140">
        <v>1</v>
      </c>
    </row>
    <row r="54" spans="1:10" ht="13.5" customHeight="1">
      <c r="A54" s="140">
        <v>416176</v>
      </c>
      <c r="B54" s="142">
        <v>99998</v>
      </c>
      <c r="C54" s="140">
        <v>401705</v>
      </c>
      <c r="D54" s="140">
        <v>401705</v>
      </c>
      <c r="E54" s="143">
        <v>1</v>
      </c>
      <c r="F54" s="2">
        <v>1</v>
      </c>
      <c r="G54" s="2">
        <v>21001231</v>
      </c>
      <c r="H54" s="140">
        <v>1</v>
      </c>
      <c r="I54" s="140">
        <v>0</v>
      </c>
      <c r="J54" s="140">
        <v>1</v>
      </c>
    </row>
    <row r="55" spans="1:10" ht="13.5" customHeight="1">
      <c r="A55" s="140">
        <v>416177</v>
      </c>
      <c r="B55" s="142">
        <v>99998</v>
      </c>
      <c r="C55" s="140">
        <v>401705</v>
      </c>
      <c r="D55" s="140">
        <v>401705</v>
      </c>
      <c r="E55" s="143">
        <v>1</v>
      </c>
      <c r="F55" s="2">
        <v>1</v>
      </c>
      <c r="G55" s="2">
        <v>21001231</v>
      </c>
      <c r="H55" s="140">
        <v>1</v>
      </c>
      <c r="I55" s="140">
        <v>0</v>
      </c>
      <c r="J55" s="140">
        <v>1</v>
      </c>
    </row>
    <row r="56" spans="1:10" ht="13.5" customHeight="1">
      <c r="A56" s="140">
        <v>416178</v>
      </c>
      <c r="B56" s="142">
        <v>99998</v>
      </c>
      <c r="C56" s="140">
        <v>401705</v>
      </c>
      <c r="D56" s="140">
        <v>401705</v>
      </c>
      <c r="E56" s="143">
        <v>1</v>
      </c>
      <c r="F56" s="2">
        <v>1</v>
      </c>
      <c r="G56" s="2">
        <v>21001231</v>
      </c>
      <c r="H56" s="140">
        <v>1</v>
      </c>
      <c r="I56" s="140">
        <v>0</v>
      </c>
      <c r="J56" s="140">
        <v>1</v>
      </c>
    </row>
    <row r="57" spans="1:10" ht="13.5" customHeight="1">
      <c r="A57" s="140">
        <v>416179</v>
      </c>
      <c r="B57" s="142">
        <v>99998</v>
      </c>
      <c r="C57" s="140">
        <v>401705</v>
      </c>
      <c r="D57" s="140">
        <v>401705</v>
      </c>
      <c r="E57" s="143">
        <v>1</v>
      </c>
      <c r="F57" s="2">
        <v>1</v>
      </c>
      <c r="G57" s="2">
        <v>21001231</v>
      </c>
      <c r="H57" s="140">
        <v>1</v>
      </c>
      <c r="I57" s="140">
        <v>0</v>
      </c>
      <c r="J57" s="140">
        <v>1</v>
      </c>
    </row>
    <row r="58" spans="1:10" ht="13.5" customHeight="1">
      <c r="A58" s="140">
        <v>416180</v>
      </c>
      <c r="B58" s="142">
        <v>99998</v>
      </c>
      <c r="C58" s="140">
        <v>401705</v>
      </c>
      <c r="D58" s="140">
        <v>401705</v>
      </c>
      <c r="E58" s="143">
        <v>1</v>
      </c>
      <c r="F58" s="2">
        <v>1</v>
      </c>
      <c r="G58" s="2">
        <v>21001231</v>
      </c>
      <c r="H58" s="140">
        <v>1</v>
      </c>
      <c r="I58" s="140">
        <v>0</v>
      </c>
      <c r="J58" s="140">
        <v>1</v>
      </c>
    </row>
    <row r="59" spans="1:10" ht="13.5" customHeight="1">
      <c r="A59" s="140">
        <v>416181</v>
      </c>
      <c r="B59" s="142">
        <v>99998</v>
      </c>
      <c r="C59" s="140">
        <v>401705</v>
      </c>
      <c r="D59" s="140">
        <v>401705</v>
      </c>
      <c r="E59" s="143">
        <v>1</v>
      </c>
      <c r="F59" s="2">
        <v>1</v>
      </c>
      <c r="G59" s="2">
        <v>21001231</v>
      </c>
      <c r="H59" s="140">
        <v>1</v>
      </c>
      <c r="I59" s="140">
        <v>0</v>
      </c>
      <c r="J59" s="140">
        <v>1</v>
      </c>
    </row>
    <row r="60" spans="1:10" ht="13.5" customHeight="1">
      <c r="A60" s="140">
        <v>416182</v>
      </c>
      <c r="B60" s="142">
        <v>99998</v>
      </c>
      <c r="C60" s="140">
        <v>401705</v>
      </c>
      <c r="D60" s="140">
        <v>401705</v>
      </c>
      <c r="E60" s="143">
        <v>1</v>
      </c>
      <c r="F60" s="2">
        <v>1</v>
      </c>
      <c r="G60" s="2">
        <v>21001231</v>
      </c>
      <c r="H60" s="140">
        <v>1</v>
      </c>
      <c r="I60" s="140">
        <v>0</v>
      </c>
      <c r="J60" s="140">
        <v>1</v>
      </c>
    </row>
    <row r="61" spans="1:10" s="10" customFormat="1" ht="13.5" customHeight="1">
      <c r="A61" s="140">
        <v>416183</v>
      </c>
      <c r="B61" s="142">
        <v>99998</v>
      </c>
      <c r="C61" s="140">
        <v>401705</v>
      </c>
      <c r="D61" s="140">
        <v>401705</v>
      </c>
      <c r="E61" s="143">
        <v>1</v>
      </c>
      <c r="F61" s="2">
        <v>1</v>
      </c>
      <c r="G61" s="2">
        <v>21001231</v>
      </c>
      <c r="H61" s="140">
        <v>1</v>
      </c>
      <c r="I61" s="140">
        <v>0</v>
      </c>
      <c r="J61" s="140">
        <v>1</v>
      </c>
    </row>
    <row r="62" spans="1:10" ht="13.5" customHeight="1">
      <c r="A62" s="140">
        <v>416184</v>
      </c>
      <c r="B62" s="142">
        <v>99998</v>
      </c>
      <c r="C62" s="140">
        <v>401705</v>
      </c>
      <c r="D62" s="140">
        <v>401705</v>
      </c>
      <c r="E62" s="143">
        <v>1</v>
      </c>
      <c r="F62" s="2">
        <v>1</v>
      </c>
      <c r="G62" s="2">
        <v>21001231</v>
      </c>
      <c r="H62" s="140">
        <v>1</v>
      </c>
      <c r="I62" s="140">
        <v>0</v>
      </c>
      <c r="J62" s="140">
        <v>1</v>
      </c>
    </row>
    <row r="63" spans="1:10" ht="13.5" customHeight="1">
      <c r="A63" s="140">
        <v>416185</v>
      </c>
      <c r="B63" s="142">
        <v>99998</v>
      </c>
      <c r="C63" s="140">
        <v>401705</v>
      </c>
      <c r="D63" s="140">
        <v>401705</v>
      </c>
      <c r="E63" s="143">
        <v>1</v>
      </c>
      <c r="F63" s="2">
        <v>1</v>
      </c>
      <c r="G63" s="2">
        <v>21001231</v>
      </c>
      <c r="H63" s="140">
        <v>1</v>
      </c>
      <c r="I63" s="140">
        <v>0</v>
      </c>
      <c r="J63" s="140">
        <v>1</v>
      </c>
    </row>
    <row r="64" spans="1:10" ht="13.5" customHeight="1">
      <c r="A64" s="140">
        <v>416186</v>
      </c>
      <c r="B64" s="142">
        <v>99998</v>
      </c>
      <c r="C64" s="140">
        <v>401705</v>
      </c>
      <c r="D64" s="140">
        <v>401705</v>
      </c>
      <c r="E64" s="143">
        <v>1</v>
      </c>
      <c r="F64" s="2">
        <v>1</v>
      </c>
      <c r="G64" s="2">
        <v>21001231</v>
      </c>
      <c r="H64" s="140">
        <v>1</v>
      </c>
      <c r="I64" s="140">
        <v>0</v>
      </c>
      <c r="J64" s="140">
        <v>1</v>
      </c>
    </row>
    <row r="65" spans="1:10" ht="13.5" customHeight="1">
      <c r="A65" s="140">
        <v>416187</v>
      </c>
      <c r="B65" s="142">
        <v>99998</v>
      </c>
      <c r="C65" s="140">
        <v>401705</v>
      </c>
      <c r="D65" s="140">
        <v>401705</v>
      </c>
      <c r="E65" s="143">
        <v>1</v>
      </c>
      <c r="F65" s="2">
        <v>1</v>
      </c>
      <c r="G65" s="2">
        <v>21001231</v>
      </c>
      <c r="H65" s="140">
        <v>1</v>
      </c>
      <c r="I65" s="140">
        <v>0</v>
      </c>
      <c r="J65" s="140">
        <v>1</v>
      </c>
    </row>
    <row r="66" spans="1:10" ht="13.5" customHeight="1">
      <c r="A66" s="140">
        <v>416188</v>
      </c>
      <c r="B66" s="142">
        <v>99998</v>
      </c>
      <c r="C66" s="140">
        <v>401705</v>
      </c>
      <c r="D66" s="140">
        <v>401705</v>
      </c>
      <c r="E66" s="143">
        <v>1</v>
      </c>
      <c r="F66" s="2">
        <v>1</v>
      </c>
      <c r="G66" s="2">
        <v>21001231</v>
      </c>
      <c r="H66" s="140">
        <v>1</v>
      </c>
      <c r="I66" s="140">
        <v>0</v>
      </c>
      <c r="J66" s="140">
        <v>1</v>
      </c>
    </row>
    <row r="67" spans="1:10" ht="13.5" customHeight="1">
      <c r="A67" s="140">
        <v>416189</v>
      </c>
      <c r="B67" s="142">
        <v>99998</v>
      </c>
      <c r="C67" s="140">
        <v>401705</v>
      </c>
      <c r="D67" s="140">
        <v>401705</v>
      </c>
      <c r="E67" s="143">
        <v>1</v>
      </c>
      <c r="F67" s="2">
        <v>1</v>
      </c>
      <c r="G67" s="2">
        <v>21001231</v>
      </c>
      <c r="H67" s="140">
        <v>1</v>
      </c>
      <c r="I67" s="140">
        <v>0</v>
      </c>
      <c r="J67" s="140">
        <v>1</v>
      </c>
    </row>
    <row r="68" spans="1:10" ht="13.5" customHeight="1">
      <c r="A68" s="140">
        <v>416190</v>
      </c>
      <c r="B68" s="142">
        <v>99998</v>
      </c>
      <c r="C68" s="140">
        <v>401705</v>
      </c>
      <c r="D68" s="140">
        <v>401705</v>
      </c>
      <c r="E68" s="143">
        <v>1</v>
      </c>
      <c r="F68" s="2">
        <v>1</v>
      </c>
      <c r="G68" s="2">
        <v>21001231</v>
      </c>
      <c r="H68" s="140">
        <v>1</v>
      </c>
      <c r="I68" s="140">
        <v>0</v>
      </c>
      <c r="J68" s="140">
        <v>1</v>
      </c>
    </row>
    <row r="69" spans="1:10" ht="13.5" customHeight="1">
      <c r="A69" s="140">
        <v>416191</v>
      </c>
      <c r="B69" s="142">
        <v>99998</v>
      </c>
      <c r="C69" s="140">
        <v>401705</v>
      </c>
      <c r="D69" s="140">
        <v>401705</v>
      </c>
      <c r="E69" s="143">
        <v>1</v>
      </c>
      <c r="F69" s="2">
        <v>1</v>
      </c>
      <c r="G69" s="2">
        <v>21001231</v>
      </c>
      <c r="H69" s="140">
        <v>1</v>
      </c>
      <c r="I69" s="140">
        <v>0</v>
      </c>
      <c r="J69" s="140">
        <v>1</v>
      </c>
    </row>
    <row r="70" spans="1:10" ht="13.5" customHeight="1">
      <c r="A70" s="140">
        <v>416192</v>
      </c>
      <c r="B70" s="142">
        <v>99998</v>
      </c>
      <c r="C70" s="140">
        <v>401705</v>
      </c>
      <c r="D70" s="140">
        <v>401705</v>
      </c>
      <c r="E70" s="143">
        <v>1</v>
      </c>
      <c r="F70" s="2">
        <v>1</v>
      </c>
      <c r="G70" s="2">
        <v>21001231</v>
      </c>
      <c r="H70" s="140">
        <v>1</v>
      </c>
      <c r="I70" s="140">
        <v>0</v>
      </c>
      <c r="J70" s="140">
        <v>1</v>
      </c>
    </row>
    <row r="71" spans="1:10" ht="13.5" customHeight="1">
      <c r="A71" s="140">
        <v>416193</v>
      </c>
      <c r="B71" s="142">
        <v>99998</v>
      </c>
      <c r="C71" s="140">
        <v>401705</v>
      </c>
      <c r="D71" s="140">
        <v>401705</v>
      </c>
      <c r="E71" s="143">
        <v>1</v>
      </c>
      <c r="F71" s="2">
        <v>1</v>
      </c>
      <c r="G71" s="2">
        <v>21001231</v>
      </c>
      <c r="H71" s="140">
        <v>1</v>
      </c>
      <c r="I71" s="140">
        <v>0</v>
      </c>
      <c r="J71" s="140">
        <v>1</v>
      </c>
    </row>
    <row r="72" spans="1:10" ht="13.5" customHeight="1">
      <c r="A72" s="140">
        <v>416194</v>
      </c>
      <c r="B72" s="142">
        <v>99998</v>
      </c>
      <c r="C72" s="140">
        <v>401705</v>
      </c>
      <c r="D72" s="140">
        <v>401705</v>
      </c>
      <c r="E72" s="143">
        <v>1</v>
      </c>
      <c r="F72" s="2">
        <v>1</v>
      </c>
      <c r="G72" s="2">
        <v>21001231</v>
      </c>
      <c r="H72" s="140">
        <v>1</v>
      </c>
      <c r="I72" s="140">
        <v>0</v>
      </c>
      <c r="J72" s="140">
        <v>1</v>
      </c>
    </row>
    <row r="73" spans="1:10" ht="13.5" customHeight="1">
      <c r="A73" s="140">
        <v>416195</v>
      </c>
      <c r="B73" s="142">
        <v>99998</v>
      </c>
      <c r="C73" s="140">
        <v>401705</v>
      </c>
      <c r="D73" s="140">
        <v>401705</v>
      </c>
      <c r="E73" s="143">
        <v>1</v>
      </c>
      <c r="F73" s="2">
        <v>1</v>
      </c>
      <c r="G73" s="2">
        <v>21001231</v>
      </c>
      <c r="H73" s="140">
        <v>1</v>
      </c>
      <c r="I73" s="140">
        <v>0</v>
      </c>
      <c r="J73" s="140">
        <v>1</v>
      </c>
    </row>
    <row r="74" spans="1:10" ht="13.5" customHeight="1">
      <c r="A74" s="140">
        <v>416196</v>
      </c>
      <c r="B74" s="142">
        <v>99998</v>
      </c>
      <c r="C74" s="140">
        <v>401705</v>
      </c>
      <c r="D74" s="140">
        <v>401705</v>
      </c>
      <c r="E74" s="143">
        <v>1</v>
      </c>
      <c r="F74" s="2">
        <v>1</v>
      </c>
      <c r="G74" s="2">
        <v>21001231</v>
      </c>
      <c r="H74" s="140">
        <v>1</v>
      </c>
      <c r="I74" s="140">
        <v>0</v>
      </c>
      <c r="J74" s="140">
        <v>1</v>
      </c>
    </row>
    <row r="75" spans="1:10" ht="13.5" customHeight="1">
      <c r="A75" s="140">
        <v>416197</v>
      </c>
      <c r="B75" s="142">
        <v>99998</v>
      </c>
      <c r="C75" s="140">
        <v>401705</v>
      </c>
      <c r="D75" s="140">
        <v>401705</v>
      </c>
      <c r="E75" s="143">
        <v>1</v>
      </c>
      <c r="F75" s="2">
        <v>1</v>
      </c>
      <c r="G75" s="2">
        <v>21001231</v>
      </c>
      <c r="H75" s="140">
        <v>1</v>
      </c>
      <c r="I75" s="140">
        <v>0</v>
      </c>
      <c r="J75" s="140">
        <v>1</v>
      </c>
    </row>
    <row r="76" spans="1:10" ht="13.5" customHeight="1">
      <c r="A76" s="140">
        <v>416198</v>
      </c>
      <c r="B76" s="142">
        <v>99998</v>
      </c>
      <c r="C76" s="140">
        <v>401705</v>
      </c>
      <c r="D76" s="140">
        <v>401705</v>
      </c>
      <c r="E76" s="143">
        <v>1</v>
      </c>
      <c r="F76" s="2">
        <v>1</v>
      </c>
      <c r="G76" s="2">
        <v>21001231</v>
      </c>
      <c r="H76" s="140">
        <v>1</v>
      </c>
      <c r="I76" s="140">
        <v>0</v>
      </c>
      <c r="J76" s="140">
        <v>1</v>
      </c>
    </row>
    <row r="77" spans="1:10" ht="13.5" customHeight="1">
      <c r="A77" s="140">
        <v>416199</v>
      </c>
      <c r="B77" s="142">
        <v>99998</v>
      </c>
      <c r="C77" s="140">
        <v>401705</v>
      </c>
      <c r="D77" s="140">
        <v>401705</v>
      </c>
      <c r="E77" s="143">
        <v>1</v>
      </c>
      <c r="F77" s="2">
        <v>1</v>
      </c>
      <c r="G77" s="2">
        <v>21001231</v>
      </c>
      <c r="H77" s="140">
        <v>1</v>
      </c>
      <c r="I77" s="140">
        <v>0</v>
      </c>
      <c r="J77" s="140">
        <v>1</v>
      </c>
    </row>
    <row r="78" spans="1:10" ht="13.5" customHeight="1">
      <c r="A78" s="140">
        <v>416200</v>
      </c>
      <c r="B78" s="142">
        <v>99998</v>
      </c>
      <c r="C78" s="140">
        <v>401705</v>
      </c>
      <c r="D78" s="140">
        <v>401705</v>
      </c>
      <c r="E78" s="143">
        <v>1</v>
      </c>
      <c r="F78" s="2">
        <v>1</v>
      </c>
      <c r="G78" s="2">
        <v>21001231</v>
      </c>
      <c r="H78" s="140">
        <v>1</v>
      </c>
      <c r="I78" s="140">
        <v>0</v>
      </c>
      <c r="J78" s="140">
        <v>1</v>
      </c>
    </row>
    <row r="79" spans="1:10" ht="13.5" customHeight="1">
      <c r="A79" s="140">
        <v>416201</v>
      </c>
      <c r="B79" s="142">
        <v>99998</v>
      </c>
      <c r="C79" s="140">
        <v>401705</v>
      </c>
      <c r="D79" s="140">
        <v>401705</v>
      </c>
      <c r="E79" s="143">
        <v>1</v>
      </c>
      <c r="F79" s="2">
        <v>1</v>
      </c>
      <c r="G79" s="2">
        <v>21001231</v>
      </c>
      <c r="H79" s="140">
        <v>1</v>
      </c>
      <c r="I79" s="140">
        <v>0</v>
      </c>
      <c r="J79" s="140">
        <v>1</v>
      </c>
    </row>
    <row r="80" spans="1:10" ht="13.5" customHeight="1">
      <c r="A80" s="140">
        <v>416202</v>
      </c>
      <c r="B80" s="142">
        <v>99998</v>
      </c>
      <c r="C80" s="140">
        <v>401705</v>
      </c>
      <c r="D80" s="140">
        <v>401705</v>
      </c>
      <c r="E80" s="143">
        <v>1</v>
      </c>
      <c r="F80" s="2">
        <v>1</v>
      </c>
      <c r="G80" s="2">
        <v>21001231</v>
      </c>
      <c r="H80" s="140">
        <v>1</v>
      </c>
      <c r="I80" s="140">
        <v>0</v>
      </c>
      <c r="J80" s="140">
        <v>1</v>
      </c>
    </row>
    <row r="81" spans="1:10" ht="13.5" customHeight="1">
      <c r="A81" s="140">
        <v>416203</v>
      </c>
      <c r="B81" s="142">
        <v>99998</v>
      </c>
      <c r="C81" s="140">
        <v>401705</v>
      </c>
      <c r="D81" s="140">
        <v>401705</v>
      </c>
      <c r="E81" s="143">
        <v>1</v>
      </c>
      <c r="F81" s="2">
        <v>1</v>
      </c>
      <c r="G81" s="2">
        <v>21001231</v>
      </c>
      <c r="H81" s="140">
        <v>1</v>
      </c>
      <c r="I81" s="140">
        <v>0</v>
      </c>
      <c r="J81" s="140">
        <v>1</v>
      </c>
    </row>
    <row r="82" spans="1:10" ht="13.5" customHeight="1">
      <c r="A82" s="140">
        <v>416204</v>
      </c>
      <c r="B82" s="142">
        <v>99998</v>
      </c>
      <c r="C82" s="140">
        <v>401705</v>
      </c>
      <c r="D82" s="140">
        <v>401705</v>
      </c>
      <c r="E82" s="143">
        <v>1</v>
      </c>
      <c r="F82" s="2">
        <v>1</v>
      </c>
      <c r="G82" s="2">
        <v>21001231</v>
      </c>
      <c r="H82" s="140">
        <v>1</v>
      </c>
      <c r="I82" s="140">
        <v>0</v>
      </c>
      <c r="J82" s="140">
        <v>1</v>
      </c>
    </row>
    <row r="83" spans="1:10" ht="13.5" customHeight="1">
      <c r="A83" s="140">
        <v>416205</v>
      </c>
      <c r="B83" s="142">
        <v>99998</v>
      </c>
      <c r="C83" s="140">
        <v>401705</v>
      </c>
      <c r="D83" s="140">
        <v>401705</v>
      </c>
      <c r="E83" s="143">
        <v>1</v>
      </c>
      <c r="F83" s="2">
        <v>1</v>
      </c>
      <c r="G83" s="2">
        <v>21001231</v>
      </c>
      <c r="H83" s="140">
        <v>1</v>
      </c>
      <c r="I83" s="140">
        <v>0</v>
      </c>
      <c r="J83" s="140">
        <v>1</v>
      </c>
    </row>
    <row r="84" spans="1:10" ht="13.5" customHeight="1">
      <c r="A84" s="140">
        <v>416206</v>
      </c>
      <c r="B84" s="142">
        <v>99998</v>
      </c>
      <c r="C84" s="140">
        <v>401705</v>
      </c>
      <c r="D84" s="140">
        <v>401705</v>
      </c>
      <c r="E84" s="143">
        <v>1</v>
      </c>
      <c r="F84" s="2">
        <v>1</v>
      </c>
      <c r="G84" s="2">
        <v>21001231</v>
      </c>
      <c r="H84" s="140">
        <v>1</v>
      </c>
      <c r="I84" s="140">
        <v>0</v>
      </c>
      <c r="J84" s="140">
        <v>1</v>
      </c>
    </row>
    <row r="85" spans="1:10" ht="13.5" customHeight="1">
      <c r="A85" s="140">
        <v>416207</v>
      </c>
      <c r="B85" s="142">
        <v>99998</v>
      </c>
      <c r="C85" s="140">
        <v>401705</v>
      </c>
      <c r="D85" s="140">
        <v>401705</v>
      </c>
      <c r="E85" s="143">
        <v>1</v>
      </c>
      <c r="F85" s="2">
        <v>1</v>
      </c>
      <c r="G85" s="2">
        <v>21001231</v>
      </c>
      <c r="H85" s="140">
        <v>1</v>
      </c>
      <c r="I85" s="140">
        <v>0</v>
      </c>
      <c r="J85" s="140">
        <v>1</v>
      </c>
    </row>
    <row r="86" spans="1:10" ht="13.5" customHeight="1">
      <c r="A86" s="140">
        <v>416208</v>
      </c>
      <c r="B86" s="142">
        <v>99998</v>
      </c>
      <c r="C86" s="140">
        <v>401705</v>
      </c>
      <c r="D86" s="140">
        <v>401705</v>
      </c>
      <c r="E86" s="143">
        <v>1</v>
      </c>
      <c r="F86" s="2">
        <v>1</v>
      </c>
      <c r="G86" s="2">
        <v>21001231</v>
      </c>
      <c r="H86" s="140">
        <v>1</v>
      </c>
      <c r="I86" s="140">
        <v>0</v>
      </c>
      <c r="J86" s="140">
        <v>1</v>
      </c>
    </row>
    <row r="87" spans="1:10" ht="13.5" customHeight="1">
      <c r="A87" s="140">
        <v>416209</v>
      </c>
      <c r="B87" s="142">
        <v>99998</v>
      </c>
      <c r="C87" s="140">
        <v>401705</v>
      </c>
      <c r="D87" s="140">
        <v>401705</v>
      </c>
      <c r="E87" s="143">
        <v>1</v>
      </c>
      <c r="F87" s="2">
        <v>1</v>
      </c>
      <c r="G87" s="2">
        <v>21001231</v>
      </c>
      <c r="H87" s="140">
        <v>1</v>
      </c>
      <c r="I87" s="140">
        <v>0</v>
      </c>
      <c r="J87" s="140">
        <v>1</v>
      </c>
    </row>
    <row r="88" spans="1:10" ht="13.5" customHeight="1">
      <c r="A88" s="140">
        <v>416210</v>
      </c>
      <c r="B88" s="142">
        <v>99998</v>
      </c>
      <c r="C88" s="140">
        <v>401705</v>
      </c>
      <c r="D88" s="140">
        <v>401705</v>
      </c>
      <c r="E88" s="143">
        <v>1</v>
      </c>
      <c r="F88" s="2">
        <v>1</v>
      </c>
      <c r="G88" s="2">
        <v>21001231</v>
      </c>
      <c r="H88" s="140">
        <v>1</v>
      </c>
      <c r="I88" s="140">
        <v>0</v>
      </c>
      <c r="J88" s="140">
        <v>1</v>
      </c>
    </row>
    <row r="89" spans="1:10" ht="13.5" customHeight="1">
      <c r="A89" s="140">
        <v>416211</v>
      </c>
      <c r="B89" s="142">
        <v>99998</v>
      </c>
      <c r="C89" s="140">
        <v>401705</v>
      </c>
      <c r="D89" s="140">
        <v>401705</v>
      </c>
      <c r="E89" s="143">
        <v>1</v>
      </c>
      <c r="F89" s="2">
        <v>1</v>
      </c>
      <c r="G89" s="2">
        <v>21001231</v>
      </c>
      <c r="H89" s="140">
        <v>1</v>
      </c>
      <c r="I89" s="140">
        <v>0</v>
      </c>
      <c r="J89" s="140">
        <v>1</v>
      </c>
    </row>
    <row r="90" spans="1:10" ht="13.5" customHeight="1">
      <c r="A90" s="140">
        <v>416212</v>
      </c>
      <c r="B90" s="142">
        <v>99998</v>
      </c>
      <c r="C90" s="140">
        <v>401705</v>
      </c>
      <c r="D90" s="140">
        <v>401705</v>
      </c>
      <c r="E90" s="143">
        <v>1</v>
      </c>
      <c r="F90" s="2">
        <v>1</v>
      </c>
      <c r="G90" s="2">
        <v>21001231</v>
      </c>
      <c r="H90" s="140">
        <v>1</v>
      </c>
      <c r="I90" s="140">
        <v>0</v>
      </c>
      <c r="J90" s="140">
        <v>1</v>
      </c>
    </row>
    <row r="91" spans="1:10" ht="13.5" customHeight="1">
      <c r="A91" s="140">
        <v>416213</v>
      </c>
      <c r="B91" s="142">
        <v>99998</v>
      </c>
      <c r="C91" s="140">
        <v>401705</v>
      </c>
      <c r="D91" s="140">
        <v>401705</v>
      </c>
      <c r="E91" s="143">
        <v>1</v>
      </c>
      <c r="F91" s="2">
        <v>1</v>
      </c>
      <c r="G91" s="2">
        <v>21001231</v>
      </c>
      <c r="H91" s="140">
        <v>1</v>
      </c>
      <c r="I91" s="140">
        <v>0</v>
      </c>
      <c r="J91" s="140">
        <v>1</v>
      </c>
    </row>
    <row r="92" spans="1:10" ht="13.5" customHeight="1">
      <c r="A92" s="140">
        <v>416214</v>
      </c>
      <c r="B92" s="142">
        <v>99998</v>
      </c>
      <c r="C92" s="140">
        <v>401705</v>
      </c>
      <c r="D92" s="140">
        <v>401705</v>
      </c>
      <c r="E92" s="143">
        <v>1</v>
      </c>
      <c r="F92" s="2">
        <v>1</v>
      </c>
      <c r="G92" s="2">
        <v>21001231</v>
      </c>
      <c r="H92" s="140">
        <v>1</v>
      </c>
      <c r="I92" s="140">
        <v>0</v>
      </c>
      <c r="J92" s="140">
        <v>1</v>
      </c>
    </row>
    <row r="93" spans="1:10" ht="13.5" customHeight="1">
      <c r="A93" s="140">
        <v>416215</v>
      </c>
      <c r="B93" s="142">
        <v>99998</v>
      </c>
      <c r="C93" s="140">
        <v>401705</v>
      </c>
      <c r="D93" s="140">
        <v>401705</v>
      </c>
      <c r="E93" s="143">
        <v>1</v>
      </c>
      <c r="F93" s="2">
        <v>1</v>
      </c>
      <c r="G93" s="2">
        <v>21001231</v>
      </c>
      <c r="H93" s="140">
        <v>1</v>
      </c>
      <c r="I93" s="140">
        <v>0</v>
      </c>
      <c r="J93" s="140">
        <v>1</v>
      </c>
    </row>
    <row r="94" spans="1:10" ht="13.5" customHeight="1">
      <c r="A94" s="140">
        <v>416216</v>
      </c>
      <c r="B94" s="142">
        <v>99998</v>
      </c>
      <c r="C94" s="140">
        <v>401705</v>
      </c>
      <c r="D94" s="140">
        <v>401705</v>
      </c>
      <c r="E94" s="143">
        <v>1</v>
      </c>
      <c r="F94" s="2">
        <v>1</v>
      </c>
      <c r="G94" s="2">
        <v>21001231</v>
      </c>
      <c r="H94" s="140">
        <v>1</v>
      </c>
      <c r="I94" s="140">
        <v>0</v>
      </c>
      <c r="J94" s="140">
        <v>1</v>
      </c>
    </row>
    <row r="95" spans="1:10" ht="13.5" customHeight="1">
      <c r="A95" s="140">
        <v>416217</v>
      </c>
      <c r="B95" s="142">
        <v>99998</v>
      </c>
      <c r="C95" s="140">
        <v>401705</v>
      </c>
      <c r="D95" s="140">
        <v>401705</v>
      </c>
      <c r="E95" s="143">
        <v>1</v>
      </c>
      <c r="F95" s="2">
        <v>1</v>
      </c>
      <c r="G95" s="2">
        <v>21001231</v>
      </c>
      <c r="H95" s="140">
        <v>1</v>
      </c>
      <c r="I95" s="140">
        <v>0</v>
      </c>
      <c r="J95" s="140">
        <v>1</v>
      </c>
    </row>
    <row r="96" spans="1:10" ht="13.5" customHeight="1">
      <c r="A96" s="140">
        <v>416218</v>
      </c>
      <c r="B96" s="142">
        <v>99998</v>
      </c>
      <c r="C96" s="140">
        <v>401705</v>
      </c>
      <c r="D96" s="140">
        <v>401705</v>
      </c>
      <c r="E96" s="143">
        <v>1</v>
      </c>
      <c r="F96" s="2">
        <v>1</v>
      </c>
      <c r="G96" s="2">
        <v>21001231</v>
      </c>
      <c r="H96" s="140">
        <v>1</v>
      </c>
      <c r="I96" s="140">
        <v>0</v>
      </c>
      <c r="J96" s="140">
        <v>1</v>
      </c>
    </row>
    <row r="97" spans="1:10" ht="13.5" customHeight="1">
      <c r="A97" s="140">
        <v>416219</v>
      </c>
      <c r="B97" s="142">
        <v>99998</v>
      </c>
      <c r="C97" s="140">
        <v>401705</v>
      </c>
      <c r="D97" s="140">
        <v>401705</v>
      </c>
      <c r="E97" s="143">
        <v>1</v>
      </c>
      <c r="F97" s="2">
        <v>1</v>
      </c>
      <c r="G97" s="2">
        <v>21001231</v>
      </c>
      <c r="H97" s="140">
        <v>1</v>
      </c>
      <c r="I97" s="140">
        <v>0</v>
      </c>
      <c r="J97" s="140">
        <v>1</v>
      </c>
    </row>
    <row r="98" spans="1:10" ht="13.5" customHeight="1">
      <c r="A98" s="140">
        <v>416220</v>
      </c>
      <c r="B98" s="142">
        <v>99998</v>
      </c>
      <c r="C98" s="140">
        <v>401705</v>
      </c>
      <c r="D98" s="140">
        <v>401705</v>
      </c>
      <c r="E98" s="143">
        <v>1</v>
      </c>
      <c r="F98" s="2">
        <v>1</v>
      </c>
      <c r="G98" s="2">
        <v>21001231</v>
      </c>
      <c r="H98" s="140">
        <v>1</v>
      </c>
      <c r="I98" s="140">
        <v>0</v>
      </c>
      <c r="J98" s="140">
        <v>1</v>
      </c>
    </row>
    <row r="99" spans="1:10" ht="13.5" customHeight="1">
      <c r="A99" s="140">
        <v>416221</v>
      </c>
      <c r="B99" s="142">
        <v>99998</v>
      </c>
      <c r="C99" s="140">
        <v>401705</v>
      </c>
      <c r="D99" s="140">
        <v>401705</v>
      </c>
      <c r="E99" s="143">
        <v>1</v>
      </c>
      <c r="F99" s="2">
        <v>1</v>
      </c>
      <c r="G99" s="2">
        <v>21001231</v>
      </c>
      <c r="H99" s="140">
        <v>1</v>
      </c>
      <c r="I99" s="140">
        <v>0</v>
      </c>
      <c r="J99" s="140">
        <v>1</v>
      </c>
    </row>
    <row r="100" spans="1:10" ht="13.5" customHeight="1">
      <c r="A100" s="140">
        <v>416222</v>
      </c>
      <c r="B100" s="142">
        <v>99998</v>
      </c>
      <c r="C100" s="140">
        <v>401705</v>
      </c>
      <c r="D100" s="140">
        <v>401705</v>
      </c>
      <c r="E100" s="143">
        <v>1</v>
      </c>
      <c r="F100" s="2">
        <v>1</v>
      </c>
      <c r="G100" s="2">
        <v>21001231</v>
      </c>
      <c r="H100" s="140">
        <v>1</v>
      </c>
      <c r="I100" s="140">
        <v>0</v>
      </c>
      <c r="J100" s="140">
        <v>1</v>
      </c>
    </row>
    <row r="101" spans="1:10" ht="13.5" customHeight="1">
      <c r="A101" s="140">
        <v>416223</v>
      </c>
      <c r="B101" s="142">
        <v>99998</v>
      </c>
      <c r="C101" s="140">
        <v>401705</v>
      </c>
      <c r="D101" s="140">
        <v>401705</v>
      </c>
      <c r="E101" s="143">
        <v>1</v>
      </c>
      <c r="F101" s="2">
        <v>1</v>
      </c>
      <c r="G101" s="2">
        <v>21001231</v>
      </c>
      <c r="H101" s="140">
        <v>1</v>
      </c>
      <c r="I101" s="140">
        <v>0</v>
      </c>
      <c r="J101" s="140">
        <v>1</v>
      </c>
    </row>
    <row r="102" spans="1:10" ht="13.5" customHeight="1">
      <c r="A102" s="140">
        <v>416224</v>
      </c>
      <c r="B102" s="142">
        <v>99998</v>
      </c>
      <c r="C102" s="140">
        <v>401705</v>
      </c>
      <c r="D102" s="140">
        <v>401705</v>
      </c>
      <c r="E102" s="143">
        <v>1</v>
      </c>
      <c r="F102" s="2">
        <v>1</v>
      </c>
      <c r="G102" s="2">
        <v>21001231</v>
      </c>
      <c r="H102" s="140">
        <v>1</v>
      </c>
      <c r="I102" s="140">
        <v>0</v>
      </c>
      <c r="J102" s="140">
        <v>1</v>
      </c>
    </row>
    <row r="103" spans="1:10" ht="13.5" customHeight="1">
      <c r="A103" s="140">
        <v>416225</v>
      </c>
      <c r="B103" s="142">
        <v>99998</v>
      </c>
      <c r="C103" s="140">
        <v>401705</v>
      </c>
      <c r="D103" s="140">
        <v>401705</v>
      </c>
      <c r="E103" s="143">
        <v>1</v>
      </c>
      <c r="F103" s="2">
        <v>1</v>
      </c>
      <c r="G103" s="2">
        <v>21001231</v>
      </c>
      <c r="H103" s="140">
        <v>1</v>
      </c>
      <c r="I103" s="140">
        <v>0</v>
      </c>
      <c r="J103" s="140">
        <v>1</v>
      </c>
    </row>
    <row r="104" spans="1:10" ht="13.5" customHeight="1">
      <c r="A104" s="140">
        <v>416226</v>
      </c>
      <c r="B104" s="142">
        <v>99998</v>
      </c>
      <c r="C104" s="140">
        <v>401705</v>
      </c>
      <c r="D104" s="140">
        <v>401705</v>
      </c>
      <c r="E104" s="143">
        <v>1</v>
      </c>
      <c r="F104" s="2">
        <v>1</v>
      </c>
      <c r="G104" s="2">
        <v>21001231</v>
      </c>
      <c r="H104" s="140">
        <v>1</v>
      </c>
      <c r="I104" s="140">
        <v>0</v>
      </c>
      <c r="J104" s="140">
        <v>1</v>
      </c>
    </row>
    <row r="105" spans="1:10" ht="13.5" customHeight="1">
      <c r="A105" s="140">
        <v>416227</v>
      </c>
      <c r="B105" s="142">
        <v>99998</v>
      </c>
      <c r="C105" s="140">
        <v>401705</v>
      </c>
      <c r="D105" s="140">
        <v>401705</v>
      </c>
      <c r="E105" s="143">
        <v>1</v>
      </c>
      <c r="F105" s="2">
        <v>1</v>
      </c>
      <c r="G105" s="2">
        <v>21001231</v>
      </c>
      <c r="H105" s="140">
        <v>1</v>
      </c>
      <c r="I105" s="140">
        <v>0</v>
      </c>
      <c r="J105" s="140">
        <v>1</v>
      </c>
    </row>
    <row r="106" spans="1:10" ht="13.5" customHeight="1">
      <c r="A106" s="140">
        <v>416228</v>
      </c>
      <c r="B106" s="142">
        <v>99998</v>
      </c>
      <c r="C106" s="140">
        <v>401705</v>
      </c>
      <c r="D106" s="140">
        <v>401705</v>
      </c>
      <c r="E106" s="143">
        <v>1</v>
      </c>
      <c r="F106" s="2">
        <v>1</v>
      </c>
      <c r="G106" s="2">
        <v>21001231</v>
      </c>
      <c r="H106" s="140">
        <v>1</v>
      </c>
      <c r="I106" s="140">
        <v>0</v>
      </c>
      <c r="J106" s="140">
        <v>1</v>
      </c>
    </row>
    <row r="107" spans="1:10" ht="13.5" customHeight="1">
      <c r="A107" s="140">
        <v>416229</v>
      </c>
      <c r="B107" s="142">
        <v>99998</v>
      </c>
      <c r="C107" s="140">
        <v>401705</v>
      </c>
      <c r="D107" s="140">
        <v>401705</v>
      </c>
      <c r="E107" s="143">
        <v>1</v>
      </c>
      <c r="F107" s="2">
        <v>1</v>
      </c>
      <c r="G107" s="2">
        <v>21001231</v>
      </c>
      <c r="H107" s="140">
        <v>1</v>
      </c>
      <c r="I107" s="140">
        <v>0</v>
      </c>
      <c r="J107" s="140">
        <v>1</v>
      </c>
    </row>
    <row r="108" spans="1:10" ht="13.5" customHeight="1">
      <c r="A108" s="140">
        <v>416230</v>
      </c>
      <c r="B108" s="142">
        <v>99998</v>
      </c>
      <c r="C108" s="140">
        <v>401705</v>
      </c>
      <c r="D108" s="140">
        <v>401705</v>
      </c>
      <c r="E108" s="143">
        <v>1</v>
      </c>
      <c r="F108" s="2">
        <v>1</v>
      </c>
      <c r="G108" s="2">
        <v>21001231</v>
      </c>
      <c r="H108" s="140">
        <v>1</v>
      </c>
      <c r="I108" s="140">
        <v>0</v>
      </c>
      <c r="J108" s="140">
        <v>1</v>
      </c>
    </row>
    <row r="109" spans="1:10" ht="13.5" customHeight="1">
      <c r="A109" s="140">
        <v>416231</v>
      </c>
      <c r="B109" s="142">
        <v>99998</v>
      </c>
      <c r="C109" s="140">
        <v>401705</v>
      </c>
      <c r="D109" s="140">
        <v>401705</v>
      </c>
      <c r="E109" s="143">
        <v>1</v>
      </c>
      <c r="F109" s="2">
        <v>1</v>
      </c>
      <c r="G109" s="2">
        <v>21001231</v>
      </c>
      <c r="H109" s="140">
        <v>1</v>
      </c>
      <c r="I109" s="140">
        <v>0</v>
      </c>
      <c r="J109" s="140">
        <v>1</v>
      </c>
    </row>
    <row r="110" spans="1:10" ht="13.5" customHeight="1">
      <c r="A110" s="140">
        <v>416232</v>
      </c>
      <c r="B110" s="142">
        <v>99998</v>
      </c>
      <c r="C110" s="140">
        <v>401705</v>
      </c>
      <c r="D110" s="140">
        <v>401705</v>
      </c>
      <c r="E110" s="143">
        <v>1</v>
      </c>
      <c r="F110" s="2">
        <v>1</v>
      </c>
      <c r="G110" s="2">
        <v>21001231</v>
      </c>
      <c r="H110" s="140">
        <v>1</v>
      </c>
      <c r="I110" s="140">
        <v>0</v>
      </c>
      <c r="J110" s="140">
        <v>1</v>
      </c>
    </row>
    <row r="111" spans="1:10" ht="13.5" customHeight="1">
      <c r="A111" s="140">
        <v>416233</v>
      </c>
      <c r="B111" s="142">
        <v>99998</v>
      </c>
      <c r="C111" s="140">
        <v>401705</v>
      </c>
      <c r="D111" s="140">
        <v>401705</v>
      </c>
      <c r="E111" s="143">
        <v>1</v>
      </c>
      <c r="F111" s="2">
        <v>1</v>
      </c>
      <c r="G111" s="2">
        <v>21001231</v>
      </c>
      <c r="H111" s="140">
        <v>1</v>
      </c>
      <c r="I111" s="140">
        <v>0</v>
      </c>
      <c r="J111" s="140">
        <v>1</v>
      </c>
    </row>
    <row r="112" spans="1:10" ht="13.5" customHeight="1">
      <c r="A112" s="140">
        <v>416234</v>
      </c>
      <c r="B112" s="142">
        <v>99998</v>
      </c>
      <c r="C112" s="140">
        <v>401705</v>
      </c>
      <c r="D112" s="140">
        <v>401705</v>
      </c>
      <c r="E112" s="143">
        <v>1</v>
      </c>
      <c r="F112" s="2">
        <v>1</v>
      </c>
      <c r="G112" s="2">
        <v>21001231</v>
      </c>
      <c r="H112" s="140">
        <v>1</v>
      </c>
      <c r="I112" s="140">
        <v>0</v>
      </c>
      <c r="J112" s="140">
        <v>1</v>
      </c>
    </row>
    <row r="113" spans="1:10" ht="13.5" customHeight="1">
      <c r="A113" s="140">
        <v>416235</v>
      </c>
      <c r="B113" s="142">
        <v>99998</v>
      </c>
      <c r="C113" s="140">
        <v>401705</v>
      </c>
      <c r="D113" s="140">
        <v>401705</v>
      </c>
      <c r="E113" s="143">
        <v>1</v>
      </c>
      <c r="F113" s="2">
        <v>1</v>
      </c>
      <c r="G113" s="2">
        <v>21001231</v>
      </c>
      <c r="H113" s="140">
        <v>1</v>
      </c>
      <c r="I113" s="140">
        <v>0</v>
      </c>
      <c r="J113" s="140">
        <v>1</v>
      </c>
    </row>
    <row r="114" spans="1:10" ht="13.5" customHeight="1">
      <c r="A114" s="140">
        <v>416236</v>
      </c>
      <c r="B114" s="142">
        <v>99998</v>
      </c>
      <c r="C114" s="140">
        <v>401705</v>
      </c>
      <c r="D114" s="140">
        <v>401705</v>
      </c>
      <c r="E114" s="143">
        <v>1</v>
      </c>
      <c r="F114" s="2">
        <v>1</v>
      </c>
      <c r="G114" s="2">
        <v>21001231</v>
      </c>
      <c r="H114" s="140">
        <v>1</v>
      </c>
      <c r="I114" s="140">
        <v>0</v>
      </c>
      <c r="J114" s="140">
        <v>1</v>
      </c>
    </row>
  </sheetData>
  <phoneticPr fontId="3"/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T231"/>
  <sheetViews>
    <sheetView zoomScale="80" zoomScaleNormal="80" workbookViewId="0">
      <pane xSplit="4" ySplit="12" topLeftCell="E85" activePane="bottomRight" state="frozen"/>
      <selection pane="topRight" activeCell="E1" sqref="E1"/>
      <selection pane="bottomLeft" activeCell="A13" sqref="A13"/>
      <selection pane="bottomRight" activeCell="J13" sqref="J13:J125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9" width="9" style="2" customWidth="1"/>
    <col min="10" max="19" width="9" style="4"/>
    <col min="20" max="20" width="10.44140625" style="4" bestFit="1" customWidth="1"/>
    <col min="21" max="16384" width="9" style="2"/>
  </cols>
  <sheetData>
    <row r="1" spans="1:20" s="16" customFormat="1">
      <c r="C1" s="19"/>
      <c r="D1" s="42"/>
      <c r="I1" s="2" t="s">
        <v>2035</v>
      </c>
      <c r="J1" s="144">
        <v>44926</v>
      </c>
      <c r="K1" s="144"/>
      <c r="L1" s="17"/>
      <c r="M1" s="17"/>
      <c r="N1" s="17"/>
      <c r="O1" s="17"/>
      <c r="P1" s="17"/>
      <c r="Q1" s="17"/>
      <c r="R1" s="17"/>
      <c r="S1" s="17"/>
      <c r="T1" s="17"/>
    </row>
    <row r="2" spans="1:20" s="16" customFormat="1">
      <c r="C2" s="19"/>
      <c r="D2" s="42"/>
      <c r="E2" s="32"/>
      <c r="F2" s="32"/>
      <c r="I2" s="2" t="s">
        <v>2036</v>
      </c>
      <c r="J2" s="144">
        <v>44791</v>
      </c>
      <c r="K2" s="144"/>
      <c r="L2" s="4">
        <v>791</v>
      </c>
      <c r="M2" s="2" t="e">
        <f ca="1">[1]!T担当者(L2)</f>
        <v>#NAME?</v>
      </c>
      <c r="N2" s="17"/>
      <c r="O2" s="17"/>
      <c r="P2" s="17"/>
      <c r="Q2" s="17"/>
      <c r="R2" s="17"/>
      <c r="S2" s="17"/>
      <c r="T2" s="17"/>
    </row>
    <row r="3" spans="1:20" s="16" customFormat="1">
      <c r="C3" s="19"/>
      <c r="D3" s="42"/>
      <c r="E3" s="32"/>
      <c r="F3" s="41"/>
      <c r="I3" s="2" t="s">
        <v>2247</v>
      </c>
      <c r="J3" s="144">
        <v>44792</v>
      </c>
      <c r="K3" s="144"/>
      <c r="L3" s="4">
        <v>791</v>
      </c>
      <c r="M3" s="2" t="e">
        <f ca="1">[1]!T担当者(L3)</f>
        <v>#NAME?</v>
      </c>
      <c r="N3" s="17"/>
      <c r="O3" s="17"/>
      <c r="P3" s="17"/>
      <c r="Q3" s="17"/>
      <c r="R3" s="17"/>
      <c r="S3" s="17"/>
      <c r="T3" s="17"/>
    </row>
    <row r="4" spans="1:20" s="16" customFormat="1">
      <c r="C4" s="19"/>
      <c r="E4" s="32"/>
      <c r="F4" s="32"/>
      <c r="I4" s="2" t="s">
        <v>2230</v>
      </c>
      <c r="J4" s="144">
        <v>44791</v>
      </c>
      <c r="K4" s="145"/>
      <c r="L4" s="4">
        <v>791</v>
      </c>
      <c r="M4" s="2" t="e">
        <f ca="1">[1]!T担当者(L4)</f>
        <v>#NAME?</v>
      </c>
      <c r="N4" s="17"/>
      <c r="O4" s="17"/>
      <c r="P4" s="17"/>
      <c r="Q4" s="17"/>
      <c r="R4" s="17"/>
    </row>
    <row r="5" spans="1:20" s="16" customFormat="1">
      <c r="C5" s="19"/>
      <c r="D5" s="16" t="s">
        <v>1442</v>
      </c>
      <c r="E5" s="32"/>
      <c r="F5" s="41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</row>
    <row r="6" spans="1:20" s="16" customFormat="1">
      <c r="C6" s="19"/>
      <c r="D6" s="18"/>
      <c r="E6" s="32"/>
      <c r="F6" s="41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</row>
    <row r="7" spans="1:20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2" t="s">
        <v>472</v>
      </c>
      <c r="M7" s="2" t="s">
        <v>472</v>
      </c>
      <c r="N7" s="2" t="s">
        <v>472</v>
      </c>
      <c r="O7" s="2" t="s">
        <v>472</v>
      </c>
      <c r="P7" s="2" t="s">
        <v>472</v>
      </c>
      <c r="Q7" s="2" t="s">
        <v>472</v>
      </c>
      <c r="R7" s="2" t="s">
        <v>472</v>
      </c>
      <c r="S7" s="2" t="s">
        <v>472</v>
      </c>
      <c r="T7" s="2" t="s">
        <v>472</v>
      </c>
    </row>
    <row r="8" spans="1:20">
      <c r="A8" s="117"/>
      <c r="B8" s="117"/>
      <c r="C8" s="2" t="s">
        <v>1999</v>
      </c>
      <c r="D8" s="117"/>
      <c r="E8" s="117"/>
      <c r="F8" s="117"/>
      <c r="G8" s="117"/>
      <c r="H8" s="2" t="s">
        <v>2002</v>
      </c>
      <c r="I8" s="2" t="s">
        <v>2002</v>
      </c>
      <c r="J8" s="2" t="s">
        <v>2002</v>
      </c>
      <c r="K8" s="2" t="s">
        <v>2002</v>
      </c>
      <c r="L8" s="2" t="s">
        <v>2002</v>
      </c>
      <c r="M8" s="2" t="s">
        <v>2002</v>
      </c>
      <c r="N8" s="2" t="s">
        <v>2002</v>
      </c>
      <c r="O8" s="117"/>
      <c r="P8" s="2" t="s">
        <v>2002</v>
      </c>
      <c r="Q8" s="117"/>
      <c r="R8" s="2" t="s">
        <v>2002</v>
      </c>
      <c r="S8" s="2" t="s">
        <v>2002</v>
      </c>
      <c r="T8" s="2" t="s">
        <v>2002</v>
      </c>
    </row>
    <row r="9" spans="1:20">
      <c r="D9" s="2" t="s">
        <v>1401</v>
      </c>
      <c r="G9" s="2" t="s">
        <v>1923</v>
      </c>
      <c r="H9" s="2" t="s">
        <v>1923</v>
      </c>
      <c r="I9" s="2" t="s">
        <v>1923</v>
      </c>
      <c r="J9" s="2" t="s">
        <v>1923</v>
      </c>
      <c r="K9" s="2" t="s">
        <v>1923</v>
      </c>
      <c r="L9" s="2" t="s">
        <v>1923</v>
      </c>
      <c r="M9" s="2" t="s">
        <v>1923</v>
      </c>
      <c r="N9" s="2" t="s">
        <v>1923</v>
      </c>
      <c r="O9" s="2" t="s">
        <v>1923</v>
      </c>
      <c r="P9" s="2" t="s">
        <v>1923</v>
      </c>
      <c r="Q9" s="2" t="s">
        <v>1923</v>
      </c>
      <c r="R9" s="2" t="s">
        <v>1923</v>
      </c>
      <c r="S9" s="2" t="s">
        <v>1923</v>
      </c>
      <c r="T9" s="2" t="s">
        <v>1923</v>
      </c>
    </row>
    <row r="10" spans="1:20" s="55" customFormat="1">
      <c r="C10" s="55" t="s">
        <v>1944</v>
      </c>
      <c r="G10" s="55" t="s">
        <v>1944</v>
      </c>
      <c r="H10" s="55" t="s">
        <v>1944</v>
      </c>
      <c r="I10" s="55" t="s">
        <v>1944</v>
      </c>
      <c r="J10" s="55" t="s">
        <v>1944</v>
      </c>
      <c r="K10" s="55" t="s">
        <v>1944</v>
      </c>
      <c r="L10" s="55" t="s">
        <v>1944</v>
      </c>
      <c r="M10" s="55" t="s">
        <v>1944</v>
      </c>
      <c r="N10" s="55" t="s">
        <v>1944</v>
      </c>
      <c r="O10" s="55" t="s">
        <v>1944</v>
      </c>
      <c r="P10" s="55" t="s">
        <v>1944</v>
      </c>
      <c r="Q10" s="55" t="s">
        <v>1944</v>
      </c>
      <c r="R10" s="55" t="s">
        <v>1944</v>
      </c>
      <c r="S10" s="55" t="s">
        <v>1944</v>
      </c>
      <c r="T10" s="55" t="s">
        <v>1944</v>
      </c>
    </row>
    <row r="11" spans="1:20" s="15" customFormat="1">
      <c r="A11" s="35"/>
      <c r="B11" s="35"/>
      <c r="C11" s="50" t="s">
        <v>1683</v>
      </c>
      <c r="D11" s="34"/>
      <c r="E11" s="34"/>
      <c r="F11" s="34"/>
      <c r="G11" s="35"/>
      <c r="H11" s="50" t="s">
        <v>1683</v>
      </c>
      <c r="I11" s="50" t="s">
        <v>1683</v>
      </c>
      <c r="J11" s="50" t="s">
        <v>1683</v>
      </c>
      <c r="K11" s="50" t="s">
        <v>1683</v>
      </c>
      <c r="L11" s="50" t="s">
        <v>1683</v>
      </c>
      <c r="M11" s="50" t="s">
        <v>1683</v>
      </c>
      <c r="N11" s="50" t="s">
        <v>1683</v>
      </c>
      <c r="O11" s="50" t="s">
        <v>1683</v>
      </c>
      <c r="P11" s="50" t="s">
        <v>1683</v>
      </c>
      <c r="Q11" s="50" t="s">
        <v>1683</v>
      </c>
      <c r="R11" s="50" t="s">
        <v>1683</v>
      </c>
      <c r="S11" s="50" t="s">
        <v>1683</v>
      </c>
      <c r="T11" s="50" t="s">
        <v>1683</v>
      </c>
    </row>
    <row r="12" spans="1:20" s="15" customFormat="1" ht="39.6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3" t="s">
        <v>2250</v>
      </c>
      <c r="H12" s="13" t="s">
        <v>2248</v>
      </c>
      <c r="I12" s="13" t="s">
        <v>2249</v>
      </c>
      <c r="J12" s="47" t="s">
        <v>2251</v>
      </c>
      <c r="K12" s="47" t="s">
        <v>2252</v>
      </c>
      <c r="L12" s="47" t="s">
        <v>2253</v>
      </c>
      <c r="M12" s="48" t="s">
        <v>2254</v>
      </c>
      <c r="N12" s="48" t="s">
        <v>2211</v>
      </c>
      <c r="O12" s="48" t="s">
        <v>1921</v>
      </c>
      <c r="P12" s="48" t="s">
        <v>2212</v>
      </c>
      <c r="Q12" s="48" t="s">
        <v>1922</v>
      </c>
      <c r="R12" s="48" t="s">
        <v>2213</v>
      </c>
      <c r="S12" s="48" t="s">
        <v>2214</v>
      </c>
      <c r="T12" s="48" t="s">
        <v>2003</v>
      </c>
    </row>
    <row r="13" spans="1:20" ht="13.5" customHeight="1">
      <c r="A13" s="7">
        <v>1</v>
      </c>
      <c r="B13" s="7"/>
      <c r="C13" s="7">
        <v>416237</v>
      </c>
      <c r="D13" s="7" t="s">
        <v>3512</v>
      </c>
      <c r="E13" s="7" t="s">
        <v>3801</v>
      </c>
      <c r="F13" s="7" t="s">
        <v>1682</v>
      </c>
      <c r="G13" s="7">
        <v>0</v>
      </c>
      <c r="H13" s="7">
        <v>3201</v>
      </c>
      <c r="I13" s="7">
        <v>0</v>
      </c>
      <c r="J13" s="7">
        <v>3700</v>
      </c>
      <c r="K13" s="7">
        <v>3700</v>
      </c>
      <c r="L13" s="7">
        <v>3700</v>
      </c>
      <c r="M13" s="7">
        <v>3201</v>
      </c>
      <c r="N13" s="8">
        <v>0</v>
      </c>
      <c r="O13" s="8">
        <v>3201</v>
      </c>
      <c r="P13" s="8">
        <v>0</v>
      </c>
      <c r="Q13" s="8">
        <v>3201</v>
      </c>
      <c r="R13" s="8">
        <v>3201</v>
      </c>
      <c r="S13" s="8">
        <v>3201</v>
      </c>
      <c r="T13" s="123">
        <v>45569</v>
      </c>
    </row>
    <row r="14" spans="1:20" ht="13.5" customHeight="1">
      <c r="A14" s="7">
        <v>2</v>
      </c>
      <c r="B14" s="7"/>
      <c r="C14" s="7">
        <v>416238</v>
      </c>
      <c r="D14" s="7" t="s">
        <v>3513</v>
      </c>
      <c r="E14" s="7" t="s">
        <v>3802</v>
      </c>
      <c r="F14" s="7" t="s">
        <v>1682</v>
      </c>
      <c r="G14" s="7">
        <v>0</v>
      </c>
      <c r="H14" s="7">
        <v>4746</v>
      </c>
      <c r="I14" s="7">
        <v>0</v>
      </c>
      <c r="J14" s="7">
        <v>5700</v>
      </c>
      <c r="K14" s="7">
        <v>5700</v>
      </c>
      <c r="L14" s="7">
        <v>5700</v>
      </c>
      <c r="M14" s="8">
        <v>4746</v>
      </c>
      <c r="N14" s="8">
        <v>0</v>
      </c>
      <c r="O14" s="8">
        <v>4746</v>
      </c>
      <c r="P14" s="8">
        <v>0</v>
      </c>
      <c r="Q14" s="8">
        <v>4746</v>
      </c>
      <c r="R14" s="8">
        <v>4746</v>
      </c>
      <c r="S14" s="8">
        <v>4746</v>
      </c>
      <c r="T14" s="123">
        <v>45569</v>
      </c>
    </row>
    <row r="15" spans="1:20" ht="13.5" customHeight="1">
      <c r="A15" s="7">
        <v>3</v>
      </c>
      <c r="B15" s="7"/>
      <c r="C15" s="7">
        <v>416239</v>
      </c>
      <c r="D15" s="7" t="s">
        <v>3514</v>
      </c>
      <c r="E15" s="7" t="s">
        <v>3803</v>
      </c>
      <c r="F15" s="7" t="s">
        <v>1682</v>
      </c>
      <c r="G15" s="7">
        <v>0</v>
      </c>
      <c r="H15" s="7">
        <v>3168</v>
      </c>
      <c r="I15" s="7">
        <v>0</v>
      </c>
      <c r="J15" s="7">
        <v>3700</v>
      </c>
      <c r="K15" s="7">
        <v>3700</v>
      </c>
      <c r="L15" s="7">
        <v>3700</v>
      </c>
      <c r="M15" s="8">
        <v>3168</v>
      </c>
      <c r="N15" s="8">
        <v>0</v>
      </c>
      <c r="O15" s="8">
        <v>3168</v>
      </c>
      <c r="P15" s="8">
        <v>0</v>
      </c>
      <c r="Q15" s="8">
        <v>3168</v>
      </c>
      <c r="R15" s="8">
        <v>3168</v>
      </c>
      <c r="S15" s="8">
        <v>3168</v>
      </c>
      <c r="T15" s="123">
        <v>45569</v>
      </c>
    </row>
    <row r="16" spans="1:20" ht="13.5" customHeight="1">
      <c r="A16" s="7">
        <v>4</v>
      </c>
      <c r="B16" s="7"/>
      <c r="C16" s="7">
        <v>416240</v>
      </c>
      <c r="D16" s="7" t="s">
        <v>3515</v>
      </c>
      <c r="E16" s="7" t="s">
        <v>3804</v>
      </c>
      <c r="F16" s="7" t="s">
        <v>1682</v>
      </c>
      <c r="G16" s="7">
        <v>0</v>
      </c>
      <c r="H16" s="7">
        <v>4507</v>
      </c>
      <c r="I16" s="7">
        <v>0</v>
      </c>
      <c r="J16" s="7">
        <v>5200</v>
      </c>
      <c r="K16" s="7">
        <v>5200</v>
      </c>
      <c r="L16" s="7">
        <v>5200</v>
      </c>
      <c r="M16" s="8">
        <v>4507</v>
      </c>
      <c r="N16" s="8">
        <v>0</v>
      </c>
      <c r="O16" s="8">
        <v>4507</v>
      </c>
      <c r="P16" s="8">
        <v>0</v>
      </c>
      <c r="Q16" s="8">
        <v>4507</v>
      </c>
      <c r="R16" s="8">
        <v>4507</v>
      </c>
      <c r="S16" s="8">
        <v>4507</v>
      </c>
      <c r="T16" s="123">
        <v>45569</v>
      </c>
    </row>
    <row r="17" spans="1:20" ht="13.5" customHeight="1">
      <c r="A17" s="7">
        <v>5</v>
      </c>
      <c r="B17" s="7"/>
      <c r="C17" s="7">
        <v>416103</v>
      </c>
      <c r="D17" s="7" t="s">
        <v>3945</v>
      </c>
      <c r="E17" s="7" t="s">
        <v>3805</v>
      </c>
      <c r="F17" s="7" t="s">
        <v>1682</v>
      </c>
      <c r="G17" s="7">
        <v>0</v>
      </c>
      <c r="H17" s="7">
        <v>3342</v>
      </c>
      <c r="I17" s="7">
        <v>0</v>
      </c>
      <c r="J17" s="7">
        <v>4000</v>
      </c>
      <c r="K17" s="7">
        <v>4000</v>
      </c>
      <c r="L17" s="7">
        <v>4000</v>
      </c>
      <c r="M17" s="8">
        <v>3342</v>
      </c>
      <c r="N17" s="8">
        <v>0</v>
      </c>
      <c r="O17" s="8">
        <v>3342</v>
      </c>
      <c r="P17" s="8">
        <v>0</v>
      </c>
      <c r="Q17" s="8">
        <v>3342</v>
      </c>
      <c r="R17" s="8">
        <v>3342</v>
      </c>
      <c r="S17" s="8">
        <v>3342</v>
      </c>
      <c r="T17" s="123">
        <v>45569</v>
      </c>
    </row>
    <row r="18" spans="1:20" ht="13.5" customHeight="1">
      <c r="A18" s="7">
        <v>6</v>
      </c>
      <c r="B18" s="7"/>
      <c r="C18" s="7">
        <v>416104</v>
      </c>
      <c r="D18" s="7" t="s">
        <v>3516</v>
      </c>
      <c r="E18" s="7"/>
      <c r="F18" s="7" t="s">
        <v>1682</v>
      </c>
      <c r="G18" s="7">
        <v>0</v>
      </c>
      <c r="H18" s="7">
        <v>4144</v>
      </c>
      <c r="I18" s="7">
        <v>0</v>
      </c>
      <c r="J18" s="7">
        <v>5000</v>
      </c>
      <c r="K18" s="7">
        <v>5000</v>
      </c>
      <c r="L18" s="7">
        <v>5000</v>
      </c>
      <c r="M18" s="8">
        <v>4144</v>
      </c>
      <c r="N18" s="8">
        <v>0</v>
      </c>
      <c r="O18" s="8">
        <v>4144</v>
      </c>
      <c r="P18" s="8">
        <v>0</v>
      </c>
      <c r="Q18" s="8">
        <v>4144</v>
      </c>
      <c r="R18" s="8">
        <v>4144</v>
      </c>
      <c r="S18" s="8">
        <v>4144</v>
      </c>
      <c r="T18" s="123">
        <v>45569</v>
      </c>
    </row>
    <row r="19" spans="1:20" ht="13.5" customHeight="1">
      <c r="A19" s="7">
        <v>7</v>
      </c>
      <c r="B19" s="7"/>
      <c r="C19" s="7">
        <v>416105</v>
      </c>
      <c r="D19" s="7" t="s">
        <v>3517</v>
      </c>
      <c r="E19" s="7" t="s">
        <v>3806</v>
      </c>
      <c r="F19" s="7" t="s">
        <v>1682</v>
      </c>
      <c r="G19" s="7">
        <v>0</v>
      </c>
      <c r="H19" s="7">
        <v>4144</v>
      </c>
      <c r="I19" s="7">
        <v>0</v>
      </c>
      <c r="J19" s="7">
        <v>5000</v>
      </c>
      <c r="K19" s="7">
        <v>5000</v>
      </c>
      <c r="L19" s="7">
        <v>5000</v>
      </c>
      <c r="M19" s="8">
        <v>4144</v>
      </c>
      <c r="N19" s="8">
        <v>0</v>
      </c>
      <c r="O19" s="8">
        <v>4144</v>
      </c>
      <c r="P19" s="8">
        <v>0</v>
      </c>
      <c r="Q19" s="8">
        <v>4144</v>
      </c>
      <c r="R19" s="8">
        <v>4144</v>
      </c>
      <c r="S19" s="8">
        <v>4144</v>
      </c>
      <c r="T19" s="123">
        <v>45569</v>
      </c>
    </row>
    <row r="20" spans="1:20" ht="13.5" customHeight="1">
      <c r="A20" s="7">
        <v>8</v>
      </c>
      <c r="B20" s="7"/>
      <c r="C20" s="7">
        <v>416106</v>
      </c>
      <c r="D20" s="7" t="s">
        <v>3518</v>
      </c>
      <c r="E20" s="7"/>
      <c r="F20" s="7" t="s">
        <v>1682</v>
      </c>
      <c r="G20" s="7">
        <v>0</v>
      </c>
      <c r="H20" s="7">
        <v>4144</v>
      </c>
      <c r="I20" s="7">
        <v>0</v>
      </c>
      <c r="J20" s="7">
        <v>5000</v>
      </c>
      <c r="K20" s="7">
        <v>5000</v>
      </c>
      <c r="L20" s="7">
        <v>5000</v>
      </c>
      <c r="M20" s="8">
        <v>4144</v>
      </c>
      <c r="N20" s="8">
        <v>0</v>
      </c>
      <c r="O20" s="8">
        <v>4144</v>
      </c>
      <c r="P20" s="8">
        <v>0</v>
      </c>
      <c r="Q20" s="8">
        <v>4144</v>
      </c>
      <c r="R20" s="8">
        <v>4144</v>
      </c>
      <c r="S20" s="8">
        <v>4144</v>
      </c>
      <c r="T20" s="123">
        <v>45569</v>
      </c>
    </row>
    <row r="21" spans="1:20" ht="13.5" customHeight="1">
      <c r="A21" s="7">
        <v>9</v>
      </c>
      <c r="B21" s="7"/>
      <c r="C21" s="7">
        <v>416107</v>
      </c>
      <c r="D21" s="7" t="s">
        <v>3519</v>
      </c>
      <c r="E21" s="7" t="s">
        <v>3807</v>
      </c>
      <c r="F21" s="7" t="s">
        <v>1682</v>
      </c>
      <c r="G21" s="7">
        <v>0</v>
      </c>
      <c r="H21" s="7">
        <v>3068</v>
      </c>
      <c r="I21" s="7">
        <v>0</v>
      </c>
      <c r="J21" s="7">
        <v>3700</v>
      </c>
      <c r="K21" s="7">
        <v>3700</v>
      </c>
      <c r="L21" s="7">
        <v>3700</v>
      </c>
      <c r="M21" s="8">
        <v>3068</v>
      </c>
      <c r="N21" s="8">
        <v>0</v>
      </c>
      <c r="O21" s="8">
        <v>3068</v>
      </c>
      <c r="P21" s="8">
        <v>0</v>
      </c>
      <c r="Q21" s="8">
        <v>3068</v>
      </c>
      <c r="R21" s="8">
        <v>3068</v>
      </c>
      <c r="S21" s="8">
        <v>3068</v>
      </c>
      <c r="T21" s="123">
        <v>45569</v>
      </c>
    </row>
    <row r="22" spans="1:20" ht="13.5" customHeight="1">
      <c r="A22" s="7">
        <v>10</v>
      </c>
      <c r="B22" s="7"/>
      <c r="C22" s="7">
        <v>416108</v>
      </c>
      <c r="D22" s="7" t="s">
        <v>3520</v>
      </c>
      <c r="E22" s="7" t="s">
        <v>3808</v>
      </c>
      <c r="F22" s="7" t="s">
        <v>1682</v>
      </c>
      <c r="G22" s="7">
        <v>0</v>
      </c>
      <c r="H22" s="7">
        <v>3068</v>
      </c>
      <c r="I22" s="7">
        <v>0</v>
      </c>
      <c r="J22" s="7">
        <v>3700</v>
      </c>
      <c r="K22" s="7">
        <v>3700</v>
      </c>
      <c r="L22" s="7">
        <v>3700</v>
      </c>
      <c r="M22" s="8">
        <v>3068</v>
      </c>
      <c r="N22" s="8">
        <v>0</v>
      </c>
      <c r="O22" s="8">
        <v>3068</v>
      </c>
      <c r="P22" s="8">
        <v>0</v>
      </c>
      <c r="Q22" s="8">
        <v>3068</v>
      </c>
      <c r="R22" s="8">
        <v>3068</v>
      </c>
      <c r="S22" s="8">
        <v>3068</v>
      </c>
      <c r="T22" s="123">
        <v>45569</v>
      </c>
    </row>
    <row r="23" spans="1:20" ht="13.5" customHeight="1">
      <c r="A23" s="7">
        <v>11</v>
      </c>
      <c r="B23" s="7"/>
      <c r="C23" s="7">
        <v>416109</v>
      </c>
      <c r="D23" s="7" t="s">
        <v>3946</v>
      </c>
      <c r="E23" s="7" t="s">
        <v>3809</v>
      </c>
      <c r="F23" s="7" t="s">
        <v>1682</v>
      </c>
      <c r="G23" s="7">
        <v>0</v>
      </c>
      <c r="H23" s="7">
        <v>3068</v>
      </c>
      <c r="I23" s="7">
        <v>0</v>
      </c>
      <c r="J23" s="7">
        <v>3700</v>
      </c>
      <c r="K23" s="7">
        <v>3700</v>
      </c>
      <c r="L23" s="7">
        <v>3700</v>
      </c>
      <c r="M23" s="8">
        <v>3068</v>
      </c>
      <c r="N23" s="8">
        <v>0</v>
      </c>
      <c r="O23" s="8">
        <v>3068</v>
      </c>
      <c r="P23" s="8">
        <v>0</v>
      </c>
      <c r="Q23" s="8">
        <v>3068</v>
      </c>
      <c r="R23" s="8">
        <v>3068</v>
      </c>
      <c r="S23" s="8">
        <v>3068</v>
      </c>
      <c r="T23" s="123">
        <v>45569</v>
      </c>
    </row>
    <row r="24" spans="1:20" ht="13.5" customHeight="1">
      <c r="A24" s="7">
        <v>12</v>
      </c>
      <c r="B24" s="7"/>
      <c r="C24" s="7">
        <v>416110</v>
      </c>
      <c r="D24" s="7" t="s">
        <v>3521</v>
      </c>
      <c r="E24" s="7" t="s">
        <v>3810</v>
      </c>
      <c r="F24" s="7" t="s">
        <v>1682</v>
      </c>
      <c r="G24" s="7">
        <v>0</v>
      </c>
      <c r="H24" s="7">
        <v>2877</v>
      </c>
      <c r="I24" s="7">
        <v>0</v>
      </c>
      <c r="J24" s="7">
        <v>3300</v>
      </c>
      <c r="K24" s="7">
        <v>3300</v>
      </c>
      <c r="L24" s="7">
        <v>3300</v>
      </c>
      <c r="M24" s="8">
        <v>2877</v>
      </c>
      <c r="N24" s="8">
        <v>0</v>
      </c>
      <c r="O24" s="8">
        <v>2877</v>
      </c>
      <c r="P24" s="8">
        <v>0</v>
      </c>
      <c r="Q24" s="8">
        <v>2877</v>
      </c>
      <c r="R24" s="8">
        <v>2877</v>
      </c>
      <c r="S24" s="8">
        <v>2877</v>
      </c>
      <c r="T24" s="123">
        <v>45569</v>
      </c>
    </row>
    <row r="25" spans="1:20" ht="13.5" customHeight="1">
      <c r="A25" s="7">
        <v>13</v>
      </c>
      <c r="B25" s="7"/>
      <c r="C25" s="7">
        <v>416111</v>
      </c>
      <c r="D25" s="7" t="s">
        <v>3947</v>
      </c>
      <c r="E25" s="7" t="s">
        <v>3811</v>
      </c>
      <c r="F25" s="7" t="s">
        <v>1682</v>
      </c>
      <c r="G25" s="7">
        <v>0</v>
      </c>
      <c r="H25" s="7">
        <v>2551</v>
      </c>
      <c r="I25" s="7">
        <v>0</v>
      </c>
      <c r="J25" s="7">
        <v>3200</v>
      </c>
      <c r="K25" s="7">
        <v>3200</v>
      </c>
      <c r="L25" s="7">
        <v>3200</v>
      </c>
      <c r="M25" s="8">
        <v>2551</v>
      </c>
      <c r="N25" s="8">
        <v>0</v>
      </c>
      <c r="O25" s="8">
        <v>2551</v>
      </c>
      <c r="P25" s="8">
        <v>0</v>
      </c>
      <c r="Q25" s="8">
        <v>2551</v>
      </c>
      <c r="R25" s="8">
        <v>2551</v>
      </c>
      <c r="S25" s="8">
        <v>2551</v>
      </c>
      <c r="T25" s="123">
        <v>45569</v>
      </c>
    </row>
    <row r="26" spans="1:20" ht="13.5" customHeight="1">
      <c r="A26" s="7">
        <v>14</v>
      </c>
      <c r="B26" s="7"/>
      <c r="C26" s="7">
        <v>416112</v>
      </c>
      <c r="D26" s="7" t="s">
        <v>3522</v>
      </c>
      <c r="E26" s="7" t="s">
        <v>3812</v>
      </c>
      <c r="F26" s="7" t="s">
        <v>1682</v>
      </c>
      <c r="G26" s="7">
        <v>0</v>
      </c>
      <c r="H26" s="7">
        <v>4900</v>
      </c>
      <c r="I26" s="7">
        <v>0</v>
      </c>
      <c r="J26" s="7">
        <v>6000</v>
      </c>
      <c r="K26" s="7">
        <v>6000</v>
      </c>
      <c r="L26" s="7">
        <v>6000</v>
      </c>
      <c r="M26" s="8">
        <v>4900</v>
      </c>
      <c r="N26" s="8">
        <v>0</v>
      </c>
      <c r="O26" s="8">
        <v>4900</v>
      </c>
      <c r="P26" s="8">
        <v>0</v>
      </c>
      <c r="Q26" s="8">
        <v>4900</v>
      </c>
      <c r="R26" s="8">
        <v>4900</v>
      </c>
      <c r="S26" s="8">
        <v>4900</v>
      </c>
      <c r="T26" s="123">
        <v>45569</v>
      </c>
    </row>
    <row r="27" spans="1:20" ht="13.5" customHeight="1">
      <c r="A27" s="7">
        <v>15</v>
      </c>
      <c r="B27" s="7"/>
      <c r="C27" s="7">
        <v>416113</v>
      </c>
      <c r="D27" s="7" t="s">
        <v>3523</v>
      </c>
      <c r="E27" s="7" t="s">
        <v>3813</v>
      </c>
      <c r="F27" s="7" t="s">
        <v>1682</v>
      </c>
      <c r="G27" s="7">
        <v>0</v>
      </c>
      <c r="H27" s="7">
        <v>4193</v>
      </c>
      <c r="I27" s="7">
        <v>0</v>
      </c>
      <c r="J27" s="7">
        <v>4800</v>
      </c>
      <c r="K27" s="7">
        <v>4800</v>
      </c>
      <c r="L27" s="7">
        <v>4800</v>
      </c>
      <c r="M27" s="8">
        <v>4193</v>
      </c>
      <c r="N27" s="8">
        <v>0</v>
      </c>
      <c r="O27" s="8">
        <v>4193</v>
      </c>
      <c r="P27" s="8">
        <v>0</v>
      </c>
      <c r="Q27" s="8">
        <v>4193</v>
      </c>
      <c r="R27" s="8">
        <v>4193</v>
      </c>
      <c r="S27" s="8">
        <v>4193</v>
      </c>
      <c r="T27" s="123">
        <v>45569</v>
      </c>
    </row>
    <row r="28" spans="1:20" ht="13.5" customHeight="1">
      <c r="A28" s="7">
        <v>16</v>
      </c>
      <c r="B28" s="7"/>
      <c r="C28" s="7">
        <v>416114</v>
      </c>
      <c r="D28" s="7" t="s">
        <v>3524</v>
      </c>
      <c r="E28" s="7"/>
      <c r="F28" s="7" t="s">
        <v>1682</v>
      </c>
      <c r="G28" s="7">
        <v>0</v>
      </c>
      <c r="H28" s="7">
        <v>3193</v>
      </c>
      <c r="I28" s="7">
        <v>0</v>
      </c>
      <c r="J28" s="7">
        <v>3700</v>
      </c>
      <c r="K28" s="7">
        <v>3700</v>
      </c>
      <c r="L28" s="7">
        <v>3700</v>
      </c>
      <c r="M28" s="8">
        <v>3193</v>
      </c>
      <c r="N28" s="8">
        <v>0</v>
      </c>
      <c r="O28" s="8">
        <v>3193</v>
      </c>
      <c r="P28" s="8">
        <v>0</v>
      </c>
      <c r="Q28" s="8">
        <v>3193</v>
      </c>
      <c r="R28" s="8">
        <v>3193</v>
      </c>
      <c r="S28" s="8">
        <v>3193</v>
      </c>
      <c r="T28" s="123">
        <v>45569</v>
      </c>
    </row>
    <row r="29" spans="1:20" ht="13.5" customHeight="1">
      <c r="A29" s="7">
        <v>17</v>
      </c>
      <c r="B29" s="7"/>
      <c r="C29" s="7">
        <v>416115</v>
      </c>
      <c r="D29" s="7" t="s">
        <v>3525</v>
      </c>
      <c r="E29" s="7" t="s">
        <v>3814</v>
      </c>
      <c r="F29" s="7" t="s">
        <v>1682</v>
      </c>
      <c r="G29" s="7">
        <v>0</v>
      </c>
      <c r="H29" s="7">
        <v>3519</v>
      </c>
      <c r="I29" s="7">
        <v>0</v>
      </c>
      <c r="J29" s="7">
        <v>3900</v>
      </c>
      <c r="K29" s="7">
        <v>3900</v>
      </c>
      <c r="L29" s="7">
        <v>3900</v>
      </c>
      <c r="M29" s="8">
        <v>3519</v>
      </c>
      <c r="N29" s="8">
        <v>0</v>
      </c>
      <c r="O29" s="8">
        <v>3519</v>
      </c>
      <c r="P29" s="8">
        <v>0</v>
      </c>
      <c r="Q29" s="8">
        <v>3519</v>
      </c>
      <c r="R29" s="8">
        <v>3519</v>
      </c>
      <c r="S29" s="8">
        <v>3519</v>
      </c>
      <c r="T29" s="123">
        <v>45569</v>
      </c>
    </row>
    <row r="30" spans="1:20" ht="13.5" customHeight="1">
      <c r="A30" s="7">
        <v>18</v>
      </c>
      <c r="B30" s="7"/>
      <c r="C30" s="7">
        <v>416116</v>
      </c>
      <c r="D30" s="7" t="s">
        <v>3526</v>
      </c>
      <c r="E30" s="7" t="s">
        <v>3815</v>
      </c>
      <c r="F30" s="7" t="s">
        <v>1682</v>
      </c>
      <c r="G30" s="7">
        <v>0</v>
      </c>
      <c r="H30" s="7">
        <v>3198</v>
      </c>
      <c r="I30" s="7">
        <v>0</v>
      </c>
      <c r="J30" s="7">
        <v>3800</v>
      </c>
      <c r="K30" s="7">
        <v>3800</v>
      </c>
      <c r="L30" s="7">
        <v>3800</v>
      </c>
      <c r="M30" s="8">
        <v>3198</v>
      </c>
      <c r="N30" s="8">
        <v>0</v>
      </c>
      <c r="O30" s="8">
        <v>3198</v>
      </c>
      <c r="P30" s="8">
        <v>0</v>
      </c>
      <c r="Q30" s="8">
        <v>3198</v>
      </c>
      <c r="R30" s="8">
        <v>3198</v>
      </c>
      <c r="S30" s="8">
        <v>3198</v>
      </c>
      <c r="T30" s="123">
        <v>45569</v>
      </c>
    </row>
    <row r="31" spans="1:20" ht="13.5" customHeight="1">
      <c r="A31" s="7">
        <v>19</v>
      </c>
      <c r="B31" s="7"/>
      <c r="C31" s="7">
        <v>416117</v>
      </c>
      <c r="D31" s="7" t="s">
        <v>3527</v>
      </c>
      <c r="E31" s="7">
        <v>49701</v>
      </c>
      <c r="F31" s="7" t="s">
        <v>1682</v>
      </c>
      <c r="G31" s="7">
        <v>0</v>
      </c>
      <c r="H31" s="7">
        <v>4216</v>
      </c>
      <c r="I31" s="7">
        <v>0</v>
      </c>
      <c r="J31" s="7">
        <v>5000</v>
      </c>
      <c r="K31" s="7">
        <v>5000</v>
      </c>
      <c r="L31" s="7">
        <v>5000</v>
      </c>
      <c r="M31" s="8">
        <v>4216</v>
      </c>
      <c r="N31" s="8">
        <v>0</v>
      </c>
      <c r="O31" s="8">
        <v>4216</v>
      </c>
      <c r="P31" s="8">
        <v>0</v>
      </c>
      <c r="Q31" s="8">
        <v>4216</v>
      </c>
      <c r="R31" s="8">
        <v>4216</v>
      </c>
      <c r="S31" s="8">
        <v>4216</v>
      </c>
      <c r="T31" s="123">
        <v>45569</v>
      </c>
    </row>
    <row r="32" spans="1:20" ht="13.5" customHeight="1">
      <c r="A32" s="7">
        <v>20</v>
      </c>
      <c r="B32" s="7"/>
      <c r="C32" s="7">
        <v>416118</v>
      </c>
      <c r="D32" s="7" t="s">
        <v>3948</v>
      </c>
      <c r="E32" s="7" t="s">
        <v>3816</v>
      </c>
      <c r="F32" s="7" t="s">
        <v>1682</v>
      </c>
      <c r="G32" s="7">
        <v>0</v>
      </c>
      <c r="H32" s="7">
        <v>4949</v>
      </c>
      <c r="I32" s="7">
        <v>0</v>
      </c>
      <c r="J32" s="7">
        <v>5800</v>
      </c>
      <c r="K32" s="7">
        <v>5800</v>
      </c>
      <c r="L32" s="7">
        <v>5800</v>
      </c>
      <c r="M32" s="8">
        <v>4949</v>
      </c>
      <c r="N32" s="8">
        <v>0</v>
      </c>
      <c r="O32" s="8">
        <v>4949</v>
      </c>
      <c r="P32" s="8">
        <v>0</v>
      </c>
      <c r="Q32" s="8">
        <v>4949</v>
      </c>
      <c r="R32" s="8">
        <v>4949</v>
      </c>
      <c r="S32" s="8">
        <v>4949</v>
      </c>
      <c r="T32" s="123">
        <v>45569</v>
      </c>
    </row>
    <row r="33" spans="1:20" ht="13.5" customHeight="1">
      <c r="A33" s="7">
        <v>21</v>
      </c>
      <c r="B33" s="7"/>
      <c r="C33" s="7">
        <v>416119</v>
      </c>
      <c r="D33" s="7" t="s">
        <v>3528</v>
      </c>
      <c r="E33" s="7">
        <v>430199</v>
      </c>
      <c r="F33" s="7" t="s">
        <v>1682</v>
      </c>
      <c r="G33" s="7">
        <v>0</v>
      </c>
      <c r="H33" s="7">
        <v>4314</v>
      </c>
      <c r="I33" s="7">
        <v>0</v>
      </c>
      <c r="J33" s="7">
        <v>5000</v>
      </c>
      <c r="K33" s="7">
        <v>5000</v>
      </c>
      <c r="L33" s="7">
        <v>5000</v>
      </c>
      <c r="M33" s="8">
        <v>4314</v>
      </c>
      <c r="N33" s="8">
        <v>0</v>
      </c>
      <c r="O33" s="8">
        <v>4314</v>
      </c>
      <c r="P33" s="8">
        <v>0</v>
      </c>
      <c r="Q33" s="8">
        <v>4314</v>
      </c>
      <c r="R33" s="8">
        <v>4314</v>
      </c>
      <c r="S33" s="8">
        <v>4314</v>
      </c>
      <c r="T33" s="123">
        <v>45569</v>
      </c>
    </row>
    <row r="34" spans="1:20" ht="13.5" customHeight="1">
      <c r="A34" s="7">
        <v>22</v>
      </c>
      <c r="B34" s="7"/>
      <c r="C34" s="7">
        <v>416145</v>
      </c>
      <c r="D34" s="7" t="s">
        <v>3529</v>
      </c>
      <c r="E34" s="7"/>
      <c r="F34" s="7" t="s">
        <v>1682</v>
      </c>
      <c r="G34" s="7">
        <v>0</v>
      </c>
      <c r="H34" s="7">
        <v>3094</v>
      </c>
      <c r="I34" s="7">
        <v>0</v>
      </c>
      <c r="J34" s="7">
        <v>3500</v>
      </c>
      <c r="K34" s="7">
        <v>3500</v>
      </c>
      <c r="L34" s="7">
        <v>3500</v>
      </c>
      <c r="M34" s="8">
        <v>3094</v>
      </c>
      <c r="N34" s="8">
        <v>0</v>
      </c>
      <c r="O34" s="8">
        <v>3094</v>
      </c>
      <c r="P34" s="8">
        <v>0</v>
      </c>
      <c r="Q34" s="8">
        <v>3094</v>
      </c>
      <c r="R34" s="8">
        <v>3094</v>
      </c>
      <c r="S34" s="8">
        <v>3094</v>
      </c>
      <c r="T34" s="123">
        <v>45569</v>
      </c>
    </row>
    <row r="35" spans="1:20" ht="13.5" customHeight="1">
      <c r="A35" s="7">
        <v>23</v>
      </c>
      <c r="B35" s="7"/>
      <c r="C35" s="7">
        <v>416146</v>
      </c>
      <c r="D35" s="7" t="s">
        <v>3530</v>
      </c>
      <c r="E35" s="7"/>
      <c r="F35" s="7" t="s">
        <v>1682</v>
      </c>
      <c r="G35" s="7">
        <v>0</v>
      </c>
      <c r="H35" s="7">
        <v>5811</v>
      </c>
      <c r="I35" s="7">
        <v>0</v>
      </c>
      <c r="J35" s="7">
        <v>7000</v>
      </c>
      <c r="K35" s="7">
        <v>7000</v>
      </c>
      <c r="L35" s="7">
        <v>7000</v>
      </c>
      <c r="M35" s="8">
        <v>5811</v>
      </c>
      <c r="N35" s="8">
        <v>0</v>
      </c>
      <c r="O35" s="8">
        <v>5811</v>
      </c>
      <c r="P35" s="8">
        <v>0</v>
      </c>
      <c r="Q35" s="8">
        <v>5811</v>
      </c>
      <c r="R35" s="8">
        <v>5811</v>
      </c>
      <c r="S35" s="8">
        <v>5811</v>
      </c>
      <c r="T35" s="123">
        <v>45569</v>
      </c>
    </row>
    <row r="36" spans="1:20" ht="13.5" customHeight="1">
      <c r="A36" s="7">
        <v>24</v>
      </c>
      <c r="B36" s="7"/>
      <c r="C36" s="7">
        <v>416147</v>
      </c>
      <c r="D36" s="7" t="s">
        <v>3531</v>
      </c>
      <c r="E36" s="7" t="s">
        <v>3817</v>
      </c>
      <c r="F36" s="7" t="s">
        <v>1682</v>
      </c>
      <c r="G36" s="7">
        <v>0</v>
      </c>
      <c r="H36" s="7">
        <v>5687</v>
      </c>
      <c r="I36" s="7">
        <v>0</v>
      </c>
      <c r="J36" s="7">
        <v>6600</v>
      </c>
      <c r="K36" s="7">
        <v>6600</v>
      </c>
      <c r="L36" s="7">
        <v>6600</v>
      </c>
      <c r="M36" s="8">
        <v>5687</v>
      </c>
      <c r="N36" s="8">
        <v>0</v>
      </c>
      <c r="O36" s="8">
        <v>5687</v>
      </c>
      <c r="P36" s="8">
        <v>0</v>
      </c>
      <c r="Q36" s="8">
        <v>5687</v>
      </c>
      <c r="R36" s="8">
        <v>5687</v>
      </c>
      <c r="S36" s="8">
        <v>5687</v>
      </c>
      <c r="T36" s="123">
        <v>45569</v>
      </c>
    </row>
    <row r="37" spans="1:20" ht="13.5" customHeight="1">
      <c r="A37" s="7">
        <v>25</v>
      </c>
      <c r="B37" s="7"/>
      <c r="C37" s="7">
        <v>416148</v>
      </c>
      <c r="D37" s="7" t="s">
        <v>3532</v>
      </c>
      <c r="E37" s="7" t="s">
        <v>3818</v>
      </c>
      <c r="F37" s="7" t="s">
        <v>1682</v>
      </c>
      <c r="G37" s="7">
        <v>0</v>
      </c>
      <c r="H37" s="7">
        <v>3680</v>
      </c>
      <c r="I37" s="7">
        <v>0</v>
      </c>
      <c r="J37" s="7">
        <v>4400</v>
      </c>
      <c r="K37" s="7">
        <v>4400</v>
      </c>
      <c r="L37" s="7">
        <v>4400</v>
      </c>
      <c r="M37" s="8">
        <v>3680</v>
      </c>
      <c r="N37" s="8">
        <v>0</v>
      </c>
      <c r="O37" s="8">
        <v>3680</v>
      </c>
      <c r="P37" s="8">
        <v>0</v>
      </c>
      <c r="Q37" s="8">
        <v>3680</v>
      </c>
      <c r="R37" s="8">
        <v>3680</v>
      </c>
      <c r="S37" s="8">
        <v>3680</v>
      </c>
      <c r="T37" s="123">
        <v>45569</v>
      </c>
    </row>
    <row r="38" spans="1:20" ht="13.5" customHeight="1">
      <c r="A38" s="7">
        <v>26</v>
      </c>
      <c r="B38" s="7"/>
      <c r="C38" s="7">
        <v>416149</v>
      </c>
      <c r="D38" s="7" t="s">
        <v>3533</v>
      </c>
      <c r="E38" s="7" t="s">
        <v>3819</v>
      </c>
      <c r="F38" s="7" t="s">
        <v>1682</v>
      </c>
      <c r="G38" s="7">
        <v>0</v>
      </c>
      <c r="H38" s="7">
        <v>4640</v>
      </c>
      <c r="I38" s="7">
        <v>0</v>
      </c>
      <c r="J38" s="7">
        <v>5400</v>
      </c>
      <c r="K38" s="7">
        <v>5400</v>
      </c>
      <c r="L38" s="7">
        <v>5400</v>
      </c>
      <c r="M38" s="8">
        <v>4640</v>
      </c>
      <c r="N38" s="8">
        <v>0</v>
      </c>
      <c r="O38" s="8">
        <v>4640</v>
      </c>
      <c r="P38" s="8">
        <v>0</v>
      </c>
      <c r="Q38" s="8">
        <v>4640</v>
      </c>
      <c r="R38" s="8">
        <v>4640</v>
      </c>
      <c r="S38" s="8">
        <v>4640</v>
      </c>
      <c r="T38" s="123">
        <v>45569</v>
      </c>
    </row>
    <row r="39" spans="1:20" ht="13.5" customHeight="1">
      <c r="A39" s="7">
        <v>27</v>
      </c>
      <c r="B39" s="7"/>
      <c r="C39" s="7">
        <v>416150</v>
      </c>
      <c r="D39" s="7" t="s">
        <v>3534</v>
      </c>
      <c r="E39" s="7" t="s">
        <v>3820</v>
      </c>
      <c r="F39" s="7" t="s">
        <v>1682</v>
      </c>
      <c r="G39" s="7">
        <v>0</v>
      </c>
      <c r="H39" s="7">
        <v>4533</v>
      </c>
      <c r="I39" s="7">
        <v>0</v>
      </c>
      <c r="J39" s="7">
        <v>5000</v>
      </c>
      <c r="K39" s="7">
        <v>5000</v>
      </c>
      <c r="L39" s="7">
        <v>5000</v>
      </c>
      <c r="M39" s="8">
        <v>4533</v>
      </c>
      <c r="N39" s="8">
        <v>0</v>
      </c>
      <c r="O39" s="8">
        <v>4533</v>
      </c>
      <c r="P39" s="8">
        <v>0</v>
      </c>
      <c r="Q39" s="8">
        <v>4533</v>
      </c>
      <c r="R39" s="8">
        <v>4533</v>
      </c>
      <c r="S39" s="8">
        <v>4533</v>
      </c>
      <c r="T39" s="123">
        <v>45569</v>
      </c>
    </row>
    <row r="40" spans="1:20" ht="13.5" customHeight="1">
      <c r="A40" s="7">
        <v>28</v>
      </c>
      <c r="B40" s="7"/>
      <c r="C40" s="7">
        <v>416151</v>
      </c>
      <c r="D40" s="7" t="s">
        <v>3535</v>
      </c>
      <c r="E40" s="7" t="s">
        <v>3821</v>
      </c>
      <c r="F40" s="7" t="s">
        <v>1682</v>
      </c>
      <c r="G40" s="7">
        <v>0</v>
      </c>
      <c r="H40" s="7">
        <v>3500</v>
      </c>
      <c r="I40" s="7">
        <v>0</v>
      </c>
      <c r="J40" s="7">
        <v>4000</v>
      </c>
      <c r="K40" s="7">
        <v>4000</v>
      </c>
      <c r="L40" s="7">
        <v>4000</v>
      </c>
      <c r="M40" s="8">
        <v>3500</v>
      </c>
      <c r="N40" s="8">
        <v>0</v>
      </c>
      <c r="O40" s="8">
        <v>3500</v>
      </c>
      <c r="P40" s="8">
        <v>0</v>
      </c>
      <c r="Q40" s="8">
        <v>3500</v>
      </c>
      <c r="R40" s="8">
        <v>3500</v>
      </c>
      <c r="S40" s="8">
        <v>3500</v>
      </c>
      <c r="T40" s="123">
        <v>45569</v>
      </c>
    </row>
    <row r="41" spans="1:20" ht="13.5" customHeight="1">
      <c r="A41" s="7">
        <v>29</v>
      </c>
      <c r="B41" s="7"/>
      <c r="C41" s="7">
        <v>416152</v>
      </c>
      <c r="D41" s="7" t="s">
        <v>3949</v>
      </c>
      <c r="E41" s="7" t="s">
        <v>3822</v>
      </c>
      <c r="F41" s="7" t="s">
        <v>1682</v>
      </c>
      <c r="G41" s="7">
        <v>0</v>
      </c>
      <c r="H41" s="7">
        <v>4143</v>
      </c>
      <c r="I41" s="7">
        <v>0</v>
      </c>
      <c r="J41" s="7">
        <v>4800</v>
      </c>
      <c r="K41" s="7">
        <v>4800</v>
      </c>
      <c r="L41" s="7">
        <v>4800</v>
      </c>
      <c r="M41" s="8">
        <v>4143</v>
      </c>
      <c r="N41" s="8">
        <v>0</v>
      </c>
      <c r="O41" s="8">
        <v>4143</v>
      </c>
      <c r="P41" s="8">
        <v>0</v>
      </c>
      <c r="Q41" s="8">
        <v>4143</v>
      </c>
      <c r="R41" s="8">
        <v>4143</v>
      </c>
      <c r="S41" s="8">
        <v>4143</v>
      </c>
      <c r="T41" s="123">
        <v>45569</v>
      </c>
    </row>
    <row r="42" spans="1:20" ht="13.5" customHeight="1">
      <c r="A42" s="7">
        <v>30</v>
      </c>
      <c r="B42" s="7"/>
      <c r="C42" s="7">
        <v>416153</v>
      </c>
      <c r="D42" s="7" t="s">
        <v>3536</v>
      </c>
      <c r="E42" s="7" t="s">
        <v>3823</v>
      </c>
      <c r="F42" s="7" t="s">
        <v>1682</v>
      </c>
      <c r="G42" s="7">
        <v>0</v>
      </c>
      <c r="H42" s="7">
        <v>3091</v>
      </c>
      <c r="I42" s="7">
        <v>0</v>
      </c>
      <c r="J42" s="7">
        <v>3500</v>
      </c>
      <c r="K42" s="7">
        <v>3500</v>
      </c>
      <c r="L42" s="7">
        <v>3500</v>
      </c>
      <c r="M42" s="8">
        <v>3091</v>
      </c>
      <c r="N42" s="8">
        <v>0</v>
      </c>
      <c r="O42" s="8">
        <v>3091</v>
      </c>
      <c r="P42" s="8">
        <v>0</v>
      </c>
      <c r="Q42" s="8">
        <v>3091</v>
      </c>
      <c r="R42" s="8">
        <v>3091</v>
      </c>
      <c r="S42" s="8">
        <v>3091</v>
      </c>
      <c r="T42" s="123">
        <v>45569</v>
      </c>
    </row>
    <row r="43" spans="1:20" ht="13.5" customHeight="1">
      <c r="A43" s="7">
        <v>31</v>
      </c>
      <c r="B43" s="7"/>
      <c r="C43" s="7">
        <v>416154</v>
      </c>
      <c r="D43" s="7" t="s">
        <v>3537</v>
      </c>
      <c r="E43" s="7" t="s">
        <v>3824</v>
      </c>
      <c r="F43" s="7" t="s">
        <v>1682</v>
      </c>
      <c r="G43" s="7">
        <v>0</v>
      </c>
      <c r="H43" s="7">
        <v>4367</v>
      </c>
      <c r="I43" s="7">
        <v>0</v>
      </c>
      <c r="J43" s="7">
        <v>5000</v>
      </c>
      <c r="K43" s="7">
        <v>5000</v>
      </c>
      <c r="L43" s="7">
        <v>5000</v>
      </c>
      <c r="M43" s="8">
        <v>4367</v>
      </c>
      <c r="N43" s="8">
        <v>0</v>
      </c>
      <c r="O43" s="8">
        <v>4367</v>
      </c>
      <c r="P43" s="8">
        <v>0</v>
      </c>
      <c r="Q43" s="8">
        <v>4367</v>
      </c>
      <c r="R43" s="8">
        <v>4367</v>
      </c>
      <c r="S43" s="8">
        <v>4367</v>
      </c>
      <c r="T43" s="123">
        <v>45569</v>
      </c>
    </row>
    <row r="44" spans="1:20" ht="13.5" customHeight="1">
      <c r="A44" s="7">
        <v>32</v>
      </c>
      <c r="B44" s="7"/>
      <c r="C44" s="7">
        <v>416155</v>
      </c>
      <c r="D44" s="7" t="s">
        <v>3538</v>
      </c>
      <c r="E44" s="7" t="s">
        <v>3825</v>
      </c>
      <c r="F44" s="7" t="s">
        <v>1682</v>
      </c>
      <c r="G44" s="7">
        <v>0</v>
      </c>
      <c r="H44" s="7">
        <v>2804</v>
      </c>
      <c r="I44" s="7">
        <v>0</v>
      </c>
      <c r="J44" s="7">
        <v>3150</v>
      </c>
      <c r="K44" s="7">
        <v>3150</v>
      </c>
      <c r="L44" s="7">
        <v>3150</v>
      </c>
      <c r="M44" s="8">
        <v>2804</v>
      </c>
      <c r="N44" s="8">
        <v>0</v>
      </c>
      <c r="O44" s="8">
        <v>2804</v>
      </c>
      <c r="P44" s="8">
        <v>0</v>
      </c>
      <c r="Q44" s="8">
        <v>2804</v>
      </c>
      <c r="R44" s="8">
        <v>2804</v>
      </c>
      <c r="S44" s="8">
        <v>2804</v>
      </c>
      <c r="T44" s="123">
        <v>45569</v>
      </c>
    </row>
    <row r="45" spans="1:20" ht="13.5" customHeight="1">
      <c r="A45" s="7">
        <v>33</v>
      </c>
      <c r="B45" s="7"/>
      <c r="C45" s="7">
        <v>416156</v>
      </c>
      <c r="D45" s="7" t="s">
        <v>3539</v>
      </c>
      <c r="E45" s="7" t="s">
        <v>3826</v>
      </c>
      <c r="F45" s="7" t="s">
        <v>1682</v>
      </c>
      <c r="G45" s="7">
        <v>0</v>
      </c>
      <c r="H45" s="7">
        <v>3407</v>
      </c>
      <c r="I45" s="7">
        <v>0</v>
      </c>
      <c r="J45" s="7">
        <v>3800</v>
      </c>
      <c r="K45" s="7">
        <v>3800</v>
      </c>
      <c r="L45" s="7">
        <v>3800</v>
      </c>
      <c r="M45" s="8">
        <v>3407</v>
      </c>
      <c r="N45" s="8">
        <v>0</v>
      </c>
      <c r="O45" s="8">
        <v>3407</v>
      </c>
      <c r="P45" s="8">
        <v>0</v>
      </c>
      <c r="Q45" s="8">
        <v>3407</v>
      </c>
      <c r="R45" s="8">
        <v>3407</v>
      </c>
      <c r="S45" s="8">
        <v>3407</v>
      </c>
      <c r="T45" s="123">
        <v>45569</v>
      </c>
    </row>
    <row r="46" spans="1:20" ht="13.5" customHeight="1">
      <c r="A46" s="7">
        <v>34</v>
      </c>
      <c r="B46" s="7"/>
      <c r="C46" s="7">
        <v>416157</v>
      </c>
      <c r="D46" s="7" t="s">
        <v>3950</v>
      </c>
      <c r="E46" s="7" t="s">
        <v>3827</v>
      </c>
      <c r="F46" s="7" t="s">
        <v>1682</v>
      </c>
      <c r="G46" s="7">
        <v>0</v>
      </c>
      <c r="H46" s="7">
        <v>2831</v>
      </c>
      <c r="I46" s="7">
        <v>0</v>
      </c>
      <c r="J46" s="7">
        <v>3200</v>
      </c>
      <c r="K46" s="7">
        <v>3200</v>
      </c>
      <c r="L46" s="7">
        <v>3200</v>
      </c>
      <c r="M46" s="8">
        <v>2831</v>
      </c>
      <c r="N46" s="8">
        <v>0</v>
      </c>
      <c r="O46" s="8">
        <v>2831</v>
      </c>
      <c r="P46" s="8">
        <v>0</v>
      </c>
      <c r="Q46" s="8">
        <v>2831</v>
      </c>
      <c r="R46" s="8">
        <v>2831</v>
      </c>
      <c r="S46" s="8">
        <v>2831</v>
      </c>
      <c r="T46" s="123">
        <v>45569</v>
      </c>
    </row>
    <row r="47" spans="1:20" ht="13.5" customHeight="1">
      <c r="A47" s="7">
        <v>35</v>
      </c>
      <c r="B47" s="7"/>
      <c r="C47" s="7">
        <v>416158</v>
      </c>
      <c r="D47" s="7" t="s">
        <v>3951</v>
      </c>
      <c r="E47" s="7" t="s">
        <v>3828</v>
      </c>
      <c r="F47" s="7" t="s">
        <v>1682</v>
      </c>
      <c r="G47" s="7">
        <v>0</v>
      </c>
      <c r="H47" s="7">
        <v>3401</v>
      </c>
      <c r="I47" s="7">
        <v>0</v>
      </c>
      <c r="J47" s="7">
        <v>3700</v>
      </c>
      <c r="K47" s="7">
        <v>3700</v>
      </c>
      <c r="L47" s="7">
        <v>3700</v>
      </c>
      <c r="M47" s="8">
        <v>3401</v>
      </c>
      <c r="N47" s="8">
        <v>0</v>
      </c>
      <c r="O47" s="8">
        <v>3401</v>
      </c>
      <c r="P47" s="8">
        <v>0</v>
      </c>
      <c r="Q47" s="8">
        <v>3401</v>
      </c>
      <c r="R47" s="8">
        <v>3401</v>
      </c>
      <c r="S47" s="8">
        <v>3401</v>
      </c>
      <c r="T47" s="123">
        <v>45569</v>
      </c>
    </row>
    <row r="48" spans="1:20" ht="13.5" customHeight="1">
      <c r="A48" s="7">
        <v>36</v>
      </c>
      <c r="B48" s="7"/>
      <c r="C48" s="7">
        <v>416159</v>
      </c>
      <c r="D48" s="7" t="s">
        <v>3540</v>
      </c>
      <c r="E48" s="7" t="s">
        <v>3829</v>
      </c>
      <c r="F48" s="7" t="s">
        <v>1682</v>
      </c>
      <c r="G48" s="7">
        <v>0</v>
      </c>
      <c r="H48" s="7">
        <v>4912</v>
      </c>
      <c r="I48" s="7">
        <v>0</v>
      </c>
      <c r="J48" s="7">
        <v>5700</v>
      </c>
      <c r="K48" s="7">
        <v>5700</v>
      </c>
      <c r="L48" s="7">
        <v>5700</v>
      </c>
      <c r="M48" s="8">
        <v>4912</v>
      </c>
      <c r="N48" s="8">
        <v>0</v>
      </c>
      <c r="O48" s="8">
        <v>4912</v>
      </c>
      <c r="P48" s="8">
        <v>0</v>
      </c>
      <c r="Q48" s="8">
        <v>4912</v>
      </c>
      <c r="R48" s="8">
        <v>4912</v>
      </c>
      <c r="S48" s="8">
        <v>4912</v>
      </c>
      <c r="T48" s="123">
        <v>45569</v>
      </c>
    </row>
    <row r="49" spans="1:20" ht="13.5" customHeight="1">
      <c r="A49" s="7">
        <v>37</v>
      </c>
      <c r="B49" s="7"/>
      <c r="C49" s="7">
        <v>416160</v>
      </c>
      <c r="D49" s="7" t="s">
        <v>3541</v>
      </c>
      <c r="E49" s="7" t="s">
        <v>3830</v>
      </c>
      <c r="F49" s="7" t="s">
        <v>1682</v>
      </c>
      <c r="G49" s="7">
        <v>0</v>
      </c>
      <c r="H49" s="7">
        <v>3401</v>
      </c>
      <c r="I49" s="7">
        <v>0</v>
      </c>
      <c r="J49" s="7">
        <v>3700</v>
      </c>
      <c r="K49" s="7">
        <v>3700</v>
      </c>
      <c r="L49" s="7">
        <v>3700</v>
      </c>
      <c r="M49" s="8">
        <v>3401</v>
      </c>
      <c r="N49" s="8">
        <v>0</v>
      </c>
      <c r="O49" s="8">
        <v>3401</v>
      </c>
      <c r="P49" s="8">
        <v>0</v>
      </c>
      <c r="Q49" s="8">
        <v>3401</v>
      </c>
      <c r="R49" s="8">
        <v>3401</v>
      </c>
      <c r="S49" s="8">
        <v>3401</v>
      </c>
      <c r="T49" s="123">
        <v>45569</v>
      </c>
    </row>
    <row r="50" spans="1:20" ht="13.5" customHeight="1">
      <c r="A50" s="7">
        <v>38</v>
      </c>
      <c r="B50" s="7"/>
      <c r="C50" s="7">
        <v>416161</v>
      </c>
      <c r="D50" s="7" t="s">
        <v>3542</v>
      </c>
      <c r="E50" s="7" t="s">
        <v>3831</v>
      </c>
      <c r="F50" s="7" t="s">
        <v>1682</v>
      </c>
      <c r="G50" s="7">
        <v>0</v>
      </c>
      <c r="H50" s="7">
        <v>4912</v>
      </c>
      <c r="I50" s="7">
        <v>0</v>
      </c>
      <c r="J50" s="7">
        <v>5700</v>
      </c>
      <c r="K50" s="7">
        <v>5700</v>
      </c>
      <c r="L50" s="7">
        <v>5700</v>
      </c>
      <c r="M50" s="8">
        <v>4912</v>
      </c>
      <c r="N50" s="8">
        <v>0</v>
      </c>
      <c r="O50" s="8">
        <v>4912</v>
      </c>
      <c r="P50" s="8">
        <v>0</v>
      </c>
      <c r="Q50" s="8">
        <v>4912</v>
      </c>
      <c r="R50" s="8">
        <v>4912</v>
      </c>
      <c r="S50" s="8">
        <v>4912</v>
      </c>
      <c r="T50" s="123">
        <v>45569</v>
      </c>
    </row>
    <row r="51" spans="1:20" ht="13.5" customHeight="1">
      <c r="A51" s="7">
        <v>39</v>
      </c>
      <c r="B51" s="7"/>
      <c r="C51" s="7">
        <v>416162</v>
      </c>
      <c r="D51" s="7" t="s">
        <v>3543</v>
      </c>
      <c r="E51" s="7" t="s">
        <v>3832</v>
      </c>
      <c r="F51" s="7" t="s">
        <v>1682</v>
      </c>
      <c r="G51" s="7">
        <v>0</v>
      </c>
      <c r="H51" s="7">
        <v>3515</v>
      </c>
      <c r="I51" s="7">
        <v>0</v>
      </c>
      <c r="J51" s="7">
        <v>3700</v>
      </c>
      <c r="K51" s="7">
        <v>3700</v>
      </c>
      <c r="L51" s="7">
        <v>3700</v>
      </c>
      <c r="M51" s="8">
        <v>3515</v>
      </c>
      <c r="N51" s="8">
        <v>0</v>
      </c>
      <c r="O51" s="8">
        <v>3515</v>
      </c>
      <c r="P51" s="8">
        <v>0</v>
      </c>
      <c r="Q51" s="8">
        <v>3515</v>
      </c>
      <c r="R51" s="8">
        <v>3515</v>
      </c>
      <c r="S51" s="8">
        <v>3515</v>
      </c>
      <c r="T51" s="123">
        <v>45569</v>
      </c>
    </row>
    <row r="52" spans="1:20" ht="13.5" customHeight="1">
      <c r="A52" s="7">
        <v>40</v>
      </c>
      <c r="B52" s="7"/>
      <c r="C52" s="7">
        <v>416163</v>
      </c>
      <c r="D52" s="7" t="s">
        <v>3544</v>
      </c>
      <c r="E52" s="7" t="s">
        <v>3833</v>
      </c>
      <c r="F52" s="7" t="s">
        <v>1682</v>
      </c>
      <c r="G52" s="7">
        <v>0</v>
      </c>
      <c r="H52" s="7">
        <v>3403</v>
      </c>
      <c r="I52" s="7">
        <v>0</v>
      </c>
      <c r="J52" s="7">
        <v>4000</v>
      </c>
      <c r="K52" s="7">
        <v>4000</v>
      </c>
      <c r="L52" s="7">
        <v>4000</v>
      </c>
      <c r="M52" s="8">
        <v>3403</v>
      </c>
      <c r="N52" s="8">
        <v>0</v>
      </c>
      <c r="O52" s="8">
        <v>3403</v>
      </c>
      <c r="P52" s="8">
        <v>0</v>
      </c>
      <c r="Q52" s="8">
        <v>3403</v>
      </c>
      <c r="R52" s="8">
        <v>3403</v>
      </c>
      <c r="S52" s="8">
        <v>3403</v>
      </c>
      <c r="T52" s="123">
        <v>45569</v>
      </c>
    </row>
    <row r="53" spans="1:20" ht="13.5" customHeight="1">
      <c r="A53" s="7">
        <v>41</v>
      </c>
      <c r="B53" s="7"/>
      <c r="C53" s="7">
        <v>416164</v>
      </c>
      <c r="D53" s="7" t="s">
        <v>3545</v>
      </c>
      <c r="E53" s="7" t="s">
        <v>3834</v>
      </c>
      <c r="F53" s="7" t="s">
        <v>1682</v>
      </c>
      <c r="G53" s="7">
        <v>0</v>
      </c>
      <c r="H53" s="7">
        <v>2824</v>
      </c>
      <c r="I53" s="7">
        <v>0</v>
      </c>
      <c r="J53" s="7">
        <v>3400</v>
      </c>
      <c r="K53" s="7">
        <v>3400</v>
      </c>
      <c r="L53" s="7">
        <v>3400</v>
      </c>
      <c r="M53" s="8">
        <v>2824</v>
      </c>
      <c r="N53" s="8">
        <v>0</v>
      </c>
      <c r="O53" s="8">
        <v>2824</v>
      </c>
      <c r="P53" s="8">
        <v>0</v>
      </c>
      <c r="Q53" s="8">
        <v>2824</v>
      </c>
      <c r="R53" s="8">
        <v>2824</v>
      </c>
      <c r="S53" s="8">
        <v>2824</v>
      </c>
      <c r="T53" s="123">
        <v>45569</v>
      </c>
    </row>
    <row r="54" spans="1:20" ht="13.5" customHeight="1">
      <c r="A54" s="7">
        <v>42</v>
      </c>
      <c r="B54" s="7"/>
      <c r="C54" s="7">
        <v>416165</v>
      </c>
      <c r="D54" s="7" t="s">
        <v>3546</v>
      </c>
      <c r="E54" s="7" t="s">
        <v>3835</v>
      </c>
      <c r="F54" s="7" t="s">
        <v>1682</v>
      </c>
      <c r="G54" s="7">
        <v>0</v>
      </c>
      <c r="H54" s="7">
        <v>3160</v>
      </c>
      <c r="I54" s="7">
        <v>0</v>
      </c>
      <c r="J54" s="7">
        <v>3600</v>
      </c>
      <c r="K54" s="7">
        <v>3600</v>
      </c>
      <c r="L54" s="7">
        <v>3600</v>
      </c>
      <c r="M54" s="8">
        <v>3160</v>
      </c>
      <c r="N54" s="8">
        <v>0</v>
      </c>
      <c r="O54" s="8">
        <v>3160</v>
      </c>
      <c r="P54" s="8">
        <v>0</v>
      </c>
      <c r="Q54" s="8">
        <v>3160</v>
      </c>
      <c r="R54" s="8">
        <v>3160</v>
      </c>
      <c r="S54" s="8">
        <v>3160</v>
      </c>
      <c r="T54" s="123">
        <v>45569</v>
      </c>
    </row>
    <row r="55" spans="1:20" ht="13.5" customHeight="1">
      <c r="A55" s="7">
        <v>43</v>
      </c>
      <c r="B55" s="7"/>
      <c r="C55" s="7">
        <v>416166</v>
      </c>
      <c r="D55" s="7" t="s">
        <v>3952</v>
      </c>
      <c r="E55" s="7" t="s">
        <v>3836</v>
      </c>
      <c r="F55" s="7" t="s">
        <v>1682</v>
      </c>
      <c r="G55" s="7">
        <v>0</v>
      </c>
      <c r="H55" s="7">
        <v>3324</v>
      </c>
      <c r="I55" s="7">
        <v>0</v>
      </c>
      <c r="J55" s="7">
        <v>3800</v>
      </c>
      <c r="K55" s="7">
        <v>3800</v>
      </c>
      <c r="L55" s="7">
        <v>3800</v>
      </c>
      <c r="M55" s="8">
        <v>3324</v>
      </c>
      <c r="N55" s="8">
        <v>0</v>
      </c>
      <c r="O55" s="8">
        <v>3324</v>
      </c>
      <c r="P55" s="8">
        <v>0</v>
      </c>
      <c r="Q55" s="8">
        <v>3324</v>
      </c>
      <c r="R55" s="8">
        <v>3324</v>
      </c>
      <c r="S55" s="8">
        <v>3324</v>
      </c>
      <c r="T55" s="123">
        <v>45569</v>
      </c>
    </row>
    <row r="56" spans="1:20" ht="13.5" customHeight="1">
      <c r="A56" s="7">
        <v>44</v>
      </c>
      <c r="B56" s="7"/>
      <c r="C56" s="7">
        <v>416167</v>
      </c>
      <c r="D56" s="7" t="s">
        <v>3953</v>
      </c>
      <c r="E56" s="7" t="s">
        <v>3837</v>
      </c>
      <c r="F56" s="7" t="s">
        <v>1682</v>
      </c>
      <c r="G56" s="7">
        <v>0</v>
      </c>
      <c r="H56" s="7">
        <v>3324</v>
      </c>
      <c r="I56" s="7">
        <v>0</v>
      </c>
      <c r="J56" s="7">
        <v>3800</v>
      </c>
      <c r="K56" s="7">
        <v>3800</v>
      </c>
      <c r="L56" s="7">
        <v>3800</v>
      </c>
      <c r="M56" s="8">
        <v>3324</v>
      </c>
      <c r="N56" s="8">
        <v>0</v>
      </c>
      <c r="O56" s="8">
        <v>3324</v>
      </c>
      <c r="P56" s="8">
        <v>0</v>
      </c>
      <c r="Q56" s="8">
        <v>3324</v>
      </c>
      <c r="R56" s="8">
        <v>3324</v>
      </c>
      <c r="S56" s="8">
        <v>3324</v>
      </c>
      <c r="T56" s="123">
        <v>45569</v>
      </c>
    </row>
    <row r="57" spans="1:20" ht="13.5" customHeight="1">
      <c r="A57" s="7">
        <v>45</v>
      </c>
      <c r="B57" s="7"/>
      <c r="C57" s="7">
        <v>416168</v>
      </c>
      <c r="D57" s="7" t="s">
        <v>3954</v>
      </c>
      <c r="E57" s="7" t="s">
        <v>3838</v>
      </c>
      <c r="F57" s="7" t="s">
        <v>1682</v>
      </c>
      <c r="G57" s="7">
        <v>0</v>
      </c>
      <c r="H57" s="7">
        <v>2831</v>
      </c>
      <c r="I57" s="7">
        <v>0</v>
      </c>
      <c r="J57" s="7">
        <v>3200</v>
      </c>
      <c r="K57" s="7">
        <v>3200</v>
      </c>
      <c r="L57" s="7">
        <v>3200</v>
      </c>
      <c r="M57" s="8">
        <v>2831</v>
      </c>
      <c r="N57" s="8">
        <v>0</v>
      </c>
      <c r="O57" s="8">
        <v>2831</v>
      </c>
      <c r="P57" s="8">
        <v>0</v>
      </c>
      <c r="Q57" s="8">
        <v>2831</v>
      </c>
      <c r="R57" s="8">
        <v>2831</v>
      </c>
      <c r="S57" s="8">
        <v>2831</v>
      </c>
      <c r="T57" s="123">
        <v>45569</v>
      </c>
    </row>
    <row r="58" spans="1:20" ht="13.5" customHeight="1">
      <c r="A58" s="7">
        <v>46</v>
      </c>
      <c r="B58" s="7"/>
      <c r="C58" s="7">
        <v>416169</v>
      </c>
      <c r="D58" s="7" t="s">
        <v>3547</v>
      </c>
      <c r="E58" s="7" t="s">
        <v>3839</v>
      </c>
      <c r="F58" s="7" t="s">
        <v>1682</v>
      </c>
      <c r="G58" s="7">
        <v>0</v>
      </c>
      <c r="H58" s="7">
        <v>3367</v>
      </c>
      <c r="I58" s="7">
        <v>0</v>
      </c>
      <c r="J58" s="7">
        <v>3800</v>
      </c>
      <c r="K58" s="7">
        <v>3800</v>
      </c>
      <c r="L58" s="7">
        <v>3800</v>
      </c>
      <c r="M58" s="8">
        <v>3367</v>
      </c>
      <c r="N58" s="8">
        <v>0</v>
      </c>
      <c r="O58" s="8">
        <v>3367</v>
      </c>
      <c r="P58" s="8">
        <v>0</v>
      </c>
      <c r="Q58" s="8">
        <v>3367</v>
      </c>
      <c r="R58" s="8">
        <v>3367</v>
      </c>
      <c r="S58" s="8">
        <v>3367</v>
      </c>
      <c r="T58" s="123">
        <v>45569</v>
      </c>
    </row>
    <row r="59" spans="1:20" ht="13.5" customHeight="1">
      <c r="A59" s="7">
        <v>47</v>
      </c>
      <c r="B59" s="7"/>
      <c r="C59" s="7">
        <v>416170</v>
      </c>
      <c r="D59" s="7" t="s">
        <v>3548</v>
      </c>
      <c r="E59" s="7" t="s">
        <v>3840</v>
      </c>
      <c r="F59" s="7" t="s">
        <v>1682</v>
      </c>
      <c r="G59" s="7">
        <v>0</v>
      </c>
      <c r="H59" s="7">
        <v>3993</v>
      </c>
      <c r="I59" s="7">
        <v>0</v>
      </c>
      <c r="J59" s="7">
        <v>4400</v>
      </c>
      <c r="K59" s="7">
        <v>4400</v>
      </c>
      <c r="L59" s="7">
        <v>4400</v>
      </c>
      <c r="M59" s="8">
        <v>3993</v>
      </c>
      <c r="N59" s="8">
        <v>0</v>
      </c>
      <c r="O59" s="8">
        <v>3993</v>
      </c>
      <c r="P59" s="8">
        <v>0</v>
      </c>
      <c r="Q59" s="8">
        <v>3993</v>
      </c>
      <c r="R59" s="8">
        <v>3993</v>
      </c>
      <c r="S59" s="8">
        <v>3993</v>
      </c>
      <c r="T59" s="123">
        <v>45569</v>
      </c>
    </row>
    <row r="60" spans="1:20" ht="13.5" customHeight="1">
      <c r="A60" s="7">
        <v>48</v>
      </c>
      <c r="B60" s="7"/>
      <c r="C60" s="7">
        <v>416171</v>
      </c>
      <c r="D60" s="7" t="s">
        <v>3549</v>
      </c>
      <c r="E60" s="7" t="s">
        <v>3841</v>
      </c>
      <c r="F60" s="7" t="s">
        <v>1682</v>
      </c>
      <c r="G60" s="7">
        <v>0</v>
      </c>
      <c r="H60" s="7">
        <v>4672</v>
      </c>
      <c r="I60" s="7">
        <v>0</v>
      </c>
      <c r="J60" s="7">
        <v>5200</v>
      </c>
      <c r="K60" s="7">
        <v>5200</v>
      </c>
      <c r="L60" s="7">
        <v>5200</v>
      </c>
      <c r="M60" s="8">
        <v>4672</v>
      </c>
      <c r="N60" s="8">
        <v>0</v>
      </c>
      <c r="O60" s="8">
        <v>4672</v>
      </c>
      <c r="P60" s="8">
        <v>0</v>
      </c>
      <c r="Q60" s="8">
        <v>4672</v>
      </c>
      <c r="R60" s="8">
        <v>4672</v>
      </c>
      <c r="S60" s="8">
        <v>4672</v>
      </c>
      <c r="T60" s="123">
        <v>45569</v>
      </c>
    </row>
    <row r="61" spans="1:20" ht="13.5" customHeight="1">
      <c r="A61" s="7">
        <v>49</v>
      </c>
      <c r="B61" s="7"/>
      <c r="C61" s="7">
        <v>416172</v>
      </c>
      <c r="D61" s="7" t="s">
        <v>3550</v>
      </c>
      <c r="E61" s="7" t="s">
        <v>3842</v>
      </c>
      <c r="F61" s="7" t="s">
        <v>1682</v>
      </c>
      <c r="G61" s="7">
        <v>0</v>
      </c>
      <c r="H61" s="7">
        <v>2633</v>
      </c>
      <c r="I61" s="7">
        <v>0</v>
      </c>
      <c r="J61" s="7">
        <v>3000</v>
      </c>
      <c r="K61" s="7">
        <v>3000</v>
      </c>
      <c r="L61" s="7">
        <v>3000</v>
      </c>
      <c r="M61" s="8">
        <v>2633</v>
      </c>
      <c r="N61" s="8">
        <v>0</v>
      </c>
      <c r="O61" s="8">
        <v>2633</v>
      </c>
      <c r="P61" s="8">
        <v>0</v>
      </c>
      <c r="Q61" s="8">
        <v>2633</v>
      </c>
      <c r="R61" s="8">
        <v>2633</v>
      </c>
      <c r="S61" s="8">
        <v>2633</v>
      </c>
      <c r="T61" s="123">
        <v>45569</v>
      </c>
    </row>
    <row r="62" spans="1:20" ht="13.5" customHeight="1">
      <c r="A62" s="7">
        <v>50</v>
      </c>
      <c r="B62" s="7"/>
      <c r="C62" s="7">
        <v>416173</v>
      </c>
      <c r="D62" s="7" t="s">
        <v>3551</v>
      </c>
      <c r="E62" s="7" t="s">
        <v>3843</v>
      </c>
      <c r="F62" s="7" t="s">
        <v>1682</v>
      </c>
      <c r="G62" s="7">
        <v>0</v>
      </c>
      <c r="H62" s="7">
        <v>3850</v>
      </c>
      <c r="I62" s="7">
        <v>0</v>
      </c>
      <c r="J62" s="7">
        <v>4500</v>
      </c>
      <c r="K62" s="7">
        <v>4500</v>
      </c>
      <c r="L62" s="7">
        <v>4500</v>
      </c>
      <c r="M62" s="8">
        <v>3850</v>
      </c>
      <c r="N62" s="8">
        <v>0</v>
      </c>
      <c r="O62" s="8">
        <v>3850</v>
      </c>
      <c r="P62" s="8">
        <v>0</v>
      </c>
      <c r="Q62" s="8">
        <v>3850</v>
      </c>
      <c r="R62" s="8">
        <v>3850</v>
      </c>
      <c r="S62" s="8">
        <v>3850</v>
      </c>
      <c r="T62" s="123">
        <v>45569</v>
      </c>
    </row>
    <row r="63" spans="1:20" ht="13.5" customHeight="1">
      <c r="A63" s="7">
        <v>51</v>
      </c>
      <c r="B63" s="7"/>
      <c r="C63" s="7">
        <v>416174</v>
      </c>
      <c r="D63" s="7" t="s">
        <v>3552</v>
      </c>
      <c r="E63" s="7" t="s">
        <v>3844</v>
      </c>
      <c r="F63" s="7" t="s">
        <v>1682</v>
      </c>
      <c r="G63" s="7">
        <v>0</v>
      </c>
      <c r="H63" s="7">
        <v>4418</v>
      </c>
      <c r="I63" s="7">
        <v>0</v>
      </c>
      <c r="J63" s="7">
        <v>5200</v>
      </c>
      <c r="K63" s="7">
        <v>5200</v>
      </c>
      <c r="L63" s="7">
        <v>5200</v>
      </c>
      <c r="M63" s="8">
        <v>4418</v>
      </c>
      <c r="N63" s="8">
        <v>0</v>
      </c>
      <c r="O63" s="8">
        <v>4418</v>
      </c>
      <c r="P63" s="8">
        <v>0</v>
      </c>
      <c r="Q63" s="8">
        <v>4418</v>
      </c>
      <c r="R63" s="8">
        <v>4418</v>
      </c>
      <c r="S63" s="8">
        <v>4418</v>
      </c>
      <c r="T63" s="123">
        <v>45569</v>
      </c>
    </row>
    <row r="64" spans="1:20" ht="13.5" customHeight="1">
      <c r="A64" s="7">
        <v>52</v>
      </c>
      <c r="B64" s="7"/>
      <c r="C64" s="7">
        <v>416175</v>
      </c>
      <c r="D64" s="7" t="s">
        <v>3553</v>
      </c>
      <c r="E64" s="7" t="s">
        <v>3845</v>
      </c>
      <c r="F64" s="7" t="s">
        <v>1682</v>
      </c>
      <c r="G64" s="7">
        <v>0</v>
      </c>
      <c r="H64" s="7">
        <v>2667</v>
      </c>
      <c r="I64" s="7">
        <v>0</v>
      </c>
      <c r="J64" s="7">
        <v>3000</v>
      </c>
      <c r="K64" s="7">
        <v>3000</v>
      </c>
      <c r="L64" s="7">
        <v>3000</v>
      </c>
      <c r="M64" s="8">
        <v>2667</v>
      </c>
      <c r="N64" s="8">
        <v>0</v>
      </c>
      <c r="O64" s="8">
        <v>2667</v>
      </c>
      <c r="P64" s="8">
        <v>0</v>
      </c>
      <c r="Q64" s="8">
        <v>2667</v>
      </c>
      <c r="R64" s="8">
        <v>2667</v>
      </c>
      <c r="S64" s="8">
        <v>2667</v>
      </c>
      <c r="T64" s="123">
        <v>45569</v>
      </c>
    </row>
    <row r="65" spans="1:20" ht="13.5" customHeight="1">
      <c r="A65" s="7">
        <v>53</v>
      </c>
      <c r="B65" s="7"/>
      <c r="C65" s="7">
        <v>416176</v>
      </c>
      <c r="D65" s="7" t="s">
        <v>3554</v>
      </c>
      <c r="E65" s="7" t="s">
        <v>3846</v>
      </c>
      <c r="F65" s="7" t="s">
        <v>1682</v>
      </c>
      <c r="G65" s="7">
        <v>0</v>
      </c>
      <c r="H65" s="7">
        <v>3123</v>
      </c>
      <c r="I65" s="7">
        <v>0</v>
      </c>
      <c r="J65" s="7">
        <v>3700</v>
      </c>
      <c r="K65" s="7">
        <v>3700</v>
      </c>
      <c r="L65" s="7">
        <v>3700</v>
      </c>
      <c r="M65" s="8">
        <v>3123</v>
      </c>
      <c r="N65" s="8">
        <v>0</v>
      </c>
      <c r="O65" s="8">
        <v>3123</v>
      </c>
      <c r="P65" s="8">
        <v>0</v>
      </c>
      <c r="Q65" s="8">
        <v>3123</v>
      </c>
      <c r="R65" s="8">
        <v>3123</v>
      </c>
      <c r="S65" s="8">
        <v>3123</v>
      </c>
      <c r="T65" s="123">
        <v>45569</v>
      </c>
    </row>
    <row r="66" spans="1:20" ht="13.5" customHeight="1">
      <c r="A66" s="7">
        <v>54</v>
      </c>
      <c r="B66" s="7"/>
      <c r="C66" s="7">
        <v>416177</v>
      </c>
      <c r="D66" s="7" t="s">
        <v>3555</v>
      </c>
      <c r="E66" s="7" t="s">
        <v>3847</v>
      </c>
      <c r="F66" s="7" t="s">
        <v>1682</v>
      </c>
      <c r="G66" s="7">
        <v>0</v>
      </c>
      <c r="H66" s="7">
        <v>3699</v>
      </c>
      <c r="I66" s="7">
        <v>0</v>
      </c>
      <c r="J66" s="7">
        <v>3900</v>
      </c>
      <c r="K66" s="7">
        <v>3900</v>
      </c>
      <c r="L66" s="7">
        <v>3900</v>
      </c>
      <c r="M66" s="8">
        <v>3699</v>
      </c>
      <c r="N66" s="8">
        <v>0</v>
      </c>
      <c r="O66" s="8">
        <v>3699</v>
      </c>
      <c r="P66" s="8">
        <v>0</v>
      </c>
      <c r="Q66" s="8">
        <v>3699</v>
      </c>
      <c r="R66" s="8">
        <v>3699</v>
      </c>
      <c r="S66" s="8">
        <v>3699</v>
      </c>
      <c r="T66" s="123">
        <v>45569</v>
      </c>
    </row>
    <row r="67" spans="1:20" ht="13.5" customHeight="1">
      <c r="A67" s="7">
        <v>55</v>
      </c>
      <c r="B67" s="7"/>
      <c r="C67" s="7">
        <v>416178</v>
      </c>
      <c r="D67" s="7" t="s">
        <v>3556</v>
      </c>
      <c r="E67" s="7" t="s">
        <v>3848</v>
      </c>
      <c r="F67" s="7" t="s">
        <v>1682</v>
      </c>
      <c r="G67" s="7">
        <v>0</v>
      </c>
      <c r="H67" s="7">
        <v>2886</v>
      </c>
      <c r="I67" s="7">
        <v>0</v>
      </c>
      <c r="J67" s="7">
        <v>3250</v>
      </c>
      <c r="K67" s="7">
        <v>3250</v>
      </c>
      <c r="L67" s="7">
        <v>3250</v>
      </c>
      <c r="M67" s="8">
        <v>2886</v>
      </c>
      <c r="N67" s="8">
        <v>0</v>
      </c>
      <c r="O67" s="8">
        <v>2886</v>
      </c>
      <c r="P67" s="8">
        <v>0</v>
      </c>
      <c r="Q67" s="8">
        <v>2886</v>
      </c>
      <c r="R67" s="8">
        <v>2886</v>
      </c>
      <c r="S67" s="8">
        <v>2886</v>
      </c>
      <c r="T67" s="123">
        <v>45569</v>
      </c>
    </row>
    <row r="68" spans="1:20" ht="13.5" customHeight="1">
      <c r="A68" s="7">
        <v>56</v>
      </c>
      <c r="B68" s="7"/>
      <c r="C68" s="7">
        <v>416179</v>
      </c>
      <c r="D68" s="7" t="s">
        <v>3557</v>
      </c>
      <c r="E68" s="7" t="s">
        <v>3849</v>
      </c>
      <c r="F68" s="7" t="s">
        <v>1682</v>
      </c>
      <c r="G68" s="7">
        <v>0</v>
      </c>
      <c r="H68" s="7">
        <v>6511</v>
      </c>
      <c r="I68" s="7">
        <v>0</v>
      </c>
      <c r="J68" s="7">
        <v>8000</v>
      </c>
      <c r="K68" s="7">
        <v>8000</v>
      </c>
      <c r="L68" s="7">
        <v>8000</v>
      </c>
      <c r="M68" s="8">
        <v>6511</v>
      </c>
      <c r="N68" s="8">
        <v>0</v>
      </c>
      <c r="O68" s="8">
        <v>6511</v>
      </c>
      <c r="P68" s="8">
        <v>0</v>
      </c>
      <c r="Q68" s="8">
        <v>6511</v>
      </c>
      <c r="R68" s="8">
        <v>6511</v>
      </c>
      <c r="S68" s="8">
        <v>6511</v>
      </c>
      <c r="T68" s="123">
        <v>45569</v>
      </c>
    </row>
    <row r="69" spans="1:20" ht="13.5" customHeight="1">
      <c r="A69" s="7">
        <v>57</v>
      </c>
      <c r="B69" s="7"/>
      <c r="C69" s="7">
        <v>416180</v>
      </c>
      <c r="D69" s="7" t="s">
        <v>3558</v>
      </c>
      <c r="E69" s="7"/>
      <c r="F69" s="7" t="s">
        <v>1682</v>
      </c>
      <c r="G69" s="7">
        <v>0</v>
      </c>
      <c r="H69" s="7">
        <v>6700</v>
      </c>
      <c r="I69" s="7">
        <v>0</v>
      </c>
      <c r="J69" s="7">
        <v>9000</v>
      </c>
      <c r="K69" s="7">
        <v>9000</v>
      </c>
      <c r="L69" s="7">
        <v>9000</v>
      </c>
      <c r="M69" s="8">
        <v>6700</v>
      </c>
      <c r="N69" s="8">
        <v>0</v>
      </c>
      <c r="O69" s="8">
        <v>6700</v>
      </c>
      <c r="P69" s="8">
        <v>0</v>
      </c>
      <c r="Q69" s="8">
        <v>6700</v>
      </c>
      <c r="R69" s="8">
        <v>6700</v>
      </c>
      <c r="S69" s="8">
        <v>6700</v>
      </c>
      <c r="T69" s="123">
        <v>45569</v>
      </c>
    </row>
    <row r="70" spans="1:20" ht="13.5" customHeight="1">
      <c r="A70" s="7">
        <v>58</v>
      </c>
      <c r="B70" s="7"/>
      <c r="C70" s="7">
        <v>416181</v>
      </c>
      <c r="D70" s="7" t="s">
        <v>3559</v>
      </c>
      <c r="E70" s="7" t="s">
        <v>3850</v>
      </c>
      <c r="F70" s="7" t="s">
        <v>1682</v>
      </c>
      <c r="G70" s="7">
        <v>0</v>
      </c>
      <c r="H70" s="7">
        <v>4213</v>
      </c>
      <c r="I70" s="7">
        <v>0</v>
      </c>
      <c r="J70" s="7">
        <v>5400</v>
      </c>
      <c r="K70" s="7">
        <v>5400</v>
      </c>
      <c r="L70" s="7">
        <v>5400</v>
      </c>
      <c r="M70" s="8">
        <v>4213</v>
      </c>
      <c r="N70" s="8">
        <v>0</v>
      </c>
      <c r="O70" s="8">
        <v>4213</v>
      </c>
      <c r="P70" s="8">
        <v>0</v>
      </c>
      <c r="Q70" s="8">
        <v>4213</v>
      </c>
      <c r="R70" s="8">
        <v>4213</v>
      </c>
      <c r="S70" s="8">
        <v>4213</v>
      </c>
      <c r="T70" s="123">
        <v>45569</v>
      </c>
    </row>
    <row r="71" spans="1:20" ht="13.5" customHeight="1">
      <c r="A71" s="7">
        <v>59</v>
      </c>
      <c r="B71" s="7"/>
      <c r="C71" s="7">
        <v>416182</v>
      </c>
      <c r="D71" s="7" t="s">
        <v>3955</v>
      </c>
      <c r="E71" s="7" t="s">
        <v>3851</v>
      </c>
      <c r="F71" s="7" t="s">
        <v>1682</v>
      </c>
      <c r="G71" s="7">
        <v>0</v>
      </c>
      <c r="H71" s="7">
        <v>3736</v>
      </c>
      <c r="I71" s="7">
        <v>0</v>
      </c>
      <c r="J71" s="7">
        <v>4300</v>
      </c>
      <c r="K71" s="7">
        <v>4300</v>
      </c>
      <c r="L71" s="7">
        <v>4300</v>
      </c>
      <c r="M71" s="8">
        <v>3736</v>
      </c>
      <c r="N71" s="8">
        <v>0</v>
      </c>
      <c r="O71" s="8">
        <v>3736</v>
      </c>
      <c r="P71" s="8">
        <v>0</v>
      </c>
      <c r="Q71" s="8">
        <v>3736</v>
      </c>
      <c r="R71" s="8">
        <v>3736</v>
      </c>
      <c r="S71" s="8">
        <v>3736</v>
      </c>
      <c r="T71" s="123">
        <v>45569</v>
      </c>
    </row>
    <row r="72" spans="1:20" s="10" customFormat="1" ht="13.5" customHeight="1">
      <c r="A72" s="7">
        <v>60</v>
      </c>
      <c r="B72" s="7"/>
      <c r="C72" s="7">
        <v>416183</v>
      </c>
      <c r="D72" s="7" t="s">
        <v>3956</v>
      </c>
      <c r="E72" s="7"/>
      <c r="F72" s="7" t="s">
        <v>1682</v>
      </c>
      <c r="G72" s="7">
        <v>0</v>
      </c>
      <c r="H72" s="7">
        <v>4033</v>
      </c>
      <c r="I72" s="7">
        <v>0</v>
      </c>
      <c r="J72" s="7">
        <v>5000</v>
      </c>
      <c r="K72" s="7">
        <v>5000</v>
      </c>
      <c r="L72" s="7">
        <v>5000</v>
      </c>
      <c r="M72" s="11">
        <v>4033</v>
      </c>
      <c r="N72" s="8">
        <v>0</v>
      </c>
      <c r="O72" s="11">
        <v>4033</v>
      </c>
      <c r="P72" s="8">
        <v>0</v>
      </c>
      <c r="Q72" s="11">
        <v>4033</v>
      </c>
      <c r="R72" s="11">
        <v>4033</v>
      </c>
      <c r="S72" s="11">
        <v>4033</v>
      </c>
      <c r="T72" s="123">
        <v>45569</v>
      </c>
    </row>
    <row r="73" spans="1:20" ht="13.5" customHeight="1">
      <c r="A73" s="7">
        <v>61</v>
      </c>
      <c r="B73" s="7"/>
      <c r="C73" s="7">
        <v>416184</v>
      </c>
      <c r="D73" s="7" t="s">
        <v>3560</v>
      </c>
      <c r="E73" s="7"/>
      <c r="F73" s="7" t="s">
        <v>1682</v>
      </c>
      <c r="G73" s="7">
        <v>0</v>
      </c>
      <c r="H73" s="7">
        <v>4033</v>
      </c>
      <c r="I73" s="7">
        <v>0</v>
      </c>
      <c r="J73" s="7">
        <v>5000</v>
      </c>
      <c r="K73" s="7">
        <v>5000</v>
      </c>
      <c r="L73" s="7">
        <v>5000</v>
      </c>
      <c r="M73" s="8">
        <v>4033</v>
      </c>
      <c r="N73" s="8">
        <v>0</v>
      </c>
      <c r="O73" s="8">
        <v>4033</v>
      </c>
      <c r="P73" s="8">
        <v>0</v>
      </c>
      <c r="Q73" s="8">
        <v>4033</v>
      </c>
      <c r="R73" s="8">
        <v>4033</v>
      </c>
      <c r="S73" s="8">
        <v>4033</v>
      </c>
      <c r="T73" s="123">
        <v>45569</v>
      </c>
    </row>
    <row r="74" spans="1:20" ht="13.5" customHeight="1">
      <c r="A74" s="7">
        <v>62</v>
      </c>
      <c r="B74" s="7"/>
      <c r="C74" s="7">
        <v>416185</v>
      </c>
      <c r="D74" s="7" t="s">
        <v>3561</v>
      </c>
      <c r="E74" s="7" t="s">
        <v>3852</v>
      </c>
      <c r="F74" s="7" t="s">
        <v>1682</v>
      </c>
      <c r="G74" s="7">
        <v>0</v>
      </c>
      <c r="H74" s="7">
        <v>3356</v>
      </c>
      <c r="I74" s="7">
        <v>0</v>
      </c>
      <c r="J74" s="7">
        <v>4000</v>
      </c>
      <c r="K74" s="7">
        <v>4000</v>
      </c>
      <c r="L74" s="7">
        <v>4000</v>
      </c>
      <c r="M74" s="8">
        <v>3356</v>
      </c>
      <c r="N74" s="8">
        <v>0</v>
      </c>
      <c r="O74" s="8">
        <v>3356</v>
      </c>
      <c r="P74" s="8">
        <v>0</v>
      </c>
      <c r="Q74" s="8">
        <v>3356</v>
      </c>
      <c r="R74" s="8">
        <v>3356</v>
      </c>
      <c r="S74" s="8">
        <v>3356</v>
      </c>
      <c r="T74" s="123">
        <v>45569</v>
      </c>
    </row>
    <row r="75" spans="1:20" ht="13.5" customHeight="1">
      <c r="A75" s="7">
        <v>63</v>
      </c>
      <c r="B75" s="7"/>
      <c r="C75" s="7">
        <v>416186</v>
      </c>
      <c r="D75" s="7" t="s">
        <v>3957</v>
      </c>
      <c r="E75" s="7" t="s">
        <v>3853</v>
      </c>
      <c r="F75" s="7" t="s">
        <v>1682</v>
      </c>
      <c r="G75" s="7">
        <v>0</v>
      </c>
      <c r="H75" s="7">
        <v>2800</v>
      </c>
      <c r="I75" s="7">
        <v>0</v>
      </c>
      <c r="J75" s="7">
        <v>3000</v>
      </c>
      <c r="K75" s="7">
        <v>3000</v>
      </c>
      <c r="L75" s="7">
        <v>3000</v>
      </c>
      <c r="M75" s="8">
        <v>2800</v>
      </c>
      <c r="N75" s="8">
        <v>0</v>
      </c>
      <c r="O75" s="8">
        <v>2800</v>
      </c>
      <c r="P75" s="8">
        <v>0</v>
      </c>
      <c r="Q75" s="8">
        <v>2800</v>
      </c>
      <c r="R75" s="8">
        <v>2800</v>
      </c>
      <c r="S75" s="8">
        <v>2800</v>
      </c>
      <c r="T75" s="123">
        <v>45569</v>
      </c>
    </row>
    <row r="76" spans="1:20" ht="13.5" customHeight="1">
      <c r="A76" s="7">
        <v>64</v>
      </c>
      <c r="B76" s="7"/>
      <c r="C76" s="7">
        <v>416187</v>
      </c>
      <c r="D76" s="7" t="s">
        <v>3562</v>
      </c>
      <c r="E76" s="7" t="s">
        <v>3854</v>
      </c>
      <c r="F76" s="7" t="s">
        <v>1682</v>
      </c>
      <c r="G76" s="7">
        <v>0</v>
      </c>
      <c r="H76" s="7">
        <v>3961</v>
      </c>
      <c r="I76" s="7">
        <v>0</v>
      </c>
      <c r="J76" s="7">
        <v>4500</v>
      </c>
      <c r="K76" s="7">
        <v>4500</v>
      </c>
      <c r="L76" s="7">
        <v>4500</v>
      </c>
      <c r="M76" s="8">
        <v>3961</v>
      </c>
      <c r="N76" s="8">
        <v>0</v>
      </c>
      <c r="O76" s="8">
        <v>3961</v>
      </c>
      <c r="P76" s="8">
        <v>0</v>
      </c>
      <c r="Q76" s="8">
        <v>3961</v>
      </c>
      <c r="R76" s="8">
        <v>3961</v>
      </c>
      <c r="S76" s="8">
        <v>3961</v>
      </c>
      <c r="T76" s="123">
        <v>45569</v>
      </c>
    </row>
    <row r="77" spans="1:20" ht="13.5" customHeight="1">
      <c r="A77" s="7">
        <v>65</v>
      </c>
      <c r="B77" s="7"/>
      <c r="C77" s="7">
        <v>416188</v>
      </c>
      <c r="D77" s="7" t="s">
        <v>3563</v>
      </c>
      <c r="E77" s="7" t="s">
        <v>3855</v>
      </c>
      <c r="F77" s="7" t="s">
        <v>1682</v>
      </c>
      <c r="G77" s="7">
        <v>0</v>
      </c>
      <c r="H77" s="7">
        <v>4422</v>
      </c>
      <c r="I77" s="7">
        <v>0</v>
      </c>
      <c r="J77" s="7">
        <v>5000</v>
      </c>
      <c r="K77" s="7">
        <v>5000</v>
      </c>
      <c r="L77" s="7">
        <v>5000</v>
      </c>
      <c r="M77" s="8">
        <v>4422</v>
      </c>
      <c r="N77" s="8">
        <v>0</v>
      </c>
      <c r="O77" s="8">
        <v>4422</v>
      </c>
      <c r="P77" s="8">
        <v>0</v>
      </c>
      <c r="Q77" s="8">
        <v>4422</v>
      </c>
      <c r="R77" s="8">
        <v>4422</v>
      </c>
      <c r="S77" s="8">
        <v>4422</v>
      </c>
      <c r="T77" s="123">
        <v>45569</v>
      </c>
    </row>
    <row r="78" spans="1:20" ht="13.5" customHeight="1">
      <c r="A78" s="7">
        <v>66</v>
      </c>
      <c r="B78" s="7"/>
      <c r="C78" s="7">
        <v>416189</v>
      </c>
      <c r="D78" s="7" t="s">
        <v>3564</v>
      </c>
      <c r="E78" s="7" t="s">
        <v>3856</v>
      </c>
      <c r="F78" s="7" t="s">
        <v>1682</v>
      </c>
      <c r="G78" s="7">
        <v>0</v>
      </c>
      <c r="H78" s="7">
        <v>2918</v>
      </c>
      <c r="I78" s="7">
        <v>0</v>
      </c>
      <c r="J78" s="7">
        <v>3200</v>
      </c>
      <c r="K78" s="7">
        <v>3200</v>
      </c>
      <c r="L78" s="7">
        <v>3200</v>
      </c>
      <c r="M78" s="8">
        <v>2918</v>
      </c>
      <c r="N78" s="8">
        <v>0</v>
      </c>
      <c r="O78" s="8">
        <v>2918</v>
      </c>
      <c r="P78" s="8">
        <v>0</v>
      </c>
      <c r="Q78" s="8">
        <v>2918</v>
      </c>
      <c r="R78" s="8">
        <v>2918</v>
      </c>
      <c r="S78" s="8">
        <v>2918</v>
      </c>
      <c r="T78" s="123">
        <v>45569</v>
      </c>
    </row>
    <row r="79" spans="1:20" ht="13.5" customHeight="1">
      <c r="A79" s="7">
        <v>67</v>
      </c>
      <c r="B79" s="7"/>
      <c r="C79" s="7">
        <v>416190</v>
      </c>
      <c r="D79" s="7" t="s">
        <v>3958</v>
      </c>
      <c r="E79" s="7" t="s">
        <v>3857</v>
      </c>
      <c r="F79" s="7" t="s">
        <v>1682</v>
      </c>
      <c r="G79" s="7">
        <v>0</v>
      </c>
      <c r="H79" s="7">
        <v>3611</v>
      </c>
      <c r="I79" s="7">
        <v>0</v>
      </c>
      <c r="J79" s="7">
        <v>4000</v>
      </c>
      <c r="K79" s="7">
        <v>4000</v>
      </c>
      <c r="L79" s="7">
        <v>4000</v>
      </c>
      <c r="M79" s="8">
        <v>3611</v>
      </c>
      <c r="N79" s="8">
        <v>0</v>
      </c>
      <c r="O79" s="8">
        <v>3611</v>
      </c>
      <c r="P79" s="8">
        <v>0</v>
      </c>
      <c r="Q79" s="8">
        <v>3611</v>
      </c>
      <c r="R79" s="8">
        <v>3611</v>
      </c>
      <c r="S79" s="8">
        <v>3611</v>
      </c>
      <c r="T79" s="123">
        <v>45569</v>
      </c>
    </row>
    <row r="80" spans="1:20" ht="13.5" customHeight="1">
      <c r="A80" s="7">
        <v>68</v>
      </c>
      <c r="B80" s="7"/>
      <c r="C80" s="7">
        <v>416191</v>
      </c>
      <c r="D80" s="7" t="s">
        <v>3959</v>
      </c>
      <c r="E80" s="7" t="s">
        <v>3858</v>
      </c>
      <c r="F80" s="7" t="s">
        <v>1682</v>
      </c>
      <c r="G80" s="7">
        <v>0</v>
      </c>
      <c r="H80" s="7">
        <v>4367</v>
      </c>
      <c r="I80" s="7">
        <v>0</v>
      </c>
      <c r="J80" s="7">
        <v>5000</v>
      </c>
      <c r="K80" s="7">
        <v>5000</v>
      </c>
      <c r="L80" s="7">
        <v>5000</v>
      </c>
      <c r="M80" s="8">
        <v>4367</v>
      </c>
      <c r="N80" s="8">
        <v>0</v>
      </c>
      <c r="O80" s="8">
        <v>4367</v>
      </c>
      <c r="P80" s="8">
        <v>0</v>
      </c>
      <c r="Q80" s="8">
        <v>4367</v>
      </c>
      <c r="R80" s="8">
        <v>4367</v>
      </c>
      <c r="S80" s="8">
        <v>4367</v>
      </c>
      <c r="T80" s="123">
        <v>45569</v>
      </c>
    </row>
    <row r="81" spans="1:20" ht="13.5" customHeight="1">
      <c r="A81" s="7">
        <v>69</v>
      </c>
      <c r="B81" s="7"/>
      <c r="C81" s="7">
        <v>416192</v>
      </c>
      <c r="D81" s="7" t="s">
        <v>3565</v>
      </c>
      <c r="E81" s="7" t="s">
        <v>3859</v>
      </c>
      <c r="F81" s="7" t="s">
        <v>1682</v>
      </c>
      <c r="G81" s="7">
        <v>0</v>
      </c>
      <c r="H81" s="7">
        <v>2902</v>
      </c>
      <c r="I81" s="7">
        <v>0</v>
      </c>
      <c r="J81" s="7">
        <v>3300</v>
      </c>
      <c r="K81" s="7">
        <v>3300</v>
      </c>
      <c r="L81" s="7">
        <v>3300</v>
      </c>
      <c r="M81" s="8">
        <v>2902</v>
      </c>
      <c r="N81" s="8">
        <v>0</v>
      </c>
      <c r="O81" s="8">
        <v>2902</v>
      </c>
      <c r="P81" s="8">
        <v>0</v>
      </c>
      <c r="Q81" s="8">
        <v>2902</v>
      </c>
      <c r="R81" s="8">
        <v>2902</v>
      </c>
      <c r="S81" s="8">
        <v>2902</v>
      </c>
      <c r="T81" s="123">
        <v>45569</v>
      </c>
    </row>
    <row r="82" spans="1:20" ht="13.5" customHeight="1">
      <c r="A82" s="7">
        <v>70</v>
      </c>
      <c r="B82" s="7"/>
      <c r="C82" s="7">
        <v>416193</v>
      </c>
      <c r="D82" s="7" t="s">
        <v>3566</v>
      </c>
      <c r="E82" s="7" t="s">
        <v>3860</v>
      </c>
      <c r="F82" s="7" t="s">
        <v>1682</v>
      </c>
      <c r="G82" s="7">
        <v>0</v>
      </c>
      <c r="H82" s="7">
        <v>4146</v>
      </c>
      <c r="I82" s="7">
        <v>0</v>
      </c>
      <c r="J82" s="7">
        <v>4500</v>
      </c>
      <c r="K82" s="7">
        <v>4500</v>
      </c>
      <c r="L82" s="7">
        <v>4500</v>
      </c>
      <c r="M82" s="8">
        <v>4146</v>
      </c>
      <c r="N82" s="8">
        <v>0</v>
      </c>
      <c r="O82" s="8">
        <v>4146</v>
      </c>
      <c r="P82" s="8">
        <v>0</v>
      </c>
      <c r="Q82" s="8">
        <v>4146</v>
      </c>
      <c r="R82" s="8">
        <v>4146</v>
      </c>
      <c r="S82" s="8">
        <v>4146</v>
      </c>
      <c r="T82" s="123">
        <v>45569</v>
      </c>
    </row>
    <row r="83" spans="1:20" ht="13.5" customHeight="1">
      <c r="A83" s="7">
        <v>71</v>
      </c>
      <c r="B83" s="7"/>
      <c r="C83" s="7">
        <v>416194</v>
      </c>
      <c r="D83" s="7" t="s">
        <v>3567</v>
      </c>
      <c r="E83" s="7" t="s">
        <v>3861</v>
      </c>
      <c r="F83" s="7" t="s">
        <v>1682</v>
      </c>
      <c r="G83" s="7">
        <v>0</v>
      </c>
      <c r="H83" s="7">
        <v>4131</v>
      </c>
      <c r="I83" s="7">
        <v>0</v>
      </c>
      <c r="J83" s="7">
        <v>5000</v>
      </c>
      <c r="K83" s="7">
        <v>5000</v>
      </c>
      <c r="L83" s="7">
        <v>5000</v>
      </c>
      <c r="M83" s="8">
        <v>4131</v>
      </c>
      <c r="N83" s="8">
        <v>0</v>
      </c>
      <c r="O83" s="8">
        <v>4131</v>
      </c>
      <c r="P83" s="8">
        <v>0</v>
      </c>
      <c r="Q83" s="8">
        <v>4131</v>
      </c>
      <c r="R83" s="8">
        <v>4131</v>
      </c>
      <c r="S83" s="8">
        <v>4131</v>
      </c>
      <c r="T83" s="123">
        <v>45569</v>
      </c>
    </row>
    <row r="84" spans="1:20" ht="13.5" customHeight="1">
      <c r="A84" s="7">
        <v>72</v>
      </c>
      <c r="B84" s="7"/>
      <c r="C84" s="7">
        <v>416195</v>
      </c>
      <c r="D84" s="7" t="s">
        <v>3568</v>
      </c>
      <c r="E84" s="7" t="s">
        <v>3862</v>
      </c>
      <c r="F84" s="7" t="s">
        <v>1682</v>
      </c>
      <c r="G84" s="7">
        <v>0</v>
      </c>
      <c r="H84" s="7">
        <v>2843</v>
      </c>
      <c r="I84" s="7">
        <v>0</v>
      </c>
      <c r="J84" s="7">
        <v>3300</v>
      </c>
      <c r="K84" s="7">
        <v>3300</v>
      </c>
      <c r="L84" s="7">
        <v>3300</v>
      </c>
      <c r="M84" s="8">
        <v>2843</v>
      </c>
      <c r="N84" s="8">
        <v>0</v>
      </c>
      <c r="O84" s="8">
        <v>2843</v>
      </c>
      <c r="P84" s="8">
        <v>0</v>
      </c>
      <c r="Q84" s="8">
        <v>2843</v>
      </c>
      <c r="R84" s="8">
        <v>2843</v>
      </c>
      <c r="S84" s="8">
        <v>2843</v>
      </c>
      <c r="T84" s="123">
        <v>45569</v>
      </c>
    </row>
    <row r="85" spans="1:20" ht="13.5" customHeight="1">
      <c r="A85" s="7">
        <v>73</v>
      </c>
      <c r="B85" s="7"/>
      <c r="C85" s="7">
        <v>416196</v>
      </c>
      <c r="D85" s="7" t="s">
        <v>3569</v>
      </c>
      <c r="E85" s="7" t="s">
        <v>3863</v>
      </c>
      <c r="F85" s="7" t="s">
        <v>1682</v>
      </c>
      <c r="G85" s="7">
        <v>0</v>
      </c>
      <c r="H85" s="7">
        <v>3244</v>
      </c>
      <c r="I85" s="7">
        <v>0</v>
      </c>
      <c r="J85" s="7">
        <v>4000</v>
      </c>
      <c r="K85" s="7">
        <v>4000</v>
      </c>
      <c r="L85" s="7">
        <v>4000</v>
      </c>
      <c r="M85" s="8">
        <v>3244</v>
      </c>
      <c r="N85" s="8">
        <v>0</v>
      </c>
      <c r="O85" s="8">
        <v>3244</v>
      </c>
      <c r="P85" s="8">
        <v>0</v>
      </c>
      <c r="Q85" s="8">
        <v>3244</v>
      </c>
      <c r="R85" s="8">
        <v>3244</v>
      </c>
      <c r="S85" s="8">
        <v>3244</v>
      </c>
      <c r="T85" s="123">
        <v>45569</v>
      </c>
    </row>
    <row r="86" spans="1:20" ht="13.5" customHeight="1">
      <c r="A86" s="7">
        <v>74</v>
      </c>
      <c r="B86" s="7"/>
      <c r="C86" s="7">
        <v>416197</v>
      </c>
      <c r="D86" s="7" t="s">
        <v>3570</v>
      </c>
      <c r="E86" s="7" t="s">
        <v>3864</v>
      </c>
      <c r="F86" s="7" t="s">
        <v>1682</v>
      </c>
      <c r="G86" s="7">
        <v>0</v>
      </c>
      <c r="H86" s="7">
        <v>3978</v>
      </c>
      <c r="I86" s="7">
        <v>0</v>
      </c>
      <c r="J86" s="7">
        <v>5000</v>
      </c>
      <c r="K86" s="7">
        <v>5000</v>
      </c>
      <c r="L86" s="7">
        <v>5000</v>
      </c>
      <c r="M86" s="8">
        <v>3978</v>
      </c>
      <c r="N86" s="8">
        <v>0</v>
      </c>
      <c r="O86" s="8">
        <v>3978</v>
      </c>
      <c r="P86" s="8">
        <v>0</v>
      </c>
      <c r="Q86" s="8">
        <v>3978</v>
      </c>
      <c r="R86" s="8">
        <v>3978</v>
      </c>
      <c r="S86" s="8">
        <v>3978</v>
      </c>
      <c r="T86" s="123">
        <v>45569</v>
      </c>
    </row>
    <row r="87" spans="1:20" ht="13.5" customHeight="1">
      <c r="A87" s="7">
        <v>75</v>
      </c>
      <c r="B87" s="7"/>
      <c r="C87" s="7">
        <v>416198</v>
      </c>
      <c r="D87" s="7" t="s">
        <v>3571</v>
      </c>
      <c r="E87" s="7" t="s">
        <v>3865</v>
      </c>
      <c r="F87" s="7" t="s">
        <v>1682</v>
      </c>
      <c r="G87" s="7">
        <v>0</v>
      </c>
      <c r="H87" s="7">
        <v>3420</v>
      </c>
      <c r="I87" s="7">
        <v>0</v>
      </c>
      <c r="J87" s="7">
        <v>4600</v>
      </c>
      <c r="K87" s="7">
        <v>4600</v>
      </c>
      <c r="L87" s="7">
        <v>4600</v>
      </c>
      <c r="M87" s="8">
        <v>3420</v>
      </c>
      <c r="N87" s="8">
        <v>0</v>
      </c>
      <c r="O87" s="8">
        <v>3420</v>
      </c>
      <c r="P87" s="8">
        <v>0</v>
      </c>
      <c r="Q87" s="8">
        <v>3420</v>
      </c>
      <c r="R87" s="8">
        <v>3420</v>
      </c>
      <c r="S87" s="8">
        <v>3420</v>
      </c>
      <c r="T87" s="123">
        <v>45569</v>
      </c>
    </row>
    <row r="88" spans="1:20" ht="13.5" customHeight="1">
      <c r="A88" s="7">
        <v>76</v>
      </c>
      <c r="B88" s="7"/>
      <c r="C88" s="7">
        <v>416199</v>
      </c>
      <c r="D88" s="7" t="s">
        <v>3572</v>
      </c>
      <c r="E88" s="7">
        <v>630003</v>
      </c>
      <c r="F88" s="7" t="s">
        <v>1682</v>
      </c>
      <c r="G88" s="7">
        <v>0</v>
      </c>
      <c r="H88" s="7">
        <v>5137</v>
      </c>
      <c r="I88" s="7">
        <v>0</v>
      </c>
      <c r="J88" s="7">
        <v>6000</v>
      </c>
      <c r="K88" s="7">
        <v>6000</v>
      </c>
      <c r="L88" s="7">
        <v>6000</v>
      </c>
      <c r="M88" s="8">
        <v>5137</v>
      </c>
      <c r="N88" s="8">
        <v>0</v>
      </c>
      <c r="O88" s="8">
        <v>5137</v>
      </c>
      <c r="P88" s="8">
        <v>0</v>
      </c>
      <c r="Q88" s="8">
        <v>5137</v>
      </c>
      <c r="R88" s="8">
        <v>5137</v>
      </c>
      <c r="S88" s="8">
        <v>5137</v>
      </c>
      <c r="T88" s="123">
        <v>45569</v>
      </c>
    </row>
    <row r="89" spans="1:20" ht="13.5" customHeight="1">
      <c r="A89" s="7">
        <v>77</v>
      </c>
      <c r="B89" s="7"/>
      <c r="C89" s="7">
        <v>416200</v>
      </c>
      <c r="D89" s="7" t="s">
        <v>3573</v>
      </c>
      <c r="E89" s="7" t="s">
        <v>3866</v>
      </c>
      <c r="F89" s="7" t="s">
        <v>1682</v>
      </c>
      <c r="G89" s="7">
        <v>0</v>
      </c>
      <c r="H89" s="7">
        <v>6162</v>
      </c>
      <c r="I89" s="7">
        <v>0</v>
      </c>
      <c r="J89" s="7">
        <v>7200</v>
      </c>
      <c r="K89" s="7">
        <v>7200</v>
      </c>
      <c r="L89" s="7">
        <v>7200</v>
      </c>
      <c r="M89" s="8">
        <v>6162</v>
      </c>
      <c r="N89" s="8">
        <v>0</v>
      </c>
      <c r="O89" s="8">
        <v>6162</v>
      </c>
      <c r="P89" s="8">
        <v>0</v>
      </c>
      <c r="Q89" s="8">
        <v>6162</v>
      </c>
      <c r="R89" s="8">
        <v>6162</v>
      </c>
      <c r="S89" s="8">
        <v>6162</v>
      </c>
      <c r="T89" s="123">
        <v>45569</v>
      </c>
    </row>
    <row r="90" spans="1:20" ht="13.5" customHeight="1">
      <c r="A90" s="7">
        <v>78</v>
      </c>
      <c r="B90" s="7"/>
      <c r="C90" s="7">
        <v>416201</v>
      </c>
      <c r="D90" s="7" t="s">
        <v>3574</v>
      </c>
      <c r="E90" s="7" t="s">
        <v>3867</v>
      </c>
      <c r="F90" s="7" t="s">
        <v>1682</v>
      </c>
      <c r="G90" s="7">
        <v>0</v>
      </c>
      <c r="H90" s="7">
        <v>3742</v>
      </c>
      <c r="I90" s="7">
        <v>0</v>
      </c>
      <c r="J90" s="7">
        <v>4600</v>
      </c>
      <c r="K90" s="7">
        <v>4600</v>
      </c>
      <c r="L90" s="7">
        <v>4600</v>
      </c>
      <c r="M90" s="8">
        <v>3742</v>
      </c>
      <c r="N90" s="8">
        <v>0</v>
      </c>
      <c r="O90" s="8">
        <v>3742</v>
      </c>
      <c r="P90" s="8">
        <v>0</v>
      </c>
      <c r="Q90" s="8">
        <v>3742</v>
      </c>
      <c r="R90" s="8">
        <v>3742</v>
      </c>
      <c r="S90" s="8">
        <v>3742</v>
      </c>
      <c r="T90" s="123">
        <v>45569</v>
      </c>
    </row>
    <row r="91" spans="1:20" ht="13.5" customHeight="1">
      <c r="A91" s="7">
        <v>79</v>
      </c>
      <c r="B91" s="7"/>
      <c r="C91" s="7">
        <v>416202</v>
      </c>
      <c r="D91" s="7" t="s">
        <v>3575</v>
      </c>
      <c r="E91" s="7" t="s">
        <v>3868</v>
      </c>
      <c r="F91" s="7" t="s">
        <v>1682</v>
      </c>
      <c r="G91" s="7">
        <v>0</v>
      </c>
      <c r="H91" s="7">
        <v>4211</v>
      </c>
      <c r="I91" s="7">
        <v>0</v>
      </c>
      <c r="J91" s="7">
        <v>5000</v>
      </c>
      <c r="K91" s="7">
        <v>5000</v>
      </c>
      <c r="L91" s="7">
        <v>5000</v>
      </c>
      <c r="M91" s="8">
        <v>4211</v>
      </c>
      <c r="N91" s="8">
        <v>0</v>
      </c>
      <c r="O91" s="8">
        <v>4211</v>
      </c>
      <c r="P91" s="8">
        <v>0</v>
      </c>
      <c r="Q91" s="8">
        <v>4211</v>
      </c>
      <c r="R91" s="8">
        <v>4211</v>
      </c>
      <c r="S91" s="8">
        <v>4211</v>
      </c>
      <c r="T91" s="123">
        <v>45569</v>
      </c>
    </row>
    <row r="92" spans="1:20" ht="13.5" customHeight="1">
      <c r="A92" s="7">
        <v>80</v>
      </c>
      <c r="B92" s="7"/>
      <c r="C92" s="7">
        <v>416203</v>
      </c>
      <c r="D92" s="7" t="s">
        <v>3960</v>
      </c>
      <c r="E92" s="7" t="s">
        <v>3869</v>
      </c>
      <c r="F92" s="7" t="s">
        <v>1682</v>
      </c>
      <c r="G92" s="7">
        <v>0</v>
      </c>
      <c r="H92" s="7">
        <v>3922</v>
      </c>
      <c r="I92" s="7">
        <v>0</v>
      </c>
      <c r="J92" s="7">
        <v>5000</v>
      </c>
      <c r="K92" s="7">
        <v>5000</v>
      </c>
      <c r="L92" s="7">
        <v>5000</v>
      </c>
      <c r="M92" s="8">
        <v>3922</v>
      </c>
      <c r="N92" s="8">
        <v>0</v>
      </c>
      <c r="O92" s="8">
        <v>3922</v>
      </c>
      <c r="P92" s="8">
        <v>0</v>
      </c>
      <c r="Q92" s="8">
        <v>3922</v>
      </c>
      <c r="R92" s="8">
        <v>3922</v>
      </c>
      <c r="S92" s="8">
        <v>3922</v>
      </c>
      <c r="T92" s="123">
        <v>45569</v>
      </c>
    </row>
    <row r="93" spans="1:20" ht="13.5" customHeight="1">
      <c r="A93" s="7">
        <v>81</v>
      </c>
      <c r="B93" s="7"/>
      <c r="C93" s="7">
        <v>416204</v>
      </c>
      <c r="D93" s="7" t="s">
        <v>3576</v>
      </c>
      <c r="E93" s="7" t="s">
        <v>3870</v>
      </c>
      <c r="F93" s="7" t="s">
        <v>1682</v>
      </c>
      <c r="G93" s="7">
        <v>0</v>
      </c>
      <c r="H93" s="7">
        <v>2600</v>
      </c>
      <c r="I93" s="7">
        <v>0</v>
      </c>
      <c r="J93" s="7">
        <v>3000</v>
      </c>
      <c r="K93" s="7">
        <v>3000</v>
      </c>
      <c r="L93" s="7">
        <v>3000</v>
      </c>
      <c r="M93" s="8">
        <v>2600</v>
      </c>
      <c r="N93" s="8">
        <v>0</v>
      </c>
      <c r="O93" s="8">
        <v>2600</v>
      </c>
      <c r="P93" s="8">
        <v>0</v>
      </c>
      <c r="Q93" s="8">
        <v>2600</v>
      </c>
      <c r="R93" s="8">
        <v>2600</v>
      </c>
      <c r="S93" s="8">
        <v>2600</v>
      </c>
      <c r="T93" s="123">
        <v>45569</v>
      </c>
    </row>
    <row r="94" spans="1:20" ht="13.5" customHeight="1">
      <c r="A94" s="7">
        <v>82</v>
      </c>
      <c r="B94" s="7"/>
      <c r="C94" s="7">
        <v>416205</v>
      </c>
      <c r="D94" s="7" t="s">
        <v>3577</v>
      </c>
      <c r="E94" s="7" t="s">
        <v>3871</v>
      </c>
      <c r="F94" s="7" t="s">
        <v>1682</v>
      </c>
      <c r="G94" s="7">
        <v>0</v>
      </c>
      <c r="H94" s="7">
        <v>6193</v>
      </c>
      <c r="I94" s="7">
        <v>0</v>
      </c>
      <c r="J94" s="7">
        <v>7500</v>
      </c>
      <c r="K94" s="7">
        <v>7500</v>
      </c>
      <c r="L94" s="7">
        <v>7500</v>
      </c>
      <c r="M94" s="8">
        <v>6193</v>
      </c>
      <c r="N94" s="8">
        <v>0</v>
      </c>
      <c r="O94" s="8">
        <v>6193</v>
      </c>
      <c r="P94" s="8">
        <v>0</v>
      </c>
      <c r="Q94" s="8">
        <v>6193</v>
      </c>
      <c r="R94" s="8">
        <v>6193</v>
      </c>
      <c r="S94" s="8">
        <v>6193</v>
      </c>
      <c r="T94" s="123">
        <v>45569</v>
      </c>
    </row>
    <row r="95" spans="1:20" ht="13.5" customHeight="1">
      <c r="A95" s="7">
        <v>83</v>
      </c>
      <c r="B95" s="7"/>
      <c r="C95" s="7">
        <v>416206</v>
      </c>
      <c r="D95" s="7" t="s">
        <v>3961</v>
      </c>
      <c r="E95" s="7">
        <v>106803</v>
      </c>
      <c r="F95" s="7" t="s">
        <v>1682</v>
      </c>
      <c r="G95" s="7">
        <v>0</v>
      </c>
      <c r="H95" s="7">
        <v>3850</v>
      </c>
      <c r="I95" s="7">
        <v>0</v>
      </c>
      <c r="J95" s="7">
        <v>4500</v>
      </c>
      <c r="K95" s="7">
        <v>4500</v>
      </c>
      <c r="L95" s="7">
        <v>4500</v>
      </c>
      <c r="M95" s="8">
        <v>3850</v>
      </c>
      <c r="N95" s="8">
        <v>0</v>
      </c>
      <c r="O95" s="8">
        <v>3850</v>
      </c>
      <c r="P95" s="8">
        <v>0</v>
      </c>
      <c r="Q95" s="8">
        <v>3850</v>
      </c>
      <c r="R95" s="8">
        <v>3850</v>
      </c>
      <c r="S95" s="8">
        <v>3850</v>
      </c>
      <c r="T95" s="123">
        <v>45569</v>
      </c>
    </row>
    <row r="96" spans="1:20" ht="13.5" customHeight="1">
      <c r="A96" s="7">
        <v>84</v>
      </c>
      <c r="B96" s="7"/>
      <c r="C96" s="7">
        <v>416207</v>
      </c>
      <c r="D96" s="7" t="s">
        <v>3578</v>
      </c>
      <c r="E96" s="7"/>
      <c r="F96" s="7" t="s">
        <v>1682</v>
      </c>
      <c r="G96" s="7">
        <v>0</v>
      </c>
      <c r="H96" s="7">
        <v>3632</v>
      </c>
      <c r="I96" s="7">
        <v>0</v>
      </c>
      <c r="J96" s="7">
        <v>4300</v>
      </c>
      <c r="K96" s="7">
        <v>4300</v>
      </c>
      <c r="L96" s="7">
        <v>4300</v>
      </c>
      <c r="M96" s="8">
        <v>3632</v>
      </c>
      <c r="N96" s="8">
        <v>0</v>
      </c>
      <c r="O96" s="8">
        <v>3632</v>
      </c>
      <c r="P96" s="8">
        <v>0</v>
      </c>
      <c r="Q96" s="8">
        <v>3632</v>
      </c>
      <c r="R96" s="8">
        <v>3632</v>
      </c>
      <c r="S96" s="8">
        <v>3632</v>
      </c>
      <c r="T96" s="123">
        <v>45569</v>
      </c>
    </row>
    <row r="97" spans="1:20" ht="13.5" customHeight="1">
      <c r="A97" s="7">
        <v>85</v>
      </c>
      <c r="B97" s="7"/>
      <c r="C97" s="7">
        <v>416208</v>
      </c>
      <c r="D97" s="7" t="s">
        <v>3579</v>
      </c>
      <c r="E97" s="7" t="s">
        <v>3872</v>
      </c>
      <c r="F97" s="7" t="s">
        <v>1682</v>
      </c>
      <c r="G97" s="7">
        <v>0</v>
      </c>
      <c r="H97" s="7">
        <v>4200</v>
      </c>
      <c r="I97" s="7">
        <v>0</v>
      </c>
      <c r="J97" s="7">
        <v>5000</v>
      </c>
      <c r="K97" s="7">
        <v>5000</v>
      </c>
      <c r="L97" s="7">
        <v>5000</v>
      </c>
      <c r="M97" s="8">
        <v>4200</v>
      </c>
      <c r="N97" s="8">
        <v>0</v>
      </c>
      <c r="O97" s="8">
        <v>4200</v>
      </c>
      <c r="P97" s="8">
        <v>0</v>
      </c>
      <c r="Q97" s="8">
        <v>4200</v>
      </c>
      <c r="R97" s="8">
        <v>4200</v>
      </c>
      <c r="S97" s="8">
        <v>4200</v>
      </c>
      <c r="T97" s="123">
        <v>45569</v>
      </c>
    </row>
    <row r="98" spans="1:20" ht="13.5" customHeight="1">
      <c r="A98" s="7">
        <v>86</v>
      </c>
      <c r="B98" s="7"/>
      <c r="C98" s="7">
        <v>416209</v>
      </c>
      <c r="D98" s="7" t="s">
        <v>3580</v>
      </c>
      <c r="E98" s="7" t="s">
        <v>3873</v>
      </c>
      <c r="F98" s="7" t="s">
        <v>1682</v>
      </c>
      <c r="G98" s="7">
        <v>0</v>
      </c>
      <c r="H98" s="7">
        <v>2847</v>
      </c>
      <c r="I98" s="7">
        <v>0</v>
      </c>
      <c r="J98" s="7">
        <v>3400</v>
      </c>
      <c r="K98" s="7">
        <v>3400</v>
      </c>
      <c r="L98" s="7">
        <v>3400</v>
      </c>
      <c r="M98" s="8">
        <v>2847</v>
      </c>
      <c r="N98" s="8">
        <v>0</v>
      </c>
      <c r="O98" s="8">
        <v>2847</v>
      </c>
      <c r="P98" s="8">
        <v>0</v>
      </c>
      <c r="Q98" s="8">
        <v>2847</v>
      </c>
      <c r="R98" s="8">
        <v>2847</v>
      </c>
      <c r="S98" s="8">
        <v>2847</v>
      </c>
      <c r="T98" s="123">
        <v>45569</v>
      </c>
    </row>
    <row r="99" spans="1:20" ht="13.5" customHeight="1">
      <c r="A99" s="7">
        <v>87</v>
      </c>
      <c r="B99" s="7"/>
      <c r="C99" s="7">
        <v>416210</v>
      </c>
      <c r="D99" s="7" t="s">
        <v>3581</v>
      </c>
      <c r="E99" s="7" t="s">
        <v>3874</v>
      </c>
      <c r="F99" s="7" t="s">
        <v>1682</v>
      </c>
      <c r="G99" s="7">
        <v>0</v>
      </c>
      <c r="H99" s="7">
        <v>2567</v>
      </c>
      <c r="I99" s="7">
        <v>0</v>
      </c>
      <c r="J99" s="7">
        <v>3000</v>
      </c>
      <c r="K99" s="7">
        <v>3000</v>
      </c>
      <c r="L99" s="7">
        <v>3000</v>
      </c>
      <c r="M99" s="8">
        <v>2567</v>
      </c>
      <c r="N99" s="8">
        <v>0</v>
      </c>
      <c r="O99" s="8">
        <v>2567</v>
      </c>
      <c r="P99" s="8">
        <v>0</v>
      </c>
      <c r="Q99" s="8">
        <v>2567</v>
      </c>
      <c r="R99" s="8">
        <v>2567</v>
      </c>
      <c r="S99" s="8">
        <v>2567</v>
      </c>
      <c r="T99" s="123">
        <v>45569</v>
      </c>
    </row>
    <row r="100" spans="1:20" ht="13.5" customHeight="1">
      <c r="A100" s="7">
        <v>88</v>
      </c>
      <c r="B100" s="7"/>
      <c r="C100" s="7">
        <v>416211</v>
      </c>
      <c r="D100" s="7" t="s">
        <v>3582</v>
      </c>
      <c r="E100" s="7" t="s">
        <v>3875</v>
      </c>
      <c r="F100" s="7" t="s">
        <v>1682</v>
      </c>
      <c r="G100" s="7">
        <v>0</v>
      </c>
      <c r="H100" s="7">
        <v>2881</v>
      </c>
      <c r="I100" s="7">
        <v>0</v>
      </c>
      <c r="J100" s="7">
        <v>3100</v>
      </c>
      <c r="K100" s="7">
        <v>3100</v>
      </c>
      <c r="L100" s="7">
        <v>3100</v>
      </c>
      <c r="M100" s="8">
        <v>2881</v>
      </c>
      <c r="N100" s="8">
        <v>0</v>
      </c>
      <c r="O100" s="8">
        <v>2881</v>
      </c>
      <c r="P100" s="8">
        <v>0</v>
      </c>
      <c r="Q100" s="8">
        <v>2881</v>
      </c>
      <c r="R100" s="8">
        <v>2881</v>
      </c>
      <c r="S100" s="8">
        <v>2881</v>
      </c>
      <c r="T100" s="123">
        <v>45569</v>
      </c>
    </row>
    <row r="101" spans="1:20" ht="13.5" customHeight="1">
      <c r="A101" s="7">
        <v>89</v>
      </c>
      <c r="B101" s="7"/>
      <c r="C101" s="7">
        <v>416212</v>
      </c>
      <c r="D101" s="7" t="s">
        <v>3962</v>
      </c>
      <c r="E101" s="7" t="s">
        <v>3876</v>
      </c>
      <c r="F101" s="7" t="s">
        <v>1682</v>
      </c>
      <c r="G101" s="7">
        <v>0</v>
      </c>
      <c r="H101" s="7">
        <v>3729</v>
      </c>
      <c r="I101" s="7">
        <v>0</v>
      </c>
      <c r="J101" s="7">
        <v>4700</v>
      </c>
      <c r="K101" s="7">
        <v>4700</v>
      </c>
      <c r="L101" s="7">
        <v>4700</v>
      </c>
      <c r="M101" s="8">
        <v>3729</v>
      </c>
      <c r="N101" s="8">
        <v>0</v>
      </c>
      <c r="O101" s="8">
        <v>3729</v>
      </c>
      <c r="P101" s="8">
        <v>0</v>
      </c>
      <c r="Q101" s="8">
        <v>3729</v>
      </c>
      <c r="R101" s="8">
        <v>3729</v>
      </c>
      <c r="S101" s="8">
        <v>3729</v>
      </c>
      <c r="T101" s="123">
        <v>45569</v>
      </c>
    </row>
    <row r="102" spans="1:20" ht="13.5" customHeight="1">
      <c r="A102" s="7">
        <v>90</v>
      </c>
      <c r="B102" s="7"/>
      <c r="C102" s="7">
        <v>416213</v>
      </c>
      <c r="D102" s="7" t="s">
        <v>3583</v>
      </c>
      <c r="E102" s="7" t="s">
        <v>3877</v>
      </c>
      <c r="F102" s="7" t="s">
        <v>1682</v>
      </c>
      <c r="G102" s="7">
        <v>0</v>
      </c>
      <c r="H102" s="7">
        <v>3476</v>
      </c>
      <c r="I102" s="7">
        <v>0</v>
      </c>
      <c r="J102" s="7">
        <v>4200</v>
      </c>
      <c r="K102" s="7">
        <v>4200</v>
      </c>
      <c r="L102" s="7">
        <v>4200</v>
      </c>
      <c r="M102" s="8">
        <v>3476</v>
      </c>
      <c r="N102" s="8">
        <v>0</v>
      </c>
      <c r="O102" s="8">
        <v>3476</v>
      </c>
      <c r="P102" s="8">
        <v>0</v>
      </c>
      <c r="Q102" s="8">
        <v>3476</v>
      </c>
      <c r="R102" s="8">
        <v>3476</v>
      </c>
      <c r="S102" s="8">
        <v>3476</v>
      </c>
      <c r="T102" s="123">
        <v>45569</v>
      </c>
    </row>
    <row r="103" spans="1:20" ht="13.5" customHeight="1">
      <c r="A103" s="7">
        <v>91</v>
      </c>
      <c r="B103" s="7"/>
      <c r="C103" s="7">
        <v>416214</v>
      </c>
      <c r="D103" s="7" t="s">
        <v>3963</v>
      </c>
      <c r="E103" s="7" t="s">
        <v>3878</v>
      </c>
      <c r="F103" s="7" t="s">
        <v>1682</v>
      </c>
      <c r="G103" s="7">
        <v>0</v>
      </c>
      <c r="H103" s="7">
        <v>2520</v>
      </c>
      <c r="I103" s="7">
        <v>0</v>
      </c>
      <c r="J103" s="7">
        <v>3000</v>
      </c>
      <c r="K103" s="7">
        <v>3000</v>
      </c>
      <c r="L103" s="7">
        <v>3000</v>
      </c>
      <c r="M103" s="8">
        <v>2520</v>
      </c>
      <c r="N103" s="8">
        <v>0</v>
      </c>
      <c r="O103" s="8">
        <v>2520</v>
      </c>
      <c r="P103" s="8">
        <v>0</v>
      </c>
      <c r="Q103" s="8">
        <v>2520</v>
      </c>
      <c r="R103" s="8">
        <v>2520</v>
      </c>
      <c r="S103" s="8">
        <v>2520</v>
      </c>
      <c r="T103" s="123">
        <v>45569</v>
      </c>
    </row>
    <row r="104" spans="1:20" ht="13.5" customHeight="1">
      <c r="A104" s="7">
        <v>92</v>
      </c>
      <c r="B104" s="7"/>
      <c r="C104" s="7">
        <v>416215</v>
      </c>
      <c r="D104" s="7" t="s">
        <v>3964</v>
      </c>
      <c r="E104" s="7" t="s">
        <v>3879</v>
      </c>
      <c r="F104" s="7" t="s">
        <v>1682</v>
      </c>
      <c r="G104" s="7">
        <v>0</v>
      </c>
      <c r="H104" s="7">
        <v>3224</v>
      </c>
      <c r="I104" s="7">
        <v>0</v>
      </c>
      <c r="J104" s="7">
        <v>3980</v>
      </c>
      <c r="K104" s="7">
        <v>3980</v>
      </c>
      <c r="L104" s="7">
        <v>3980</v>
      </c>
      <c r="M104" s="8">
        <v>3224</v>
      </c>
      <c r="N104" s="8">
        <v>0</v>
      </c>
      <c r="O104" s="8">
        <v>3224</v>
      </c>
      <c r="P104" s="8">
        <v>0</v>
      </c>
      <c r="Q104" s="8">
        <v>3224</v>
      </c>
      <c r="R104" s="8">
        <v>3224</v>
      </c>
      <c r="S104" s="8">
        <v>3224</v>
      </c>
      <c r="T104" s="123">
        <v>45569</v>
      </c>
    </row>
    <row r="105" spans="1:20" ht="13.5" customHeight="1">
      <c r="A105" s="7">
        <v>93</v>
      </c>
      <c r="B105" s="7"/>
      <c r="C105" s="7">
        <v>416216</v>
      </c>
      <c r="D105" s="7" t="s">
        <v>3584</v>
      </c>
      <c r="E105" s="7"/>
      <c r="F105" s="7" t="s">
        <v>1682</v>
      </c>
      <c r="G105" s="7">
        <v>0</v>
      </c>
      <c r="H105" s="7">
        <v>2797</v>
      </c>
      <c r="I105" s="7">
        <v>0</v>
      </c>
      <c r="J105" s="7">
        <v>3240</v>
      </c>
      <c r="K105" s="7">
        <v>3240</v>
      </c>
      <c r="L105" s="7">
        <v>3240</v>
      </c>
      <c r="M105" s="8">
        <v>2797</v>
      </c>
      <c r="N105" s="8">
        <v>0</v>
      </c>
      <c r="O105" s="8">
        <v>2797</v>
      </c>
      <c r="P105" s="8">
        <v>0</v>
      </c>
      <c r="Q105" s="8">
        <v>2797</v>
      </c>
      <c r="R105" s="8">
        <v>2797</v>
      </c>
      <c r="S105" s="8">
        <v>2797</v>
      </c>
      <c r="T105" s="123">
        <v>45569</v>
      </c>
    </row>
    <row r="106" spans="1:20" ht="13.5" customHeight="1">
      <c r="A106" s="7">
        <v>94</v>
      </c>
      <c r="B106" s="7"/>
      <c r="C106" s="7">
        <v>416217</v>
      </c>
      <c r="D106" s="7" t="s">
        <v>3585</v>
      </c>
      <c r="E106" s="7" t="s">
        <v>3880</v>
      </c>
      <c r="F106" s="7" t="s">
        <v>1682</v>
      </c>
      <c r="G106" s="7">
        <v>0</v>
      </c>
      <c r="H106" s="7">
        <v>3068</v>
      </c>
      <c r="I106" s="7">
        <v>0</v>
      </c>
      <c r="J106" s="7">
        <v>3700</v>
      </c>
      <c r="K106" s="7">
        <v>3700</v>
      </c>
      <c r="L106" s="7">
        <v>3700</v>
      </c>
      <c r="M106" s="8">
        <v>3068</v>
      </c>
      <c r="N106" s="8">
        <v>0</v>
      </c>
      <c r="O106" s="8">
        <v>3068</v>
      </c>
      <c r="P106" s="8">
        <v>0</v>
      </c>
      <c r="Q106" s="8">
        <v>3068</v>
      </c>
      <c r="R106" s="8">
        <v>3068</v>
      </c>
      <c r="S106" s="8">
        <v>3068</v>
      </c>
      <c r="T106" s="123">
        <v>45569</v>
      </c>
    </row>
    <row r="107" spans="1:20" ht="13.5" customHeight="1">
      <c r="A107" s="7">
        <v>95</v>
      </c>
      <c r="B107" s="7"/>
      <c r="C107" s="7">
        <v>416218</v>
      </c>
      <c r="D107" s="7" t="s">
        <v>3586</v>
      </c>
      <c r="E107" s="7" t="s">
        <v>3881</v>
      </c>
      <c r="F107" s="7" t="s">
        <v>1682</v>
      </c>
      <c r="G107" s="7">
        <v>0</v>
      </c>
      <c r="H107" s="7">
        <v>3224</v>
      </c>
      <c r="I107" s="7">
        <v>0</v>
      </c>
      <c r="J107" s="7">
        <v>3400</v>
      </c>
      <c r="K107" s="7">
        <v>3400</v>
      </c>
      <c r="L107" s="7">
        <v>3400</v>
      </c>
      <c r="M107" s="8">
        <v>3224</v>
      </c>
      <c r="N107" s="8">
        <v>0</v>
      </c>
      <c r="O107" s="8">
        <v>3224</v>
      </c>
      <c r="P107" s="8">
        <v>0</v>
      </c>
      <c r="Q107" s="8">
        <v>3224</v>
      </c>
      <c r="R107" s="8">
        <v>3224</v>
      </c>
      <c r="S107" s="8">
        <v>3224</v>
      </c>
      <c r="T107" s="123">
        <v>45569</v>
      </c>
    </row>
    <row r="108" spans="1:20" ht="13.5" customHeight="1">
      <c r="A108" s="7">
        <v>96</v>
      </c>
      <c r="B108" s="7"/>
      <c r="C108" s="7">
        <v>416219</v>
      </c>
      <c r="D108" s="7" t="s">
        <v>3965</v>
      </c>
      <c r="E108" s="7" t="s">
        <v>3882</v>
      </c>
      <c r="F108" s="7" t="s">
        <v>1682</v>
      </c>
      <c r="G108" s="7">
        <v>0</v>
      </c>
      <c r="H108" s="7">
        <v>3334</v>
      </c>
      <c r="I108" s="7">
        <v>0</v>
      </c>
      <c r="J108" s="7">
        <v>3700</v>
      </c>
      <c r="K108" s="7">
        <v>3700</v>
      </c>
      <c r="L108" s="7">
        <v>3700</v>
      </c>
      <c r="M108" s="8">
        <v>3334</v>
      </c>
      <c r="N108" s="8">
        <v>0</v>
      </c>
      <c r="O108" s="8">
        <v>3334</v>
      </c>
      <c r="P108" s="8">
        <v>0</v>
      </c>
      <c r="Q108" s="8">
        <v>3334</v>
      </c>
      <c r="R108" s="8">
        <v>3334</v>
      </c>
      <c r="S108" s="8">
        <v>3334</v>
      </c>
      <c r="T108" s="123">
        <v>45569</v>
      </c>
    </row>
    <row r="109" spans="1:20" ht="13.5" customHeight="1">
      <c r="A109" s="7">
        <v>97</v>
      </c>
      <c r="B109" s="7"/>
      <c r="C109" s="7">
        <v>416220</v>
      </c>
      <c r="D109" s="7" t="s">
        <v>3587</v>
      </c>
      <c r="E109" s="7" t="s">
        <v>3883</v>
      </c>
      <c r="F109" s="7" t="s">
        <v>1682</v>
      </c>
      <c r="G109" s="7">
        <v>0</v>
      </c>
      <c r="H109" s="7">
        <v>2774</v>
      </c>
      <c r="I109" s="7">
        <v>0</v>
      </c>
      <c r="J109" s="7">
        <v>3400</v>
      </c>
      <c r="K109" s="7">
        <v>3400</v>
      </c>
      <c r="L109" s="7">
        <v>3400</v>
      </c>
      <c r="M109" s="8">
        <v>2774</v>
      </c>
      <c r="N109" s="8">
        <v>0</v>
      </c>
      <c r="O109" s="8">
        <v>2774</v>
      </c>
      <c r="P109" s="8">
        <v>0</v>
      </c>
      <c r="Q109" s="8">
        <v>2774</v>
      </c>
      <c r="R109" s="8">
        <v>2774</v>
      </c>
      <c r="S109" s="8">
        <v>2774</v>
      </c>
      <c r="T109" s="123">
        <v>45569</v>
      </c>
    </row>
    <row r="110" spans="1:20" ht="13.5" customHeight="1">
      <c r="A110" s="7">
        <v>98</v>
      </c>
      <c r="B110" s="7"/>
      <c r="C110" s="7">
        <v>416221</v>
      </c>
      <c r="D110" s="7" t="s">
        <v>3966</v>
      </c>
      <c r="E110" s="7" t="s">
        <v>3884</v>
      </c>
      <c r="F110" s="7" t="s">
        <v>1682</v>
      </c>
      <c r="G110" s="7">
        <v>0</v>
      </c>
      <c r="H110" s="7">
        <v>2868</v>
      </c>
      <c r="I110" s="7">
        <v>0</v>
      </c>
      <c r="J110" s="7">
        <v>3700</v>
      </c>
      <c r="K110" s="7">
        <v>3700</v>
      </c>
      <c r="L110" s="7">
        <v>3700</v>
      </c>
      <c r="M110" s="8">
        <v>2868</v>
      </c>
      <c r="N110" s="8">
        <v>0</v>
      </c>
      <c r="O110" s="8">
        <v>2868</v>
      </c>
      <c r="P110" s="8">
        <v>0</v>
      </c>
      <c r="Q110" s="8">
        <v>2868</v>
      </c>
      <c r="R110" s="8">
        <v>2868</v>
      </c>
      <c r="S110" s="8">
        <v>2868</v>
      </c>
      <c r="T110" s="123">
        <v>45569</v>
      </c>
    </row>
    <row r="111" spans="1:20" ht="13.5" customHeight="1">
      <c r="A111" s="7">
        <v>99</v>
      </c>
      <c r="B111" s="7"/>
      <c r="C111" s="7">
        <v>416222</v>
      </c>
      <c r="D111" s="7" t="s">
        <v>3967</v>
      </c>
      <c r="E111" s="7" t="s">
        <v>3885</v>
      </c>
      <c r="F111" s="7" t="s">
        <v>1682</v>
      </c>
      <c r="G111" s="7">
        <v>0</v>
      </c>
      <c r="H111" s="7">
        <v>3982</v>
      </c>
      <c r="I111" s="7">
        <v>0</v>
      </c>
      <c r="J111" s="7">
        <v>4450</v>
      </c>
      <c r="K111" s="7">
        <v>4450</v>
      </c>
      <c r="L111" s="7">
        <v>4450</v>
      </c>
      <c r="M111" s="8">
        <v>3982</v>
      </c>
      <c r="N111" s="8">
        <v>0</v>
      </c>
      <c r="O111" s="8">
        <v>3982</v>
      </c>
      <c r="P111" s="8">
        <v>0</v>
      </c>
      <c r="Q111" s="8">
        <v>3982</v>
      </c>
      <c r="R111" s="8">
        <v>3982</v>
      </c>
      <c r="S111" s="8">
        <v>3982</v>
      </c>
      <c r="T111" s="123">
        <v>45569</v>
      </c>
    </row>
    <row r="112" spans="1:20" ht="13.5" customHeight="1">
      <c r="A112" s="7">
        <v>100</v>
      </c>
      <c r="B112" s="7"/>
      <c r="C112" s="7">
        <v>416223</v>
      </c>
      <c r="D112" s="7" t="s">
        <v>3588</v>
      </c>
      <c r="E112" s="7" t="s">
        <v>3886</v>
      </c>
      <c r="F112" s="7" t="s">
        <v>1682</v>
      </c>
      <c r="G112" s="7">
        <v>0</v>
      </c>
      <c r="H112" s="7">
        <v>4351</v>
      </c>
      <c r="I112" s="7">
        <v>0</v>
      </c>
      <c r="J112" s="7">
        <v>5200</v>
      </c>
      <c r="K112" s="7">
        <v>5200</v>
      </c>
      <c r="L112" s="7">
        <v>5200</v>
      </c>
      <c r="M112" s="8">
        <v>4351</v>
      </c>
      <c r="N112" s="8">
        <v>0</v>
      </c>
      <c r="O112" s="8">
        <v>4351</v>
      </c>
      <c r="P112" s="8">
        <v>0</v>
      </c>
      <c r="Q112" s="8">
        <v>4351</v>
      </c>
      <c r="R112" s="8">
        <v>4351</v>
      </c>
      <c r="S112" s="8">
        <v>4351</v>
      </c>
      <c r="T112" s="123">
        <v>45569</v>
      </c>
    </row>
    <row r="113" spans="1:20" ht="13.5" customHeight="1">
      <c r="A113" s="7">
        <v>101</v>
      </c>
      <c r="B113" s="7"/>
      <c r="C113" s="7">
        <v>416224</v>
      </c>
      <c r="D113" s="7" t="s">
        <v>3968</v>
      </c>
      <c r="E113" s="7" t="s">
        <v>3887</v>
      </c>
      <c r="F113" s="7" t="s">
        <v>1682</v>
      </c>
      <c r="G113" s="7">
        <v>0</v>
      </c>
      <c r="H113" s="7">
        <v>4579</v>
      </c>
      <c r="I113" s="7">
        <v>0</v>
      </c>
      <c r="J113" s="7">
        <v>5700</v>
      </c>
      <c r="K113" s="7">
        <v>5700</v>
      </c>
      <c r="L113" s="7">
        <v>5700</v>
      </c>
      <c r="M113" s="8">
        <v>4579</v>
      </c>
      <c r="N113" s="8">
        <v>0</v>
      </c>
      <c r="O113" s="8">
        <v>4579</v>
      </c>
      <c r="P113" s="8">
        <v>0</v>
      </c>
      <c r="Q113" s="8">
        <v>4579</v>
      </c>
      <c r="R113" s="8">
        <v>4579</v>
      </c>
      <c r="S113" s="8">
        <v>4579</v>
      </c>
      <c r="T113" s="123">
        <v>45569</v>
      </c>
    </row>
    <row r="114" spans="1:20" ht="13.5" customHeight="1">
      <c r="A114" s="7">
        <v>102</v>
      </c>
      <c r="B114" s="7"/>
      <c r="C114" s="7">
        <v>416225</v>
      </c>
      <c r="D114" s="7" t="s">
        <v>3589</v>
      </c>
      <c r="E114" s="7" t="s">
        <v>3888</v>
      </c>
      <c r="F114" s="7" t="s">
        <v>1682</v>
      </c>
      <c r="G114" s="7">
        <v>0</v>
      </c>
      <c r="H114" s="7">
        <v>3390</v>
      </c>
      <c r="I114" s="7">
        <v>0</v>
      </c>
      <c r="J114" s="7">
        <v>4200</v>
      </c>
      <c r="K114" s="7">
        <v>4200</v>
      </c>
      <c r="L114" s="7">
        <v>4200</v>
      </c>
      <c r="M114" s="8">
        <v>3390</v>
      </c>
      <c r="N114" s="8">
        <v>0</v>
      </c>
      <c r="O114" s="8">
        <v>3390</v>
      </c>
      <c r="P114" s="8">
        <v>0</v>
      </c>
      <c r="Q114" s="8">
        <v>3390</v>
      </c>
      <c r="R114" s="8">
        <v>3390</v>
      </c>
      <c r="S114" s="8">
        <v>3390</v>
      </c>
      <c r="T114" s="123">
        <v>45569</v>
      </c>
    </row>
    <row r="115" spans="1:20" ht="13.5" customHeight="1">
      <c r="A115" s="7">
        <v>103</v>
      </c>
      <c r="B115" s="7"/>
      <c r="C115" s="7">
        <v>416226</v>
      </c>
      <c r="D115" s="7" t="s">
        <v>3590</v>
      </c>
      <c r="E115" s="7" t="s">
        <v>3889</v>
      </c>
      <c r="F115" s="7" t="s">
        <v>1682</v>
      </c>
      <c r="G115" s="7">
        <v>0</v>
      </c>
      <c r="H115" s="7">
        <v>4333</v>
      </c>
      <c r="I115" s="7">
        <v>0</v>
      </c>
      <c r="J115" s="7">
        <v>5200</v>
      </c>
      <c r="K115" s="7">
        <v>5200</v>
      </c>
      <c r="L115" s="7">
        <v>5200</v>
      </c>
      <c r="M115" s="8">
        <v>4333</v>
      </c>
      <c r="N115" s="8">
        <v>0</v>
      </c>
      <c r="O115" s="8">
        <v>4333</v>
      </c>
      <c r="P115" s="8">
        <v>0</v>
      </c>
      <c r="Q115" s="8">
        <v>4333</v>
      </c>
      <c r="R115" s="8">
        <v>4333</v>
      </c>
      <c r="S115" s="8">
        <v>4333</v>
      </c>
      <c r="T115" s="123">
        <v>45569</v>
      </c>
    </row>
    <row r="116" spans="1:20" ht="13.5" customHeight="1">
      <c r="A116" s="7">
        <v>104</v>
      </c>
      <c r="B116" s="7"/>
      <c r="C116" s="7">
        <v>416227</v>
      </c>
      <c r="D116" s="7" t="s">
        <v>3591</v>
      </c>
      <c r="E116" s="7" t="s">
        <v>3890</v>
      </c>
      <c r="F116" s="7" t="s">
        <v>1682</v>
      </c>
      <c r="G116" s="7">
        <v>0</v>
      </c>
      <c r="H116" s="7">
        <v>3068</v>
      </c>
      <c r="I116" s="7">
        <v>0</v>
      </c>
      <c r="J116" s="7">
        <v>3700</v>
      </c>
      <c r="K116" s="7">
        <v>3700</v>
      </c>
      <c r="L116" s="7">
        <v>3700</v>
      </c>
      <c r="M116" s="8">
        <v>3068</v>
      </c>
      <c r="N116" s="8">
        <v>0</v>
      </c>
      <c r="O116" s="8">
        <v>3068</v>
      </c>
      <c r="P116" s="8">
        <v>0</v>
      </c>
      <c r="Q116" s="8">
        <v>3068</v>
      </c>
      <c r="R116" s="8">
        <v>3068</v>
      </c>
      <c r="S116" s="8">
        <v>3068</v>
      </c>
      <c r="T116" s="123">
        <v>45569</v>
      </c>
    </row>
    <row r="117" spans="1:20" ht="13.5" customHeight="1">
      <c r="A117" s="7">
        <v>105</v>
      </c>
      <c r="B117" s="7"/>
      <c r="C117" s="7">
        <v>416228</v>
      </c>
      <c r="D117" s="7" t="s">
        <v>3592</v>
      </c>
      <c r="E117" s="7" t="s">
        <v>3891</v>
      </c>
      <c r="F117" s="7" t="s">
        <v>1682</v>
      </c>
      <c r="G117" s="7">
        <v>0</v>
      </c>
      <c r="H117" s="7">
        <v>3068</v>
      </c>
      <c r="I117" s="7">
        <v>0</v>
      </c>
      <c r="J117" s="7">
        <v>3700</v>
      </c>
      <c r="K117" s="7">
        <v>3700</v>
      </c>
      <c r="L117" s="7">
        <v>3700</v>
      </c>
      <c r="M117" s="8">
        <v>3068</v>
      </c>
      <c r="N117" s="8">
        <v>0</v>
      </c>
      <c r="O117" s="8">
        <v>3068</v>
      </c>
      <c r="P117" s="8">
        <v>0</v>
      </c>
      <c r="Q117" s="8">
        <v>3068</v>
      </c>
      <c r="R117" s="8">
        <v>3068</v>
      </c>
      <c r="S117" s="8">
        <v>3068</v>
      </c>
      <c r="T117" s="123">
        <v>45569</v>
      </c>
    </row>
    <row r="118" spans="1:20" ht="13.5" customHeight="1">
      <c r="A118" s="7">
        <v>106</v>
      </c>
      <c r="B118" s="7"/>
      <c r="C118" s="7">
        <v>416229</v>
      </c>
      <c r="D118" s="7" t="s">
        <v>3593</v>
      </c>
      <c r="E118" s="7" t="s">
        <v>3892</v>
      </c>
      <c r="F118" s="7" t="s">
        <v>1682</v>
      </c>
      <c r="G118" s="7">
        <v>0</v>
      </c>
      <c r="H118" s="7">
        <v>3068</v>
      </c>
      <c r="I118" s="7">
        <v>0</v>
      </c>
      <c r="J118" s="7">
        <v>3700</v>
      </c>
      <c r="K118" s="7">
        <v>3700</v>
      </c>
      <c r="L118" s="7">
        <v>3700</v>
      </c>
      <c r="M118" s="8">
        <v>3068</v>
      </c>
      <c r="N118" s="8">
        <v>0</v>
      </c>
      <c r="O118" s="8">
        <v>3068</v>
      </c>
      <c r="P118" s="8">
        <v>0</v>
      </c>
      <c r="Q118" s="8">
        <v>3068</v>
      </c>
      <c r="R118" s="8">
        <v>3068</v>
      </c>
      <c r="S118" s="8">
        <v>3068</v>
      </c>
      <c r="T118" s="123">
        <v>45569</v>
      </c>
    </row>
    <row r="119" spans="1:20" ht="13.5" customHeight="1">
      <c r="A119" s="7">
        <v>107</v>
      </c>
      <c r="B119" s="7"/>
      <c r="C119" s="7">
        <v>416230</v>
      </c>
      <c r="D119" s="7" t="s">
        <v>3594</v>
      </c>
      <c r="E119" s="7" t="s">
        <v>3893</v>
      </c>
      <c r="F119" s="7" t="s">
        <v>1682</v>
      </c>
      <c r="G119" s="7">
        <v>0</v>
      </c>
      <c r="H119" s="7">
        <v>3129</v>
      </c>
      <c r="I119" s="7">
        <v>0</v>
      </c>
      <c r="J119" s="7">
        <v>3700</v>
      </c>
      <c r="K119" s="7">
        <v>3700</v>
      </c>
      <c r="L119" s="7">
        <v>3700</v>
      </c>
      <c r="M119" s="8">
        <v>3129</v>
      </c>
      <c r="N119" s="8">
        <v>0</v>
      </c>
      <c r="O119" s="8">
        <v>3129</v>
      </c>
      <c r="P119" s="8">
        <v>0</v>
      </c>
      <c r="Q119" s="8">
        <v>3129</v>
      </c>
      <c r="R119" s="8">
        <v>3129</v>
      </c>
      <c r="S119" s="8">
        <v>3129</v>
      </c>
      <c r="T119" s="123">
        <v>45569</v>
      </c>
    </row>
    <row r="120" spans="1:20" ht="13.5" customHeight="1">
      <c r="A120" s="7">
        <v>108</v>
      </c>
      <c r="B120" s="7"/>
      <c r="C120" s="7">
        <v>416231</v>
      </c>
      <c r="D120" s="7" t="s">
        <v>3969</v>
      </c>
      <c r="E120" s="7" t="s">
        <v>3894</v>
      </c>
      <c r="F120" s="7" t="s">
        <v>1682</v>
      </c>
      <c r="G120" s="7">
        <v>0</v>
      </c>
      <c r="H120" s="7">
        <v>3234</v>
      </c>
      <c r="I120" s="7">
        <v>0</v>
      </c>
      <c r="J120" s="7">
        <v>3700</v>
      </c>
      <c r="K120" s="7">
        <v>3700</v>
      </c>
      <c r="L120" s="7">
        <v>3700</v>
      </c>
      <c r="M120" s="8">
        <v>3234</v>
      </c>
      <c r="N120" s="8">
        <v>0</v>
      </c>
      <c r="O120" s="8">
        <v>3234</v>
      </c>
      <c r="P120" s="8">
        <v>0</v>
      </c>
      <c r="Q120" s="8">
        <v>3234</v>
      </c>
      <c r="R120" s="8">
        <v>3234</v>
      </c>
      <c r="S120" s="8">
        <v>3234</v>
      </c>
      <c r="T120" s="123">
        <v>45569</v>
      </c>
    </row>
    <row r="121" spans="1:20" ht="13.5" customHeight="1">
      <c r="A121" s="7">
        <v>109</v>
      </c>
      <c r="B121" s="7"/>
      <c r="C121" s="7">
        <v>416232</v>
      </c>
      <c r="D121" s="7" t="s">
        <v>3595</v>
      </c>
      <c r="E121" s="7" t="s">
        <v>3895</v>
      </c>
      <c r="F121" s="7" t="s">
        <v>1682</v>
      </c>
      <c r="G121" s="7">
        <v>0</v>
      </c>
      <c r="H121" s="7">
        <v>3368</v>
      </c>
      <c r="I121" s="7">
        <v>0</v>
      </c>
      <c r="J121" s="7">
        <v>3700</v>
      </c>
      <c r="K121" s="7">
        <v>3700</v>
      </c>
      <c r="L121" s="7">
        <v>3700</v>
      </c>
      <c r="M121" s="8">
        <v>3368</v>
      </c>
      <c r="N121" s="8">
        <v>0</v>
      </c>
      <c r="O121" s="8">
        <v>3368</v>
      </c>
      <c r="P121" s="8">
        <v>0</v>
      </c>
      <c r="Q121" s="8">
        <v>3368</v>
      </c>
      <c r="R121" s="8">
        <v>3368</v>
      </c>
      <c r="S121" s="8">
        <v>3368</v>
      </c>
      <c r="T121" s="123">
        <v>45569</v>
      </c>
    </row>
    <row r="122" spans="1:20" ht="13.5" customHeight="1">
      <c r="A122" s="7">
        <v>110</v>
      </c>
      <c r="B122" s="7"/>
      <c r="C122" s="7">
        <v>416233</v>
      </c>
      <c r="D122" s="7" t="s">
        <v>3596</v>
      </c>
      <c r="E122" s="7" t="s">
        <v>3896</v>
      </c>
      <c r="F122" s="7" t="s">
        <v>1682</v>
      </c>
      <c r="G122" s="7">
        <v>0</v>
      </c>
      <c r="H122" s="7">
        <v>3301</v>
      </c>
      <c r="I122" s="7">
        <v>0</v>
      </c>
      <c r="J122" s="7">
        <v>3700</v>
      </c>
      <c r="K122" s="7">
        <v>3700</v>
      </c>
      <c r="L122" s="7">
        <v>3700</v>
      </c>
      <c r="M122" s="8">
        <v>3301</v>
      </c>
      <c r="N122" s="8">
        <v>0</v>
      </c>
      <c r="O122" s="8">
        <v>3301</v>
      </c>
      <c r="P122" s="8">
        <v>0</v>
      </c>
      <c r="Q122" s="8">
        <v>3301</v>
      </c>
      <c r="R122" s="8">
        <v>3301</v>
      </c>
      <c r="S122" s="8">
        <v>3301</v>
      </c>
      <c r="T122" s="123">
        <v>45569</v>
      </c>
    </row>
    <row r="123" spans="1:20" ht="13.5" customHeight="1">
      <c r="A123" s="7">
        <v>111</v>
      </c>
      <c r="B123" s="7"/>
      <c r="C123" s="7">
        <v>416234</v>
      </c>
      <c r="D123" s="7" t="s">
        <v>3970</v>
      </c>
      <c r="E123" s="7" t="s">
        <v>3897</v>
      </c>
      <c r="F123" s="7" t="s">
        <v>1682</v>
      </c>
      <c r="G123" s="7">
        <v>0</v>
      </c>
      <c r="H123" s="7">
        <v>4331</v>
      </c>
      <c r="I123" s="7">
        <v>0</v>
      </c>
      <c r="J123" s="7">
        <v>5660</v>
      </c>
      <c r="K123" s="7">
        <v>5660</v>
      </c>
      <c r="L123" s="7">
        <v>5660</v>
      </c>
      <c r="M123" s="8">
        <v>4331</v>
      </c>
      <c r="N123" s="8">
        <v>0</v>
      </c>
      <c r="O123" s="8">
        <v>4331</v>
      </c>
      <c r="P123" s="8">
        <v>0</v>
      </c>
      <c r="Q123" s="8">
        <v>4331</v>
      </c>
      <c r="R123" s="8">
        <v>4331</v>
      </c>
      <c r="S123" s="8">
        <v>4331</v>
      </c>
      <c r="T123" s="123">
        <v>45569</v>
      </c>
    </row>
    <row r="124" spans="1:20" ht="13.5" customHeight="1">
      <c r="A124" s="7">
        <v>112</v>
      </c>
      <c r="B124" s="7"/>
      <c r="C124" s="7">
        <v>416235</v>
      </c>
      <c r="D124" s="7" t="s">
        <v>3597</v>
      </c>
      <c r="E124" s="7" t="s">
        <v>3898</v>
      </c>
      <c r="F124" s="7" t="s">
        <v>1682</v>
      </c>
      <c r="G124" s="7">
        <v>0</v>
      </c>
      <c r="H124" s="7">
        <v>3234</v>
      </c>
      <c r="I124" s="7">
        <v>0</v>
      </c>
      <c r="J124" s="7">
        <v>3700</v>
      </c>
      <c r="K124" s="7">
        <v>3700</v>
      </c>
      <c r="L124" s="7">
        <v>3700</v>
      </c>
      <c r="M124" s="8">
        <v>3234</v>
      </c>
      <c r="N124" s="8">
        <v>0</v>
      </c>
      <c r="O124" s="8">
        <v>3234</v>
      </c>
      <c r="P124" s="8">
        <v>0</v>
      </c>
      <c r="Q124" s="8">
        <v>3234</v>
      </c>
      <c r="R124" s="8">
        <v>3234</v>
      </c>
      <c r="S124" s="8">
        <v>3234</v>
      </c>
      <c r="T124" s="123">
        <v>45569</v>
      </c>
    </row>
    <row r="125" spans="1:20" ht="13.5" customHeight="1">
      <c r="A125" s="7">
        <v>113</v>
      </c>
      <c r="B125" s="7"/>
      <c r="C125" s="7">
        <v>416236</v>
      </c>
      <c r="D125" s="7" t="s">
        <v>3598</v>
      </c>
      <c r="E125" s="7" t="s">
        <v>3899</v>
      </c>
      <c r="F125" s="7" t="s">
        <v>1682</v>
      </c>
      <c r="G125" s="7">
        <v>0</v>
      </c>
      <c r="H125" s="7">
        <v>3234</v>
      </c>
      <c r="I125" s="7">
        <v>0</v>
      </c>
      <c r="J125" s="7">
        <v>3700</v>
      </c>
      <c r="K125" s="7">
        <v>3700</v>
      </c>
      <c r="L125" s="7">
        <v>3700</v>
      </c>
      <c r="M125" s="8">
        <v>3234</v>
      </c>
      <c r="N125" s="8">
        <v>0</v>
      </c>
      <c r="O125" s="8">
        <v>3234</v>
      </c>
      <c r="P125" s="8">
        <v>0</v>
      </c>
      <c r="Q125" s="8">
        <v>3234</v>
      </c>
      <c r="R125" s="8">
        <v>3234</v>
      </c>
      <c r="S125" s="8">
        <v>3234</v>
      </c>
      <c r="T125" s="123">
        <v>45569</v>
      </c>
    </row>
    <row r="126" spans="1:20" ht="13.5" customHeight="1">
      <c r="A126" s="7">
        <v>114</v>
      </c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8"/>
      <c r="N126" s="8"/>
      <c r="O126" s="8"/>
      <c r="P126" s="8"/>
      <c r="Q126" s="8"/>
      <c r="R126" s="8"/>
      <c r="S126" s="8"/>
      <c r="T126" s="8"/>
    </row>
    <row r="127" spans="1:20" ht="13.5" customHeight="1">
      <c r="A127" s="7">
        <v>115</v>
      </c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8"/>
      <c r="N127" s="8"/>
      <c r="O127" s="8"/>
      <c r="P127" s="8"/>
      <c r="Q127" s="8"/>
      <c r="R127" s="8"/>
      <c r="S127" s="8"/>
      <c r="T127" s="8"/>
    </row>
    <row r="128" spans="1:20" ht="13.5" customHeight="1">
      <c r="A128" s="7">
        <v>116</v>
      </c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8"/>
      <c r="N128" s="8"/>
      <c r="O128" s="8"/>
      <c r="P128" s="8"/>
      <c r="Q128" s="8"/>
      <c r="R128" s="8"/>
      <c r="S128" s="8"/>
      <c r="T128" s="8"/>
    </row>
    <row r="129" spans="1:20" ht="13.5" customHeight="1">
      <c r="A129" s="7">
        <v>117</v>
      </c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8"/>
      <c r="N129" s="8"/>
      <c r="O129" s="8"/>
      <c r="P129" s="8"/>
      <c r="Q129" s="8"/>
      <c r="R129" s="8"/>
      <c r="S129" s="8"/>
      <c r="T129" s="8"/>
    </row>
    <row r="130" spans="1:20" ht="13.5" customHeight="1">
      <c r="A130" s="7">
        <v>118</v>
      </c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8"/>
      <c r="N130" s="8"/>
      <c r="O130" s="8"/>
      <c r="P130" s="8"/>
      <c r="Q130" s="8"/>
      <c r="R130" s="8"/>
      <c r="S130" s="8"/>
      <c r="T130" s="8"/>
    </row>
    <row r="131" spans="1:20" ht="13.5" customHeight="1">
      <c r="A131" s="7">
        <v>119</v>
      </c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8"/>
      <c r="N131" s="8"/>
      <c r="O131" s="8"/>
      <c r="P131" s="8"/>
      <c r="Q131" s="8"/>
      <c r="R131" s="8"/>
      <c r="S131" s="8"/>
      <c r="T131" s="8"/>
    </row>
    <row r="132" spans="1:20" ht="13.5" customHeight="1">
      <c r="A132" s="7">
        <v>120</v>
      </c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8"/>
      <c r="N132" s="8"/>
      <c r="O132" s="8"/>
      <c r="P132" s="8"/>
      <c r="Q132" s="8"/>
      <c r="R132" s="8"/>
      <c r="S132" s="8"/>
      <c r="T132" s="8"/>
    </row>
    <row r="133" spans="1:20" ht="13.5" customHeight="1">
      <c r="A133" s="7">
        <v>121</v>
      </c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8"/>
      <c r="N133" s="8"/>
      <c r="O133" s="8"/>
      <c r="P133" s="8"/>
      <c r="Q133" s="8"/>
      <c r="R133" s="8"/>
      <c r="S133" s="8"/>
      <c r="T133" s="8"/>
    </row>
    <row r="134" spans="1:20" ht="13.5" customHeight="1">
      <c r="A134" s="7">
        <v>122</v>
      </c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8"/>
      <c r="N134" s="8"/>
      <c r="O134" s="8"/>
      <c r="P134" s="8"/>
      <c r="Q134" s="8"/>
      <c r="R134" s="8"/>
      <c r="S134" s="8"/>
      <c r="T134" s="8"/>
    </row>
    <row r="135" spans="1:20" ht="13.5" customHeight="1">
      <c r="A135" s="7">
        <v>123</v>
      </c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8"/>
      <c r="N135" s="8"/>
      <c r="O135" s="8"/>
      <c r="P135" s="8"/>
      <c r="Q135" s="8"/>
      <c r="R135" s="8"/>
      <c r="S135" s="8"/>
      <c r="T135" s="8"/>
    </row>
    <row r="136" spans="1:20" ht="13.5" customHeight="1">
      <c r="A136" s="7">
        <v>124</v>
      </c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8"/>
      <c r="N136" s="8"/>
      <c r="O136" s="8"/>
      <c r="P136" s="8"/>
      <c r="Q136" s="8"/>
      <c r="R136" s="8"/>
      <c r="S136" s="8"/>
      <c r="T136" s="8"/>
    </row>
    <row r="137" spans="1:20" ht="13.5" customHeight="1">
      <c r="A137" s="7">
        <v>125</v>
      </c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8"/>
      <c r="N137" s="8"/>
      <c r="O137" s="8"/>
      <c r="P137" s="8"/>
      <c r="Q137" s="8"/>
      <c r="R137" s="8"/>
      <c r="S137" s="8"/>
      <c r="T137" s="8"/>
    </row>
    <row r="138" spans="1:20" ht="13.5" customHeight="1">
      <c r="A138" s="7">
        <v>126</v>
      </c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8"/>
      <c r="N138" s="8"/>
      <c r="O138" s="8"/>
      <c r="P138" s="8"/>
      <c r="Q138" s="8"/>
      <c r="R138" s="8"/>
      <c r="S138" s="8"/>
      <c r="T138" s="8"/>
    </row>
    <row r="139" spans="1:20" ht="13.5" customHeight="1">
      <c r="A139" s="7">
        <v>127</v>
      </c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8"/>
      <c r="N139" s="8"/>
      <c r="O139" s="8"/>
      <c r="P139" s="8"/>
      <c r="Q139" s="8"/>
      <c r="R139" s="8"/>
      <c r="S139" s="8"/>
      <c r="T139" s="8"/>
    </row>
    <row r="140" spans="1:20" ht="13.5" customHeight="1">
      <c r="A140" s="7">
        <v>128</v>
      </c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8"/>
      <c r="N140" s="8"/>
      <c r="O140" s="8"/>
      <c r="P140" s="8"/>
      <c r="Q140" s="8"/>
      <c r="R140" s="8"/>
      <c r="S140" s="8"/>
      <c r="T140" s="8"/>
    </row>
    <row r="141" spans="1:20" ht="13.5" customHeight="1">
      <c r="A141" s="7">
        <v>129</v>
      </c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8"/>
      <c r="N141" s="8"/>
      <c r="O141" s="8"/>
      <c r="P141" s="8"/>
      <c r="Q141" s="8"/>
      <c r="R141" s="8"/>
      <c r="S141" s="8"/>
      <c r="T141" s="8"/>
    </row>
    <row r="142" spans="1:20" ht="13.5" customHeight="1">
      <c r="A142" s="7">
        <v>130</v>
      </c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8"/>
      <c r="N142" s="8"/>
      <c r="O142" s="8"/>
      <c r="P142" s="8"/>
      <c r="Q142" s="8"/>
      <c r="R142" s="8"/>
      <c r="S142" s="8"/>
      <c r="T142" s="8"/>
    </row>
    <row r="143" spans="1:20" ht="13.5" customHeight="1">
      <c r="A143" s="7">
        <v>131</v>
      </c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8"/>
      <c r="N143" s="8"/>
      <c r="O143" s="8"/>
      <c r="P143" s="8"/>
      <c r="Q143" s="8"/>
      <c r="R143" s="8"/>
      <c r="S143" s="8"/>
      <c r="T143" s="8"/>
    </row>
    <row r="144" spans="1:20" ht="13.5" customHeight="1">
      <c r="A144" s="7">
        <v>132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8"/>
      <c r="N144" s="8"/>
      <c r="O144" s="8"/>
      <c r="P144" s="8"/>
      <c r="Q144" s="8"/>
      <c r="R144" s="8"/>
      <c r="S144" s="8"/>
      <c r="T144" s="8"/>
    </row>
    <row r="145" spans="1:20" ht="13.5" customHeight="1">
      <c r="A145" s="7">
        <v>133</v>
      </c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8"/>
      <c r="N145" s="8"/>
      <c r="O145" s="8"/>
      <c r="P145" s="8"/>
      <c r="Q145" s="8"/>
      <c r="R145" s="8"/>
      <c r="S145" s="8"/>
      <c r="T145" s="8"/>
    </row>
    <row r="146" spans="1:20" ht="13.5" customHeight="1">
      <c r="A146" s="7">
        <v>134</v>
      </c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8"/>
      <c r="N146" s="8"/>
      <c r="O146" s="8"/>
      <c r="P146" s="8"/>
      <c r="Q146" s="8"/>
      <c r="R146" s="8"/>
      <c r="S146" s="8"/>
      <c r="T146" s="8"/>
    </row>
    <row r="147" spans="1:20" ht="13.5" customHeight="1">
      <c r="A147" s="7">
        <v>135</v>
      </c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8"/>
      <c r="N147" s="8"/>
      <c r="O147" s="8"/>
      <c r="P147" s="8"/>
      <c r="Q147" s="8"/>
      <c r="R147" s="8"/>
      <c r="S147" s="8"/>
      <c r="T147" s="8"/>
    </row>
    <row r="148" spans="1:20" ht="13.5" customHeight="1">
      <c r="A148" s="7">
        <v>136</v>
      </c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8"/>
      <c r="N148" s="8"/>
      <c r="O148" s="8"/>
      <c r="P148" s="8"/>
      <c r="Q148" s="8"/>
      <c r="R148" s="8"/>
      <c r="S148" s="8"/>
      <c r="T148" s="8"/>
    </row>
    <row r="149" spans="1:20" ht="13.5" customHeight="1">
      <c r="A149" s="7">
        <v>137</v>
      </c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8"/>
      <c r="N149" s="8"/>
      <c r="O149" s="8"/>
      <c r="P149" s="8"/>
      <c r="Q149" s="8"/>
      <c r="R149" s="8"/>
      <c r="S149" s="8"/>
      <c r="T149" s="8"/>
    </row>
    <row r="150" spans="1:20" ht="13.5" customHeight="1">
      <c r="A150" s="7">
        <v>138</v>
      </c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8"/>
      <c r="N150" s="8"/>
      <c r="O150" s="8"/>
      <c r="P150" s="8"/>
      <c r="Q150" s="8"/>
      <c r="R150" s="8"/>
      <c r="S150" s="8"/>
      <c r="T150" s="8"/>
    </row>
    <row r="151" spans="1:20" ht="13.5" customHeight="1">
      <c r="A151" s="7">
        <v>139</v>
      </c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8"/>
      <c r="N151" s="8"/>
      <c r="O151" s="8"/>
      <c r="P151" s="8"/>
      <c r="Q151" s="8"/>
      <c r="R151" s="8"/>
      <c r="S151" s="8"/>
      <c r="T151" s="8"/>
    </row>
    <row r="152" spans="1:20" ht="13.5" customHeight="1">
      <c r="A152" s="7">
        <v>140</v>
      </c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8"/>
      <c r="N152" s="8"/>
      <c r="O152" s="8"/>
      <c r="P152" s="8"/>
      <c r="Q152" s="8"/>
      <c r="R152" s="8"/>
      <c r="S152" s="8"/>
      <c r="T152" s="8"/>
    </row>
    <row r="153" spans="1:20" ht="13.5" customHeight="1">
      <c r="A153" s="7">
        <v>141</v>
      </c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8"/>
      <c r="N153" s="8"/>
      <c r="O153" s="8"/>
      <c r="P153" s="8"/>
      <c r="Q153" s="8"/>
      <c r="R153" s="8"/>
      <c r="S153" s="8"/>
      <c r="T153" s="8"/>
    </row>
    <row r="154" spans="1:20" ht="13.5" customHeight="1">
      <c r="A154" s="7">
        <v>142</v>
      </c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8"/>
      <c r="N154" s="8"/>
      <c r="O154" s="8"/>
      <c r="P154" s="8"/>
      <c r="Q154" s="8"/>
      <c r="R154" s="8"/>
      <c r="S154" s="8"/>
      <c r="T154" s="8"/>
    </row>
    <row r="155" spans="1:20" ht="13.5" customHeight="1">
      <c r="A155" s="7">
        <v>143</v>
      </c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8"/>
      <c r="N155" s="8"/>
      <c r="O155" s="8"/>
      <c r="P155" s="8"/>
      <c r="Q155" s="8"/>
      <c r="R155" s="8"/>
      <c r="S155" s="8"/>
      <c r="T155" s="8"/>
    </row>
    <row r="156" spans="1:20" ht="13.5" customHeight="1">
      <c r="A156" s="7">
        <v>144</v>
      </c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8"/>
      <c r="N156" s="8"/>
      <c r="O156" s="8"/>
      <c r="P156" s="8"/>
      <c r="Q156" s="8"/>
      <c r="R156" s="8"/>
      <c r="S156" s="8"/>
      <c r="T156" s="8"/>
    </row>
    <row r="157" spans="1:20" ht="13.5" customHeight="1">
      <c r="A157" s="7">
        <v>145</v>
      </c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8"/>
      <c r="N157" s="8"/>
      <c r="O157" s="8"/>
      <c r="P157" s="8"/>
      <c r="Q157" s="8"/>
      <c r="R157" s="8"/>
      <c r="S157" s="8"/>
      <c r="T157" s="8"/>
    </row>
    <row r="158" spans="1:20" ht="13.5" customHeight="1">
      <c r="A158" s="7">
        <v>146</v>
      </c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8"/>
      <c r="N158" s="8"/>
      <c r="O158" s="8"/>
      <c r="P158" s="8"/>
      <c r="Q158" s="8"/>
      <c r="R158" s="8"/>
      <c r="S158" s="8"/>
      <c r="T158" s="8"/>
    </row>
    <row r="159" spans="1:20" ht="13.5" customHeight="1">
      <c r="A159" s="7">
        <v>147</v>
      </c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8"/>
      <c r="N159" s="8"/>
      <c r="O159" s="8"/>
      <c r="P159" s="8"/>
      <c r="Q159" s="8"/>
      <c r="R159" s="8"/>
      <c r="S159" s="8"/>
      <c r="T159" s="8"/>
    </row>
    <row r="160" spans="1:20" ht="13.5" customHeight="1">
      <c r="A160" s="7">
        <v>148</v>
      </c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8"/>
      <c r="N160" s="8"/>
      <c r="O160" s="8"/>
      <c r="P160" s="8"/>
      <c r="Q160" s="8"/>
      <c r="R160" s="8"/>
      <c r="S160" s="8"/>
      <c r="T160" s="8"/>
    </row>
    <row r="161" spans="1:20" ht="13.5" customHeight="1">
      <c r="A161" s="7">
        <v>149</v>
      </c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8"/>
      <c r="N161" s="8"/>
      <c r="O161" s="8"/>
      <c r="P161" s="8"/>
      <c r="Q161" s="8"/>
      <c r="R161" s="8"/>
      <c r="S161" s="8"/>
      <c r="T161" s="8"/>
    </row>
    <row r="162" spans="1:20" ht="13.5" customHeight="1">
      <c r="A162" s="7">
        <v>150</v>
      </c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8"/>
      <c r="N162" s="8"/>
      <c r="O162" s="8"/>
      <c r="P162" s="8"/>
      <c r="Q162" s="8"/>
      <c r="R162" s="8"/>
      <c r="S162" s="8"/>
      <c r="T162" s="8"/>
    </row>
    <row r="163" spans="1:20" ht="13.5" customHeight="1">
      <c r="A163" s="7">
        <v>151</v>
      </c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8"/>
      <c r="N163" s="8"/>
      <c r="O163" s="8"/>
      <c r="P163" s="8"/>
      <c r="Q163" s="8"/>
      <c r="R163" s="8"/>
      <c r="S163" s="8"/>
      <c r="T163" s="8"/>
    </row>
    <row r="164" spans="1:20" ht="13.5" customHeight="1">
      <c r="A164" s="7">
        <v>152</v>
      </c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8"/>
      <c r="N164" s="8"/>
      <c r="O164" s="8"/>
      <c r="P164" s="8"/>
      <c r="Q164" s="8"/>
      <c r="R164" s="8"/>
      <c r="S164" s="8"/>
      <c r="T164" s="8"/>
    </row>
    <row r="165" spans="1:20" ht="13.5" customHeight="1">
      <c r="A165" s="7">
        <v>153</v>
      </c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8"/>
      <c r="N165" s="8"/>
      <c r="O165" s="8"/>
      <c r="P165" s="8"/>
      <c r="Q165" s="8"/>
      <c r="R165" s="8"/>
      <c r="S165" s="8"/>
      <c r="T165" s="8"/>
    </row>
    <row r="166" spans="1:20" ht="13.5" customHeight="1">
      <c r="A166" s="7">
        <v>154</v>
      </c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8"/>
      <c r="N166" s="8"/>
      <c r="O166" s="8"/>
      <c r="P166" s="8"/>
      <c r="Q166" s="8"/>
      <c r="R166" s="8"/>
      <c r="S166" s="8"/>
      <c r="T166" s="8"/>
    </row>
    <row r="167" spans="1:20" ht="13.5" customHeight="1">
      <c r="A167" s="7">
        <v>155</v>
      </c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8"/>
      <c r="N167" s="8"/>
      <c r="O167" s="8"/>
      <c r="P167" s="8"/>
      <c r="Q167" s="8"/>
      <c r="R167" s="8"/>
      <c r="S167" s="8"/>
      <c r="T167" s="8"/>
    </row>
    <row r="168" spans="1:20" ht="13.5" customHeight="1">
      <c r="A168" s="7">
        <v>156</v>
      </c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8"/>
      <c r="N168" s="8"/>
      <c r="O168" s="8"/>
      <c r="P168" s="8"/>
      <c r="Q168" s="8"/>
      <c r="R168" s="8"/>
      <c r="S168" s="8"/>
      <c r="T168" s="8"/>
    </row>
    <row r="169" spans="1:20" ht="13.5" customHeight="1">
      <c r="A169" s="7">
        <v>157</v>
      </c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8"/>
      <c r="N169" s="8"/>
      <c r="O169" s="8"/>
      <c r="P169" s="8"/>
      <c r="Q169" s="8"/>
      <c r="R169" s="8"/>
      <c r="S169" s="8"/>
      <c r="T169" s="8"/>
    </row>
    <row r="170" spans="1:20" ht="13.5" customHeight="1">
      <c r="A170" s="7">
        <v>158</v>
      </c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8"/>
      <c r="N170" s="8"/>
      <c r="O170" s="8"/>
      <c r="P170" s="8"/>
      <c r="Q170" s="8"/>
      <c r="R170" s="8"/>
      <c r="S170" s="8"/>
      <c r="T170" s="8"/>
    </row>
    <row r="171" spans="1:20" ht="13.5" customHeight="1">
      <c r="A171" s="7">
        <v>159</v>
      </c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8"/>
      <c r="N171" s="8"/>
      <c r="O171" s="8"/>
      <c r="P171" s="8"/>
      <c r="Q171" s="8"/>
      <c r="R171" s="8"/>
      <c r="S171" s="8"/>
      <c r="T171" s="8"/>
    </row>
    <row r="172" spans="1:20" ht="13.5" customHeight="1">
      <c r="A172" s="7">
        <v>160</v>
      </c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8"/>
      <c r="N172" s="8"/>
      <c r="O172" s="8"/>
      <c r="P172" s="8"/>
      <c r="Q172" s="8"/>
      <c r="R172" s="8"/>
      <c r="S172" s="8"/>
      <c r="T172" s="8"/>
    </row>
    <row r="173" spans="1:20" ht="13.5" customHeight="1">
      <c r="A173" s="7">
        <v>161</v>
      </c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8"/>
      <c r="N173" s="8"/>
      <c r="O173" s="8"/>
      <c r="P173" s="8"/>
      <c r="Q173" s="8"/>
      <c r="R173" s="8"/>
      <c r="S173" s="8"/>
      <c r="T173" s="8"/>
    </row>
    <row r="174" spans="1:20" ht="13.5" customHeight="1">
      <c r="A174" s="7">
        <v>162</v>
      </c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8"/>
      <c r="N174" s="8"/>
      <c r="O174" s="8"/>
      <c r="P174" s="8"/>
      <c r="Q174" s="8"/>
      <c r="R174" s="8"/>
      <c r="S174" s="8"/>
      <c r="T174" s="8"/>
    </row>
    <row r="175" spans="1:20" ht="13.5" customHeight="1">
      <c r="A175" s="7">
        <v>163</v>
      </c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8"/>
      <c r="N175" s="8"/>
      <c r="O175" s="8"/>
      <c r="P175" s="8"/>
      <c r="Q175" s="8"/>
      <c r="R175" s="8"/>
      <c r="S175" s="8"/>
      <c r="T175" s="8"/>
    </row>
    <row r="176" spans="1:20" ht="13.5" customHeight="1">
      <c r="A176" s="7">
        <v>164</v>
      </c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8"/>
      <c r="N176" s="8"/>
      <c r="O176" s="8"/>
      <c r="P176" s="8"/>
      <c r="Q176" s="8"/>
      <c r="R176" s="8"/>
      <c r="S176" s="8"/>
      <c r="T176" s="8"/>
    </row>
    <row r="177" spans="1:20" ht="13.5" customHeight="1">
      <c r="A177" s="7">
        <v>165</v>
      </c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8"/>
      <c r="N177" s="8"/>
      <c r="O177" s="8"/>
      <c r="P177" s="8"/>
      <c r="Q177" s="8"/>
      <c r="R177" s="8"/>
      <c r="S177" s="8"/>
      <c r="T177" s="8"/>
    </row>
    <row r="178" spans="1:20" ht="13.5" customHeight="1">
      <c r="A178" s="7">
        <v>166</v>
      </c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8"/>
      <c r="N178" s="8"/>
      <c r="O178" s="8"/>
      <c r="P178" s="8"/>
      <c r="Q178" s="8"/>
      <c r="R178" s="8"/>
      <c r="S178" s="8"/>
      <c r="T178" s="8"/>
    </row>
    <row r="179" spans="1:20" ht="13.5" customHeight="1">
      <c r="A179" s="7">
        <v>167</v>
      </c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8"/>
      <c r="N179" s="8"/>
      <c r="O179" s="8"/>
      <c r="P179" s="8"/>
      <c r="Q179" s="8"/>
      <c r="R179" s="8"/>
      <c r="S179" s="8"/>
      <c r="T179" s="8"/>
    </row>
    <row r="180" spans="1:20" ht="13.5" customHeight="1">
      <c r="A180" s="7">
        <v>168</v>
      </c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8"/>
      <c r="N180" s="8"/>
      <c r="O180" s="8"/>
      <c r="P180" s="8"/>
      <c r="Q180" s="8"/>
      <c r="R180" s="8"/>
      <c r="S180" s="8"/>
      <c r="T180" s="8"/>
    </row>
    <row r="181" spans="1:20" ht="13.5" customHeight="1">
      <c r="A181" s="7">
        <v>169</v>
      </c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8"/>
      <c r="N181" s="8"/>
      <c r="O181" s="8"/>
      <c r="P181" s="8"/>
      <c r="Q181" s="8"/>
      <c r="R181" s="8"/>
      <c r="S181" s="8"/>
      <c r="T181" s="8"/>
    </row>
    <row r="182" spans="1:20" ht="13.5" customHeight="1">
      <c r="A182" s="7">
        <v>170</v>
      </c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8"/>
      <c r="N182" s="8"/>
      <c r="O182" s="8"/>
      <c r="P182" s="8"/>
      <c r="Q182" s="8"/>
      <c r="R182" s="8"/>
      <c r="S182" s="8"/>
      <c r="T182" s="8"/>
    </row>
    <row r="183" spans="1:20" ht="13.5" customHeight="1">
      <c r="A183" s="7">
        <v>171</v>
      </c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8"/>
      <c r="N183" s="8"/>
      <c r="O183" s="8"/>
      <c r="P183" s="8"/>
      <c r="Q183" s="8"/>
      <c r="R183" s="8"/>
      <c r="S183" s="8"/>
      <c r="T183" s="8"/>
    </row>
    <row r="184" spans="1:20" ht="13.5" customHeight="1">
      <c r="A184" s="7">
        <v>172</v>
      </c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8"/>
      <c r="N184" s="8"/>
      <c r="O184" s="8"/>
      <c r="P184" s="8"/>
      <c r="Q184" s="8"/>
      <c r="R184" s="8"/>
      <c r="S184" s="8"/>
      <c r="T184" s="8"/>
    </row>
    <row r="185" spans="1:20" ht="13.5" customHeight="1">
      <c r="A185" s="7">
        <v>173</v>
      </c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8"/>
      <c r="N185" s="8"/>
      <c r="O185" s="8"/>
      <c r="P185" s="8"/>
      <c r="Q185" s="8"/>
      <c r="R185" s="8"/>
      <c r="S185" s="8"/>
      <c r="T185" s="8"/>
    </row>
    <row r="186" spans="1:20" ht="13.5" customHeight="1">
      <c r="A186" s="7">
        <v>174</v>
      </c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8"/>
      <c r="N186" s="8"/>
      <c r="O186" s="8"/>
      <c r="P186" s="8"/>
      <c r="Q186" s="8"/>
      <c r="R186" s="8"/>
      <c r="S186" s="8"/>
      <c r="T186" s="8"/>
    </row>
    <row r="187" spans="1:20" ht="13.5" customHeight="1">
      <c r="A187" s="7">
        <v>175</v>
      </c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8"/>
      <c r="N187" s="8"/>
      <c r="O187" s="8"/>
      <c r="P187" s="8"/>
      <c r="Q187" s="8"/>
      <c r="R187" s="8"/>
      <c r="S187" s="8"/>
      <c r="T187" s="8"/>
    </row>
    <row r="188" spans="1:20" ht="13.5" customHeight="1">
      <c r="A188" s="7">
        <v>176</v>
      </c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8"/>
      <c r="N188" s="8"/>
      <c r="O188" s="8"/>
      <c r="P188" s="8"/>
      <c r="Q188" s="8"/>
      <c r="R188" s="8"/>
      <c r="S188" s="8"/>
      <c r="T188" s="8"/>
    </row>
    <row r="189" spans="1:20" ht="13.5" customHeight="1">
      <c r="A189" s="7">
        <v>177</v>
      </c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8"/>
      <c r="N189" s="8"/>
      <c r="O189" s="8"/>
      <c r="P189" s="8"/>
      <c r="Q189" s="8"/>
      <c r="R189" s="8"/>
      <c r="S189" s="8"/>
      <c r="T189" s="8"/>
    </row>
    <row r="190" spans="1:20" ht="13.5" customHeight="1">
      <c r="A190" s="7">
        <v>178</v>
      </c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8"/>
      <c r="N190" s="8"/>
      <c r="O190" s="8"/>
      <c r="P190" s="8"/>
      <c r="Q190" s="8"/>
      <c r="R190" s="8"/>
      <c r="S190" s="8"/>
      <c r="T190" s="8"/>
    </row>
    <row r="191" spans="1:20" ht="13.5" customHeight="1">
      <c r="A191" s="7">
        <v>179</v>
      </c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8"/>
      <c r="N191" s="8"/>
      <c r="O191" s="8"/>
      <c r="P191" s="8"/>
      <c r="Q191" s="8"/>
      <c r="R191" s="8"/>
      <c r="S191" s="8"/>
      <c r="T191" s="8"/>
    </row>
    <row r="192" spans="1:20" ht="13.5" customHeight="1">
      <c r="A192" s="7">
        <v>180</v>
      </c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8"/>
      <c r="N192" s="8"/>
      <c r="O192" s="8"/>
      <c r="P192" s="8"/>
      <c r="Q192" s="8"/>
      <c r="R192" s="8"/>
      <c r="S192" s="8"/>
      <c r="T192" s="8"/>
    </row>
    <row r="193" spans="1:20" ht="13.5" customHeight="1">
      <c r="A193" s="7">
        <v>181</v>
      </c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8"/>
      <c r="N193" s="8"/>
      <c r="O193" s="8"/>
      <c r="P193" s="8"/>
      <c r="Q193" s="8"/>
      <c r="R193" s="8"/>
      <c r="S193" s="8"/>
      <c r="T193" s="8"/>
    </row>
    <row r="194" spans="1:20" ht="13.5" customHeight="1">
      <c r="A194" s="7">
        <v>182</v>
      </c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8"/>
      <c r="N194" s="8"/>
      <c r="O194" s="8"/>
      <c r="P194" s="8"/>
      <c r="Q194" s="8"/>
      <c r="R194" s="8"/>
      <c r="S194" s="8"/>
      <c r="T194" s="8"/>
    </row>
    <row r="195" spans="1:20" ht="13.5" customHeight="1">
      <c r="A195" s="7">
        <v>183</v>
      </c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8"/>
      <c r="N195" s="8"/>
      <c r="O195" s="8"/>
      <c r="P195" s="8"/>
      <c r="Q195" s="8"/>
      <c r="R195" s="8"/>
      <c r="S195" s="8"/>
      <c r="T195" s="8"/>
    </row>
    <row r="196" spans="1:20" ht="13.5" customHeight="1">
      <c r="A196" s="7">
        <v>184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8"/>
      <c r="N196" s="8"/>
      <c r="O196" s="8"/>
      <c r="P196" s="8"/>
      <c r="Q196" s="8"/>
      <c r="R196" s="8"/>
      <c r="S196" s="8"/>
      <c r="T196" s="8"/>
    </row>
    <row r="197" spans="1:20" ht="13.5" customHeight="1">
      <c r="A197" s="7">
        <v>185</v>
      </c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8"/>
      <c r="N197" s="8"/>
      <c r="O197" s="8"/>
      <c r="P197" s="8"/>
      <c r="Q197" s="8"/>
      <c r="R197" s="8"/>
      <c r="S197" s="8"/>
      <c r="T197" s="8"/>
    </row>
    <row r="198" spans="1:20" ht="13.5" customHeight="1">
      <c r="A198" s="7">
        <v>186</v>
      </c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8"/>
      <c r="N198" s="8"/>
      <c r="O198" s="8"/>
      <c r="P198" s="8"/>
      <c r="Q198" s="8"/>
      <c r="R198" s="8"/>
      <c r="S198" s="8"/>
      <c r="T198" s="8"/>
    </row>
    <row r="199" spans="1:20" ht="13.5" customHeight="1">
      <c r="A199" s="7">
        <v>187</v>
      </c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8"/>
      <c r="N199" s="8"/>
      <c r="O199" s="8"/>
      <c r="P199" s="8"/>
      <c r="Q199" s="8"/>
      <c r="R199" s="8"/>
      <c r="S199" s="8"/>
      <c r="T199" s="8"/>
    </row>
    <row r="200" spans="1:20" ht="13.5" customHeight="1">
      <c r="A200" s="7">
        <v>188</v>
      </c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8"/>
      <c r="N200" s="8"/>
      <c r="O200" s="8"/>
      <c r="P200" s="8"/>
      <c r="Q200" s="8"/>
      <c r="R200" s="8"/>
      <c r="S200" s="8"/>
      <c r="T200" s="8"/>
    </row>
    <row r="201" spans="1:20" ht="13.5" customHeight="1">
      <c r="A201" s="7">
        <v>189</v>
      </c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8"/>
      <c r="N201" s="8"/>
      <c r="O201" s="8"/>
      <c r="P201" s="8"/>
      <c r="Q201" s="8"/>
      <c r="R201" s="8"/>
      <c r="S201" s="8"/>
      <c r="T201" s="8"/>
    </row>
    <row r="202" spans="1:20" ht="13.5" customHeight="1">
      <c r="A202" s="7">
        <v>190</v>
      </c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8"/>
      <c r="N202" s="8"/>
      <c r="O202" s="8"/>
      <c r="P202" s="8"/>
      <c r="Q202" s="8"/>
      <c r="R202" s="8"/>
      <c r="S202" s="8"/>
      <c r="T202" s="8"/>
    </row>
    <row r="203" spans="1:20" ht="13.5" customHeight="1">
      <c r="A203" s="7">
        <v>191</v>
      </c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8"/>
      <c r="N203" s="8"/>
      <c r="O203" s="8"/>
      <c r="P203" s="8"/>
      <c r="Q203" s="8"/>
      <c r="R203" s="8"/>
      <c r="S203" s="8"/>
      <c r="T203" s="8"/>
    </row>
    <row r="204" spans="1:20" ht="13.5" customHeight="1">
      <c r="A204" s="7">
        <v>192</v>
      </c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8"/>
      <c r="N204" s="8"/>
      <c r="O204" s="8"/>
      <c r="P204" s="8"/>
      <c r="Q204" s="8"/>
      <c r="R204" s="8"/>
      <c r="S204" s="8"/>
      <c r="T204" s="8"/>
    </row>
    <row r="205" spans="1:20" ht="13.5" customHeight="1">
      <c r="A205" s="7">
        <v>193</v>
      </c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8"/>
      <c r="N205" s="8"/>
      <c r="O205" s="8"/>
      <c r="P205" s="8"/>
      <c r="Q205" s="8"/>
      <c r="R205" s="8"/>
      <c r="S205" s="8"/>
      <c r="T205" s="8"/>
    </row>
    <row r="206" spans="1:20" ht="13.5" customHeight="1">
      <c r="A206" s="7">
        <v>194</v>
      </c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8"/>
      <c r="N206" s="8"/>
      <c r="O206" s="8"/>
      <c r="P206" s="8"/>
      <c r="Q206" s="8"/>
      <c r="R206" s="8"/>
      <c r="S206" s="8"/>
      <c r="T206" s="8"/>
    </row>
    <row r="207" spans="1:20" ht="13.5" customHeight="1">
      <c r="A207" s="7">
        <v>195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8"/>
      <c r="N207" s="8"/>
      <c r="O207" s="8"/>
      <c r="P207" s="8"/>
      <c r="Q207" s="8"/>
      <c r="R207" s="8"/>
      <c r="S207" s="8"/>
      <c r="T207" s="8"/>
    </row>
    <row r="208" spans="1:20" ht="13.5" customHeight="1">
      <c r="A208" s="7">
        <v>196</v>
      </c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8"/>
      <c r="N208" s="8"/>
      <c r="O208" s="8"/>
      <c r="P208" s="8"/>
      <c r="Q208" s="8"/>
      <c r="R208" s="8"/>
      <c r="S208" s="8"/>
      <c r="T208" s="8"/>
    </row>
    <row r="209" spans="1:20" ht="13.5" customHeight="1">
      <c r="A209" s="7">
        <v>197</v>
      </c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8"/>
      <c r="N209" s="8"/>
      <c r="O209" s="8"/>
      <c r="P209" s="8"/>
      <c r="Q209" s="8"/>
      <c r="R209" s="8"/>
      <c r="S209" s="8"/>
      <c r="T209" s="8"/>
    </row>
    <row r="210" spans="1:20" ht="13.5" customHeight="1">
      <c r="A210" s="7">
        <v>198</v>
      </c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8"/>
      <c r="N210" s="8"/>
      <c r="O210" s="8"/>
      <c r="P210" s="8"/>
      <c r="Q210" s="8"/>
      <c r="R210" s="8"/>
      <c r="S210" s="8"/>
      <c r="T210" s="8"/>
    </row>
    <row r="211" spans="1:20" ht="13.5" customHeight="1">
      <c r="A211" s="7">
        <v>199</v>
      </c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8"/>
      <c r="N211" s="8"/>
      <c r="O211" s="8"/>
      <c r="P211" s="8"/>
      <c r="Q211" s="8"/>
      <c r="R211" s="8"/>
      <c r="S211" s="8"/>
      <c r="T211" s="8"/>
    </row>
    <row r="212" spans="1:20" ht="13.5" customHeight="1">
      <c r="A212" s="7">
        <v>200</v>
      </c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8"/>
      <c r="N212" s="8"/>
      <c r="O212" s="8"/>
      <c r="P212" s="8"/>
      <c r="Q212" s="8"/>
      <c r="R212" s="8"/>
      <c r="S212" s="8"/>
      <c r="T212" s="8"/>
    </row>
    <row r="213" spans="1:20" ht="13.5" customHeight="1">
      <c r="A213" s="7">
        <v>201</v>
      </c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8"/>
      <c r="N213" s="8"/>
      <c r="O213" s="8"/>
      <c r="P213" s="8"/>
      <c r="Q213" s="8"/>
      <c r="R213" s="8"/>
      <c r="S213" s="8"/>
      <c r="T213" s="8"/>
    </row>
    <row r="214" spans="1:20" ht="13.5" customHeight="1">
      <c r="A214" s="7">
        <v>202</v>
      </c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8"/>
      <c r="N214" s="8"/>
      <c r="O214" s="8"/>
      <c r="P214" s="8"/>
      <c r="Q214" s="8"/>
      <c r="R214" s="8"/>
      <c r="S214" s="8"/>
      <c r="T214" s="8"/>
    </row>
    <row r="215" spans="1:20" ht="13.5" customHeight="1">
      <c r="A215" s="7">
        <v>203</v>
      </c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8"/>
      <c r="N215" s="8"/>
      <c r="O215" s="8"/>
      <c r="P215" s="8"/>
      <c r="Q215" s="8"/>
      <c r="R215" s="8"/>
      <c r="S215" s="8"/>
      <c r="T215" s="8"/>
    </row>
    <row r="216" spans="1:20" ht="13.5" customHeight="1">
      <c r="A216" s="7">
        <v>204</v>
      </c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8"/>
      <c r="N216" s="8"/>
      <c r="O216" s="8"/>
      <c r="P216" s="8"/>
      <c r="Q216" s="8"/>
      <c r="R216" s="8"/>
      <c r="S216" s="8"/>
      <c r="T216" s="8"/>
    </row>
    <row r="217" spans="1:20" ht="13.5" customHeight="1">
      <c r="A217" s="7">
        <v>205</v>
      </c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8"/>
      <c r="N217" s="8"/>
      <c r="O217" s="8"/>
      <c r="P217" s="8"/>
      <c r="Q217" s="8"/>
      <c r="R217" s="8"/>
      <c r="S217" s="8"/>
      <c r="T217" s="8"/>
    </row>
    <row r="218" spans="1:20" ht="13.5" customHeight="1">
      <c r="A218" s="7">
        <v>206</v>
      </c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8"/>
      <c r="N218" s="8"/>
      <c r="O218" s="8"/>
      <c r="P218" s="8"/>
      <c r="Q218" s="8"/>
      <c r="R218" s="8"/>
      <c r="S218" s="8"/>
      <c r="T218" s="8"/>
    </row>
    <row r="219" spans="1:20" ht="13.5" customHeight="1">
      <c r="A219" s="7">
        <v>207</v>
      </c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8"/>
      <c r="N219" s="8"/>
      <c r="O219" s="8"/>
      <c r="P219" s="8"/>
      <c r="Q219" s="8"/>
      <c r="R219" s="8"/>
      <c r="S219" s="8"/>
      <c r="T219" s="8"/>
    </row>
    <row r="220" spans="1:20" ht="13.5" customHeight="1">
      <c r="A220" s="7">
        <v>208</v>
      </c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8"/>
      <c r="N220" s="8"/>
      <c r="O220" s="8"/>
      <c r="P220" s="8"/>
      <c r="Q220" s="8"/>
      <c r="R220" s="8"/>
      <c r="S220" s="8"/>
      <c r="T220" s="8"/>
    </row>
    <row r="221" spans="1:20" ht="13.5" customHeight="1">
      <c r="A221" s="7">
        <v>209</v>
      </c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8"/>
      <c r="N221" s="8"/>
      <c r="O221" s="8"/>
      <c r="P221" s="8"/>
      <c r="Q221" s="8"/>
      <c r="R221" s="8"/>
      <c r="S221" s="8"/>
      <c r="T221" s="8"/>
    </row>
    <row r="222" spans="1:20" ht="13.5" customHeight="1">
      <c r="A222" s="7">
        <v>210</v>
      </c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8"/>
      <c r="N222" s="8"/>
      <c r="O222" s="8"/>
      <c r="P222" s="8"/>
      <c r="Q222" s="8"/>
      <c r="R222" s="8"/>
      <c r="S222" s="8"/>
      <c r="T222" s="8"/>
    </row>
    <row r="223" spans="1:20" ht="13.5" customHeight="1">
      <c r="A223" s="7">
        <v>211</v>
      </c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8"/>
      <c r="N223" s="8"/>
      <c r="O223" s="8"/>
      <c r="P223" s="8"/>
      <c r="Q223" s="8"/>
      <c r="R223" s="8"/>
      <c r="S223" s="8"/>
      <c r="T223" s="8"/>
    </row>
    <row r="224" spans="1:20" ht="13.5" customHeight="1">
      <c r="A224" s="7">
        <v>212</v>
      </c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8"/>
      <c r="N224" s="8"/>
      <c r="O224" s="8"/>
      <c r="P224" s="8"/>
      <c r="Q224" s="8"/>
      <c r="R224" s="8"/>
      <c r="S224" s="8"/>
      <c r="T224" s="8"/>
    </row>
    <row r="225" spans="1:20" ht="13.5" customHeight="1">
      <c r="A225" s="7">
        <v>213</v>
      </c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8"/>
      <c r="N225" s="8"/>
      <c r="O225" s="8"/>
      <c r="P225" s="8"/>
      <c r="Q225" s="8"/>
      <c r="R225" s="8"/>
      <c r="S225" s="8"/>
      <c r="T225" s="8"/>
    </row>
    <row r="226" spans="1:20" ht="13.5" customHeight="1">
      <c r="A226" s="7">
        <v>214</v>
      </c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8"/>
      <c r="N226" s="8"/>
      <c r="O226" s="8"/>
      <c r="P226" s="8"/>
      <c r="Q226" s="8"/>
      <c r="R226" s="8"/>
      <c r="S226" s="8"/>
      <c r="T226" s="8"/>
    </row>
    <row r="227" spans="1:20" ht="13.5" customHeight="1">
      <c r="A227" s="7">
        <v>215</v>
      </c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8"/>
      <c r="N227" s="8"/>
      <c r="O227" s="8"/>
      <c r="P227" s="8"/>
      <c r="Q227" s="8"/>
      <c r="R227" s="8"/>
      <c r="S227" s="8"/>
      <c r="T227" s="8"/>
    </row>
    <row r="228" spans="1:20" ht="13.5" customHeight="1">
      <c r="A228" s="7">
        <v>216</v>
      </c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8"/>
      <c r="N228" s="8"/>
      <c r="O228" s="8"/>
      <c r="P228" s="8"/>
      <c r="Q228" s="8"/>
      <c r="R228" s="8"/>
      <c r="S228" s="8"/>
      <c r="T228" s="8"/>
    </row>
    <row r="229" spans="1:20" ht="13.5" customHeight="1">
      <c r="A229" s="7">
        <v>217</v>
      </c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8"/>
      <c r="N229" s="8"/>
      <c r="O229" s="8"/>
      <c r="P229" s="8"/>
      <c r="Q229" s="8"/>
      <c r="R229" s="8"/>
      <c r="S229" s="8"/>
      <c r="T229" s="8"/>
    </row>
    <row r="230" spans="1:20" ht="13.5" customHeight="1">
      <c r="A230" s="7">
        <v>218</v>
      </c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8"/>
      <c r="N230" s="8"/>
      <c r="O230" s="8"/>
      <c r="P230" s="8"/>
      <c r="Q230" s="8"/>
      <c r="R230" s="8"/>
      <c r="S230" s="8"/>
      <c r="T230" s="8"/>
    </row>
    <row r="231" spans="1:20" ht="13.5" customHeight="1">
      <c r="A231" s="7">
        <v>219</v>
      </c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8"/>
      <c r="N231" s="8"/>
      <c r="O231" s="8"/>
      <c r="P231" s="8"/>
      <c r="Q231" s="8"/>
      <c r="R231" s="8"/>
      <c r="S231" s="8"/>
      <c r="T231" s="8"/>
    </row>
  </sheetData>
  <autoFilter ref="A12:T231" xr:uid="{00000000-0009-0000-0000-00000A000000}"/>
  <customSheetViews>
    <customSheetView guid="{4A49014B-6EB8-41BC-821C-AA758C89CB00}" scale="80" showPageBreaks="1" showAutoFilter="1">
      <pane xSplit="4" ySplit="12" topLeftCell="E85" activePane="bottomRight" state="frozen"/>
      <selection pane="bottomRight" activeCell="J13" sqref="J13:J125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T231" xr:uid="{7E704CD3-0434-4165-B4B6-23FD20E6A193}"/>
    </customSheetView>
  </customSheetViews>
  <mergeCells count="4">
    <mergeCell ref="J1:K1"/>
    <mergeCell ref="J2:K2"/>
    <mergeCell ref="J3:K3"/>
    <mergeCell ref="J4:K4"/>
  </mergeCells>
  <phoneticPr fontId="3"/>
  <conditionalFormatting sqref="A10:B10">
    <cfRule type="expression" dxfId="7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6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114"/>
  <sheetViews>
    <sheetView zoomScale="80" zoomScaleNormal="80" workbookViewId="0"/>
  </sheetViews>
  <sheetFormatPr defaultColWidth="9" defaultRowHeight="13.2"/>
  <cols>
    <col min="1" max="2" width="9.6640625" style="5" customWidth="1"/>
    <col min="3" max="4" width="9" style="2" customWidth="1"/>
    <col min="5" max="12" width="9" style="2"/>
    <col min="13" max="13" width="10.44140625" style="2" bestFit="1" customWidth="1"/>
    <col min="14" max="16384" width="9" style="2"/>
  </cols>
  <sheetData>
    <row r="1" spans="1:13">
      <c r="A1" s="141" t="s">
        <v>4028</v>
      </c>
      <c r="B1" s="141" t="s">
        <v>4041</v>
      </c>
      <c r="C1" s="141" t="s">
        <v>4042</v>
      </c>
      <c r="D1" s="141" t="s">
        <v>4043</v>
      </c>
      <c r="E1" s="2" t="s">
        <v>4044</v>
      </c>
      <c r="F1" s="2" t="s">
        <v>4045</v>
      </c>
      <c r="G1" s="2" t="s">
        <v>4046</v>
      </c>
      <c r="H1" s="33" t="s">
        <v>4047</v>
      </c>
      <c r="I1" s="33" t="s">
        <v>4048</v>
      </c>
      <c r="J1" s="33" t="s">
        <v>4049</v>
      </c>
      <c r="K1" s="33" t="s">
        <v>4050</v>
      </c>
      <c r="L1" s="33" t="s">
        <v>4051</v>
      </c>
      <c r="M1" s="33" t="s">
        <v>4052</v>
      </c>
    </row>
    <row r="2" spans="1:13" ht="13.5" customHeight="1">
      <c r="A2" s="140">
        <v>416237</v>
      </c>
      <c r="B2" s="140">
        <v>0</v>
      </c>
      <c r="C2" s="140">
        <v>3201</v>
      </c>
      <c r="D2" s="140">
        <v>0</v>
      </c>
      <c r="E2" s="140">
        <v>3700</v>
      </c>
      <c r="F2" s="140">
        <v>3700</v>
      </c>
      <c r="G2" s="140">
        <v>3700</v>
      </c>
      <c r="H2" s="140">
        <v>3201</v>
      </c>
      <c r="I2" s="2">
        <v>0</v>
      </c>
      <c r="J2" s="2">
        <v>0</v>
      </c>
      <c r="K2" s="2">
        <v>3201</v>
      </c>
      <c r="L2" s="2">
        <v>3201</v>
      </c>
      <c r="M2" s="2">
        <v>1</v>
      </c>
    </row>
    <row r="3" spans="1:13" ht="13.5" customHeight="1">
      <c r="A3" s="140">
        <v>416238</v>
      </c>
      <c r="B3" s="140">
        <v>0</v>
      </c>
      <c r="C3" s="140">
        <v>4746</v>
      </c>
      <c r="D3" s="140">
        <v>0</v>
      </c>
      <c r="E3" s="140">
        <v>5700</v>
      </c>
      <c r="F3" s="140">
        <v>5700</v>
      </c>
      <c r="G3" s="140">
        <v>5700</v>
      </c>
      <c r="H3" s="2">
        <v>4746</v>
      </c>
      <c r="I3" s="2">
        <v>0</v>
      </c>
      <c r="J3" s="2">
        <v>0</v>
      </c>
      <c r="K3" s="2">
        <v>4746</v>
      </c>
      <c r="L3" s="2">
        <v>4746</v>
      </c>
      <c r="M3" s="2">
        <v>1</v>
      </c>
    </row>
    <row r="4" spans="1:13" ht="13.5" customHeight="1">
      <c r="A4" s="140">
        <v>416239</v>
      </c>
      <c r="B4" s="140">
        <v>0</v>
      </c>
      <c r="C4" s="140">
        <v>3168</v>
      </c>
      <c r="D4" s="140">
        <v>0</v>
      </c>
      <c r="E4" s="140">
        <v>3700</v>
      </c>
      <c r="F4" s="140">
        <v>3700</v>
      </c>
      <c r="G4" s="140">
        <v>3700</v>
      </c>
      <c r="H4" s="2">
        <v>3168</v>
      </c>
      <c r="I4" s="2">
        <v>0</v>
      </c>
      <c r="J4" s="2">
        <v>0</v>
      </c>
      <c r="K4" s="2">
        <v>3168</v>
      </c>
      <c r="L4" s="2">
        <v>3168</v>
      </c>
      <c r="M4" s="2">
        <v>1</v>
      </c>
    </row>
    <row r="5" spans="1:13" ht="13.5" customHeight="1">
      <c r="A5" s="140">
        <v>416240</v>
      </c>
      <c r="B5" s="140">
        <v>0</v>
      </c>
      <c r="C5" s="140">
        <v>4507</v>
      </c>
      <c r="D5" s="140">
        <v>0</v>
      </c>
      <c r="E5" s="140">
        <v>5200</v>
      </c>
      <c r="F5" s="140">
        <v>5200</v>
      </c>
      <c r="G5" s="140">
        <v>5200</v>
      </c>
      <c r="H5" s="2">
        <v>4507</v>
      </c>
      <c r="I5" s="2">
        <v>0</v>
      </c>
      <c r="J5" s="2">
        <v>0</v>
      </c>
      <c r="K5" s="2">
        <v>4507</v>
      </c>
      <c r="L5" s="2">
        <v>4507</v>
      </c>
      <c r="M5" s="2">
        <v>1</v>
      </c>
    </row>
    <row r="6" spans="1:13" ht="13.5" customHeight="1">
      <c r="A6" s="140">
        <v>416103</v>
      </c>
      <c r="B6" s="140">
        <v>0</v>
      </c>
      <c r="C6" s="140">
        <v>3342</v>
      </c>
      <c r="D6" s="140">
        <v>0</v>
      </c>
      <c r="E6" s="140">
        <v>4000</v>
      </c>
      <c r="F6" s="140">
        <v>4000</v>
      </c>
      <c r="G6" s="140">
        <v>4000</v>
      </c>
      <c r="H6" s="2">
        <v>3342</v>
      </c>
      <c r="I6" s="2">
        <v>0</v>
      </c>
      <c r="J6" s="2">
        <v>0</v>
      </c>
      <c r="K6" s="2">
        <v>3342</v>
      </c>
      <c r="L6" s="2">
        <v>3342</v>
      </c>
      <c r="M6" s="2">
        <v>1</v>
      </c>
    </row>
    <row r="7" spans="1:13" ht="13.5" customHeight="1">
      <c r="A7" s="140">
        <v>416104</v>
      </c>
      <c r="B7" s="140">
        <v>0</v>
      </c>
      <c r="C7" s="140">
        <v>4144</v>
      </c>
      <c r="D7" s="140">
        <v>0</v>
      </c>
      <c r="E7" s="140">
        <v>5000</v>
      </c>
      <c r="F7" s="140">
        <v>5000</v>
      </c>
      <c r="G7" s="140">
        <v>5000</v>
      </c>
      <c r="H7" s="2">
        <v>4144</v>
      </c>
      <c r="I7" s="2">
        <v>0</v>
      </c>
      <c r="J7" s="2">
        <v>0</v>
      </c>
      <c r="K7" s="2">
        <v>4144</v>
      </c>
      <c r="L7" s="2">
        <v>4144</v>
      </c>
      <c r="M7" s="2">
        <v>1</v>
      </c>
    </row>
    <row r="8" spans="1:13" ht="13.5" customHeight="1">
      <c r="A8" s="140">
        <v>416105</v>
      </c>
      <c r="B8" s="140">
        <v>0</v>
      </c>
      <c r="C8" s="140">
        <v>4144</v>
      </c>
      <c r="D8" s="140">
        <v>0</v>
      </c>
      <c r="E8" s="140">
        <v>5000</v>
      </c>
      <c r="F8" s="140">
        <v>5000</v>
      </c>
      <c r="G8" s="140">
        <v>5000</v>
      </c>
      <c r="H8" s="2">
        <v>4144</v>
      </c>
      <c r="I8" s="2">
        <v>0</v>
      </c>
      <c r="J8" s="2">
        <v>0</v>
      </c>
      <c r="K8" s="2">
        <v>4144</v>
      </c>
      <c r="L8" s="2">
        <v>4144</v>
      </c>
      <c r="M8" s="2">
        <v>1</v>
      </c>
    </row>
    <row r="9" spans="1:13" ht="13.5" customHeight="1">
      <c r="A9" s="140">
        <v>416106</v>
      </c>
      <c r="B9" s="140">
        <v>0</v>
      </c>
      <c r="C9" s="140">
        <v>4144</v>
      </c>
      <c r="D9" s="140">
        <v>0</v>
      </c>
      <c r="E9" s="140">
        <v>5000</v>
      </c>
      <c r="F9" s="140">
        <v>5000</v>
      </c>
      <c r="G9" s="140">
        <v>5000</v>
      </c>
      <c r="H9" s="2">
        <v>4144</v>
      </c>
      <c r="I9" s="2">
        <v>0</v>
      </c>
      <c r="J9" s="2">
        <v>0</v>
      </c>
      <c r="K9" s="2">
        <v>4144</v>
      </c>
      <c r="L9" s="2">
        <v>4144</v>
      </c>
      <c r="M9" s="2">
        <v>1</v>
      </c>
    </row>
    <row r="10" spans="1:13" ht="13.5" customHeight="1">
      <c r="A10" s="140">
        <v>416107</v>
      </c>
      <c r="B10" s="140">
        <v>0</v>
      </c>
      <c r="C10" s="140">
        <v>3068</v>
      </c>
      <c r="D10" s="140">
        <v>0</v>
      </c>
      <c r="E10" s="140">
        <v>3700</v>
      </c>
      <c r="F10" s="140">
        <v>3700</v>
      </c>
      <c r="G10" s="140">
        <v>3700</v>
      </c>
      <c r="H10" s="2">
        <v>3068</v>
      </c>
      <c r="I10" s="2">
        <v>0</v>
      </c>
      <c r="J10" s="2">
        <v>0</v>
      </c>
      <c r="K10" s="2">
        <v>3068</v>
      </c>
      <c r="L10" s="2">
        <v>3068</v>
      </c>
      <c r="M10" s="2">
        <v>1</v>
      </c>
    </row>
    <row r="11" spans="1:13" ht="13.5" customHeight="1">
      <c r="A11" s="140">
        <v>416108</v>
      </c>
      <c r="B11" s="140">
        <v>0</v>
      </c>
      <c r="C11" s="140">
        <v>3068</v>
      </c>
      <c r="D11" s="140">
        <v>0</v>
      </c>
      <c r="E11" s="140">
        <v>3700</v>
      </c>
      <c r="F11" s="140">
        <v>3700</v>
      </c>
      <c r="G11" s="140">
        <v>3700</v>
      </c>
      <c r="H11" s="2">
        <v>3068</v>
      </c>
      <c r="I11" s="2">
        <v>0</v>
      </c>
      <c r="J11" s="2">
        <v>0</v>
      </c>
      <c r="K11" s="2">
        <v>3068</v>
      </c>
      <c r="L11" s="2">
        <v>3068</v>
      </c>
      <c r="M11" s="2">
        <v>1</v>
      </c>
    </row>
    <row r="12" spans="1:13" ht="13.5" customHeight="1">
      <c r="A12" s="140">
        <v>416109</v>
      </c>
      <c r="B12" s="140">
        <v>0</v>
      </c>
      <c r="C12" s="140">
        <v>3068</v>
      </c>
      <c r="D12" s="140">
        <v>0</v>
      </c>
      <c r="E12" s="140">
        <v>3700</v>
      </c>
      <c r="F12" s="140">
        <v>3700</v>
      </c>
      <c r="G12" s="140">
        <v>3700</v>
      </c>
      <c r="H12" s="2">
        <v>3068</v>
      </c>
      <c r="I12" s="2">
        <v>0</v>
      </c>
      <c r="J12" s="2">
        <v>0</v>
      </c>
      <c r="K12" s="2">
        <v>3068</v>
      </c>
      <c r="L12" s="2">
        <v>3068</v>
      </c>
      <c r="M12" s="2">
        <v>1</v>
      </c>
    </row>
    <row r="13" spans="1:13" ht="13.5" customHeight="1">
      <c r="A13" s="140">
        <v>416110</v>
      </c>
      <c r="B13" s="140">
        <v>0</v>
      </c>
      <c r="C13" s="140">
        <v>2877</v>
      </c>
      <c r="D13" s="140">
        <v>0</v>
      </c>
      <c r="E13" s="140">
        <v>3300</v>
      </c>
      <c r="F13" s="140">
        <v>3300</v>
      </c>
      <c r="G13" s="140">
        <v>3300</v>
      </c>
      <c r="H13" s="2">
        <v>2877</v>
      </c>
      <c r="I13" s="2">
        <v>0</v>
      </c>
      <c r="J13" s="2">
        <v>0</v>
      </c>
      <c r="K13" s="2">
        <v>2877</v>
      </c>
      <c r="L13" s="2">
        <v>2877</v>
      </c>
      <c r="M13" s="2">
        <v>1</v>
      </c>
    </row>
    <row r="14" spans="1:13" ht="13.5" customHeight="1">
      <c r="A14" s="140">
        <v>416111</v>
      </c>
      <c r="B14" s="140">
        <v>0</v>
      </c>
      <c r="C14" s="140">
        <v>2551</v>
      </c>
      <c r="D14" s="140">
        <v>0</v>
      </c>
      <c r="E14" s="140">
        <v>3200</v>
      </c>
      <c r="F14" s="140">
        <v>3200</v>
      </c>
      <c r="G14" s="140">
        <v>3200</v>
      </c>
      <c r="H14" s="2">
        <v>2551</v>
      </c>
      <c r="I14" s="2">
        <v>0</v>
      </c>
      <c r="J14" s="2">
        <v>0</v>
      </c>
      <c r="K14" s="2">
        <v>2551</v>
      </c>
      <c r="L14" s="2">
        <v>2551</v>
      </c>
      <c r="M14" s="2">
        <v>1</v>
      </c>
    </row>
    <row r="15" spans="1:13" ht="13.5" customHeight="1">
      <c r="A15" s="140">
        <v>416112</v>
      </c>
      <c r="B15" s="140">
        <v>0</v>
      </c>
      <c r="C15" s="140">
        <v>4900</v>
      </c>
      <c r="D15" s="140">
        <v>0</v>
      </c>
      <c r="E15" s="140">
        <v>6000</v>
      </c>
      <c r="F15" s="140">
        <v>6000</v>
      </c>
      <c r="G15" s="140">
        <v>6000</v>
      </c>
      <c r="H15" s="2">
        <v>4900</v>
      </c>
      <c r="I15" s="2">
        <v>0</v>
      </c>
      <c r="J15" s="2">
        <v>0</v>
      </c>
      <c r="K15" s="2">
        <v>4900</v>
      </c>
      <c r="L15" s="2">
        <v>4900</v>
      </c>
      <c r="M15" s="2">
        <v>1</v>
      </c>
    </row>
    <row r="16" spans="1:13" ht="13.5" customHeight="1">
      <c r="A16" s="140">
        <v>416113</v>
      </c>
      <c r="B16" s="140">
        <v>0</v>
      </c>
      <c r="C16" s="140">
        <v>4193</v>
      </c>
      <c r="D16" s="140">
        <v>0</v>
      </c>
      <c r="E16" s="140">
        <v>4800</v>
      </c>
      <c r="F16" s="140">
        <v>4800</v>
      </c>
      <c r="G16" s="140">
        <v>4800</v>
      </c>
      <c r="H16" s="2">
        <v>4193</v>
      </c>
      <c r="I16" s="2">
        <v>0</v>
      </c>
      <c r="J16" s="2">
        <v>0</v>
      </c>
      <c r="K16" s="2">
        <v>4193</v>
      </c>
      <c r="L16" s="2">
        <v>4193</v>
      </c>
      <c r="M16" s="2">
        <v>1</v>
      </c>
    </row>
    <row r="17" spans="1:13" ht="13.5" customHeight="1">
      <c r="A17" s="140">
        <v>416114</v>
      </c>
      <c r="B17" s="140">
        <v>0</v>
      </c>
      <c r="C17" s="140">
        <v>3193</v>
      </c>
      <c r="D17" s="140">
        <v>0</v>
      </c>
      <c r="E17" s="140">
        <v>3700</v>
      </c>
      <c r="F17" s="140">
        <v>3700</v>
      </c>
      <c r="G17" s="140">
        <v>3700</v>
      </c>
      <c r="H17" s="2">
        <v>3193</v>
      </c>
      <c r="I17" s="2">
        <v>0</v>
      </c>
      <c r="J17" s="2">
        <v>0</v>
      </c>
      <c r="K17" s="2">
        <v>3193</v>
      </c>
      <c r="L17" s="2">
        <v>3193</v>
      </c>
      <c r="M17" s="2">
        <v>1</v>
      </c>
    </row>
    <row r="18" spans="1:13" ht="13.5" customHeight="1">
      <c r="A18" s="140">
        <v>416115</v>
      </c>
      <c r="B18" s="140">
        <v>0</v>
      </c>
      <c r="C18" s="140">
        <v>3519</v>
      </c>
      <c r="D18" s="140">
        <v>0</v>
      </c>
      <c r="E18" s="140">
        <v>3900</v>
      </c>
      <c r="F18" s="140">
        <v>3900</v>
      </c>
      <c r="G18" s="140">
        <v>3900</v>
      </c>
      <c r="H18" s="2">
        <v>3519</v>
      </c>
      <c r="I18" s="2">
        <v>0</v>
      </c>
      <c r="J18" s="2">
        <v>0</v>
      </c>
      <c r="K18" s="2">
        <v>3519</v>
      </c>
      <c r="L18" s="2">
        <v>3519</v>
      </c>
      <c r="M18" s="2">
        <v>1</v>
      </c>
    </row>
    <row r="19" spans="1:13" ht="13.5" customHeight="1">
      <c r="A19" s="140">
        <v>416116</v>
      </c>
      <c r="B19" s="140">
        <v>0</v>
      </c>
      <c r="C19" s="140">
        <v>3198</v>
      </c>
      <c r="D19" s="140">
        <v>0</v>
      </c>
      <c r="E19" s="140">
        <v>3800</v>
      </c>
      <c r="F19" s="140">
        <v>3800</v>
      </c>
      <c r="G19" s="140">
        <v>3800</v>
      </c>
      <c r="H19" s="2">
        <v>3198</v>
      </c>
      <c r="I19" s="2">
        <v>0</v>
      </c>
      <c r="J19" s="2">
        <v>0</v>
      </c>
      <c r="K19" s="2">
        <v>3198</v>
      </c>
      <c r="L19" s="2">
        <v>3198</v>
      </c>
      <c r="M19" s="2">
        <v>1</v>
      </c>
    </row>
    <row r="20" spans="1:13" ht="13.5" customHeight="1">
      <c r="A20" s="140">
        <v>416117</v>
      </c>
      <c r="B20" s="140">
        <v>0</v>
      </c>
      <c r="C20" s="140">
        <v>4216</v>
      </c>
      <c r="D20" s="140">
        <v>0</v>
      </c>
      <c r="E20" s="140">
        <v>5000</v>
      </c>
      <c r="F20" s="140">
        <v>5000</v>
      </c>
      <c r="G20" s="140">
        <v>5000</v>
      </c>
      <c r="H20" s="2">
        <v>4216</v>
      </c>
      <c r="I20" s="2">
        <v>0</v>
      </c>
      <c r="J20" s="2">
        <v>0</v>
      </c>
      <c r="K20" s="2">
        <v>4216</v>
      </c>
      <c r="L20" s="2">
        <v>4216</v>
      </c>
      <c r="M20" s="2">
        <v>1</v>
      </c>
    </row>
    <row r="21" spans="1:13" ht="13.5" customHeight="1">
      <c r="A21" s="140">
        <v>416118</v>
      </c>
      <c r="B21" s="140">
        <v>0</v>
      </c>
      <c r="C21" s="140">
        <v>4949</v>
      </c>
      <c r="D21" s="140">
        <v>0</v>
      </c>
      <c r="E21" s="140">
        <v>5800</v>
      </c>
      <c r="F21" s="140">
        <v>5800</v>
      </c>
      <c r="G21" s="140">
        <v>5800</v>
      </c>
      <c r="H21" s="2">
        <v>4949</v>
      </c>
      <c r="I21" s="2">
        <v>0</v>
      </c>
      <c r="J21" s="2">
        <v>0</v>
      </c>
      <c r="K21" s="2">
        <v>4949</v>
      </c>
      <c r="L21" s="2">
        <v>4949</v>
      </c>
      <c r="M21" s="2">
        <v>1</v>
      </c>
    </row>
    <row r="22" spans="1:13" ht="13.5" customHeight="1">
      <c r="A22" s="140">
        <v>416119</v>
      </c>
      <c r="B22" s="140">
        <v>0</v>
      </c>
      <c r="C22" s="140">
        <v>4314</v>
      </c>
      <c r="D22" s="140">
        <v>0</v>
      </c>
      <c r="E22" s="140">
        <v>5000</v>
      </c>
      <c r="F22" s="140">
        <v>5000</v>
      </c>
      <c r="G22" s="140">
        <v>5000</v>
      </c>
      <c r="H22" s="2">
        <v>4314</v>
      </c>
      <c r="I22" s="2">
        <v>0</v>
      </c>
      <c r="J22" s="2">
        <v>0</v>
      </c>
      <c r="K22" s="2">
        <v>4314</v>
      </c>
      <c r="L22" s="2">
        <v>4314</v>
      </c>
      <c r="M22" s="2">
        <v>1</v>
      </c>
    </row>
    <row r="23" spans="1:13" ht="13.5" customHeight="1">
      <c r="A23" s="140">
        <v>416145</v>
      </c>
      <c r="B23" s="140">
        <v>0</v>
      </c>
      <c r="C23" s="140">
        <v>3094</v>
      </c>
      <c r="D23" s="140">
        <v>0</v>
      </c>
      <c r="E23" s="140">
        <v>3500</v>
      </c>
      <c r="F23" s="140">
        <v>3500</v>
      </c>
      <c r="G23" s="140">
        <v>3500</v>
      </c>
      <c r="H23" s="2">
        <v>3094</v>
      </c>
      <c r="I23" s="2">
        <v>0</v>
      </c>
      <c r="J23" s="2">
        <v>0</v>
      </c>
      <c r="K23" s="2">
        <v>3094</v>
      </c>
      <c r="L23" s="2">
        <v>3094</v>
      </c>
      <c r="M23" s="2">
        <v>1</v>
      </c>
    </row>
    <row r="24" spans="1:13" ht="13.5" customHeight="1">
      <c r="A24" s="140">
        <v>416146</v>
      </c>
      <c r="B24" s="140">
        <v>0</v>
      </c>
      <c r="C24" s="140">
        <v>5811</v>
      </c>
      <c r="D24" s="140">
        <v>0</v>
      </c>
      <c r="E24" s="140">
        <v>7000</v>
      </c>
      <c r="F24" s="140">
        <v>7000</v>
      </c>
      <c r="G24" s="140">
        <v>7000</v>
      </c>
      <c r="H24" s="2">
        <v>5811</v>
      </c>
      <c r="I24" s="2">
        <v>0</v>
      </c>
      <c r="J24" s="2">
        <v>0</v>
      </c>
      <c r="K24" s="2">
        <v>5811</v>
      </c>
      <c r="L24" s="2">
        <v>5811</v>
      </c>
      <c r="M24" s="2">
        <v>1</v>
      </c>
    </row>
    <row r="25" spans="1:13" ht="13.5" customHeight="1">
      <c r="A25" s="140">
        <v>416147</v>
      </c>
      <c r="B25" s="140">
        <v>0</v>
      </c>
      <c r="C25" s="140">
        <v>5687</v>
      </c>
      <c r="D25" s="140">
        <v>0</v>
      </c>
      <c r="E25" s="140">
        <v>6600</v>
      </c>
      <c r="F25" s="140">
        <v>6600</v>
      </c>
      <c r="G25" s="140">
        <v>6600</v>
      </c>
      <c r="H25" s="2">
        <v>5687</v>
      </c>
      <c r="I25" s="2">
        <v>0</v>
      </c>
      <c r="J25" s="2">
        <v>0</v>
      </c>
      <c r="K25" s="2">
        <v>5687</v>
      </c>
      <c r="L25" s="2">
        <v>5687</v>
      </c>
      <c r="M25" s="2">
        <v>1</v>
      </c>
    </row>
    <row r="26" spans="1:13" ht="13.5" customHeight="1">
      <c r="A26" s="140">
        <v>416148</v>
      </c>
      <c r="B26" s="140">
        <v>0</v>
      </c>
      <c r="C26" s="140">
        <v>3680</v>
      </c>
      <c r="D26" s="140">
        <v>0</v>
      </c>
      <c r="E26" s="140">
        <v>4400</v>
      </c>
      <c r="F26" s="140">
        <v>4400</v>
      </c>
      <c r="G26" s="140">
        <v>4400</v>
      </c>
      <c r="H26" s="2">
        <v>3680</v>
      </c>
      <c r="I26" s="2">
        <v>0</v>
      </c>
      <c r="J26" s="2">
        <v>0</v>
      </c>
      <c r="K26" s="2">
        <v>3680</v>
      </c>
      <c r="L26" s="2">
        <v>3680</v>
      </c>
      <c r="M26" s="2">
        <v>1</v>
      </c>
    </row>
    <row r="27" spans="1:13" ht="13.5" customHeight="1">
      <c r="A27" s="140">
        <v>416149</v>
      </c>
      <c r="B27" s="140">
        <v>0</v>
      </c>
      <c r="C27" s="140">
        <v>4640</v>
      </c>
      <c r="D27" s="140">
        <v>0</v>
      </c>
      <c r="E27" s="140">
        <v>5400</v>
      </c>
      <c r="F27" s="140">
        <v>5400</v>
      </c>
      <c r="G27" s="140">
        <v>5400</v>
      </c>
      <c r="H27" s="2">
        <v>4640</v>
      </c>
      <c r="I27" s="2">
        <v>0</v>
      </c>
      <c r="J27" s="2">
        <v>0</v>
      </c>
      <c r="K27" s="2">
        <v>4640</v>
      </c>
      <c r="L27" s="2">
        <v>4640</v>
      </c>
      <c r="M27" s="2">
        <v>1</v>
      </c>
    </row>
    <row r="28" spans="1:13" ht="13.5" customHeight="1">
      <c r="A28" s="140">
        <v>416150</v>
      </c>
      <c r="B28" s="140">
        <v>0</v>
      </c>
      <c r="C28" s="140">
        <v>4533</v>
      </c>
      <c r="D28" s="140">
        <v>0</v>
      </c>
      <c r="E28" s="140">
        <v>5000</v>
      </c>
      <c r="F28" s="140">
        <v>5000</v>
      </c>
      <c r="G28" s="140">
        <v>5000</v>
      </c>
      <c r="H28" s="2">
        <v>4533</v>
      </c>
      <c r="I28" s="2">
        <v>0</v>
      </c>
      <c r="J28" s="2">
        <v>0</v>
      </c>
      <c r="K28" s="2">
        <v>4533</v>
      </c>
      <c r="L28" s="2">
        <v>4533</v>
      </c>
      <c r="M28" s="2">
        <v>1</v>
      </c>
    </row>
    <row r="29" spans="1:13" ht="13.5" customHeight="1">
      <c r="A29" s="140">
        <v>416151</v>
      </c>
      <c r="B29" s="140">
        <v>0</v>
      </c>
      <c r="C29" s="140">
        <v>3500</v>
      </c>
      <c r="D29" s="140">
        <v>0</v>
      </c>
      <c r="E29" s="140">
        <v>4000</v>
      </c>
      <c r="F29" s="140">
        <v>4000</v>
      </c>
      <c r="G29" s="140">
        <v>4000</v>
      </c>
      <c r="H29" s="2">
        <v>3500</v>
      </c>
      <c r="I29" s="2">
        <v>0</v>
      </c>
      <c r="J29" s="2">
        <v>0</v>
      </c>
      <c r="K29" s="2">
        <v>3500</v>
      </c>
      <c r="L29" s="2">
        <v>3500</v>
      </c>
      <c r="M29" s="2">
        <v>1</v>
      </c>
    </row>
    <row r="30" spans="1:13" ht="13.5" customHeight="1">
      <c r="A30" s="140">
        <v>416152</v>
      </c>
      <c r="B30" s="140">
        <v>0</v>
      </c>
      <c r="C30" s="140">
        <v>4143</v>
      </c>
      <c r="D30" s="140">
        <v>0</v>
      </c>
      <c r="E30" s="140">
        <v>4800</v>
      </c>
      <c r="F30" s="140">
        <v>4800</v>
      </c>
      <c r="G30" s="140">
        <v>4800</v>
      </c>
      <c r="H30" s="2">
        <v>4143</v>
      </c>
      <c r="I30" s="2">
        <v>0</v>
      </c>
      <c r="J30" s="2">
        <v>0</v>
      </c>
      <c r="K30" s="2">
        <v>4143</v>
      </c>
      <c r="L30" s="2">
        <v>4143</v>
      </c>
      <c r="M30" s="2">
        <v>1</v>
      </c>
    </row>
    <row r="31" spans="1:13" ht="13.5" customHeight="1">
      <c r="A31" s="140">
        <v>416153</v>
      </c>
      <c r="B31" s="140">
        <v>0</v>
      </c>
      <c r="C31" s="140">
        <v>3091</v>
      </c>
      <c r="D31" s="140">
        <v>0</v>
      </c>
      <c r="E31" s="140">
        <v>3500</v>
      </c>
      <c r="F31" s="140">
        <v>3500</v>
      </c>
      <c r="G31" s="140">
        <v>3500</v>
      </c>
      <c r="H31" s="2">
        <v>3091</v>
      </c>
      <c r="I31" s="2">
        <v>0</v>
      </c>
      <c r="J31" s="2">
        <v>0</v>
      </c>
      <c r="K31" s="2">
        <v>3091</v>
      </c>
      <c r="L31" s="2">
        <v>3091</v>
      </c>
      <c r="M31" s="2">
        <v>1</v>
      </c>
    </row>
    <row r="32" spans="1:13" ht="13.5" customHeight="1">
      <c r="A32" s="140">
        <v>416154</v>
      </c>
      <c r="B32" s="140">
        <v>0</v>
      </c>
      <c r="C32" s="140">
        <v>4367</v>
      </c>
      <c r="D32" s="140">
        <v>0</v>
      </c>
      <c r="E32" s="140">
        <v>5000</v>
      </c>
      <c r="F32" s="140">
        <v>5000</v>
      </c>
      <c r="G32" s="140">
        <v>5000</v>
      </c>
      <c r="H32" s="2">
        <v>4367</v>
      </c>
      <c r="I32" s="2">
        <v>0</v>
      </c>
      <c r="J32" s="2">
        <v>0</v>
      </c>
      <c r="K32" s="2">
        <v>4367</v>
      </c>
      <c r="L32" s="2">
        <v>4367</v>
      </c>
      <c r="M32" s="2">
        <v>1</v>
      </c>
    </row>
    <row r="33" spans="1:13" ht="13.5" customHeight="1">
      <c r="A33" s="140">
        <v>416155</v>
      </c>
      <c r="B33" s="140">
        <v>0</v>
      </c>
      <c r="C33" s="140">
        <v>2804</v>
      </c>
      <c r="D33" s="140">
        <v>0</v>
      </c>
      <c r="E33" s="140">
        <v>3150</v>
      </c>
      <c r="F33" s="140">
        <v>3150</v>
      </c>
      <c r="G33" s="140">
        <v>3150</v>
      </c>
      <c r="H33" s="2">
        <v>2804</v>
      </c>
      <c r="I33" s="2">
        <v>0</v>
      </c>
      <c r="J33" s="2">
        <v>0</v>
      </c>
      <c r="K33" s="2">
        <v>2804</v>
      </c>
      <c r="L33" s="2">
        <v>2804</v>
      </c>
      <c r="M33" s="2">
        <v>1</v>
      </c>
    </row>
    <row r="34" spans="1:13" ht="13.5" customHeight="1">
      <c r="A34" s="140">
        <v>416156</v>
      </c>
      <c r="B34" s="140">
        <v>0</v>
      </c>
      <c r="C34" s="140">
        <v>3407</v>
      </c>
      <c r="D34" s="140">
        <v>0</v>
      </c>
      <c r="E34" s="140">
        <v>3800</v>
      </c>
      <c r="F34" s="140">
        <v>3800</v>
      </c>
      <c r="G34" s="140">
        <v>3800</v>
      </c>
      <c r="H34" s="2">
        <v>3407</v>
      </c>
      <c r="I34" s="2">
        <v>0</v>
      </c>
      <c r="J34" s="2">
        <v>0</v>
      </c>
      <c r="K34" s="2">
        <v>3407</v>
      </c>
      <c r="L34" s="2">
        <v>3407</v>
      </c>
      <c r="M34" s="2">
        <v>1</v>
      </c>
    </row>
    <row r="35" spans="1:13" ht="13.5" customHeight="1">
      <c r="A35" s="140">
        <v>416157</v>
      </c>
      <c r="B35" s="140">
        <v>0</v>
      </c>
      <c r="C35" s="140">
        <v>2831</v>
      </c>
      <c r="D35" s="140">
        <v>0</v>
      </c>
      <c r="E35" s="140">
        <v>3200</v>
      </c>
      <c r="F35" s="140">
        <v>3200</v>
      </c>
      <c r="G35" s="140">
        <v>3200</v>
      </c>
      <c r="H35" s="2">
        <v>2831</v>
      </c>
      <c r="I35" s="2">
        <v>0</v>
      </c>
      <c r="J35" s="2">
        <v>0</v>
      </c>
      <c r="K35" s="2">
        <v>2831</v>
      </c>
      <c r="L35" s="2">
        <v>2831</v>
      </c>
      <c r="M35" s="2">
        <v>1</v>
      </c>
    </row>
    <row r="36" spans="1:13" ht="13.5" customHeight="1">
      <c r="A36" s="140">
        <v>416158</v>
      </c>
      <c r="B36" s="140">
        <v>0</v>
      </c>
      <c r="C36" s="140">
        <v>3401</v>
      </c>
      <c r="D36" s="140">
        <v>0</v>
      </c>
      <c r="E36" s="140">
        <v>3700</v>
      </c>
      <c r="F36" s="140">
        <v>3700</v>
      </c>
      <c r="G36" s="140">
        <v>3700</v>
      </c>
      <c r="H36" s="2">
        <v>3401</v>
      </c>
      <c r="I36" s="2">
        <v>0</v>
      </c>
      <c r="J36" s="2">
        <v>0</v>
      </c>
      <c r="K36" s="2">
        <v>3401</v>
      </c>
      <c r="L36" s="2">
        <v>3401</v>
      </c>
      <c r="M36" s="2">
        <v>1</v>
      </c>
    </row>
    <row r="37" spans="1:13" ht="13.5" customHeight="1">
      <c r="A37" s="140">
        <v>416159</v>
      </c>
      <c r="B37" s="140">
        <v>0</v>
      </c>
      <c r="C37" s="140">
        <v>4912</v>
      </c>
      <c r="D37" s="140">
        <v>0</v>
      </c>
      <c r="E37" s="140">
        <v>5700</v>
      </c>
      <c r="F37" s="140">
        <v>5700</v>
      </c>
      <c r="G37" s="140">
        <v>5700</v>
      </c>
      <c r="H37" s="2">
        <v>4912</v>
      </c>
      <c r="I37" s="2">
        <v>0</v>
      </c>
      <c r="J37" s="2">
        <v>0</v>
      </c>
      <c r="K37" s="2">
        <v>4912</v>
      </c>
      <c r="L37" s="2">
        <v>4912</v>
      </c>
      <c r="M37" s="2">
        <v>1</v>
      </c>
    </row>
    <row r="38" spans="1:13" ht="13.5" customHeight="1">
      <c r="A38" s="140">
        <v>416160</v>
      </c>
      <c r="B38" s="140">
        <v>0</v>
      </c>
      <c r="C38" s="140">
        <v>3401</v>
      </c>
      <c r="D38" s="140">
        <v>0</v>
      </c>
      <c r="E38" s="140">
        <v>3700</v>
      </c>
      <c r="F38" s="140">
        <v>3700</v>
      </c>
      <c r="G38" s="140">
        <v>3700</v>
      </c>
      <c r="H38" s="2">
        <v>3401</v>
      </c>
      <c r="I38" s="2">
        <v>0</v>
      </c>
      <c r="J38" s="2">
        <v>0</v>
      </c>
      <c r="K38" s="2">
        <v>3401</v>
      </c>
      <c r="L38" s="2">
        <v>3401</v>
      </c>
      <c r="M38" s="2">
        <v>1</v>
      </c>
    </row>
    <row r="39" spans="1:13" ht="13.5" customHeight="1">
      <c r="A39" s="140">
        <v>416161</v>
      </c>
      <c r="B39" s="140">
        <v>0</v>
      </c>
      <c r="C39" s="140">
        <v>4912</v>
      </c>
      <c r="D39" s="140">
        <v>0</v>
      </c>
      <c r="E39" s="140">
        <v>5700</v>
      </c>
      <c r="F39" s="140">
        <v>5700</v>
      </c>
      <c r="G39" s="140">
        <v>5700</v>
      </c>
      <c r="H39" s="2">
        <v>4912</v>
      </c>
      <c r="I39" s="2">
        <v>0</v>
      </c>
      <c r="J39" s="2">
        <v>0</v>
      </c>
      <c r="K39" s="2">
        <v>4912</v>
      </c>
      <c r="L39" s="2">
        <v>4912</v>
      </c>
      <c r="M39" s="2">
        <v>1</v>
      </c>
    </row>
    <row r="40" spans="1:13" ht="13.5" customHeight="1">
      <c r="A40" s="140">
        <v>416162</v>
      </c>
      <c r="B40" s="140">
        <v>0</v>
      </c>
      <c r="C40" s="140">
        <v>3515</v>
      </c>
      <c r="D40" s="140">
        <v>0</v>
      </c>
      <c r="E40" s="140">
        <v>3700</v>
      </c>
      <c r="F40" s="140">
        <v>3700</v>
      </c>
      <c r="G40" s="140">
        <v>3700</v>
      </c>
      <c r="H40" s="2">
        <v>3515</v>
      </c>
      <c r="I40" s="2">
        <v>0</v>
      </c>
      <c r="J40" s="2">
        <v>0</v>
      </c>
      <c r="K40" s="2">
        <v>3515</v>
      </c>
      <c r="L40" s="2">
        <v>3515</v>
      </c>
      <c r="M40" s="2">
        <v>1</v>
      </c>
    </row>
    <row r="41" spans="1:13" ht="13.5" customHeight="1">
      <c r="A41" s="140">
        <v>416163</v>
      </c>
      <c r="B41" s="140">
        <v>0</v>
      </c>
      <c r="C41" s="140">
        <v>3403</v>
      </c>
      <c r="D41" s="140">
        <v>0</v>
      </c>
      <c r="E41" s="140">
        <v>4000</v>
      </c>
      <c r="F41" s="140">
        <v>4000</v>
      </c>
      <c r="G41" s="140">
        <v>4000</v>
      </c>
      <c r="H41" s="2">
        <v>3403</v>
      </c>
      <c r="I41" s="2">
        <v>0</v>
      </c>
      <c r="J41" s="2">
        <v>0</v>
      </c>
      <c r="K41" s="2">
        <v>3403</v>
      </c>
      <c r="L41" s="2">
        <v>3403</v>
      </c>
      <c r="M41" s="2">
        <v>1</v>
      </c>
    </row>
    <row r="42" spans="1:13" ht="13.5" customHeight="1">
      <c r="A42" s="140">
        <v>416164</v>
      </c>
      <c r="B42" s="140">
        <v>0</v>
      </c>
      <c r="C42" s="140">
        <v>2824</v>
      </c>
      <c r="D42" s="140">
        <v>0</v>
      </c>
      <c r="E42" s="140">
        <v>3400</v>
      </c>
      <c r="F42" s="140">
        <v>3400</v>
      </c>
      <c r="G42" s="140">
        <v>3400</v>
      </c>
      <c r="H42" s="2">
        <v>2824</v>
      </c>
      <c r="I42" s="2">
        <v>0</v>
      </c>
      <c r="J42" s="2">
        <v>0</v>
      </c>
      <c r="K42" s="2">
        <v>2824</v>
      </c>
      <c r="L42" s="2">
        <v>2824</v>
      </c>
      <c r="M42" s="2">
        <v>1</v>
      </c>
    </row>
    <row r="43" spans="1:13" ht="13.5" customHeight="1">
      <c r="A43" s="140">
        <v>416165</v>
      </c>
      <c r="B43" s="140">
        <v>0</v>
      </c>
      <c r="C43" s="140">
        <v>3160</v>
      </c>
      <c r="D43" s="140">
        <v>0</v>
      </c>
      <c r="E43" s="140">
        <v>3600</v>
      </c>
      <c r="F43" s="140">
        <v>3600</v>
      </c>
      <c r="G43" s="140">
        <v>3600</v>
      </c>
      <c r="H43" s="2">
        <v>3160</v>
      </c>
      <c r="I43" s="2">
        <v>0</v>
      </c>
      <c r="J43" s="2">
        <v>0</v>
      </c>
      <c r="K43" s="2">
        <v>3160</v>
      </c>
      <c r="L43" s="2">
        <v>3160</v>
      </c>
      <c r="M43" s="2">
        <v>1</v>
      </c>
    </row>
    <row r="44" spans="1:13" ht="13.5" customHeight="1">
      <c r="A44" s="140">
        <v>416166</v>
      </c>
      <c r="B44" s="140">
        <v>0</v>
      </c>
      <c r="C44" s="140">
        <v>3324</v>
      </c>
      <c r="D44" s="140">
        <v>0</v>
      </c>
      <c r="E44" s="140">
        <v>3800</v>
      </c>
      <c r="F44" s="140">
        <v>3800</v>
      </c>
      <c r="G44" s="140">
        <v>3800</v>
      </c>
      <c r="H44" s="2">
        <v>3324</v>
      </c>
      <c r="I44" s="2">
        <v>0</v>
      </c>
      <c r="J44" s="2">
        <v>0</v>
      </c>
      <c r="K44" s="2">
        <v>3324</v>
      </c>
      <c r="L44" s="2">
        <v>3324</v>
      </c>
      <c r="M44" s="2">
        <v>1</v>
      </c>
    </row>
    <row r="45" spans="1:13" ht="13.5" customHeight="1">
      <c r="A45" s="140">
        <v>416167</v>
      </c>
      <c r="B45" s="140">
        <v>0</v>
      </c>
      <c r="C45" s="140">
        <v>3324</v>
      </c>
      <c r="D45" s="140">
        <v>0</v>
      </c>
      <c r="E45" s="140">
        <v>3800</v>
      </c>
      <c r="F45" s="140">
        <v>3800</v>
      </c>
      <c r="G45" s="140">
        <v>3800</v>
      </c>
      <c r="H45" s="2">
        <v>3324</v>
      </c>
      <c r="I45" s="2">
        <v>0</v>
      </c>
      <c r="J45" s="2">
        <v>0</v>
      </c>
      <c r="K45" s="2">
        <v>3324</v>
      </c>
      <c r="L45" s="2">
        <v>3324</v>
      </c>
      <c r="M45" s="2">
        <v>1</v>
      </c>
    </row>
    <row r="46" spans="1:13" ht="13.5" customHeight="1">
      <c r="A46" s="140">
        <v>416168</v>
      </c>
      <c r="B46" s="140">
        <v>0</v>
      </c>
      <c r="C46" s="140">
        <v>2831</v>
      </c>
      <c r="D46" s="140">
        <v>0</v>
      </c>
      <c r="E46" s="140">
        <v>3200</v>
      </c>
      <c r="F46" s="140">
        <v>3200</v>
      </c>
      <c r="G46" s="140">
        <v>3200</v>
      </c>
      <c r="H46" s="2">
        <v>2831</v>
      </c>
      <c r="I46" s="2">
        <v>0</v>
      </c>
      <c r="J46" s="2">
        <v>0</v>
      </c>
      <c r="K46" s="2">
        <v>2831</v>
      </c>
      <c r="L46" s="2">
        <v>2831</v>
      </c>
      <c r="M46" s="2">
        <v>1</v>
      </c>
    </row>
    <row r="47" spans="1:13" ht="13.5" customHeight="1">
      <c r="A47" s="140">
        <v>416169</v>
      </c>
      <c r="B47" s="140">
        <v>0</v>
      </c>
      <c r="C47" s="140">
        <v>3367</v>
      </c>
      <c r="D47" s="140">
        <v>0</v>
      </c>
      <c r="E47" s="140">
        <v>3800</v>
      </c>
      <c r="F47" s="140">
        <v>3800</v>
      </c>
      <c r="G47" s="140">
        <v>3800</v>
      </c>
      <c r="H47" s="2">
        <v>3367</v>
      </c>
      <c r="I47" s="2">
        <v>0</v>
      </c>
      <c r="J47" s="2">
        <v>0</v>
      </c>
      <c r="K47" s="2">
        <v>3367</v>
      </c>
      <c r="L47" s="2">
        <v>3367</v>
      </c>
      <c r="M47" s="2">
        <v>1</v>
      </c>
    </row>
    <row r="48" spans="1:13" ht="13.5" customHeight="1">
      <c r="A48" s="140">
        <v>416170</v>
      </c>
      <c r="B48" s="140">
        <v>0</v>
      </c>
      <c r="C48" s="140">
        <v>3993</v>
      </c>
      <c r="D48" s="140">
        <v>0</v>
      </c>
      <c r="E48" s="140">
        <v>4400</v>
      </c>
      <c r="F48" s="140">
        <v>4400</v>
      </c>
      <c r="G48" s="140">
        <v>4400</v>
      </c>
      <c r="H48" s="2">
        <v>3993</v>
      </c>
      <c r="I48" s="2">
        <v>0</v>
      </c>
      <c r="J48" s="2">
        <v>0</v>
      </c>
      <c r="K48" s="2">
        <v>3993</v>
      </c>
      <c r="L48" s="2">
        <v>3993</v>
      </c>
      <c r="M48" s="2">
        <v>1</v>
      </c>
    </row>
    <row r="49" spans="1:13" ht="13.5" customHeight="1">
      <c r="A49" s="140">
        <v>416171</v>
      </c>
      <c r="B49" s="140">
        <v>0</v>
      </c>
      <c r="C49" s="140">
        <v>4672</v>
      </c>
      <c r="D49" s="140">
        <v>0</v>
      </c>
      <c r="E49" s="140">
        <v>5200</v>
      </c>
      <c r="F49" s="140">
        <v>5200</v>
      </c>
      <c r="G49" s="140">
        <v>5200</v>
      </c>
      <c r="H49" s="2">
        <v>4672</v>
      </c>
      <c r="I49" s="2">
        <v>0</v>
      </c>
      <c r="J49" s="2">
        <v>0</v>
      </c>
      <c r="K49" s="2">
        <v>4672</v>
      </c>
      <c r="L49" s="2">
        <v>4672</v>
      </c>
      <c r="M49" s="2">
        <v>1</v>
      </c>
    </row>
    <row r="50" spans="1:13" ht="13.5" customHeight="1">
      <c r="A50" s="140">
        <v>416172</v>
      </c>
      <c r="B50" s="140">
        <v>0</v>
      </c>
      <c r="C50" s="140">
        <v>2633</v>
      </c>
      <c r="D50" s="140">
        <v>0</v>
      </c>
      <c r="E50" s="140">
        <v>3000</v>
      </c>
      <c r="F50" s="140">
        <v>3000</v>
      </c>
      <c r="G50" s="140">
        <v>3000</v>
      </c>
      <c r="H50" s="2">
        <v>2633</v>
      </c>
      <c r="I50" s="2">
        <v>0</v>
      </c>
      <c r="J50" s="2">
        <v>0</v>
      </c>
      <c r="K50" s="2">
        <v>2633</v>
      </c>
      <c r="L50" s="2">
        <v>2633</v>
      </c>
      <c r="M50" s="2">
        <v>1</v>
      </c>
    </row>
    <row r="51" spans="1:13" ht="13.5" customHeight="1">
      <c r="A51" s="140">
        <v>416173</v>
      </c>
      <c r="B51" s="140">
        <v>0</v>
      </c>
      <c r="C51" s="140">
        <v>3850</v>
      </c>
      <c r="D51" s="140">
        <v>0</v>
      </c>
      <c r="E51" s="140">
        <v>4500</v>
      </c>
      <c r="F51" s="140">
        <v>4500</v>
      </c>
      <c r="G51" s="140">
        <v>4500</v>
      </c>
      <c r="H51" s="2">
        <v>3850</v>
      </c>
      <c r="I51" s="2">
        <v>0</v>
      </c>
      <c r="J51" s="2">
        <v>0</v>
      </c>
      <c r="K51" s="2">
        <v>3850</v>
      </c>
      <c r="L51" s="2">
        <v>3850</v>
      </c>
      <c r="M51" s="2">
        <v>1</v>
      </c>
    </row>
    <row r="52" spans="1:13" ht="13.5" customHeight="1">
      <c r="A52" s="140">
        <v>416174</v>
      </c>
      <c r="B52" s="140">
        <v>0</v>
      </c>
      <c r="C52" s="140">
        <v>4418</v>
      </c>
      <c r="D52" s="140">
        <v>0</v>
      </c>
      <c r="E52" s="140">
        <v>5200</v>
      </c>
      <c r="F52" s="140">
        <v>5200</v>
      </c>
      <c r="G52" s="140">
        <v>5200</v>
      </c>
      <c r="H52" s="2">
        <v>4418</v>
      </c>
      <c r="I52" s="2">
        <v>0</v>
      </c>
      <c r="J52" s="2">
        <v>0</v>
      </c>
      <c r="K52" s="2">
        <v>4418</v>
      </c>
      <c r="L52" s="2">
        <v>4418</v>
      </c>
      <c r="M52" s="2">
        <v>1</v>
      </c>
    </row>
    <row r="53" spans="1:13" ht="13.5" customHeight="1">
      <c r="A53" s="140">
        <v>416175</v>
      </c>
      <c r="B53" s="140">
        <v>0</v>
      </c>
      <c r="C53" s="140">
        <v>2667</v>
      </c>
      <c r="D53" s="140">
        <v>0</v>
      </c>
      <c r="E53" s="140">
        <v>3000</v>
      </c>
      <c r="F53" s="140">
        <v>3000</v>
      </c>
      <c r="G53" s="140">
        <v>3000</v>
      </c>
      <c r="H53" s="2">
        <v>2667</v>
      </c>
      <c r="I53" s="2">
        <v>0</v>
      </c>
      <c r="J53" s="2">
        <v>0</v>
      </c>
      <c r="K53" s="2">
        <v>2667</v>
      </c>
      <c r="L53" s="2">
        <v>2667</v>
      </c>
      <c r="M53" s="2">
        <v>1</v>
      </c>
    </row>
    <row r="54" spans="1:13" ht="13.5" customHeight="1">
      <c r="A54" s="140">
        <v>416176</v>
      </c>
      <c r="B54" s="140">
        <v>0</v>
      </c>
      <c r="C54" s="140">
        <v>3123</v>
      </c>
      <c r="D54" s="140">
        <v>0</v>
      </c>
      <c r="E54" s="140">
        <v>3700</v>
      </c>
      <c r="F54" s="140">
        <v>3700</v>
      </c>
      <c r="G54" s="140">
        <v>3700</v>
      </c>
      <c r="H54" s="2">
        <v>3123</v>
      </c>
      <c r="I54" s="2">
        <v>0</v>
      </c>
      <c r="J54" s="2">
        <v>0</v>
      </c>
      <c r="K54" s="2">
        <v>3123</v>
      </c>
      <c r="L54" s="2">
        <v>3123</v>
      </c>
      <c r="M54" s="2">
        <v>1</v>
      </c>
    </row>
    <row r="55" spans="1:13" ht="13.5" customHeight="1">
      <c r="A55" s="140">
        <v>416177</v>
      </c>
      <c r="B55" s="140">
        <v>0</v>
      </c>
      <c r="C55" s="140">
        <v>3699</v>
      </c>
      <c r="D55" s="140">
        <v>0</v>
      </c>
      <c r="E55" s="140">
        <v>3900</v>
      </c>
      <c r="F55" s="140">
        <v>3900</v>
      </c>
      <c r="G55" s="140">
        <v>3900</v>
      </c>
      <c r="H55" s="2">
        <v>3699</v>
      </c>
      <c r="I55" s="2">
        <v>0</v>
      </c>
      <c r="J55" s="2">
        <v>0</v>
      </c>
      <c r="K55" s="2">
        <v>3699</v>
      </c>
      <c r="L55" s="2">
        <v>3699</v>
      </c>
      <c r="M55" s="2">
        <v>1</v>
      </c>
    </row>
    <row r="56" spans="1:13" ht="13.5" customHeight="1">
      <c r="A56" s="140">
        <v>416178</v>
      </c>
      <c r="B56" s="140">
        <v>0</v>
      </c>
      <c r="C56" s="140">
        <v>2886</v>
      </c>
      <c r="D56" s="140">
        <v>0</v>
      </c>
      <c r="E56" s="140">
        <v>3250</v>
      </c>
      <c r="F56" s="140">
        <v>3250</v>
      </c>
      <c r="G56" s="140">
        <v>3250</v>
      </c>
      <c r="H56" s="2">
        <v>2886</v>
      </c>
      <c r="I56" s="2">
        <v>0</v>
      </c>
      <c r="J56" s="2">
        <v>0</v>
      </c>
      <c r="K56" s="2">
        <v>2886</v>
      </c>
      <c r="L56" s="2">
        <v>2886</v>
      </c>
      <c r="M56" s="2">
        <v>1</v>
      </c>
    </row>
    <row r="57" spans="1:13" ht="13.5" customHeight="1">
      <c r="A57" s="140">
        <v>416179</v>
      </c>
      <c r="B57" s="140">
        <v>0</v>
      </c>
      <c r="C57" s="140">
        <v>6511</v>
      </c>
      <c r="D57" s="140">
        <v>0</v>
      </c>
      <c r="E57" s="140">
        <v>8000</v>
      </c>
      <c r="F57" s="140">
        <v>8000</v>
      </c>
      <c r="G57" s="140">
        <v>8000</v>
      </c>
      <c r="H57" s="2">
        <v>6511</v>
      </c>
      <c r="I57" s="2">
        <v>0</v>
      </c>
      <c r="J57" s="2">
        <v>0</v>
      </c>
      <c r="K57" s="2">
        <v>6511</v>
      </c>
      <c r="L57" s="2">
        <v>6511</v>
      </c>
      <c r="M57" s="2">
        <v>1</v>
      </c>
    </row>
    <row r="58" spans="1:13" ht="13.5" customHeight="1">
      <c r="A58" s="140">
        <v>416180</v>
      </c>
      <c r="B58" s="140">
        <v>0</v>
      </c>
      <c r="C58" s="140">
        <v>6700</v>
      </c>
      <c r="D58" s="140">
        <v>0</v>
      </c>
      <c r="E58" s="140">
        <v>9000</v>
      </c>
      <c r="F58" s="140">
        <v>9000</v>
      </c>
      <c r="G58" s="140">
        <v>9000</v>
      </c>
      <c r="H58" s="2">
        <v>6700</v>
      </c>
      <c r="I58" s="2">
        <v>0</v>
      </c>
      <c r="J58" s="2">
        <v>0</v>
      </c>
      <c r="K58" s="2">
        <v>6700</v>
      </c>
      <c r="L58" s="2">
        <v>6700</v>
      </c>
      <c r="M58" s="2">
        <v>1</v>
      </c>
    </row>
    <row r="59" spans="1:13" ht="13.5" customHeight="1">
      <c r="A59" s="140">
        <v>416181</v>
      </c>
      <c r="B59" s="140">
        <v>0</v>
      </c>
      <c r="C59" s="140">
        <v>4213</v>
      </c>
      <c r="D59" s="140">
        <v>0</v>
      </c>
      <c r="E59" s="140">
        <v>5400</v>
      </c>
      <c r="F59" s="140">
        <v>5400</v>
      </c>
      <c r="G59" s="140">
        <v>5400</v>
      </c>
      <c r="H59" s="2">
        <v>4213</v>
      </c>
      <c r="I59" s="2">
        <v>0</v>
      </c>
      <c r="J59" s="2">
        <v>0</v>
      </c>
      <c r="K59" s="2">
        <v>4213</v>
      </c>
      <c r="L59" s="2">
        <v>4213</v>
      </c>
      <c r="M59" s="2">
        <v>1</v>
      </c>
    </row>
    <row r="60" spans="1:13" ht="13.5" customHeight="1">
      <c r="A60" s="140">
        <v>416182</v>
      </c>
      <c r="B60" s="140">
        <v>0</v>
      </c>
      <c r="C60" s="140">
        <v>3736</v>
      </c>
      <c r="D60" s="140">
        <v>0</v>
      </c>
      <c r="E60" s="140">
        <v>4300</v>
      </c>
      <c r="F60" s="140">
        <v>4300</v>
      </c>
      <c r="G60" s="140">
        <v>4300</v>
      </c>
      <c r="H60" s="2">
        <v>3736</v>
      </c>
      <c r="I60" s="2">
        <v>0</v>
      </c>
      <c r="J60" s="2">
        <v>0</v>
      </c>
      <c r="K60" s="2">
        <v>3736</v>
      </c>
      <c r="L60" s="2">
        <v>3736</v>
      </c>
      <c r="M60" s="2">
        <v>1</v>
      </c>
    </row>
    <row r="61" spans="1:13" s="10" customFormat="1" ht="13.5" customHeight="1">
      <c r="A61" s="140">
        <v>416183</v>
      </c>
      <c r="B61" s="140">
        <v>0</v>
      </c>
      <c r="C61" s="140">
        <v>4033</v>
      </c>
      <c r="D61" s="140">
        <v>0</v>
      </c>
      <c r="E61" s="140">
        <v>5000</v>
      </c>
      <c r="F61" s="140">
        <v>5000</v>
      </c>
      <c r="G61" s="140">
        <v>5000</v>
      </c>
      <c r="H61" s="10">
        <v>4033</v>
      </c>
      <c r="I61" s="2">
        <v>0</v>
      </c>
      <c r="J61" s="2">
        <v>0</v>
      </c>
      <c r="K61" s="10">
        <v>4033</v>
      </c>
      <c r="L61" s="10">
        <v>4033</v>
      </c>
      <c r="M61" s="2">
        <v>1</v>
      </c>
    </row>
    <row r="62" spans="1:13" ht="13.5" customHeight="1">
      <c r="A62" s="140">
        <v>416184</v>
      </c>
      <c r="B62" s="140">
        <v>0</v>
      </c>
      <c r="C62" s="140">
        <v>4033</v>
      </c>
      <c r="D62" s="140">
        <v>0</v>
      </c>
      <c r="E62" s="140">
        <v>5000</v>
      </c>
      <c r="F62" s="140">
        <v>5000</v>
      </c>
      <c r="G62" s="140">
        <v>5000</v>
      </c>
      <c r="H62" s="2">
        <v>4033</v>
      </c>
      <c r="I62" s="2">
        <v>0</v>
      </c>
      <c r="J62" s="2">
        <v>0</v>
      </c>
      <c r="K62" s="2">
        <v>4033</v>
      </c>
      <c r="L62" s="2">
        <v>4033</v>
      </c>
      <c r="M62" s="2">
        <v>1</v>
      </c>
    </row>
    <row r="63" spans="1:13" ht="13.5" customHeight="1">
      <c r="A63" s="140">
        <v>416185</v>
      </c>
      <c r="B63" s="140">
        <v>0</v>
      </c>
      <c r="C63" s="140">
        <v>3356</v>
      </c>
      <c r="D63" s="140">
        <v>0</v>
      </c>
      <c r="E63" s="140">
        <v>4000</v>
      </c>
      <c r="F63" s="140">
        <v>4000</v>
      </c>
      <c r="G63" s="140">
        <v>4000</v>
      </c>
      <c r="H63" s="2">
        <v>3356</v>
      </c>
      <c r="I63" s="2">
        <v>0</v>
      </c>
      <c r="J63" s="2">
        <v>0</v>
      </c>
      <c r="K63" s="2">
        <v>3356</v>
      </c>
      <c r="L63" s="2">
        <v>3356</v>
      </c>
      <c r="M63" s="2">
        <v>1</v>
      </c>
    </row>
    <row r="64" spans="1:13" ht="13.5" customHeight="1">
      <c r="A64" s="140">
        <v>416186</v>
      </c>
      <c r="B64" s="140">
        <v>0</v>
      </c>
      <c r="C64" s="140">
        <v>2800</v>
      </c>
      <c r="D64" s="140">
        <v>0</v>
      </c>
      <c r="E64" s="140">
        <v>3000</v>
      </c>
      <c r="F64" s="140">
        <v>3000</v>
      </c>
      <c r="G64" s="140">
        <v>3000</v>
      </c>
      <c r="H64" s="2">
        <v>2800</v>
      </c>
      <c r="I64" s="2">
        <v>0</v>
      </c>
      <c r="J64" s="2">
        <v>0</v>
      </c>
      <c r="K64" s="2">
        <v>2800</v>
      </c>
      <c r="L64" s="2">
        <v>2800</v>
      </c>
      <c r="M64" s="2">
        <v>1</v>
      </c>
    </row>
    <row r="65" spans="1:13" ht="13.5" customHeight="1">
      <c r="A65" s="140">
        <v>416187</v>
      </c>
      <c r="B65" s="140">
        <v>0</v>
      </c>
      <c r="C65" s="140">
        <v>3961</v>
      </c>
      <c r="D65" s="140">
        <v>0</v>
      </c>
      <c r="E65" s="140">
        <v>4500</v>
      </c>
      <c r="F65" s="140">
        <v>4500</v>
      </c>
      <c r="G65" s="140">
        <v>4500</v>
      </c>
      <c r="H65" s="2">
        <v>3961</v>
      </c>
      <c r="I65" s="2">
        <v>0</v>
      </c>
      <c r="J65" s="2">
        <v>0</v>
      </c>
      <c r="K65" s="2">
        <v>3961</v>
      </c>
      <c r="L65" s="2">
        <v>3961</v>
      </c>
      <c r="M65" s="2">
        <v>1</v>
      </c>
    </row>
    <row r="66" spans="1:13" ht="13.5" customHeight="1">
      <c r="A66" s="140">
        <v>416188</v>
      </c>
      <c r="B66" s="140">
        <v>0</v>
      </c>
      <c r="C66" s="140">
        <v>4422</v>
      </c>
      <c r="D66" s="140">
        <v>0</v>
      </c>
      <c r="E66" s="140">
        <v>5000</v>
      </c>
      <c r="F66" s="140">
        <v>5000</v>
      </c>
      <c r="G66" s="140">
        <v>5000</v>
      </c>
      <c r="H66" s="2">
        <v>4422</v>
      </c>
      <c r="I66" s="2">
        <v>0</v>
      </c>
      <c r="J66" s="2">
        <v>0</v>
      </c>
      <c r="K66" s="2">
        <v>4422</v>
      </c>
      <c r="L66" s="2">
        <v>4422</v>
      </c>
      <c r="M66" s="2">
        <v>1</v>
      </c>
    </row>
    <row r="67" spans="1:13" ht="13.5" customHeight="1">
      <c r="A67" s="140">
        <v>416189</v>
      </c>
      <c r="B67" s="140">
        <v>0</v>
      </c>
      <c r="C67" s="140">
        <v>2918</v>
      </c>
      <c r="D67" s="140">
        <v>0</v>
      </c>
      <c r="E67" s="140">
        <v>3200</v>
      </c>
      <c r="F67" s="140">
        <v>3200</v>
      </c>
      <c r="G67" s="140">
        <v>3200</v>
      </c>
      <c r="H67" s="2">
        <v>2918</v>
      </c>
      <c r="I67" s="2">
        <v>0</v>
      </c>
      <c r="J67" s="2">
        <v>0</v>
      </c>
      <c r="K67" s="2">
        <v>2918</v>
      </c>
      <c r="L67" s="2">
        <v>2918</v>
      </c>
      <c r="M67" s="2">
        <v>1</v>
      </c>
    </row>
    <row r="68" spans="1:13" ht="13.5" customHeight="1">
      <c r="A68" s="140">
        <v>416190</v>
      </c>
      <c r="B68" s="140">
        <v>0</v>
      </c>
      <c r="C68" s="140">
        <v>3611</v>
      </c>
      <c r="D68" s="140">
        <v>0</v>
      </c>
      <c r="E68" s="140">
        <v>4000</v>
      </c>
      <c r="F68" s="140">
        <v>4000</v>
      </c>
      <c r="G68" s="140">
        <v>4000</v>
      </c>
      <c r="H68" s="2">
        <v>3611</v>
      </c>
      <c r="I68" s="2">
        <v>0</v>
      </c>
      <c r="J68" s="2">
        <v>0</v>
      </c>
      <c r="K68" s="2">
        <v>3611</v>
      </c>
      <c r="L68" s="2">
        <v>3611</v>
      </c>
      <c r="M68" s="2">
        <v>1</v>
      </c>
    </row>
    <row r="69" spans="1:13" ht="13.5" customHeight="1">
      <c r="A69" s="140">
        <v>416191</v>
      </c>
      <c r="B69" s="140">
        <v>0</v>
      </c>
      <c r="C69" s="140">
        <v>4367</v>
      </c>
      <c r="D69" s="140">
        <v>0</v>
      </c>
      <c r="E69" s="140">
        <v>5000</v>
      </c>
      <c r="F69" s="140">
        <v>5000</v>
      </c>
      <c r="G69" s="140">
        <v>5000</v>
      </c>
      <c r="H69" s="2">
        <v>4367</v>
      </c>
      <c r="I69" s="2">
        <v>0</v>
      </c>
      <c r="J69" s="2">
        <v>0</v>
      </c>
      <c r="K69" s="2">
        <v>4367</v>
      </c>
      <c r="L69" s="2">
        <v>4367</v>
      </c>
      <c r="M69" s="2">
        <v>1</v>
      </c>
    </row>
    <row r="70" spans="1:13" ht="13.5" customHeight="1">
      <c r="A70" s="140">
        <v>416192</v>
      </c>
      <c r="B70" s="140">
        <v>0</v>
      </c>
      <c r="C70" s="140">
        <v>2902</v>
      </c>
      <c r="D70" s="140">
        <v>0</v>
      </c>
      <c r="E70" s="140">
        <v>3300</v>
      </c>
      <c r="F70" s="140">
        <v>3300</v>
      </c>
      <c r="G70" s="140">
        <v>3300</v>
      </c>
      <c r="H70" s="2">
        <v>2902</v>
      </c>
      <c r="I70" s="2">
        <v>0</v>
      </c>
      <c r="J70" s="2">
        <v>0</v>
      </c>
      <c r="K70" s="2">
        <v>2902</v>
      </c>
      <c r="L70" s="2">
        <v>2902</v>
      </c>
      <c r="M70" s="2">
        <v>1</v>
      </c>
    </row>
    <row r="71" spans="1:13" ht="13.5" customHeight="1">
      <c r="A71" s="140">
        <v>416193</v>
      </c>
      <c r="B71" s="140">
        <v>0</v>
      </c>
      <c r="C71" s="140">
        <v>4146</v>
      </c>
      <c r="D71" s="140">
        <v>0</v>
      </c>
      <c r="E71" s="140">
        <v>4500</v>
      </c>
      <c r="F71" s="140">
        <v>4500</v>
      </c>
      <c r="G71" s="140">
        <v>4500</v>
      </c>
      <c r="H71" s="2">
        <v>4146</v>
      </c>
      <c r="I71" s="2">
        <v>0</v>
      </c>
      <c r="J71" s="2">
        <v>0</v>
      </c>
      <c r="K71" s="2">
        <v>4146</v>
      </c>
      <c r="L71" s="2">
        <v>4146</v>
      </c>
      <c r="M71" s="2">
        <v>1</v>
      </c>
    </row>
    <row r="72" spans="1:13" ht="13.5" customHeight="1">
      <c r="A72" s="140">
        <v>416194</v>
      </c>
      <c r="B72" s="140">
        <v>0</v>
      </c>
      <c r="C72" s="140">
        <v>4131</v>
      </c>
      <c r="D72" s="140">
        <v>0</v>
      </c>
      <c r="E72" s="140">
        <v>5000</v>
      </c>
      <c r="F72" s="140">
        <v>5000</v>
      </c>
      <c r="G72" s="140">
        <v>5000</v>
      </c>
      <c r="H72" s="2">
        <v>4131</v>
      </c>
      <c r="I72" s="2">
        <v>0</v>
      </c>
      <c r="J72" s="2">
        <v>0</v>
      </c>
      <c r="K72" s="2">
        <v>4131</v>
      </c>
      <c r="L72" s="2">
        <v>4131</v>
      </c>
      <c r="M72" s="2">
        <v>1</v>
      </c>
    </row>
    <row r="73" spans="1:13" ht="13.5" customHeight="1">
      <c r="A73" s="140">
        <v>416195</v>
      </c>
      <c r="B73" s="140">
        <v>0</v>
      </c>
      <c r="C73" s="140">
        <v>2843</v>
      </c>
      <c r="D73" s="140">
        <v>0</v>
      </c>
      <c r="E73" s="140">
        <v>3300</v>
      </c>
      <c r="F73" s="140">
        <v>3300</v>
      </c>
      <c r="G73" s="140">
        <v>3300</v>
      </c>
      <c r="H73" s="2">
        <v>2843</v>
      </c>
      <c r="I73" s="2">
        <v>0</v>
      </c>
      <c r="J73" s="2">
        <v>0</v>
      </c>
      <c r="K73" s="2">
        <v>2843</v>
      </c>
      <c r="L73" s="2">
        <v>2843</v>
      </c>
      <c r="M73" s="2">
        <v>1</v>
      </c>
    </row>
    <row r="74" spans="1:13" ht="13.5" customHeight="1">
      <c r="A74" s="140">
        <v>416196</v>
      </c>
      <c r="B74" s="140">
        <v>0</v>
      </c>
      <c r="C74" s="140">
        <v>3244</v>
      </c>
      <c r="D74" s="140">
        <v>0</v>
      </c>
      <c r="E74" s="140">
        <v>4000</v>
      </c>
      <c r="F74" s="140">
        <v>4000</v>
      </c>
      <c r="G74" s="140">
        <v>4000</v>
      </c>
      <c r="H74" s="2">
        <v>3244</v>
      </c>
      <c r="I74" s="2">
        <v>0</v>
      </c>
      <c r="J74" s="2">
        <v>0</v>
      </c>
      <c r="K74" s="2">
        <v>3244</v>
      </c>
      <c r="L74" s="2">
        <v>3244</v>
      </c>
      <c r="M74" s="2">
        <v>1</v>
      </c>
    </row>
    <row r="75" spans="1:13" ht="13.5" customHeight="1">
      <c r="A75" s="140">
        <v>416197</v>
      </c>
      <c r="B75" s="140">
        <v>0</v>
      </c>
      <c r="C75" s="140">
        <v>3978</v>
      </c>
      <c r="D75" s="140">
        <v>0</v>
      </c>
      <c r="E75" s="140">
        <v>5000</v>
      </c>
      <c r="F75" s="140">
        <v>5000</v>
      </c>
      <c r="G75" s="140">
        <v>5000</v>
      </c>
      <c r="H75" s="2">
        <v>3978</v>
      </c>
      <c r="I75" s="2">
        <v>0</v>
      </c>
      <c r="J75" s="2">
        <v>0</v>
      </c>
      <c r="K75" s="2">
        <v>3978</v>
      </c>
      <c r="L75" s="2">
        <v>3978</v>
      </c>
      <c r="M75" s="2">
        <v>1</v>
      </c>
    </row>
    <row r="76" spans="1:13" ht="13.5" customHeight="1">
      <c r="A76" s="140">
        <v>416198</v>
      </c>
      <c r="B76" s="140">
        <v>0</v>
      </c>
      <c r="C76" s="140">
        <v>3420</v>
      </c>
      <c r="D76" s="140">
        <v>0</v>
      </c>
      <c r="E76" s="140">
        <v>4600</v>
      </c>
      <c r="F76" s="140">
        <v>4600</v>
      </c>
      <c r="G76" s="140">
        <v>4600</v>
      </c>
      <c r="H76" s="2">
        <v>3420</v>
      </c>
      <c r="I76" s="2">
        <v>0</v>
      </c>
      <c r="J76" s="2">
        <v>0</v>
      </c>
      <c r="K76" s="2">
        <v>3420</v>
      </c>
      <c r="L76" s="2">
        <v>3420</v>
      </c>
      <c r="M76" s="2">
        <v>1</v>
      </c>
    </row>
    <row r="77" spans="1:13" ht="13.5" customHeight="1">
      <c r="A77" s="140">
        <v>416199</v>
      </c>
      <c r="B77" s="140">
        <v>0</v>
      </c>
      <c r="C77" s="140">
        <v>5137</v>
      </c>
      <c r="D77" s="140">
        <v>0</v>
      </c>
      <c r="E77" s="140">
        <v>6000</v>
      </c>
      <c r="F77" s="140">
        <v>6000</v>
      </c>
      <c r="G77" s="140">
        <v>6000</v>
      </c>
      <c r="H77" s="2">
        <v>5137</v>
      </c>
      <c r="I77" s="2">
        <v>0</v>
      </c>
      <c r="J77" s="2">
        <v>0</v>
      </c>
      <c r="K77" s="2">
        <v>5137</v>
      </c>
      <c r="L77" s="2">
        <v>5137</v>
      </c>
      <c r="M77" s="2">
        <v>1</v>
      </c>
    </row>
    <row r="78" spans="1:13" ht="13.5" customHeight="1">
      <c r="A78" s="140">
        <v>416200</v>
      </c>
      <c r="B78" s="140">
        <v>0</v>
      </c>
      <c r="C78" s="140">
        <v>6162</v>
      </c>
      <c r="D78" s="140">
        <v>0</v>
      </c>
      <c r="E78" s="140">
        <v>7200</v>
      </c>
      <c r="F78" s="140">
        <v>7200</v>
      </c>
      <c r="G78" s="140">
        <v>7200</v>
      </c>
      <c r="H78" s="2">
        <v>6162</v>
      </c>
      <c r="I78" s="2">
        <v>0</v>
      </c>
      <c r="J78" s="2">
        <v>0</v>
      </c>
      <c r="K78" s="2">
        <v>6162</v>
      </c>
      <c r="L78" s="2">
        <v>6162</v>
      </c>
      <c r="M78" s="2">
        <v>1</v>
      </c>
    </row>
    <row r="79" spans="1:13" ht="13.5" customHeight="1">
      <c r="A79" s="140">
        <v>416201</v>
      </c>
      <c r="B79" s="140">
        <v>0</v>
      </c>
      <c r="C79" s="140">
        <v>3742</v>
      </c>
      <c r="D79" s="140">
        <v>0</v>
      </c>
      <c r="E79" s="140">
        <v>4600</v>
      </c>
      <c r="F79" s="140">
        <v>4600</v>
      </c>
      <c r="G79" s="140">
        <v>4600</v>
      </c>
      <c r="H79" s="2">
        <v>3742</v>
      </c>
      <c r="I79" s="2">
        <v>0</v>
      </c>
      <c r="J79" s="2">
        <v>0</v>
      </c>
      <c r="K79" s="2">
        <v>3742</v>
      </c>
      <c r="L79" s="2">
        <v>3742</v>
      </c>
      <c r="M79" s="2">
        <v>1</v>
      </c>
    </row>
    <row r="80" spans="1:13" ht="13.5" customHeight="1">
      <c r="A80" s="140">
        <v>416202</v>
      </c>
      <c r="B80" s="140">
        <v>0</v>
      </c>
      <c r="C80" s="140">
        <v>4211</v>
      </c>
      <c r="D80" s="140">
        <v>0</v>
      </c>
      <c r="E80" s="140">
        <v>5000</v>
      </c>
      <c r="F80" s="140">
        <v>5000</v>
      </c>
      <c r="G80" s="140">
        <v>5000</v>
      </c>
      <c r="H80" s="2">
        <v>4211</v>
      </c>
      <c r="I80" s="2">
        <v>0</v>
      </c>
      <c r="J80" s="2">
        <v>0</v>
      </c>
      <c r="K80" s="2">
        <v>4211</v>
      </c>
      <c r="L80" s="2">
        <v>4211</v>
      </c>
      <c r="M80" s="2">
        <v>1</v>
      </c>
    </row>
    <row r="81" spans="1:13" ht="13.5" customHeight="1">
      <c r="A81" s="140">
        <v>416203</v>
      </c>
      <c r="B81" s="140">
        <v>0</v>
      </c>
      <c r="C81" s="140">
        <v>3922</v>
      </c>
      <c r="D81" s="140">
        <v>0</v>
      </c>
      <c r="E81" s="140">
        <v>5000</v>
      </c>
      <c r="F81" s="140">
        <v>5000</v>
      </c>
      <c r="G81" s="140">
        <v>5000</v>
      </c>
      <c r="H81" s="2">
        <v>3922</v>
      </c>
      <c r="I81" s="2">
        <v>0</v>
      </c>
      <c r="J81" s="2">
        <v>0</v>
      </c>
      <c r="K81" s="2">
        <v>3922</v>
      </c>
      <c r="L81" s="2">
        <v>3922</v>
      </c>
      <c r="M81" s="2">
        <v>1</v>
      </c>
    </row>
    <row r="82" spans="1:13" ht="13.5" customHeight="1">
      <c r="A82" s="140">
        <v>416204</v>
      </c>
      <c r="B82" s="140">
        <v>0</v>
      </c>
      <c r="C82" s="140">
        <v>2600</v>
      </c>
      <c r="D82" s="140">
        <v>0</v>
      </c>
      <c r="E82" s="140">
        <v>3000</v>
      </c>
      <c r="F82" s="140">
        <v>3000</v>
      </c>
      <c r="G82" s="140">
        <v>3000</v>
      </c>
      <c r="H82" s="2">
        <v>2600</v>
      </c>
      <c r="I82" s="2">
        <v>0</v>
      </c>
      <c r="J82" s="2">
        <v>0</v>
      </c>
      <c r="K82" s="2">
        <v>2600</v>
      </c>
      <c r="L82" s="2">
        <v>2600</v>
      </c>
      <c r="M82" s="2">
        <v>1</v>
      </c>
    </row>
    <row r="83" spans="1:13" ht="13.5" customHeight="1">
      <c r="A83" s="140">
        <v>416205</v>
      </c>
      <c r="B83" s="140">
        <v>0</v>
      </c>
      <c r="C83" s="140">
        <v>6193</v>
      </c>
      <c r="D83" s="140">
        <v>0</v>
      </c>
      <c r="E83" s="140">
        <v>7500</v>
      </c>
      <c r="F83" s="140">
        <v>7500</v>
      </c>
      <c r="G83" s="140">
        <v>7500</v>
      </c>
      <c r="H83" s="2">
        <v>6193</v>
      </c>
      <c r="I83" s="2">
        <v>0</v>
      </c>
      <c r="J83" s="2">
        <v>0</v>
      </c>
      <c r="K83" s="2">
        <v>6193</v>
      </c>
      <c r="L83" s="2">
        <v>6193</v>
      </c>
      <c r="M83" s="2">
        <v>1</v>
      </c>
    </row>
    <row r="84" spans="1:13" ht="13.5" customHeight="1">
      <c r="A84" s="140">
        <v>416206</v>
      </c>
      <c r="B84" s="140">
        <v>0</v>
      </c>
      <c r="C84" s="140">
        <v>3850</v>
      </c>
      <c r="D84" s="140">
        <v>0</v>
      </c>
      <c r="E84" s="140">
        <v>4500</v>
      </c>
      <c r="F84" s="140">
        <v>4500</v>
      </c>
      <c r="G84" s="140">
        <v>4500</v>
      </c>
      <c r="H84" s="2">
        <v>3850</v>
      </c>
      <c r="I84" s="2">
        <v>0</v>
      </c>
      <c r="J84" s="2">
        <v>0</v>
      </c>
      <c r="K84" s="2">
        <v>3850</v>
      </c>
      <c r="L84" s="2">
        <v>3850</v>
      </c>
      <c r="M84" s="2">
        <v>1</v>
      </c>
    </row>
    <row r="85" spans="1:13" ht="13.5" customHeight="1">
      <c r="A85" s="140">
        <v>416207</v>
      </c>
      <c r="B85" s="140">
        <v>0</v>
      </c>
      <c r="C85" s="140">
        <v>3632</v>
      </c>
      <c r="D85" s="140">
        <v>0</v>
      </c>
      <c r="E85" s="140">
        <v>4300</v>
      </c>
      <c r="F85" s="140">
        <v>4300</v>
      </c>
      <c r="G85" s="140">
        <v>4300</v>
      </c>
      <c r="H85" s="2">
        <v>3632</v>
      </c>
      <c r="I85" s="2">
        <v>0</v>
      </c>
      <c r="J85" s="2">
        <v>0</v>
      </c>
      <c r="K85" s="2">
        <v>3632</v>
      </c>
      <c r="L85" s="2">
        <v>3632</v>
      </c>
      <c r="M85" s="2">
        <v>1</v>
      </c>
    </row>
    <row r="86" spans="1:13" ht="13.5" customHeight="1">
      <c r="A86" s="140">
        <v>416208</v>
      </c>
      <c r="B86" s="140">
        <v>0</v>
      </c>
      <c r="C86" s="140">
        <v>4200</v>
      </c>
      <c r="D86" s="140">
        <v>0</v>
      </c>
      <c r="E86" s="140">
        <v>5000</v>
      </c>
      <c r="F86" s="140">
        <v>5000</v>
      </c>
      <c r="G86" s="140">
        <v>5000</v>
      </c>
      <c r="H86" s="2">
        <v>4200</v>
      </c>
      <c r="I86" s="2">
        <v>0</v>
      </c>
      <c r="J86" s="2">
        <v>0</v>
      </c>
      <c r="K86" s="2">
        <v>4200</v>
      </c>
      <c r="L86" s="2">
        <v>4200</v>
      </c>
      <c r="M86" s="2">
        <v>1</v>
      </c>
    </row>
    <row r="87" spans="1:13" ht="13.5" customHeight="1">
      <c r="A87" s="140">
        <v>416209</v>
      </c>
      <c r="B87" s="140">
        <v>0</v>
      </c>
      <c r="C87" s="140">
        <v>2847</v>
      </c>
      <c r="D87" s="140">
        <v>0</v>
      </c>
      <c r="E87" s="140">
        <v>3400</v>
      </c>
      <c r="F87" s="140">
        <v>3400</v>
      </c>
      <c r="G87" s="140">
        <v>3400</v>
      </c>
      <c r="H87" s="2">
        <v>2847</v>
      </c>
      <c r="I87" s="2">
        <v>0</v>
      </c>
      <c r="J87" s="2">
        <v>0</v>
      </c>
      <c r="K87" s="2">
        <v>2847</v>
      </c>
      <c r="L87" s="2">
        <v>2847</v>
      </c>
      <c r="M87" s="2">
        <v>1</v>
      </c>
    </row>
    <row r="88" spans="1:13" ht="13.5" customHeight="1">
      <c r="A88" s="140">
        <v>416210</v>
      </c>
      <c r="B88" s="140">
        <v>0</v>
      </c>
      <c r="C88" s="140">
        <v>2567</v>
      </c>
      <c r="D88" s="140">
        <v>0</v>
      </c>
      <c r="E88" s="140">
        <v>3000</v>
      </c>
      <c r="F88" s="140">
        <v>3000</v>
      </c>
      <c r="G88" s="140">
        <v>3000</v>
      </c>
      <c r="H88" s="2">
        <v>2567</v>
      </c>
      <c r="I88" s="2">
        <v>0</v>
      </c>
      <c r="J88" s="2">
        <v>0</v>
      </c>
      <c r="K88" s="2">
        <v>2567</v>
      </c>
      <c r="L88" s="2">
        <v>2567</v>
      </c>
      <c r="M88" s="2">
        <v>1</v>
      </c>
    </row>
    <row r="89" spans="1:13" ht="13.5" customHeight="1">
      <c r="A89" s="140">
        <v>416211</v>
      </c>
      <c r="B89" s="140">
        <v>0</v>
      </c>
      <c r="C89" s="140">
        <v>2881</v>
      </c>
      <c r="D89" s="140">
        <v>0</v>
      </c>
      <c r="E89" s="140">
        <v>3100</v>
      </c>
      <c r="F89" s="140">
        <v>3100</v>
      </c>
      <c r="G89" s="140">
        <v>3100</v>
      </c>
      <c r="H89" s="2">
        <v>2881</v>
      </c>
      <c r="I89" s="2">
        <v>0</v>
      </c>
      <c r="J89" s="2">
        <v>0</v>
      </c>
      <c r="K89" s="2">
        <v>2881</v>
      </c>
      <c r="L89" s="2">
        <v>2881</v>
      </c>
      <c r="M89" s="2">
        <v>1</v>
      </c>
    </row>
    <row r="90" spans="1:13" ht="13.5" customHeight="1">
      <c r="A90" s="140">
        <v>416212</v>
      </c>
      <c r="B90" s="140">
        <v>0</v>
      </c>
      <c r="C90" s="140">
        <v>3729</v>
      </c>
      <c r="D90" s="140">
        <v>0</v>
      </c>
      <c r="E90" s="140">
        <v>4700</v>
      </c>
      <c r="F90" s="140">
        <v>4700</v>
      </c>
      <c r="G90" s="140">
        <v>4700</v>
      </c>
      <c r="H90" s="2">
        <v>3729</v>
      </c>
      <c r="I90" s="2">
        <v>0</v>
      </c>
      <c r="J90" s="2">
        <v>0</v>
      </c>
      <c r="K90" s="2">
        <v>3729</v>
      </c>
      <c r="L90" s="2">
        <v>3729</v>
      </c>
      <c r="M90" s="2">
        <v>1</v>
      </c>
    </row>
    <row r="91" spans="1:13" ht="13.5" customHeight="1">
      <c r="A91" s="140">
        <v>416213</v>
      </c>
      <c r="B91" s="140">
        <v>0</v>
      </c>
      <c r="C91" s="140">
        <v>3476</v>
      </c>
      <c r="D91" s="140">
        <v>0</v>
      </c>
      <c r="E91" s="140">
        <v>4200</v>
      </c>
      <c r="F91" s="140">
        <v>4200</v>
      </c>
      <c r="G91" s="140">
        <v>4200</v>
      </c>
      <c r="H91" s="2">
        <v>3476</v>
      </c>
      <c r="I91" s="2">
        <v>0</v>
      </c>
      <c r="J91" s="2">
        <v>0</v>
      </c>
      <c r="K91" s="2">
        <v>3476</v>
      </c>
      <c r="L91" s="2">
        <v>3476</v>
      </c>
      <c r="M91" s="2">
        <v>1</v>
      </c>
    </row>
    <row r="92" spans="1:13" ht="13.5" customHeight="1">
      <c r="A92" s="140">
        <v>416214</v>
      </c>
      <c r="B92" s="140">
        <v>0</v>
      </c>
      <c r="C92" s="140">
        <v>2520</v>
      </c>
      <c r="D92" s="140">
        <v>0</v>
      </c>
      <c r="E92" s="140">
        <v>3000</v>
      </c>
      <c r="F92" s="140">
        <v>3000</v>
      </c>
      <c r="G92" s="140">
        <v>3000</v>
      </c>
      <c r="H92" s="2">
        <v>2520</v>
      </c>
      <c r="I92" s="2">
        <v>0</v>
      </c>
      <c r="J92" s="2">
        <v>0</v>
      </c>
      <c r="K92" s="2">
        <v>2520</v>
      </c>
      <c r="L92" s="2">
        <v>2520</v>
      </c>
      <c r="M92" s="2">
        <v>1</v>
      </c>
    </row>
    <row r="93" spans="1:13" ht="13.5" customHeight="1">
      <c r="A93" s="140">
        <v>416215</v>
      </c>
      <c r="B93" s="140">
        <v>0</v>
      </c>
      <c r="C93" s="140">
        <v>3224</v>
      </c>
      <c r="D93" s="140">
        <v>0</v>
      </c>
      <c r="E93" s="140">
        <v>3980</v>
      </c>
      <c r="F93" s="140">
        <v>3980</v>
      </c>
      <c r="G93" s="140">
        <v>3980</v>
      </c>
      <c r="H93" s="2">
        <v>3224</v>
      </c>
      <c r="I93" s="2">
        <v>0</v>
      </c>
      <c r="J93" s="2">
        <v>0</v>
      </c>
      <c r="K93" s="2">
        <v>3224</v>
      </c>
      <c r="L93" s="2">
        <v>3224</v>
      </c>
      <c r="M93" s="2">
        <v>1</v>
      </c>
    </row>
    <row r="94" spans="1:13" ht="13.5" customHeight="1">
      <c r="A94" s="140">
        <v>416216</v>
      </c>
      <c r="B94" s="140">
        <v>0</v>
      </c>
      <c r="C94" s="140">
        <v>2797</v>
      </c>
      <c r="D94" s="140">
        <v>0</v>
      </c>
      <c r="E94" s="140">
        <v>3240</v>
      </c>
      <c r="F94" s="140">
        <v>3240</v>
      </c>
      <c r="G94" s="140">
        <v>3240</v>
      </c>
      <c r="H94" s="2">
        <v>2797</v>
      </c>
      <c r="I94" s="2">
        <v>0</v>
      </c>
      <c r="J94" s="2">
        <v>0</v>
      </c>
      <c r="K94" s="2">
        <v>2797</v>
      </c>
      <c r="L94" s="2">
        <v>2797</v>
      </c>
      <c r="M94" s="2">
        <v>1</v>
      </c>
    </row>
    <row r="95" spans="1:13" ht="13.5" customHeight="1">
      <c r="A95" s="140">
        <v>416217</v>
      </c>
      <c r="B95" s="140">
        <v>0</v>
      </c>
      <c r="C95" s="140">
        <v>3068</v>
      </c>
      <c r="D95" s="140">
        <v>0</v>
      </c>
      <c r="E95" s="140">
        <v>3700</v>
      </c>
      <c r="F95" s="140">
        <v>3700</v>
      </c>
      <c r="G95" s="140">
        <v>3700</v>
      </c>
      <c r="H95" s="2">
        <v>3068</v>
      </c>
      <c r="I95" s="2">
        <v>0</v>
      </c>
      <c r="J95" s="2">
        <v>0</v>
      </c>
      <c r="K95" s="2">
        <v>3068</v>
      </c>
      <c r="L95" s="2">
        <v>3068</v>
      </c>
      <c r="M95" s="2">
        <v>1</v>
      </c>
    </row>
    <row r="96" spans="1:13" ht="13.5" customHeight="1">
      <c r="A96" s="140">
        <v>416218</v>
      </c>
      <c r="B96" s="140">
        <v>0</v>
      </c>
      <c r="C96" s="140">
        <v>3224</v>
      </c>
      <c r="D96" s="140">
        <v>0</v>
      </c>
      <c r="E96" s="140">
        <v>3400</v>
      </c>
      <c r="F96" s="140">
        <v>3400</v>
      </c>
      <c r="G96" s="140">
        <v>3400</v>
      </c>
      <c r="H96" s="2">
        <v>3224</v>
      </c>
      <c r="I96" s="2">
        <v>0</v>
      </c>
      <c r="J96" s="2">
        <v>0</v>
      </c>
      <c r="K96" s="2">
        <v>3224</v>
      </c>
      <c r="L96" s="2">
        <v>3224</v>
      </c>
      <c r="M96" s="2">
        <v>1</v>
      </c>
    </row>
    <row r="97" spans="1:13" ht="13.5" customHeight="1">
      <c r="A97" s="140">
        <v>416219</v>
      </c>
      <c r="B97" s="140">
        <v>0</v>
      </c>
      <c r="C97" s="140">
        <v>3334</v>
      </c>
      <c r="D97" s="140">
        <v>0</v>
      </c>
      <c r="E97" s="140">
        <v>3700</v>
      </c>
      <c r="F97" s="140">
        <v>3700</v>
      </c>
      <c r="G97" s="140">
        <v>3700</v>
      </c>
      <c r="H97" s="2">
        <v>3334</v>
      </c>
      <c r="I97" s="2">
        <v>0</v>
      </c>
      <c r="J97" s="2">
        <v>0</v>
      </c>
      <c r="K97" s="2">
        <v>3334</v>
      </c>
      <c r="L97" s="2">
        <v>3334</v>
      </c>
      <c r="M97" s="2">
        <v>1</v>
      </c>
    </row>
    <row r="98" spans="1:13" ht="13.5" customHeight="1">
      <c r="A98" s="140">
        <v>416220</v>
      </c>
      <c r="B98" s="140">
        <v>0</v>
      </c>
      <c r="C98" s="140">
        <v>2774</v>
      </c>
      <c r="D98" s="140">
        <v>0</v>
      </c>
      <c r="E98" s="140">
        <v>3400</v>
      </c>
      <c r="F98" s="140">
        <v>3400</v>
      </c>
      <c r="G98" s="140">
        <v>3400</v>
      </c>
      <c r="H98" s="2">
        <v>2774</v>
      </c>
      <c r="I98" s="2">
        <v>0</v>
      </c>
      <c r="J98" s="2">
        <v>0</v>
      </c>
      <c r="K98" s="2">
        <v>2774</v>
      </c>
      <c r="L98" s="2">
        <v>2774</v>
      </c>
      <c r="M98" s="2">
        <v>1</v>
      </c>
    </row>
    <row r="99" spans="1:13" ht="13.5" customHeight="1">
      <c r="A99" s="140">
        <v>416221</v>
      </c>
      <c r="B99" s="140">
        <v>0</v>
      </c>
      <c r="C99" s="140">
        <v>2868</v>
      </c>
      <c r="D99" s="140">
        <v>0</v>
      </c>
      <c r="E99" s="140">
        <v>3700</v>
      </c>
      <c r="F99" s="140">
        <v>3700</v>
      </c>
      <c r="G99" s="140">
        <v>3700</v>
      </c>
      <c r="H99" s="2">
        <v>2868</v>
      </c>
      <c r="I99" s="2">
        <v>0</v>
      </c>
      <c r="J99" s="2">
        <v>0</v>
      </c>
      <c r="K99" s="2">
        <v>2868</v>
      </c>
      <c r="L99" s="2">
        <v>2868</v>
      </c>
      <c r="M99" s="2">
        <v>1</v>
      </c>
    </row>
    <row r="100" spans="1:13" ht="13.5" customHeight="1">
      <c r="A100" s="140">
        <v>416222</v>
      </c>
      <c r="B100" s="140">
        <v>0</v>
      </c>
      <c r="C100" s="140">
        <v>3982</v>
      </c>
      <c r="D100" s="140">
        <v>0</v>
      </c>
      <c r="E100" s="140">
        <v>4450</v>
      </c>
      <c r="F100" s="140">
        <v>4450</v>
      </c>
      <c r="G100" s="140">
        <v>4450</v>
      </c>
      <c r="H100" s="2">
        <v>3982</v>
      </c>
      <c r="I100" s="2">
        <v>0</v>
      </c>
      <c r="J100" s="2">
        <v>0</v>
      </c>
      <c r="K100" s="2">
        <v>3982</v>
      </c>
      <c r="L100" s="2">
        <v>3982</v>
      </c>
      <c r="M100" s="2">
        <v>1</v>
      </c>
    </row>
    <row r="101" spans="1:13" ht="13.5" customHeight="1">
      <c r="A101" s="140">
        <v>416223</v>
      </c>
      <c r="B101" s="140">
        <v>0</v>
      </c>
      <c r="C101" s="140">
        <v>4351</v>
      </c>
      <c r="D101" s="140">
        <v>0</v>
      </c>
      <c r="E101" s="140">
        <v>5200</v>
      </c>
      <c r="F101" s="140">
        <v>5200</v>
      </c>
      <c r="G101" s="140">
        <v>5200</v>
      </c>
      <c r="H101" s="2">
        <v>4351</v>
      </c>
      <c r="I101" s="2">
        <v>0</v>
      </c>
      <c r="J101" s="2">
        <v>0</v>
      </c>
      <c r="K101" s="2">
        <v>4351</v>
      </c>
      <c r="L101" s="2">
        <v>4351</v>
      </c>
      <c r="M101" s="2">
        <v>1</v>
      </c>
    </row>
    <row r="102" spans="1:13" ht="13.5" customHeight="1">
      <c r="A102" s="140">
        <v>416224</v>
      </c>
      <c r="B102" s="140">
        <v>0</v>
      </c>
      <c r="C102" s="140">
        <v>4579</v>
      </c>
      <c r="D102" s="140">
        <v>0</v>
      </c>
      <c r="E102" s="140">
        <v>5700</v>
      </c>
      <c r="F102" s="140">
        <v>5700</v>
      </c>
      <c r="G102" s="140">
        <v>5700</v>
      </c>
      <c r="H102" s="2">
        <v>4579</v>
      </c>
      <c r="I102" s="2">
        <v>0</v>
      </c>
      <c r="J102" s="2">
        <v>0</v>
      </c>
      <c r="K102" s="2">
        <v>4579</v>
      </c>
      <c r="L102" s="2">
        <v>4579</v>
      </c>
      <c r="M102" s="2">
        <v>1</v>
      </c>
    </row>
    <row r="103" spans="1:13" ht="13.5" customHeight="1">
      <c r="A103" s="140">
        <v>416225</v>
      </c>
      <c r="B103" s="140">
        <v>0</v>
      </c>
      <c r="C103" s="140">
        <v>3390</v>
      </c>
      <c r="D103" s="140">
        <v>0</v>
      </c>
      <c r="E103" s="140">
        <v>4200</v>
      </c>
      <c r="F103" s="140">
        <v>4200</v>
      </c>
      <c r="G103" s="140">
        <v>4200</v>
      </c>
      <c r="H103" s="2">
        <v>3390</v>
      </c>
      <c r="I103" s="2">
        <v>0</v>
      </c>
      <c r="J103" s="2">
        <v>0</v>
      </c>
      <c r="K103" s="2">
        <v>3390</v>
      </c>
      <c r="L103" s="2">
        <v>3390</v>
      </c>
      <c r="M103" s="2">
        <v>1</v>
      </c>
    </row>
    <row r="104" spans="1:13" ht="13.5" customHeight="1">
      <c r="A104" s="140">
        <v>416226</v>
      </c>
      <c r="B104" s="140">
        <v>0</v>
      </c>
      <c r="C104" s="140">
        <v>4333</v>
      </c>
      <c r="D104" s="140">
        <v>0</v>
      </c>
      <c r="E104" s="140">
        <v>5200</v>
      </c>
      <c r="F104" s="140">
        <v>5200</v>
      </c>
      <c r="G104" s="140">
        <v>5200</v>
      </c>
      <c r="H104" s="2">
        <v>4333</v>
      </c>
      <c r="I104" s="2">
        <v>0</v>
      </c>
      <c r="J104" s="2">
        <v>0</v>
      </c>
      <c r="K104" s="2">
        <v>4333</v>
      </c>
      <c r="L104" s="2">
        <v>4333</v>
      </c>
      <c r="M104" s="2">
        <v>1</v>
      </c>
    </row>
    <row r="105" spans="1:13" ht="13.5" customHeight="1">
      <c r="A105" s="140">
        <v>416227</v>
      </c>
      <c r="B105" s="140">
        <v>0</v>
      </c>
      <c r="C105" s="140">
        <v>3068</v>
      </c>
      <c r="D105" s="140">
        <v>0</v>
      </c>
      <c r="E105" s="140">
        <v>3700</v>
      </c>
      <c r="F105" s="140">
        <v>3700</v>
      </c>
      <c r="G105" s="140">
        <v>3700</v>
      </c>
      <c r="H105" s="2">
        <v>3068</v>
      </c>
      <c r="I105" s="2">
        <v>0</v>
      </c>
      <c r="J105" s="2">
        <v>0</v>
      </c>
      <c r="K105" s="2">
        <v>3068</v>
      </c>
      <c r="L105" s="2">
        <v>3068</v>
      </c>
      <c r="M105" s="2">
        <v>1</v>
      </c>
    </row>
    <row r="106" spans="1:13" ht="13.5" customHeight="1">
      <c r="A106" s="140">
        <v>416228</v>
      </c>
      <c r="B106" s="140">
        <v>0</v>
      </c>
      <c r="C106" s="140">
        <v>3068</v>
      </c>
      <c r="D106" s="140">
        <v>0</v>
      </c>
      <c r="E106" s="140">
        <v>3700</v>
      </c>
      <c r="F106" s="140">
        <v>3700</v>
      </c>
      <c r="G106" s="140">
        <v>3700</v>
      </c>
      <c r="H106" s="2">
        <v>3068</v>
      </c>
      <c r="I106" s="2">
        <v>0</v>
      </c>
      <c r="J106" s="2">
        <v>0</v>
      </c>
      <c r="K106" s="2">
        <v>3068</v>
      </c>
      <c r="L106" s="2">
        <v>3068</v>
      </c>
      <c r="M106" s="2">
        <v>1</v>
      </c>
    </row>
    <row r="107" spans="1:13" ht="13.5" customHeight="1">
      <c r="A107" s="140">
        <v>416229</v>
      </c>
      <c r="B107" s="140">
        <v>0</v>
      </c>
      <c r="C107" s="140">
        <v>3068</v>
      </c>
      <c r="D107" s="140">
        <v>0</v>
      </c>
      <c r="E107" s="140">
        <v>3700</v>
      </c>
      <c r="F107" s="140">
        <v>3700</v>
      </c>
      <c r="G107" s="140">
        <v>3700</v>
      </c>
      <c r="H107" s="2">
        <v>3068</v>
      </c>
      <c r="I107" s="2">
        <v>0</v>
      </c>
      <c r="J107" s="2">
        <v>0</v>
      </c>
      <c r="K107" s="2">
        <v>3068</v>
      </c>
      <c r="L107" s="2">
        <v>3068</v>
      </c>
      <c r="M107" s="2">
        <v>1</v>
      </c>
    </row>
    <row r="108" spans="1:13" ht="13.5" customHeight="1">
      <c r="A108" s="140">
        <v>416230</v>
      </c>
      <c r="B108" s="140">
        <v>0</v>
      </c>
      <c r="C108" s="140">
        <v>3129</v>
      </c>
      <c r="D108" s="140">
        <v>0</v>
      </c>
      <c r="E108" s="140">
        <v>3700</v>
      </c>
      <c r="F108" s="140">
        <v>3700</v>
      </c>
      <c r="G108" s="140">
        <v>3700</v>
      </c>
      <c r="H108" s="2">
        <v>3129</v>
      </c>
      <c r="I108" s="2">
        <v>0</v>
      </c>
      <c r="J108" s="2">
        <v>0</v>
      </c>
      <c r="K108" s="2">
        <v>3129</v>
      </c>
      <c r="L108" s="2">
        <v>3129</v>
      </c>
      <c r="M108" s="2">
        <v>1</v>
      </c>
    </row>
    <row r="109" spans="1:13" ht="13.5" customHeight="1">
      <c r="A109" s="140">
        <v>416231</v>
      </c>
      <c r="B109" s="140">
        <v>0</v>
      </c>
      <c r="C109" s="140">
        <v>3234</v>
      </c>
      <c r="D109" s="140">
        <v>0</v>
      </c>
      <c r="E109" s="140">
        <v>3700</v>
      </c>
      <c r="F109" s="140">
        <v>3700</v>
      </c>
      <c r="G109" s="140">
        <v>3700</v>
      </c>
      <c r="H109" s="2">
        <v>3234</v>
      </c>
      <c r="I109" s="2">
        <v>0</v>
      </c>
      <c r="J109" s="2">
        <v>0</v>
      </c>
      <c r="K109" s="2">
        <v>3234</v>
      </c>
      <c r="L109" s="2">
        <v>3234</v>
      </c>
      <c r="M109" s="2">
        <v>1</v>
      </c>
    </row>
    <row r="110" spans="1:13" ht="13.5" customHeight="1">
      <c r="A110" s="140">
        <v>416232</v>
      </c>
      <c r="B110" s="140">
        <v>0</v>
      </c>
      <c r="C110" s="140">
        <v>3368</v>
      </c>
      <c r="D110" s="140">
        <v>0</v>
      </c>
      <c r="E110" s="140">
        <v>3700</v>
      </c>
      <c r="F110" s="140">
        <v>3700</v>
      </c>
      <c r="G110" s="140">
        <v>3700</v>
      </c>
      <c r="H110" s="2">
        <v>3368</v>
      </c>
      <c r="I110" s="2">
        <v>0</v>
      </c>
      <c r="J110" s="2">
        <v>0</v>
      </c>
      <c r="K110" s="2">
        <v>3368</v>
      </c>
      <c r="L110" s="2">
        <v>3368</v>
      </c>
      <c r="M110" s="2">
        <v>1</v>
      </c>
    </row>
    <row r="111" spans="1:13" ht="13.5" customHeight="1">
      <c r="A111" s="140">
        <v>416233</v>
      </c>
      <c r="B111" s="140">
        <v>0</v>
      </c>
      <c r="C111" s="140">
        <v>3301</v>
      </c>
      <c r="D111" s="140">
        <v>0</v>
      </c>
      <c r="E111" s="140">
        <v>3700</v>
      </c>
      <c r="F111" s="140">
        <v>3700</v>
      </c>
      <c r="G111" s="140">
        <v>3700</v>
      </c>
      <c r="H111" s="2">
        <v>3301</v>
      </c>
      <c r="I111" s="2">
        <v>0</v>
      </c>
      <c r="J111" s="2">
        <v>0</v>
      </c>
      <c r="K111" s="2">
        <v>3301</v>
      </c>
      <c r="L111" s="2">
        <v>3301</v>
      </c>
      <c r="M111" s="2">
        <v>1</v>
      </c>
    </row>
    <row r="112" spans="1:13" ht="13.5" customHeight="1">
      <c r="A112" s="140">
        <v>416234</v>
      </c>
      <c r="B112" s="140">
        <v>0</v>
      </c>
      <c r="C112" s="140">
        <v>4331</v>
      </c>
      <c r="D112" s="140">
        <v>0</v>
      </c>
      <c r="E112" s="140">
        <v>5660</v>
      </c>
      <c r="F112" s="140">
        <v>5660</v>
      </c>
      <c r="G112" s="140">
        <v>5660</v>
      </c>
      <c r="H112" s="2">
        <v>4331</v>
      </c>
      <c r="I112" s="2">
        <v>0</v>
      </c>
      <c r="J112" s="2">
        <v>0</v>
      </c>
      <c r="K112" s="2">
        <v>4331</v>
      </c>
      <c r="L112" s="2">
        <v>4331</v>
      </c>
      <c r="M112" s="2">
        <v>1</v>
      </c>
    </row>
    <row r="113" spans="1:13" ht="13.5" customHeight="1">
      <c r="A113" s="140">
        <v>416235</v>
      </c>
      <c r="B113" s="140">
        <v>0</v>
      </c>
      <c r="C113" s="140">
        <v>3234</v>
      </c>
      <c r="D113" s="140">
        <v>0</v>
      </c>
      <c r="E113" s="140">
        <v>3700</v>
      </c>
      <c r="F113" s="140">
        <v>3700</v>
      </c>
      <c r="G113" s="140">
        <v>3700</v>
      </c>
      <c r="H113" s="2">
        <v>3234</v>
      </c>
      <c r="I113" s="2">
        <v>0</v>
      </c>
      <c r="J113" s="2">
        <v>0</v>
      </c>
      <c r="K113" s="2">
        <v>3234</v>
      </c>
      <c r="L113" s="2">
        <v>3234</v>
      </c>
      <c r="M113" s="2">
        <v>1</v>
      </c>
    </row>
    <row r="114" spans="1:13" ht="13.5" customHeight="1">
      <c r="A114" s="140">
        <v>416236</v>
      </c>
      <c r="B114" s="140">
        <v>0</v>
      </c>
      <c r="C114" s="140">
        <v>3234</v>
      </c>
      <c r="D114" s="140">
        <v>0</v>
      </c>
      <c r="E114" s="140">
        <v>3700</v>
      </c>
      <c r="F114" s="140">
        <v>3700</v>
      </c>
      <c r="G114" s="140">
        <v>3700</v>
      </c>
      <c r="H114" s="2">
        <v>3234</v>
      </c>
      <c r="I114" s="2">
        <v>0</v>
      </c>
      <c r="J114" s="2">
        <v>0</v>
      </c>
      <c r="K114" s="2">
        <v>3234</v>
      </c>
      <c r="L114" s="2">
        <v>3234</v>
      </c>
      <c r="M114" s="2">
        <v>1</v>
      </c>
    </row>
  </sheetData>
  <phoneticPr fontId="3"/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K231"/>
  <sheetViews>
    <sheetView zoomScale="80" zoomScaleNormal="80" workbookViewId="0">
      <pane xSplit="3" ySplit="12" topLeftCell="D106" activePane="bottomRight" state="frozen"/>
      <selection pane="topRight" activeCell="D1" sqref="D1"/>
      <selection pane="bottomLeft" activeCell="A13" sqref="A13"/>
      <selection pane="bottomRight" activeCell="C134" sqref="C134"/>
    </sheetView>
  </sheetViews>
  <sheetFormatPr defaultColWidth="9" defaultRowHeight="13.2"/>
  <cols>
    <col min="1" max="2" width="6.6640625" style="2" customWidth="1"/>
    <col min="3" max="3" width="50.6640625" style="2" customWidth="1"/>
    <col min="4" max="4" width="10.109375" style="2" bestFit="1" customWidth="1"/>
    <col min="5" max="5" width="6.6640625" style="2" customWidth="1"/>
    <col min="6" max="6" width="9" style="56"/>
    <col min="7" max="7" width="9.6640625" style="5" customWidth="1"/>
    <col min="8" max="8" width="14.33203125" style="56" bestFit="1" customWidth="1"/>
    <col min="9" max="16384" width="9" style="2"/>
  </cols>
  <sheetData>
    <row r="1" spans="1:11" s="16" customFormat="1">
      <c r="C1" s="42"/>
      <c r="F1" s="56"/>
      <c r="G1" s="2" t="s">
        <v>2035</v>
      </c>
      <c r="H1" s="144">
        <v>44926</v>
      </c>
      <c r="I1" s="144"/>
    </row>
    <row r="2" spans="1:11" s="16" customFormat="1">
      <c r="C2" s="42"/>
      <c r="D2" s="32"/>
      <c r="E2" s="32"/>
      <c r="F2" s="56"/>
      <c r="G2" s="2" t="s">
        <v>2036</v>
      </c>
      <c r="H2" s="144">
        <v>44791</v>
      </c>
      <c r="I2" s="144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F3" s="56"/>
      <c r="G3" s="2" t="s">
        <v>2247</v>
      </c>
      <c r="H3" s="144">
        <v>44792</v>
      </c>
      <c r="I3" s="144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44">
        <v>44791</v>
      </c>
      <c r="I4" s="145"/>
      <c r="J4" s="4">
        <v>791</v>
      </c>
      <c r="K4" s="2" t="e">
        <f ca="1">[1]!T担当者(J4)</f>
        <v>#NAME?</v>
      </c>
    </row>
    <row r="5" spans="1:11" s="16" customFormat="1">
      <c r="C5" s="81" t="s">
        <v>2008</v>
      </c>
      <c r="D5" s="32"/>
      <c r="E5" s="41"/>
      <c r="F5" s="56"/>
      <c r="G5" s="19"/>
      <c r="H5" s="56"/>
    </row>
    <row r="6" spans="1:11" s="16" customFormat="1">
      <c r="C6" s="18"/>
      <c r="D6" s="32"/>
      <c r="E6" s="41"/>
      <c r="F6" s="56"/>
      <c r="G6" s="19"/>
      <c r="H6" s="56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  <c r="K8" s="2" t="s">
        <v>2002</v>
      </c>
    </row>
    <row r="9" spans="1:11">
      <c r="C9" s="2" t="s">
        <v>1401</v>
      </c>
      <c r="F9" s="56" t="s">
        <v>1934</v>
      </c>
      <c r="H9" s="56" t="s">
        <v>1934</v>
      </c>
      <c r="I9" s="56" t="s">
        <v>1934</v>
      </c>
      <c r="J9" s="56" t="s">
        <v>1934</v>
      </c>
      <c r="K9" s="56" t="s">
        <v>1934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  <c r="K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  <c r="K11" s="50" t="s">
        <v>1683</v>
      </c>
    </row>
    <row r="12" spans="1:11" s="15" customFormat="1" ht="26.4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1462</v>
      </c>
      <c r="G12" s="13" t="s">
        <v>2242</v>
      </c>
      <c r="H12" s="14" t="s">
        <v>1931</v>
      </c>
      <c r="I12" s="14" t="s">
        <v>2215</v>
      </c>
      <c r="J12" s="14" t="s">
        <v>2216</v>
      </c>
      <c r="K12" s="14" t="s">
        <v>1932</v>
      </c>
    </row>
    <row r="13" spans="1:11" ht="13.5" customHeight="1">
      <c r="A13" s="7">
        <v>1</v>
      </c>
      <c r="B13" s="7"/>
      <c r="C13" s="7" t="s">
        <v>3512</v>
      </c>
      <c r="D13" s="7" t="s">
        <v>3801</v>
      </c>
      <c r="E13" s="7" t="s">
        <v>1682</v>
      </c>
      <c r="F13" s="58">
        <v>1</v>
      </c>
      <c r="G13" s="7">
        <v>416237</v>
      </c>
      <c r="H13" s="123">
        <v>45569</v>
      </c>
      <c r="I13" s="7">
        <v>3700</v>
      </c>
      <c r="J13" s="7"/>
      <c r="K13" s="7"/>
    </row>
    <row r="14" spans="1:11" ht="13.5" customHeight="1">
      <c r="A14" s="7">
        <v>2</v>
      </c>
      <c r="B14" s="7"/>
      <c r="C14" s="7" t="s">
        <v>3513</v>
      </c>
      <c r="D14" s="7" t="s">
        <v>3802</v>
      </c>
      <c r="E14" s="7" t="s">
        <v>1682</v>
      </c>
      <c r="F14" s="58">
        <v>1</v>
      </c>
      <c r="G14" s="7">
        <v>416238</v>
      </c>
      <c r="H14" s="123">
        <v>45569</v>
      </c>
      <c r="I14" s="7">
        <v>5700</v>
      </c>
      <c r="J14" s="7"/>
      <c r="K14" s="7"/>
    </row>
    <row r="15" spans="1:11" ht="13.5" customHeight="1">
      <c r="A15" s="7">
        <v>3</v>
      </c>
      <c r="B15" s="7"/>
      <c r="C15" s="7" t="s">
        <v>3514</v>
      </c>
      <c r="D15" s="7" t="s">
        <v>3803</v>
      </c>
      <c r="E15" s="7" t="s">
        <v>1682</v>
      </c>
      <c r="F15" s="58">
        <v>1</v>
      </c>
      <c r="G15" s="7">
        <v>416239</v>
      </c>
      <c r="H15" s="123">
        <v>45569</v>
      </c>
      <c r="I15" s="7">
        <v>3700</v>
      </c>
      <c r="J15" s="7"/>
      <c r="K15" s="7"/>
    </row>
    <row r="16" spans="1:11" ht="13.5" customHeight="1">
      <c r="A16" s="7">
        <v>4</v>
      </c>
      <c r="B16" s="7"/>
      <c r="C16" s="7" t="s">
        <v>3515</v>
      </c>
      <c r="D16" s="7" t="s">
        <v>3804</v>
      </c>
      <c r="E16" s="7" t="s">
        <v>1682</v>
      </c>
      <c r="F16" s="58">
        <v>1</v>
      </c>
      <c r="G16" s="7">
        <v>416240</v>
      </c>
      <c r="H16" s="123">
        <v>45569</v>
      </c>
      <c r="I16" s="7">
        <v>5200</v>
      </c>
      <c r="J16" s="7"/>
      <c r="K16" s="7"/>
    </row>
    <row r="17" spans="1:11" ht="13.5" customHeight="1">
      <c r="A17" s="7">
        <v>5</v>
      </c>
      <c r="B17" s="7"/>
      <c r="C17" s="7" t="s">
        <v>3945</v>
      </c>
      <c r="D17" s="7" t="s">
        <v>3805</v>
      </c>
      <c r="E17" s="7" t="s">
        <v>1682</v>
      </c>
      <c r="F17" s="58">
        <v>1</v>
      </c>
      <c r="G17" s="7">
        <v>416103</v>
      </c>
      <c r="H17" s="123">
        <v>45569</v>
      </c>
      <c r="I17" s="7">
        <v>4000</v>
      </c>
      <c r="J17" s="7"/>
      <c r="K17" s="7"/>
    </row>
    <row r="18" spans="1:11" ht="13.5" customHeight="1">
      <c r="A18" s="7">
        <v>6</v>
      </c>
      <c r="B18" s="7"/>
      <c r="C18" s="7" t="s">
        <v>3516</v>
      </c>
      <c r="D18" s="7"/>
      <c r="E18" s="7" t="s">
        <v>1682</v>
      </c>
      <c r="F18" s="58">
        <v>1</v>
      </c>
      <c r="G18" s="7">
        <v>416104</v>
      </c>
      <c r="H18" s="123">
        <v>45569</v>
      </c>
      <c r="I18" s="7">
        <v>5000</v>
      </c>
      <c r="J18" s="7"/>
      <c r="K18" s="7"/>
    </row>
    <row r="19" spans="1:11" ht="13.5" customHeight="1">
      <c r="A19" s="7">
        <v>7</v>
      </c>
      <c r="B19" s="7"/>
      <c r="C19" s="7" t="s">
        <v>3517</v>
      </c>
      <c r="D19" s="7" t="s">
        <v>3806</v>
      </c>
      <c r="E19" s="7" t="s">
        <v>1682</v>
      </c>
      <c r="F19" s="58">
        <v>1</v>
      </c>
      <c r="G19" s="7">
        <v>416105</v>
      </c>
      <c r="H19" s="123">
        <v>45569</v>
      </c>
      <c r="I19" s="7">
        <v>5000</v>
      </c>
      <c r="J19" s="7"/>
      <c r="K19" s="7"/>
    </row>
    <row r="20" spans="1:11" ht="13.5" customHeight="1">
      <c r="A20" s="7">
        <v>8</v>
      </c>
      <c r="B20" s="7"/>
      <c r="C20" s="7" t="s">
        <v>3518</v>
      </c>
      <c r="D20" s="7"/>
      <c r="E20" s="7" t="s">
        <v>1682</v>
      </c>
      <c r="F20" s="58">
        <v>1</v>
      </c>
      <c r="G20" s="7">
        <v>416106</v>
      </c>
      <c r="H20" s="123">
        <v>45569</v>
      </c>
      <c r="I20" s="7">
        <v>5000</v>
      </c>
      <c r="J20" s="7"/>
      <c r="K20" s="7"/>
    </row>
    <row r="21" spans="1:11" ht="13.5" customHeight="1">
      <c r="A21" s="7">
        <v>9</v>
      </c>
      <c r="B21" s="7"/>
      <c r="C21" s="7" t="s">
        <v>3519</v>
      </c>
      <c r="D21" s="7" t="s">
        <v>3807</v>
      </c>
      <c r="E21" s="7" t="s">
        <v>1682</v>
      </c>
      <c r="F21" s="58">
        <v>1</v>
      </c>
      <c r="G21" s="7">
        <v>416107</v>
      </c>
      <c r="H21" s="123">
        <v>45569</v>
      </c>
      <c r="I21" s="7">
        <v>3700</v>
      </c>
      <c r="J21" s="7"/>
      <c r="K21" s="7"/>
    </row>
    <row r="22" spans="1:11" ht="13.5" customHeight="1">
      <c r="A22" s="7">
        <v>10</v>
      </c>
      <c r="B22" s="7"/>
      <c r="C22" s="7" t="s">
        <v>3520</v>
      </c>
      <c r="D22" s="7" t="s">
        <v>3808</v>
      </c>
      <c r="E22" s="7" t="s">
        <v>1682</v>
      </c>
      <c r="F22" s="58">
        <v>1</v>
      </c>
      <c r="G22" s="7">
        <v>416108</v>
      </c>
      <c r="H22" s="123">
        <v>45569</v>
      </c>
      <c r="I22" s="7">
        <v>3700</v>
      </c>
      <c r="J22" s="7"/>
      <c r="K22" s="7"/>
    </row>
    <row r="23" spans="1:11" ht="13.5" customHeight="1">
      <c r="A23" s="7">
        <v>11</v>
      </c>
      <c r="B23" s="7"/>
      <c r="C23" s="7" t="s">
        <v>3946</v>
      </c>
      <c r="D23" s="7" t="s">
        <v>3809</v>
      </c>
      <c r="E23" s="7" t="s">
        <v>1682</v>
      </c>
      <c r="F23" s="58">
        <v>1</v>
      </c>
      <c r="G23" s="7">
        <v>416109</v>
      </c>
      <c r="H23" s="123">
        <v>45569</v>
      </c>
      <c r="I23" s="7">
        <v>3700</v>
      </c>
      <c r="J23" s="7"/>
      <c r="K23" s="7"/>
    </row>
    <row r="24" spans="1:11" ht="13.5" customHeight="1">
      <c r="A24" s="7">
        <v>12</v>
      </c>
      <c r="B24" s="7"/>
      <c r="C24" s="7" t="s">
        <v>3521</v>
      </c>
      <c r="D24" s="7" t="s">
        <v>3810</v>
      </c>
      <c r="E24" s="7" t="s">
        <v>1682</v>
      </c>
      <c r="F24" s="58">
        <v>1</v>
      </c>
      <c r="G24" s="7">
        <v>416110</v>
      </c>
      <c r="H24" s="123">
        <v>45569</v>
      </c>
      <c r="I24" s="7">
        <v>3300</v>
      </c>
      <c r="J24" s="7"/>
      <c r="K24" s="7"/>
    </row>
    <row r="25" spans="1:11" ht="13.5" customHeight="1">
      <c r="A25" s="7">
        <v>13</v>
      </c>
      <c r="B25" s="7"/>
      <c r="C25" s="7" t="s">
        <v>3947</v>
      </c>
      <c r="D25" s="7" t="s">
        <v>3811</v>
      </c>
      <c r="E25" s="7" t="s">
        <v>1682</v>
      </c>
      <c r="F25" s="58">
        <v>1</v>
      </c>
      <c r="G25" s="7">
        <v>416111</v>
      </c>
      <c r="H25" s="123">
        <v>45569</v>
      </c>
      <c r="I25" s="7">
        <v>3200</v>
      </c>
      <c r="J25" s="7"/>
      <c r="K25" s="7"/>
    </row>
    <row r="26" spans="1:11" ht="13.5" customHeight="1">
      <c r="A26" s="7">
        <v>14</v>
      </c>
      <c r="B26" s="7"/>
      <c r="C26" s="7" t="s">
        <v>3522</v>
      </c>
      <c r="D26" s="7" t="s">
        <v>3812</v>
      </c>
      <c r="E26" s="7" t="s">
        <v>1682</v>
      </c>
      <c r="F26" s="58">
        <v>1</v>
      </c>
      <c r="G26" s="7">
        <v>416112</v>
      </c>
      <c r="H26" s="123">
        <v>45569</v>
      </c>
      <c r="I26" s="7">
        <v>6000</v>
      </c>
      <c r="J26" s="7"/>
      <c r="K26" s="7"/>
    </row>
    <row r="27" spans="1:11" ht="13.5" customHeight="1">
      <c r="A27" s="7">
        <v>15</v>
      </c>
      <c r="B27" s="7"/>
      <c r="C27" s="7" t="s">
        <v>3523</v>
      </c>
      <c r="D27" s="7" t="s">
        <v>3813</v>
      </c>
      <c r="E27" s="7" t="s">
        <v>1682</v>
      </c>
      <c r="F27" s="58">
        <v>1</v>
      </c>
      <c r="G27" s="7">
        <v>416113</v>
      </c>
      <c r="H27" s="123">
        <v>45569</v>
      </c>
      <c r="I27" s="7">
        <v>4800</v>
      </c>
      <c r="J27" s="7"/>
      <c r="K27" s="7"/>
    </row>
    <row r="28" spans="1:11" ht="13.5" customHeight="1">
      <c r="A28" s="7">
        <v>16</v>
      </c>
      <c r="B28" s="7"/>
      <c r="C28" s="7" t="s">
        <v>3524</v>
      </c>
      <c r="D28" s="7"/>
      <c r="E28" s="7" t="s">
        <v>1682</v>
      </c>
      <c r="F28" s="58">
        <v>1</v>
      </c>
      <c r="G28" s="7">
        <v>416114</v>
      </c>
      <c r="H28" s="123">
        <v>45569</v>
      </c>
      <c r="I28" s="7">
        <v>3700</v>
      </c>
      <c r="J28" s="7"/>
      <c r="K28" s="7"/>
    </row>
    <row r="29" spans="1:11" ht="13.5" customHeight="1">
      <c r="A29" s="7">
        <v>17</v>
      </c>
      <c r="B29" s="7"/>
      <c r="C29" s="7" t="s">
        <v>3525</v>
      </c>
      <c r="D29" s="7" t="s">
        <v>3814</v>
      </c>
      <c r="E29" s="7" t="s">
        <v>1682</v>
      </c>
      <c r="F29" s="58">
        <v>1</v>
      </c>
      <c r="G29" s="7">
        <v>416115</v>
      </c>
      <c r="H29" s="123">
        <v>45569</v>
      </c>
      <c r="I29" s="7">
        <v>3900</v>
      </c>
      <c r="J29" s="7"/>
      <c r="K29" s="7"/>
    </row>
    <row r="30" spans="1:11" ht="13.5" customHeight="1">
      <c r="A30" s="7">
        <v>18</v>
      </c>
      <c r="B30" s="7"/>
      <c r="C30" s="7" t="s">
        <v>3526</v>
      </c>
      <c r="D30" s="7" t="s">
        <v>3815</v>
      </c>
      <c r="E30" s="7" t="s">
        <v>1682</v>
      </c>
      <c r="F30" s="58">
        <v>1</v>
      </c>
      <c r="G30" s="7">
        <v>416116</v>
      </c>
      <c r="H30" s="123">
        <v>45569</v>
      </c>
      <c r="I30" s="7">
        <v>3800</v>
      </c>
      <c r="J30" s="7"/>
      <c r="K30" s="7"/>
    </row>
    <row r="31" spans="1:11" ht="13.5" customHeight="1">
      <c r="A31" s="7">
        <v>19</v>
      </c>
      <c r="B31" s="7"/>
      <c r="C31" s="7" t="s">
        <v>3527</v>
      </c>
      <c r="D31" s="7">
        <v>49701</v>
      </c>
      <c r="E31" s="7" t="s">
        <v>1682</v>
      </c>
      <c r="F31" s="58">
        <v>1</v>
      </c>
      <c r="G31" s="7">
        <v>416117</v>
      </c>
      <c r="H31" s="123">
        <v>45569</v>
      </c>
      <c r="I31" s="7">
        <v>5000</v>
      </c>
      <c r="J31" s="7"/>
      <c r="K31" s="7"/>
    </row>
    <row r="32" spans="1:11" ht="13.5" customHeight="1">
      <c r="A32" s="7">
        <v>20</v>
      </c>
      <c r="B32" s="7"/>
      <c r="C32" s="7" t="s">
        <v>3948</v>
      </c>
      <c r="D32" s="7" t="s">
        <v>3816</v>
      </c>
      <c r="E32" s="7" t="s">
        <v>1682</v>
      </c>
      <c r="F32" s="58">
        <v>1</v>
      </c>
      <c r="G32" s="7">
        <v>416118</v>
      </c>
      <c r="H32" s="123">
        <v>45569</v>
      </c>
      <c r="I32" s="7">
        <v>5800</v>
      </c>
      <c r="J32" s="7"/>
      <c r="K32" s="7"/>
    </row>
    <row r="33" spans="1:11" ht="13.5" customHeight="1">
      <c r="A33" s="7">
        <v>21</v>
      </c>
      <c r="B33" s="7"/>
      <c r="C33" s="7" t="s">
        <v>3528</v>
      </c>
      <c r="D33" s="7">
        <v>430199</v>
      </c>
      <c r="E33" s="7" t="s">
        <v>1682</v>
      </c>
      <c r="F33" s="58">
        <v>1</v>
      </c>
      <c r="G33" s="7">
        <v>416119</v>
      </c>
      <c r="H33" s="123">
        <v>45569</v>
      </c>
      <c r="I33" s="7">
        <v>5000</v>
      </c>
      <c r="J33" s="7"/>
      <c r="K33" s="7"/>
    </row>
    <row r="34" spans="1:11" ht="13.5" customHeight="1">
      <c r="A34" s="7">
        <v>22</v>
      </c>
      <c r="B34" s="7"/>
      <c r="C34" s="7" t="s">
        <v>3529</v>
      </c>
      <c r="D34" s="7"/>
      <c r="E34" s="7" t="s">
        <v>1682</v>
      </c>
      <c r="F34" s="58">
        <v>1</v>
      </c>
      <c r="G34" s="7">
        <v>416145</v>
      </c>
      <c r="H34" s="123">
        <v>45569</v>
      </c>
      <c r="I34" s="7">
        <v>3500</v>
      </c>
      <c r="J34" s="7"/>
      <c r="K34" s="7"/>
    </row>
    <row r="35" spans="1:11" ht="13.5" customHeight="1">
      <c r="A35" s="7">
        <v>23</v>
      </c>
      <c r="B35" s="7"/>
      <c r="C35" s="7" t="s">
        <v>3530</v>
      </c>
      <c r="D35" s="7"/>
      <c r="E35" s="7" t="s">
        <v>1682</v>
      </c>
      <c r="F35" s="58">
        <v>1</v>
      </c>
      <c r="G35" s="7">
        <v>416146</v>
      </c>
      <c r="H35" s="123">
        <v>45569</v>
      </c>
      <c r="I35" s="7">
        <v>7000</v>
      </c>
      <c r="J35" s="7"/>
      <c r="K35" s="7"/>
    </row>
    <row r="36" spans="1:11" ht="13.5" customHeight="1">
      <c r="A36" s="7">
        <v>24</v>
      </c>
      <c r="B36" s="7"/>
      <c r="C36" s="7" t="s">
        <v>3531</v>
      </c>
      <c r="D36" s="7" t="s">
        <v>3817</v>
      </c>
      <c r="E36" s="7" t="s">
        <v>1682</v>
      </c>
      <c r="F36" s="58">
        <v>1</v>
      </c>
      <c r="G36" s="7">
        <v>416147</v>
      </c>
      <c r="H36" s="123">
        <v>45569</v>
      </c>
      <c r="I36" s="7">
        <v>6600</v>
      </c>
      <c r="J36" s="7"/>
      <c r="K36" s="7"/>
    </row>
    <row r="37" spans="1:11" ht="13.5" customHeight="1">
      <c r="A37" s="7">
        <v>25</v>
      </c>
      <c r="B37" s="7"/>
      <c r="C37" s="7" t="s">
        <v>3532</v>
      </c>
      <c r="D37" s="7" t="s">
        <v>3818</v>
      </c>
      <c r="E37" s="7" t="s">
        <v>1682</v>
      </c>
      <c r="F37" s="58">
        <v>1</v>
      </c>
      <c r="G37" s="7">
        <v>416148</v>
      </c>
      <c r="H37" s="123">
        <v>45569</v>
      </c>
      <c r="I37" s="7">
        <v>4400</v>
      </c>
      <c r="J37" s="7"/>
      <c r="K37" s="7"/>
    </row>
    <row r="38" spans="1:11" ht="13.5" customHeight="1">
      <c r="A38" s="7">
        <v>26</v>
      </c>
      <c r="B38" s="7"/>
      <c r="C38" s="7" t="s">
        <v>3533</v>
      </c>
      <c r="D38" s="7" t="s">
        <v>3819</v>
      </c>
      <c r="E38" s="7" t="s">
        <v>1682</v>
      </c>
      <c r="F38" s="58">
        <v>1</v>
      </c>
      <c r="G38" s="7">
        <v>416149</v>
      </c>
      <c r="H38" s="123">
        <v>45569</v>
      </c>
      <c r="I38" s="7">
        <v>5400</v>
      </c>
      <c r="J38" s="7"/>
      <c r="K38" s="7"/>
    </row>
    <row r="39" spans="1:11" ht="13.5" customHeight="1">
      <c r="A39" s="7">
        <v>27</v>
      </c>
      <c r="B39" s="7"/>
      <c r="C39" s="7" t="s">
        <v>3534</v>
      </c>
      <c r="D39" s="7" t="s">
        <v>3820</v>
      </c>
      <c r="E39" s="7" t="s">
        <v>1682</v>
      </c>
      <c r="F39" s="58">
        <v>1</v>
      </c>
      <c r="G39" s="7">
        <v>416150</v>
      </c>
      <c r="H39" s="123">
        <v>45569</v>
      </c>
      <c r="I39" s="7">
        <v>5000</v>
      </c>
      <c r="J39" s="7"/>
      <c r="K39" s="7"/>
    </row>
    <row r="40" spans="1:11" ht="13.5" customHeight="1">
      <c r="A40" s="7">
        <v>28</v>
      </c>
      <c r="B40" s="7"/>
      <c r="C40" s="7" t="s">
        <v>3535</v>
      </c>
      <c r="D40" s="7" t="s">
        <v>3821</v>
      </c>
      <c r="E40" s="7" t="s">
        <v>1682</v>
      </c>
      <c r="F40" s="58">
        <v>1</v>
      </c>
      <c r="G40" s="7">
        <v>416151</v>
      </c>
      <c r="H40" s="123">
        <v>45569</v>
      </c>
      <c r="I40" s="7">
        <v>4000</v>
      </c>
      <c r="J40" s="7"/>
      <c r="K40" s="7"/>
    </row>
    <row r="41" spans="1:11" ht="13.5" customHeight="1">
      <c r="A41" s="7">
        <v>29</v>
      </c>
      <c r="B41" s="7"/>
      <c r="C41" s="7" t="s">
        <v>3949</v>
      </c>
      <c r="D41" s="7" t="s">
        <v>3822</v>
      </c>
      <c r="E41" s="7" t="s">
        <v>1682</v>
      </c>
      <c r="F41" s="58">
        <v>1</v>
      </c>
      <c r="G41" s="7">
        <v>416152</v>
      </c>
      <c r="H41" s="123">
        <v>45569</v>
      </c>
      <c r="I41" s="7">
        <v>4800</v>
      </c>
      <c r="J41" s="7"/>
      <c r="K41" s="7"/>
    </row>
    <row r="42" spans="1:11" ht="13.5" customHeight="1">
      <c r="A42" s="7">
        <v>30</v>
      </c>
      <c r="B42" s="7"/>
      <c r="C42" s="7" t="s">
        <v>3536</v>
      </c>
      <c r="D42" s="7" t="s">
        <v>3823</v>
      </c>
      <c r="E42" s="7" t="s">
        <v>1682</v>
      </c>
      <c r="F42" s="58">
        <v>1</v>
      </c>
      <c r="G42" s="7">
        <v>416153</v>
      </c>
      <c r="H42" s="123">
        <v>45569</v>
      </c>
      <c r="I42" s="7">
        <v>3500</v>
      </c>
      <c r="J42" s="7"/>
      <c r="K42" s="7"/>
    </row>
    <row r="43" spans="1:11" ht="13.5" customHeight="1">
      <c r="A43" s="7">
        <v>31</v>
      </c>
      <c r="B43" s="7"/>
      <c r="C43" s="7" t="s">
        <v>3537</v>
      </c>
      <c r="D43" s="7" t="s">
        <v>3824</v>
      </c>
      <c r="E43" s="7" t="s">
        <v>1682</v>
      </c>
      <c r="F43" s="58">
        <v>1</v>
      </c>
      <c r="G43" s="7">
        <v>416154</v>
      </c>
      <c r="H43" s="123">
        <v>45569</v>
      </c>
      <c r="I43" s="7">
        <v>5000</v>
      </c>
      <c r="J43" s="7"/>
      <c r="K43" s="7"/>
    </row>
    <row r="44" spans="1:11" ht="13.5" customHeight="1">
      <c r="A44" s="7">
        <v>32</v>
      </c>
      <c r="B44" s="7"/>
      <c r="C44" s="7" t="s">
        <v>3538</v>
      </c>
      <c r="D44" s="7" t="s">
        <v>3825</v>
      </c>
      <c r="E44" s="7" t="s">
        <v>1682</v>
      </c>
      <c r="F44" s="58">
        <v>1</v>
      </c>
      <c r="G44" s="7">
        <v>416155</v>
      </c>
      <c r="H44" s="123">
        <v>45569</v>
      </c>
      <c r="I44" s="7">
        <v>3150</v>
      </c>
      <c r="J44" s="7"/>
      <c r="K44" s="7"/>
    </row>
    <row r="45" spans="1:11" ht="13.5" customHeight="1">
      <c r="A45" s="7">
        <v>33</v>
      </c>
      <c r="B45" s="7"/>
      <c r="C45" s="7" t="s">
        <v>3539</v>
      </c>
      <c r="D45" s="7" t="s">
        <v>3826</v>
      </c>
      <c r="E45" s="7" t="s">
        <v>1682</v>
      </c>
      <c r="F45" s="58">
        <v>1</v>
      </c>
      <c r="G45" s="7">
        <v>416156</v>
      </c>
      <c r="H45" s="123">
        <v>45569</v>
      </c>
      <c r="I45" s="7">
        <v>3800</v>
      </c>
      <c r="J45" s="7"/>
      <c r="K45" s="7"/>
    </row>
    <row r="46" spans="1:11" ht="13.5" customHeight="1">
      <c r="A46" s="7">
        <v>34</v>
      </c>
      <c r="B46" s="7"/>
      <c r="C46" s="7" t="s">
        <v>3950</v>
      </c>
      <c r="D46" s="7" t="s">
        <v>3827</v>
      </c>
      <c r="E46" s="7" t="s">
        <v>1682</v>
      </c>
      <c r="F46" s="58">
        <v>1</v>
      </c>
      <c r="G46" s="7">
        <v>416157</v>
      </c>
      <c r="H46" s="123">
        <v>45569</v>
      </c>
      <c r="I46" s="7">
        <v>3200</v>
      </c>
      <c r="J46" s="7"/>
      <c r="K46" s="7"/>
    </row>
    <row r="47" spans="1:11" ht="13.5" customHeight="1">
      <c r="A47" s="7">
        <v>35</v>
      </c>
      <c r="B47" s="7"/>
      <c r="C47" s="7" t="s">
        <v>3951</v>
      </c>
      <c r="D47" s="7" t="s">
        <v>3828</v>
      </c>
      <c r="E47" s="7" t="s">
        <v>1682</v>
      </c>
      <c r="F47" s="58">
        <v>1</v>
      </c>
      <c r="G47" s="7">
        <v>416158</v>
      </c>
      <c r="H47" s="123">
        <v>45569</v>
      </c>
      <c r="I47" s="7">
        <v>3700</v>
      </c>
      <c r="J47" s="7"/>
      <c r="K47" s="7"/>
    </row>
    <row r="48" spans="1:11" ht="13.5" customHeight="1">
      <c r="A48" s="7">
        <v>36</v>
      </c>
      <c r="B48" s="7"/>
      <c r="C48" s="7" t="s">
        <v>3540</v>
      </c>
      <c r="D48" s="7" t="s">
        <v>3829</v>
      </c>
      <c r="E48" s="7" t="s">
        <v>1682</v>
      </c>
      <c r="F48" s="58">
        <v>1</v>
      </c>
      <c r="G48" s="7">
        <v>416159</v>
      </c>
      <c r="H48" s="123">
        <v>45569</v>
      </c>
      <c r="I48" s="7">
        <v>5700</v>
      </c>
      <c r="J48" s="7"/>
      <c r="K48" s="7"/>
    </row>
    <row r="49" spans="1:11" ht="13.5" customHeight="1">
      <c r="A49" s="7">
        <v>37</v>
      </c>
      <c r="B49" s="7"/>
      <c r="C49" s="7" t="s">
        <v>3541</v>
      </c>
      <c r="D49" s="7" t="s">
        <v>3830</v>
      </c>
      <c r="E49" s="7" t="s">
        <v>1682</v>
      </c>
      <c r="F49" s="58">
        <v>1</v>
      </c>
      <c r="G49" s="7">
        <v>416160</v>
      </c>
      <c r="H49" s="123">
        <v>45569</v>
      </c>
      <c r="I49" s="7">
        <v>3700</v>
      </c>
      <c r="J49" s="7"/>
      <c r="K49" s="7"/>
    </row>
    <row r="50" spans="1:11" ht="13.5" customHeight="1">
      <c r="A50" s="7">
        <v>38</v>
      </c>
      <c r="B50" s="7"/>
      <c r="C50" s="7" t="s">
        <v>3542</v>
      </c>
      <c r="D50" s="7" t="s">
        <v>3831</v>
      </c>
      <c r="E50" s="7" t="s">
        <v>1682</v>
      </c>
      <c r="F50" s="58">
        <v>1</v>
      </c>
      <c r="G50" s="7">
        <v>416161</v>
      </c>
      <c r="H50" s="123">
        <v>45569</v>
      </c>
      <c r="I50" s="7">
        <v>5700</v>
      </c>
      <c r="J50" s="7"/>
      <c r="K50" s="7"/>
    </row>
    <row r="51" spans="1:11" ht="13.5" customHeight="1">
      <c r="A51" s="7">
        <v>39</v>
      </c>
      <c r="B51" s="7"/>
      <c r="C51" s="7" t="s">
        <v>3543</v>
      </c>
      <c r="D51" s="7" t="s">
        <v>3832</v>
      </c>
      <c r="E51" s="7" t="s">
        <v>1682</v>
      </c>
      <c r="F51" s="58">
        <v>1</v>
      </c>
      <c r="G51" s="7">
        <v>416162</v>
      </c>
      <c r="H51" s="123">
        <v>45569</v>
      </c>
      <c r="I51" s="7">
        <v>3700</v>
      </c>
      <c r="J51" s="7"/>
      <c r="K51" s="7"/>
    </row>
    <row r="52" spans="1:11" ht="13.5" customHeight="1">
      <c r="A52" s="7">
        <v>40</v>
      </c>
      <c r="B52" s="7"/>
      <c r="C52" s="7" t="s">
        <v>3544</v>
      </c>
      <c r="D52" s="7" t="s">
        <v>3833</v>
      </c>
      <c r="E52" s="7" t="s">
        <v>1682</v>
      </c>
      <c r="F52" s="58">
        <v>1</v>
      </c>
      <c r="G52" s="7">
        <v>416163</v>
      </c>
      <c r="H52" s="123">
        <v>45569</v>
      </c>
      <c r="I52" s="7">
        <v>4000</v>
      </c>
      <c r="J52" s="7"/>
      <c r="K52" s="7"/>
    </row>
    <row r="53" spans="1:11" ht="13.5" customHeight="1">
      <c r="A53" s="7">
        <v>41</v>
      </c>
      <c r="B53" s="7"/>
      <c r="C53" s="7" t="s">
        <v>3545</v>
      </c>
      <c r="D53" s="7" t="s">
        <v>3834</v>
      </c>
      <c r="E53" s="7" t="s">
        <v>1682</v>
      </c>
      <c r="F53" s="58">
        <v>1</v>
      </c>
      <c r="G53" s="7">
        <v>416164</v>
      </c>
      <c r="H53" s="123">
        <v>45569</v>
      </c>
      <c r="I53" s="7">
        <v>3400</v>
      </c>
      <c r="J53" s="7"/>
      <c r="K53" s="7"/>
    </row>
    <row r="54" spans="1:11" ht="13.5" customHeight="1">
      <c r="A54" s="7">
        <v>42</v>
      </c>
      <c r="B54" s="7"/>
      <c r="C54" s="7" t="s">
        <v>3546</v>
      </c>
      <c r="D54" s="7" t="s">
        <v>3835</v>
      </c>
      <c r="E54" s="7" t="s">
        <v>1682</v>
      </c>
      <c r="F54" s="58">
        <v>1</v>
      </c>
      <c r="G54" s="7">
        <v>416165</v>
      </c>
      <c r="H54" s="123">
        <v>45569</v>
      </c>
      <c r="I54" s="7">
        <v>3600</v>
      </c>
      <c r="J54" s="7"/>
      <c r="K54" s="7"/>
    </row>
    <row r="55" spans="1:11" ht="13.5" customHeight="1">
      <c r="A55" s="7">
        <v>43</v>
      </c>
      <c r="B55" s="7"/>
      <c r="C55" s="7" t="s">
        <v>3952</v>
      </c>
      <c r="D55" s="7" t="s">
        <v>3836</v>
      </c>
      <c r="E55" s="7" t="s">
        <v>1682</v>
      </c>
      <c r="F55" s="58">
        <v>1</v>
      </c>
      <c r="G55" s="7">
        <v>416166</v>
      </c>
      <c r="H55" s="123">
        <v>45569</v>
      </c>
      <c r="I55" s="7">
        <v>3800</v>
      </c>
      <c r="J55" s="7"/>
      <c r="K55" s="7"/>
    </row>
    <row r="56" spans="1:11" ht="13.5" customHeight="1">
      <c r="A56" s="7">
        <v>44</v>
      </c>
      <c r="B56" s="7"/>
      <c r="C56" s="7" t="s">
        <v>3953</v>
      </c>
      <c r="D56" s="7" t="s">
        <v>3837</v>
      </c>
      <c r="E56" s="7" t="s">
        <v>1682</v>
      </c>
      <c r="F56" s="58">
        <v>1</v>
      </c>
      <c r="G56" s="7">
        <v>416167</v>
      </c>
      <c r="H56" s="123">
        <v>45569</v>
      </c>
      <c r="I56" s="7">
        <v>3800</v>
      </c>
      <c r="J56" s="7"/>
      <c r="K56" s="7"/>
    </row>
    <row r="57" spans="1:11" ht="13.5" customHeight="1">
      <c r="A57" s="7">
        <v>45</v>
      </c>
      <c r="B57" s="7"/>
      <c r="C57" s="7" t="s">
        <v>3954</v>
      </c>
      <c r="D57" s="7" t="s">
        <v>3838</v>
      </c>
      <c r="E57" s="7" t="s">
        <v>1682</v>
      </c>
      <c r="F57" s="58">
        <v>1</v>
      </c>
      <c r="G57" s="7">
        <v>416168</v>
      </c>
      <c r="H57" s="123">
        <v>45569</v>
      </c>
      <c r="I57" s="7">
        <v>3200</v>
      </c>
      <c r="J57" s="7"/>
      <c r="K57" s="7"/>
    </row>
    <row r="58" spans="1:11" ht="13.5" customHeight="1">
      <c r="A58" s="7">
        <v>46</v>
      </c>
      <c r="B58" s="7"/>
      <c r="C58" s="7" t="s">
        <v>3547</v>
      </c>
      <c r="D58" s="7" t="s">
        <v>3839</v>
      </c>
      <c r="E58" s="7" t="s">
        <v>1682</v>
      </c>
      <c r="F58" s="58">
        <v>1</v>
      </c>
      <c r="G58" s="7">
        <v>416169</v>
      </c>
      <c r="H58" s="123">
        <v>45569</v>
      </c>
      <c r="I58" s="7">
        <v>3800</v>
      </c>
      <c r="J58" s="7"/>
      <c r="K58" s="7"/>
    </row>
    <row r="59" spans="1:11" ht="13.5" customHeight="1">
      <c r="A59" s="7">
        <v>47</v>
      </c>
      <c r="B59" s="7"/>
      <c r="C59" s="7" t="s">
        <v>3548</v>
      </c>
      <c r="D59" s="7" t="s">
        <v>3840</v>
      </c>
      <c r="E59" s="7" t="s">
        <v>1682</v>
      </c>
      <c r="F59" s="58">
        <v>1</v>
      </c>
      <c r="G59" s="7">
        <v>416170</v>
      </c>
      <c r="H59" s="123">
        <v>45569</v>
      </c>
      <c r="I59" s="7">
        <v>4400</v>
      </c>
      <c r="J59" s="7"/>
      <c r="K59" s="7"/>
    </row>
    <row r="60" spans="1:11" ht="13.5" customHeight="1">
      <c r="A60" s="7">
        <v>48</v>
      </c>
      <c r="B60" s="7"/>
      <c r="C60" s="7" t="s">
        <v>3549</v>
      </c>
      <c r="D60" s="7" t="s">
        <v>3841</v>
      </c>
      <c r="E60" s="7" t="s">
        <v>1682</v>
      </c>
      <c r="F60" s="58">
        <v>1</v>
      </c>
      <c r="G60" s="7">
        <v>416171</v>
      </c>
      <c r="H60" s="123">
        <v>45569</v>
      </c>
      <c r="I60" s="7">
        <v>5200</v>
      </c>
      <c r="J60" s="7"/>
      <c r="K60" s="7"/>
    </row>
    <row r="61" spans="1:11" ht="13.5" customHeight="1">
      <c r="A61" s="7">
        <v>49</v>
      </c>
      <c r="B61" s="7"/>
      <c r="C61" s="7" t="s">
        <v>3550</v>
      </c>
      <c r="D61" s="7" t="s">
        <v>3842</v>
      </c>
      <c r="E61" s="7" t="s">
        <v>1682</v>
      </c>
      <c r="F61" s="58">
        <v>1</v>
      </c>
      <c r="G61" s="7">
        <v>416172</v>
      </c>
      <c r="H61" s="123">
        <v>45569</v>
      </c>
      <c r="I61" s="7">
        <v>3000</v>
      </c>
      <c r="J61" s="7"/>
      <c r="K61" s="7"/>
    </row>
    <row r="62" spans="1:11" ht="13.5" customHeight="1">
      <c r="A62" s="7">
        <v>50</v>
      </c>
      <c r="B62" s="7"/>
      <c r="C62" s="7" t="s">
        <v>3551</v>
      </c>
      <c r="D62" s="7" t="s">
        <v>3843</v>
      </c>
      <c r="E62" s="7" t="s">
        <v>1682</v>
      </c>
      <c r="F62" s="58">
        <v>1</v>
      </c>
      <c r="G62" s="7">
        <v>416173</v>
      </c>
      <c r="H62" s="123">
        <v>45569</v>
      </c>
      <c r="I62" s="7">
        <v>4500</v>
      </c>
      <c r="J62" s="7"/>
      <c r="K62" s="7"/>
    </row>
    <row r="63" spans="1:11" ht="13.5" customHeight="1">
      <c r="A63" s="7">
        <v>51</v>
      </c>
      <c r="B63" s="7"/>
      <c r="C63" s="7" t="s">
        <v>3552</v>
      </c>
      <c r="D63" s="7" t="s">
        <v>3844</v>
      </c>
      <c r="E63" s="7" t="s">
        <v>1682</v>
      </c>
      <c r="F63" s="58">
        <v>1</v>
      </c>
      <c r="G63" s="7">
        <v>416174</v>
      </c>
      <c r="H63" s="123">
        <v>45569</v>
      </c>
      <c r="I63" s="7">
        <v>5200</v>
      </c>
      <c r="J63" s="7"/>
      <c r="K63" s="7"/>
    </row>
    <row r="64" spans="1:11" ht="13.5" customHeight="1">
      <c r="A64" s="7">
        <v>52</v>
      </c>
      <c r="B64" s="7"/>
      <c r="C64" s="7" t="s">
        <v>3553</v>
      </c>
      <c r="D64" s="7" t="s">
        <v>3845</v>
      </c>
      <c r="E64" s="7" t="s">
        <v>1682</v>
      </c>
      <c r="F64" s="58">
        <v>1</v>
      </c>
      <c r="G64" s="7">
        <v>416175</v>
      </c>
      <c r="H64" s="123">
        <v>45569</v>
      </c>
      <c r="I64" s="7">
        <v>3000</v>
      </c>
      <c r="J64" s="7"/>
      <c r="K64" s="7"/>
    </row>
    <row r="65" spans="1:11" ht="13.5" customHeight="1">
      <c r="A65" s="7">
        <v>53</v>
      </c>
      <c r="B65" s="7"/>
      <c r="C65" s="7" t="s">
        <v>3554</v>
      </c>
      <c r="D65" s="7" t="s">
        <v>3846</v>
      </c>
      <c r="E65" s="7" t="s">
        <v>1682</v>
      </c>
      <c r="F65" s="58">
        <v>1</v>
      </c>
      <c r="G65" s="7">
        <v>416176</v>
      </c>
      <c r="H65" s="123">
        <v>45569</v>
      </c>
      <c r="I65" s="7">
        <v>3700</v>
      </c>
      <c r="J65" s="7"/>
      <c r="K65" s="7"/>
    </row>
    <row r="66" spans="1:11" ht="13.5" customHeight="1">
      <c r="A66" s="7">
        <v>54</v>
      </c>
      <c r="B66" s="7"/>
      <c r="C66" s="7" t="s">
        <v>3555</v>
      </c>
      <c r="D66" s="7" t="s">
        <v>3847</v>
      </c>
      <c r="E66" s="7" t="s">
        <v>1682</v>
      </c>
      <c r="F66" s="58">
        <v>1</v>
      </c>
      <c r="G66" s="7">
        <v>416177</v>
      </c>
      <c r="H66" s="123">
        <v>45569</v>
      </c>
      <c r="I66" s="7">
        <v>3900</v>
      </c>
      <c r="J66" s="7"/>
      <c r="K66" s="7"/>
    </row>
    <row r="67" spans="1:11" ht="13.5" customHeight="1">
      <c r="A67" s="7">
        <v>55</v>
      </c>
      <c r="B67" s="7"/>
      <c r="C67" s="7" t="s">
        <v>3556</v>
      </c>
      <c r="D67" s="7" t="s">
        <v>3848</v>
      </c>
      <c r="E67" s="7" t="s">
        <v>1682</v>
      </c>
      <c r="F67" s="58">
        <v>1</v>
      </c>
      <c r="G67" s="7">
        <v>416178</v>
      </c>
      <c r="H67" s="123">
        <v>45569</v>
      </c>
      <c r="I67" s="7">
        <v>3250</v>
      </c>
      <c r="J67" s="7"/>
      <c r="K67" s="7"/>
    </row>
    <row r="68" spans="1:11" ht="13.5" customHeight="1">
      <c r="A68" s="7">
        <v>56</v>
      </c>
      <c r="B68" s="7"/>
      <c r="C68" s="7" t="s">
        <v>3557</v>
      </c>
      <c r="D68" s="7" t="s">
        <v>3849</v>
      </c>
      <c r="E68" s="7" t="s">
        <v>1682</v>
      </c>
      <c r="F68" s="58">
        <v>1</v>
      </c>
      <c r="G68" s="7">
        <v>416179</v>
      </c>
      <c r="H68" s="123">
        <v>45569</v>
      </c>
      <c r="I68" s="7">
        <v>8000</v>
      </c>
      <c r="J68" s="7"/>
      <c r="K68" s="7"/>
    </row>
    <row r="69" spans="1:11" ht="13.5" customHeight="1">
      <c r="A69" s="7">
        <v>57</v>
      </c>
      <c r="B69" s="7"/>
      <c r="C69" s="7" t="s">
        <v>3558</v>
      </c>
      <c r="D69" s="7"/>
      <c r="E69" s="7" t="s">
        <v>1682</v>
      </c>
      <c r="F69" s="58">
        <v>1</v>
      </c>
      <c r="G69" s="7">
        <v>416180</v>
      </c>
      <c r="H69" s="123">
        <v>45569</v>
      </c>
      <c r="I69" s="7">
        <v>9000</v>
      </c>
      <c r="J69" s="7"/>
      <c r="K69" s="7"/>
    </row>
    <row r="70" spans="1:11" ht="13.5" customHeight="1">
      <c r="A70" s="7">
        <v>58</v>
      </c>
      <c r="B70" s="7"/>
      <c r="C70" s="7" t="s">
        <v>3559</v>
      </c>
      <c r="D70" s="7" t="s">
        <v>3850</v>
      </c>
      <c r="E70" s="7" t="s">
        <v>1682</v>
      </c>
      <c r="F70" s="58">
        <v>1</v>
      </c>
      <c r="G70" s="7">
        <v>416181</v>
      </c>
      <c r="H70" s="123">
        <v>45569</v>
      </c>
      <c r="I70" s="7">
        <v>5400</v>
      </c>
      <c r="J70" s="7"/>
      <c r="K70" s="7"/>
    </row>
    <row r="71" spans="1:11" ht="13.5" customHeight="1">
      <c r="A71" s="7">
        <v>59</v>
      </c>
      <c r="B71" s="7"/>
      <c r="C71" s="7" t="s">
        <v>3955</v>
      </c>
      <c r="D71" s="7" t="s">
        <v>3851</v>
      </c>
      <c r="E71" s="7" t="s">
        <v>1682</v>
      </c>
      <c r="F71" s="58">
        <v>1</v>
      </c>
      <c r="G71" s="7">
        <v>416182</v>
      </c>
      <c r="H71" s="123">
        <v>45569</v>
      </c>
      <c r="I71" s="7">
        <v>4300</v>
      </c>
      <c r="J71" s="7"/>
      <c r="K71" s="7"/>
    </row>
    <row r="72" spans="1:11" s="10" customFormat="1" ht="13.5" customHeight="1">
      <c r="A72" s="7">
        <v>60</v>
      </c>
      <c r="B72" s="7"/>
      <c r="C72" s="7" t="s">
        <v>3956</v>
      </c>
      <c r="D72" s="7"/>
      <c r="E72" s="7" t="s">
        <v>1682</v>
      </c>
      <c r="F72" s="58">
        <v>1</v>
      </c>
      <c r="G72" s="7">
        <v>416183</v>
      </c>
      <c r="H72" s="123">
        <v>45569</v>
      </c>
      <c r="I72" s="7">
        <v>5000</v>
      </c>
      <c r="J72" s="7"/>
      <c r="K72" s="7"/>
    </row>
    <row r="73" spans="1:11" ht="13.5" customHeight="1">
      <c r="A73" s="7">
        <v>61</v>
      </c>
      <c r="B73" s="7"/>
      <c r="C73" s="7" t="s">
        <v>3560</v>
      </c>
      <c r="D73" s="7"/>
      <c r="E73" s="7" t="s">
        <v>1682</v>
      </c>
      <c r="F73" s="58">
        <v>1</v>
      </c>
      <c r="G73" s="7">
        <v>416184</v>
      </c>
      <c r="H73" s="123">
        <v>45569</v>
      </c>
      <c r="I73" s="7">
        <v>5000</v>
      </c>
      <c r="J73" s="7"/>
      <c r="K73" s="7"/>
    </row>
    <row r="74" spans="1:11" ht="13.5" customHeight="1">
      <c r="A74" s="7">
        <v>62</v>
      </c>
      <c r="B74" s="7"/>
      <c r="C74" s="7" t="s">
        <v>3561</v>
      </c>
      <c r="D74" s="7" t="s">
        <v>3852</v>
      </c>
      <c r="E74" s="7" t="s">
        <v>1682</v>
      </c>
      <c r="F74" s="58">
        <v>1</v>
      </c>
      <c r="G74" s="7">
        <v>416185</v>
      </c>
      <c r="H74" s="123">
        <v>45569</v>
      </c>
      <c r="I74" s="7">
        <v>4000</v>
      </c>
      <c r="J74" s="7"/>
      <c r="K74" s="7"/>
    </row>
    <row r="75" spans="1:11" ht="13.5" customHeight="1">
      <c r="A75" s="7">
        <v>63</v>
      </c>
      <c r="B75" s="7"/>
      <c r="C75" s="7" t="s">
        <v>3957</v>
      </c>
      <c r="D75" s="7" t="s">
        <v>3853</v>
      </c>
      <c r="E75" s="7" t="s">
        <v>1682</v>
      </c>
      <c r="F75" s="58">
        <v>1</v>
      </c>
      <c r="G75" s="7">
        <v>416186</v>
      </c>
      <c r="H75" s="123">
        <v>45569</v>
      </c>
      <c r="I75" s="7">
        <v>3000</v>
      </c>
      <c r="J75" s="7"/>
      <c r="K75" s="7"/>
    </row>
    <row r="76" spans="1:11" ht="13.5" customHeight="1">
      <c r="A76" s="7">
        <v>64</v>
      </c>
      <c r="B76" s="7"/>
      <c r="C76" s="7" t="s">
        <v>3562</v>
      </c>
      <c r="D76" s="7" t="s">
        <v>3854</v>
      </c>
      <c r="E76" s="7" t="s">
        <v>1682</v>
      </c>
      <c r="F76" s="58">
        <v>1</v>
      </c>
      <c r="G76" s="7">
        <v>416187</v>
      </c>
      <c r="H76" s="123">
        <v>45569</v>
      </c>
      <c r="I76" s="7">
        <v>4500</v>
      </c>
      <c r="J76" s="7"/>
      <c r="K76" s="7"/>
    </row>
    <row r="77" spans="1:11" ht="13.5" customHeight="1">
      <c r="A77" s="7">
        <v>65</v>
      </c>
      <c r="B77" s="7"/>
      <c r="C77" s="7" t="s">
        <v>3563</v>
      </c>
      <c r="D77" s="7" t="s">
        <v>3855</v>
      </c>
      <c r="E77" s="7" t="s">
        <v>1682</v>
      </c>
      <c r="F77" s="58">
        <v>1</v>
      </c>
      <c r="G77" s="7">
        <v>416188</v>
      </c>
      <c r="H77" s="123">
        <v>45569</v>
      </c>
      <c r="I77" s="7">
        <v>5000</v>
      </c>
      <c r="J77" s="7"/>
      <c r="K77" s="7"/>
    </row>
    <row r="78" spans="1:11" ht="13.5" customHeight="1">
      <c r="A78" s="7">
        <v>66</v>
      </c>
      <c r="B78" s="7"/>
      <c r="C78" s="7" t="s">
        <v>3564</v>
      </c>
      <c r="D78" s="7" t="s">
        <v>3856</v>
      </c>
      <c r="E78" s="7" t="s">
        <v>1682</v>
      </c>
      <c r="F78" s="58">
        <v>1</v>
      </c>
      <c r="G78" s="7">
        <v>416189</v>
      </c>
      <c r="H78" s="123">
        <v>45569</v>
      </c>
      <c r="I78" s="7">
        <v>3200</v>
      </c>
      <c r="J78" s="7"/>
      <c r="K78" s="7"/>
    </row>
    <row r="79" spans="1:11" ht="13.5" customHeight="1">
      <c r="A79" s="7">
        <v>67</v>
      </c>
      <c r="B79" s="7"/>
      <c r="C79" s="7" t="s">
        <v>3958</v>
      </c>
      <c r="D79" s="7" t="s">
        <v>3857</v>
      </c>
      <c r="E79" s="7" t="s">
        <v>1682</v>
      </c>
      <c r="F79" s="58">
        <v>1</v>
      </c>
      <c r="G79" s="7">
        <v>416190</v>
      </c>
      <c r="H79" s="123">
        <v>45569</v>
      </c>
      <c r="I79" s="7">
        <v>4000</v>
      </c>
      <c r="J79" s="7"/>
      <c r="K79" s="7"/>
    </row>
    <row r="80" spans="1:11" ht="13.5" customHeight="1">
      <c r="A80" s="7">
        <v>68</v>
      </c>
      <c r="B80" s="7"/>
      <c r="C80" s="7" t="s">
        <v>3959</v>
      </c>
      <c r="D80" s="7" t="s">
        <v>3858</v>
      </c>
      <c r="E80" s="7" t="s">
        <v>1682</v>
      </c>
      <c r="F80" s="58">
        <v>1</v>
      </c>
      <c r="G80" s="7">
        <v>416191</v>
      </c>
      <c r="H80" s="123">
        <v>45569</v>
      </c>
      <c r="I80" s="7">
        <v>5000</v>
      </c>
      <c r="J80" s="7"/>
      <c r="K80" s="7"/>
    </row>
    <row r="81" spans="1:11" ht="13.5" customHeight="1">
      <c r="A81" s="7">
        <v>69</v>
      </c>
      <c r="B81" s="7"/>
      <c r="C81" s="7" t="s">
        <v>3565</v>
      </c>
      <c r="D81" s="7" t="s">
        <v>3859</v>
      </c>
      <c r="E81" s="7" t="s">
        <v>1682</v>
      </c>
      <c r="F81" s="58">
        <v>1</v>
      </c>
      <c r="G81" s="7">
        <v>416192</v>
      </c>
      <c r="H81" s="123">
        <v>45569</v>
      </c>
      <c r="I81" s="7">
        <v>3300</v>
      </c>
      <c r="J81" s="7"/>
      <c r="K81" s="7"/>
    </row>
    <row r="82" spans="1:11" ht="13.5" customHeight="1">
      <c r="A82" s="7">
        <v>70</v>
      </c>
      <c r="B82" s="7"/>
      <c r="C82" s="7" t="s">
        <v>3566</v>
      </c>
      <c r="D82" s="7" t="s">
        <v>3860</v>
      </c>
      <c r="E82" s="7" t="s">
        <v>1682</v>
      </c>
      <c r="F82" s="58">
        <v>1</v>
      </c>
      <c r="G82" s="7">
        <v>416193</v>
      </c>
      <c r="H82" s="123">
        <v>45569</v>
      </c>
      <c r="I82" s="7">
        <v>4500</v>
      </c>
      <c r="J82" s="7"/>
      <c r="K82" s="7"/>
    </row>
    <row r="83" spans="1:11" ht="13.5" customHeight="1">
      <c r="A83" s="7">
        <v>71</v>
      </c>
      <c r="B83" s="7"/>
      <c r="C83" s="7" t="s">
        <v>3567</v>
      </c>
      <c r="D83" s="7" t="s">
        <v>3861</v>
      </c>
      <c r="E83" s="7" t="s">
        <v>1682</v>
      </c>
      <c r="F83" s="58">
        <v>1</v>
      </c>
      <c r="G83" s="7">
        <v>416194</v>
      </c>
      <c r="H83" s="123">
        <v>45569</v>
      </c>
      <c r="I83" s="7">
        <v>5000</v>
      </c>
      <c r="J83" s="7"/>
      <c r="K83" s="7"/>
    </row>
    <row r="84" spans="1:11" ht="13.5" customHeight="1">
      <c r="A84" s="7">
        <v>72</v>
      </c>
      <c r="B84" s="7"/>
      <c r="C84" s="7" t="s">
        <v>3568</v>
      </c>
      <c r="D84" s="7" t="s">
        <v>3862</v>
      </c>
      <c r="E84" s="7" t="s">
        <v>1682</v>
      </c>
      <c r="F84" s="58">
        <v>1</v>
      </c>
      <c r="G84" s="7">
        <v>416195</v>
      </c>
      <c r="H84" s="123">
        <v>45569</v>
      </c>
      <c r="I84" s="7">
        <v>3300</v>
      </c>
      <c r="J84" s="7"/>
      <c r="K84" s="7"/>
    </row>
    <row r="85" spans="1:11" ht="13.5" customHeight="1">
      <c r="A85" s="7">
        <v>73</v>
      </c>
      <c r="B85" s="7"/>
      <c r="C85" s="7" t="s">
        <v>3569</v>
      </c>
      <c r="D85" s="7" t="s">
        <v>3863</v>
      </c>
      <c r="E85" s="7" t="s">
        <v>1682</v>
      </c>
      <c r="F85" s="58">
        <v>1</v>
      </c>
      <c r="G85" s="7">
        <v>416196</v>
      </c>
      <c r="H85" s="123">
        <v>45569</v>
      </c>
      <c r="I85" s="7">
        <v>4000</v>
      </c>
      <c r="J85" s="7"/>
      <c r="K85" s="7"/>
    </row>
    <row r="86" spans="1:11" ht="13.5" customHeight="1">
      <c r="A86" s="7">
        <v>74</v>
      </c>
      <c r="B86" s="7"/>
      <c r="C86" s="7" t="s">
        <v>3570</v>
      </c>
      <c r="D86" s="7" t="s">
        <v>3864</v>
      </c>
      <c r="E86" s="7" t="s">
        <v>1682</v>
      </c>
      <c r="F86" s="58">
        <v>1</v>
      </c>
      <c r="G86" s="7">
        <v>416197</v>
      </c>
      <c r="H86" s="123">
        <v>45569</v>
      </c>
      <c r="I86" s="7">
        <v>5000</v>
      </c>
      <c r="J86" s="7"/>
      <c r="K86" s="7"/>
    </row>
    <row r="87" spans="1:11" ht="13.5" customHeight="1">
      <c r="A87" s="7">
        <v>75</v>
      </c>
      <c r="B87" s="7"/>
      <c r="C87" s="7" t="s">
        <v>3571</v>
      </c>
      <c r="D87" s="7" t="s">
        <v>3865</v>
      </c>
      <c r="E87" s="7" t="s">
        <v>1682</v>
      </c>
      <c r="F87" s="58">
        <v>1</v>
      </c>
      <c r="G87" s="7">
        <v>416198</v>
      </c>
      <c r="H87" s="123">
        <v>45569</v>
      </c>
      <c r="I87" s="7">
        <v>4600</v>
      </c>
      <c r="J87" s="7"/>
      <c r="K87" s="7"/>
    </row>
    <row r="88" spans="1:11" ht="13.5" customHeight="1">
      <c r="A88" s="7">
        <v>76</v>
      </c>
      <c r="B88" s="7"/>
      <c r="C88" s="7" t="s">
        <v>3572</v>
      </c>
      <c r="D88" s="7">
        <v>630003</v>
      </c>
      <c r="E88" s="7" t="s">
        <v>1682</v>
      </c>
      <c r="F88" s="58">
        <v>1</v>
      </c>
      <c r="G88" s="7">
        <v>416199</v>
      </c>
      <c r="H88" s="123">
        <v>45569</v>
      </c>
      <c r="I88" s="7">
        <v>6000</v>
      </c>
      <c r="J88" s="7"/>
      <c r="K88" s="7"/>
    </row>
    <row r="89" spans="1:11" ht="13.5" customHeight="1">
      <c r="A89" s="7">
        <v>77</v>
      </c>
      <c r="B89" s="7"/>
      <c r="C89" s="7" t="s">
        <v>3573</v>
      </c>
      <c r="D89" s="7" t="s">
        <v>3866</v>
      </c>
      <c r="E89" s="7" t="s">
        <v>1682</v>
      </c>
      <c r="F89" s="58">
        <v>1</v>
      </c>
      <c r="G89" s="7">
        <v>416200</v>
      </c>
      <c r="H89" s="123">
        <v>45569</v>
      </c>
      <c r="I89" s="7">
        <v>7200</v>
      </c>
      <c r="J89" s="7"/>
      <c r="K89" s="7"/>
    </row>
    <row r="90" spans="1:11" ht="13.5" customHeight="1">
      <c r="A90" s="7">
        <v>78</v>
      </c>
      <c r="B90" s="7"/>
      <c r="C90" s="7" t="s">
        <v>3574</v>
      </c>
      <c r="D90" s="7" t="s">
        <v>3867</v>
      </c>
      <c r="E90" s="7" t="s">
        <v>1682</v>
      </c>
      <c r="F90" s="58">
        <v>1</v>
      </c>
      <c r="G90" s="7">
        <v>416201</v>
      </c>
      <c r="H90" s="123">
        <v>45569</v>
      </c>
      <c r="I90" s="7">
        <v>4600</v>
      </c>
      <c r="J90" s="7"/>
      <c r="K90" s="7"/>
    </row>
    <row r="91" spans="1:11" ht="13.5" customHeight="1">
      <c r="A91" s="7">
        <v>79</v>
      </c>
      <c r="B91" s="7"/>
      <c r="C91" s="7" t="s">
        <v>3575</v>
      </c>
      <c r="D91" s="7" t="s">
        <v>3868</v>
      </c>
      <c r="E91" s="7" t="s">
        <v>1682</v>
      </c>
      <c r="F91" s="58">
        <v>1</v>
      </c>
      <c r="G91" s="7">
        <v>416202</v>
      </c>
      <c r="H91" s="123">
        <v>45569</v>
      </c>
      <c r="I91" s="7">
        <v>5000</v>
      </c>
      <c r="J91" s="7"/>
      <c r="K91" s="7"/>
    </row>
    <row r="92" spans="1:11" ht="13.5" customHeight="1">
      <c r="A92" s="7">
        <v>80</v>
      </c>
      <c r="B92" s="7"/>
      <c r="C92" s="7" t="s">
        <v>3960</v>
      </c>
      <c r="D92" s="7" t="s">
        <v>3869</v>
      </c>
      <c r="E92" s="7" t="s">
        <v>1682</v>
      </c>
      <c r="F92" s="58">
        <v>1</v>
      </c>
      <c r="G92" s="7">
        <v>416203</v>
      </c>
      <c r="H92" s="123">
        <v>45569</v>
      </c>
      <c r="I92" s="7">
        <v>5000</v>
      </c>
      <c r="J92" s="7"/>
      <c r="K92" s="7"/>
    </row>
    <row r="93" spans="1:11" ht="13.5" customHeight="1">
      <c r="A93" s="7">
        <v>81</v>
      </c>
      <c r="B93" s="7"/>
      <c r="C93" s="7" t="s">
        <v>3576</v>
      </c>
      <c r="D93" s="7" t="s">
        <v>3870</v>
      </c>
      <c r="E93" s="7" t="s">
        <v>1682</v>
      </c>
      <c r="F93" s="58">
        <v>1</v>
      </c>
      <c r="G93" s="7">
        <v>416204</v>
      </c>
      <c r="H93" s="123">
        <v>45569</v>
      </c>
      <c r="I93" s="7">
        <v>3000</v>
      </c>
      <c r="J93" s="7"/>
      <c r="K93" s="7"/>
    </row>
    <row r="94" spans="1:11" ht="13.5" customHeight="1">
      <c r="A94" s="7">
        <v>82</v>
      </c>
      <c r="B94" s="7"/>
      <c r="C94" s="7" t="s">
        <v>3577</v>
      </c>
      <c r="D94" s="7" t="s">
        <v>3871</v>
      </c>
      <c r="E94" s="7" t="s">
        <v>1682</v>
      </c>
      <c r="F94" s="58">
        <v>1</v>
      </c>
      <c r="G94" s="7">
        <v>416205</v>
      </c>
      <c r="H94" s="123">
        <v>45569</v>
      </c>
      <c r="I94" s="7">
        <v>7500</v>
      </c>
      <c r="J94" s="7"/>
      <c r="K94" s="7"/>
    </row>
    <row r="95" spans="1:11" ht="13.5" customHeight="1">
      <c r="A95" s="7">
        <v>83</v>
      </c>
      <c r="B95" s="7"/>
      <c r="C95" s="7" t="s">
        <v>3961</v>
      </c>
      <c r="D95" s="7">
        <v>106803</v>
      </c>
      <c r="E95" s="7" t="s">
        <v>1682</v>
      </c>
      <c r="F95" s="58">
        <v>1</v>
      </c>
      <c r="G95" s="7">
        <v>416206</v>
      </c>
      <c r="H95" s="123">
        <v>45569</v>
      </c>
      <c r="I95" s="7">
        <v>4500</v>
      </c>
      <c r="J95" s="7"/>
      <c r="K95" s="7"/>
    </row>
    <row r="96" spans="1:11" ht="13.5" customHeight="1">
      <c r="A96" s="7">
        <v>84</v>
      </c>
      <c r="B96" s="7"/>
      <c r="C96" s="7" t="s">
        <v>3578</v>
      </c>
      <c r="D96" s="7"/>
      <c r="E96" s="7" t="s">
        <v>1682</v>
      </c>
      <c r="F96" s="58">
        <v>1</v>
      </c>
      <c r="G96" s="7">
        <v>416207</v>
      </c>
      <c r="H96" s="123">
        <v>45569</v>
      </c>
      <c r="I96" s="7">
        <v>4300</v>
      </c>
      <c r="J96" s="7"/>
      <c r="K96" s="7"/>
    </row>
    <row r="97" spans="1:11" ht="13.5" customHeight="1">
      <c r="A97" s="7">
        <v>85</v>
      </c>
      <c r="B97" s="7"/>
      <c r="C97" s="7" t="s">
        <v>3579</v>
      </c>
      <c r="D97" s="7" t="s">
        <v>3872</v>
      </c>
      <c r="E97" s="7" t="s">
        <v>1682</v>
      </c>
      <c r="F97" s="58">
        <v>1</v>
      </c>
      <c r="G97" s="7">
        <v>416208</v>
      </c>
      <c r="H97" s="123">
        <v>45569</v>
      </c>
      <c r="I97" s="7">
        <v>5000</v>
      </c>
      <c r="J97" s="7"/>
      <c r="K97" s="7"/>
    </row>
    <row r="98" spans="1:11" ht="13.5" customHeight="1">
      <c r="A98" s="7">
        <v>86</v>
      </c>
      <c r="B98" s="7"/>
      <c r="C98" s="7" t="s">
        <v>3580</v>
      </c>
      <c r="D98" s="7" t="s">
        <v>3873</v>
      </c>
      <c r="E98" s="7" t="s">
        <v>1682</v>
      </c>
      <c r="F98" s="58">
        <v>1</v>
      </c>
      <c r="G98" s="7">
        <v>416209</v>
      </c>
      <c r="H98" s="123">
        <v>45569</v>
      </c>
      <c r="I98" s="7">
        <v>3400</v>
      </c>
      <c r="J98" s="7"/>
      <c r="K98" s="7"/>
    </row>
    <row r="99" spans="1:11" ht="13.5" customHeight="1">
      <c r="A99" s="7">
        <v>87</v>
      </c>
      <c r="B99" s="7"/>
      <c r="C99" s="7" t="s">
        <v>3581</v>
      </c>
      <c r="D99" s="7" t="s">
        <v>3874</v>
      </c>
      <c r="E99" s="7" t="s">
        <v>1682</v>
      </c>
      <c r="F99" s="58">
        <v>1</v>
      </c>
      <c r="G99" s="7">
        <v>416210</v>
      </c>
      <c r="H99" s="123">
        <v>45569</v>
      </c>
      <c r="I99" s="7">
        <v>3000</v>
      </c>
      <c r="J99" s="7"/>
      <c r="K99" s="7"/>
    </row>
    <row r="100" spans="1:11" ht="13.5" customHeight="1">
      <c r="A100" s="7">
        <v>88</v>
      </c>
      <c r="B100" s="7"/>
      <c r="C100" s="7" t="s">
        <v>3582</v>
      </c>
      <c r="D100" s="7" t="s">
        <v>3875</v>
      </c>
      <c r="E100" s="7" t="s">
        <v>1682</v>
      </c>
      <c r="F100" s="58">
        <v>1</v>
      </c>
      <c r="G100" s="7">
        <v>416211</v>
      </c>
      <c r="H100" s="123">
        <v>45569</v>
      </c>
      <c r="I100" s="7">
        <v>3100</v>
      </c>
      <c r="J100" s="7"/>
      <c r="K100" s="7"/>
    </row>
    <row r="101" spans="1:11" ht="13.5" customHeight="1">
      <c r="A101" s="7">
        <v>89</v>
      </c>
      <c r="B101" s="7"/>
      <c r="C101" s="7" t="s">
        <v>3962</v>
      </c>
      <c r="D101" s="7" t="s">
        <v>3876</v>
      </c>
      <c r="E101" s="7" t="s">
        <v>1682</v>
      </c>
      <c r="F101" s="58">
        <v>1</v>
      </c>
      <c r="G101" s="7">
        <v>416212</v>
      </c>
      <c r="H101" s="123">
        <v>45569</v>
      </c>
      <c r="I101" s="7">
        <v>4700</v>
      </c>
      <c r="J101" s="7"/>
      <c r="K101" s="7"/>
    </row>
    <row r="102" spans="1:11" ht="13.5" customHeight="1">
      <c r="A102" s="7">
        <v>90</v>
      </c>
      <c r="B102" s="7"/>
      <c r="C102" s="7" t="s">
        <v>3583</v>
      </c>
      <c r="D102" s="7" t="s">
        <v>3877</v>
      </c>
      <c r="E102" s="7" t="s">
        <v>1682</v>
      </c>
      <c r="F102" s="58">
        <v>1</v>
      </c>
      <c r="G102" s="7">
        <v>416213</v>
      </c>
      <c r="H102" s="123">
        <v>45569</v>
      </c>
      <c r="I102" s="7">
        <v>4200</v>
      </c>
      <c r="J102" s="7"/>
      <c r="K102" s="7"/>
    </row>
    <row r="103" spans="1:11" ht="13.5" customHeight="1">
      <c r="A103" s="7">
        <v>91</v>
      </c>
      <c r="B103" s="7"/>
      <c r="C103" s="7" t="s">
        <v>3963</v>
      </c>
      <c r="D103" s="7" t="s">
        <v>3878</v>
      </c>
      <c r="E103" s="7" t="s">
        <v>1682</v>
      </c>
      <c r="F103" s="58">
        <v>1</v>
      </c>
      <c r="G103" s="7">
        <v>416214</v>
      </c>
      <c r="H103" s="123">
        <v>45569</v>
      </c>
      <c r="I103" s="7">
        <v>3000</v>
      </c>
      <c r="J103" s="7"/>
      <c r="K103" s="7"/>
    </row>
    <row r="104" spans="1:11" ht="13.5" customHeight="1">
      <c r="A104" s="7">
        <v>92</v>
      </c>
      <c r="B104" s="7"/>
      <c r="C104" s="7" t="s">
        <v>3964</v>
      </c>
      <c r="D104" s="7" t="s">
        <v>3879</v>
      </c>
      <c r="E104" s="7" t="s">
        <v>1682</v>
      </c>
      <c r="F104" s="58">
        <v>1</v>
      </c>
      <c r="G104" s="7">
        <v>416215</v>
      </c>
      <c r="H104" s="123">
        <v>45569</v>
      </c>
      <c r="I104" s="7">
        <v>3980</v>
      </c>
      <c r="J104" s="7"/>
      <c r="K104" s="7"/>
    </row>
    <row r="105" spans="1:11" ht="13.5" customHeight="1">
      <c r="A105" s="7">
        <v>93</v>
      </c>
      <c r="B105" s="7"/>
      <c r="C105" s="7" t="s">
        <v>3584</v>
      </c>
      <c r="D105" s="7"/>
      <c r="E105" s="7" t="s">
        <v>1682</v>
      </c>
      <c r="F105" s="58">
        <v>1</v>
      </c>
      <c r="G105" s="7">
        <v>416216</v>
      </c>
      <c r="H105" s="123">
        <v>45569</v>
      </c>
      <c r="I105" s="7">
        <v>3240</v>
      </c>
      <c r="J105" s="7"/>
      <c r="K105" s="7"/>
    </row>
    <row r="106" spans="1:11" ht="13.5" customHeight="1">
      <c r="A106" s="7">
        <v>94</v>
      </c>
      <c r="B106" s="7"/>
      <c r="C106" s="7" t="s">
        <v>3585</v>
      </c>
      <c r="D106" s="7" t="s">
        <v>3880</v>
      </c>
      <c r="E106" s="7" t="s">
        <v>1682</v>
      </c>
      <c r="F106" s="58">
        <v>1</v>
      </c>
      <c r="G106" s="7">
        <v>416217</v>
      </c>
      <c r="H106" s="123">
        <v>45569</v>
      </c>
      <c r="I106" s="7">
        <v>3700</v>
      </c>
      <c r="J106" s="7"/>
      <c r="K106" s="7"/>
    </row>
    <row r="107" spans="1:11" ht="13.5" customHeight="1">
      <c r="A107" s="7">
        <v>95</v>
      </c>
      <c r="B107" s="7"/>
      <c r="C107" s="7" t="s">
        <v>3586</v>
      </c>
      <c r="D107" s="7" t="s">
        <v>3881</v>
      </c>
      <c r="E107" s="7" t="s">
        <v>1682</v>
      </c>
      <c r="F107" s="58">
        <v>1</v>
      </c>
      <c r="G107" s="7">
        <v>416218</v>
      </c>
      <c r="H107" s="123">
        <v>45569</v>
      </c>
      <c r="I107" s="7">
        <v>3400</v>
      </c>
      <c r="J107" s="7"/>
      <c r="K107" s="7"/>
    </row>
    <row r="108" spans="1:11" ht="13.5" customHeight="1">
      <c r="A108" s="7">
        <v>96</v>
      </c>
      <c r="B108" s="7"/>
      <c r="C108" s="7" t="s">
        <v>3965</v>
      </c>
      <c r="D108" s="7" t="s">
        <v>3882</v>
      </c>
      <c r="E108" s="7" t="s">
        <v>1682</v>
      </c>
      <c r="F108" s="58">
        <v>1</v>
      </c>
      <c r="G108" s="7">
        <v>416219</v>
      </c>
      <c r="H108" s="123">
        <v>45569</v>
      </c>
      <c r="I108" s="7">
        <v>3700</v>
      </c>
      <c r="J108" s="7"/>
      <c r="K108" s="7"/>
    </row>
    <row r="109" spans="1:11" ht="13.5" customHeight="1">
      <c r="A109" s="7">
        <v>97</v>
      </c>
      <c r="B109" s="7"/>
      <c r="C109" s="7" t="s">
        <v>3587</v>
      </c>
      <c r="D109" s="7" t="s">
        <v>3883</v>
      </c>
      <c r="E109" s="7" t="s">
        <v>1682</v>
      </c>
      <c r="F109" s="58">
        <v>1</v>
      </c>
      <c r="G109" s="7">
        <v>416220</v>
      </c>
      <c r="H109" s="123">
        <v>45569</v>
      </c>
      <c r="I109" s="7">
        <v>3400</v>
      </c>
      <c r="J109" s="7"/>
      <c r="K109" s="7"/>
    </row>
    <row r="110" spans="1:11" ht="13.5" customHeight="1">
      <c r="A110" s="7">
        <v>98</v>
      </c>
      <c r="B110" s="7"/>
      <c r="C110" s="7" t="s">
        <v>3966</v>
      </c>
      <c r="D110" s="7" t="s">
        <v>3884</v>
      </c>
      <c r="E110" s="7" t="s">
        <v>1682</v>
      </c>
      <c r="F110" s="58">
        <v>1</v>
      </c>
      <c r="G110" s="7">
        <v>416221</v>
      </c>
      <c r="H110" s="123">
        <v>45569</v>
      </c>
      <c r="I110" s="7">
        <v>3700</v>
      </c>
      <c r="J110" s="7"/>
      <c r="K110" s="7"/>
    </row>
    <row r="111" spans="1:11" ht="13.5" customHeight="1">
      <c r="A111" s="7">
        <v>99</v>
      </c>
      <c r="B111" s="7"/>
      <c r="C111" s="7" t="s">
        <v>3967</v>
      </c>
      <c r="D111" s="7" t="s">
        <v>3885</v>
      </c>
      <c r="E111" s="7" t="s">
        <v>1682</v>
      </c>
      <c r="F111" s="58">
        <v>1</v>
      </c>
      <c r="G111" s="7">
        <v>416222</v>
      </c>
      <c r="H111" s="123">
        <v>45569</v>
      </c>
      <c r="I111" s="7">
        <v>4450</v>
      </c>
      <c r="J111" s="7"/>
      <c r="K111" s="7"/>
    </row>
    <row r="112" spans="1:11" ht="13.5" customHeight="1">
      <c r="A112" s="7">
        <v>100</v>
      </c>
      <c r="B112" s="7"/>
      <c r="C112" s="7" t="s">
        <v>3588</v>
      </c>
      <c r="D112" s="7" t="s">
        <v>3886</v>
      </c>
      <c r="E112" s="7" t="s">
        <v>1682</v>
      </c>
      <c r="F112" s="58">
        <v>1</v>
      </c>
      <c r="G112" s="7">
        <v>416223</v>
      </c>
      <c r="H112" s="123">
        <v>45569</v>
      </c>
      <c r="I112" s="7">
        <v>5200</v>
      </c>
      <c r="J112" s="7"/>
      <c r="K112" s="7"/>
    </row>
    <row r="113" spans="1:11" ht="13.5" customHeight="1">
      <c r="A113" s="7">
        <v>101</v>
      </c>
      <c r="B113" s="7"/>
      <c r="C113" s="7" t="s">
        <v>3968</v>
      </c>
      <c r="D113" s="7" t="s">
        <v>3887</v>
      </c>
      <c r="E113" s="7" t="s">
        <v>1682</v>
      </c>
      <c r="F113" s="58">
        <v>1</v>
      </c>
      <c r="G113" s="7">
        <v>416224</v>
      </c>
      <c r="H113" s="123">
        <v>45569</v>
      </c>
      <c r="I113" s="7">
        <v>5700</v>
      </c>
      <c r="J113" s="7"/>
      <c r="K113" s="7"/>
    </row>
    <row r="114" spans="1:11" ht="13.5" customHeight="1">
      <c r="A114" s="7">
        <v>102</v>
      </c>
      <c r="B114" s="7"/>
      <c r="C114" s="7" t="s">
        <v>3589</v>
      </c>
      <c r="D114" s="7" t="s">
        <v>3888</v>
      </c>
      <c r="E114" s="7" t="s">
        <v>1682</v>
      </c>
      <c r="F114" s="58">
        <v>1</v>
      </c>
      <c r="G114" s="7">
        <v>416225</v>
      </c>
      <c r="H114" s="123">
        <v>45569</v>
      </c>
      <c r="I114" s="7">
        <v>4200</v>
      </c>
      <c r="J114" s="7"/>
      <c r="K114" s="7"/>
    </row>
    <row r="115" spans="1:11" ht="13.5" customHeight="1">
      <c r="A115" s="7">
        <v>103</v>
      </c>
      <c r="B115" s="7"/>
      <c r="C115" s="7" t="s">
        <v>3590</v>
      </c>
      <c r="D115" s="7" t="s">
        <v>3889</v>
      </c>
      <c r="E115" s="7" t="s">
        <v>1682</v>
      </c>
      <c r="F115" s="58">
        <v>1</v>
      </c>
      <c r="G115" s="7">
        <v>416226</v>
      </c>
      <c r="H115" s="123">
        <v>45569</v>
      </c>
      <c r="I115" s="7">
        <v>5200</v>
      </c>
      <c r="J115" s="7"/>
      <c r="K115" s="7"/>
    </row>
    <row r="116" spans="1:11" ht="13.5" customHeight="1">
      <c r="A116" s="7">
        <v>104</v>
      </c>
      <c r="B116" s="7"/>
      <c r="C116" s="7" t="s">
        <v>3591</v>
      </c>
      <c r="D116" s="7" t="s">
        <v>3890</v>
      </c>
      <c r="E116" s="7" t="s">
        <v>1682</v>
      </c>
      <c r="F116" s="58">
        <v>1</v>
      </c>
      <c r="G116" s="7">
        <v>416227</v>
      </c>
      <c r="H116" s="123">
        <v>45569</v>
      </c>
      <c r="I116" s="7">
        <v>3700</v>
      </c>
      <c r="J116" s="7"/>
      <c r="K116" s="7"/>
    </row>
    <row r="117" spans="1:11" ht="13.5" customHeight="1">
      <c r="A117" s="7">
        <v>105</v>
      </c>
      <c r="B117" s="7"/>
      <c r="C117" s="7" t="s">
        <v>3592</v>
      </c>
      <c r="D117" s="7" t="s">
        <v>3891</v>
      </c>
      <c r="E117" s="7" t="s">
        <v>1682</v>
      </c>
      <c r="F117" s="58">
        <v>1</v>
      </c>
      <c r="G117" s="7">
        <v>416228</v>
      </c>
      <c r="H117" s="123">
        <v>45569</v>
      </c>
      <c r="I117" s="7">
        <v>3700</v>
      </c>
      <c r="J117" s="7"/>
      <c r="K117" s="7"/>
    </row>
    <row r="118" spans="1:11" ht="13.5" customHeight="1">
      <c r="A118" s="7">
        <v>106</v>
      </c>
      <c r="B118" s="7"/>
      <c r="C118" s="7" t="s">
        <v>3593</v>
      </c>
      <c r="D118" s="7" t="s">
        <v>3892</v>
      </c>
      <c r="E118" s="7" t="s">
        <v>1682</v>
      </c>
      <c r="F118" s="58">
        <v>1</v>
      </c>
      <c r="G118" s="7">
        <v>416229</v>
      </c>
      <c r="H118" s="123">
        <v>45569</v>
      </c>
      <c r="I118" s="7">
        <v>3700</v>
      </c>
      <c r="J118" s="7"/>
      <c r="K118" s="7"/>
    </row>
    <row r="119" spans="1:11" ht="13.5" customHeight="1">
      <c r="A119" s="7">
        <v>107</v>
      </c>
      <c r="B119" s="7"/>
      <c r="C119" s="7" t="s">
        <v>3594</v>
      </c>
      <c r="D119" s="7" t="s">
        <v>3893</v>
      </c>
      <c r="E119" s="7" t="s">
        <v>1682</v>
      </c>
      <c r="F119" s="58">
        <v>1</v>
      </c>
      <c r="G119" s="7">
        <v>416230</v>
      </c>
      <c r="H119" s="123">
        <v>45569</v>
      </c>
      <c r="I119" s="7">
        <v>3700</v>
      </c>
      <c r="J119" s="7"/>
      <c r="K119" s="7"/>
    </row>
    <row r="120" spans="1:11" ht="13.5" customHeight="1">
      <c r="A120" s="7">
        <v>108</v>
      </c>
      <c r="B120" s="7"/>
      <c r="C120" s="7" t="s">
        <v>3969</v>
      </c>
      <c r="D120" s="7" t="s">
        <v>3894</v>
      </c>
      <c r="E120" s="7" t="s">
        <v>1682</v>
      </c>
      <c r="F120" s="58">
        <v>1</v>
      </c>
      <c r="G120" s="7">
        <v>416231</v>
      </c>
      <c r="H120" s="123">
        <v>45569</v>
      </c>
      <c r="I120" s="7">
        <v>3700</v>
      </c>
      <c r="J120" s="7"/>
      <c r="K120" s="7"/>
    </row>
    <row r="121" spans="1:11" ht="13.5" customHeight="1">
      <c r="A121" s="7">
        <v>109</v>
      </c>
      <c r="B121" s="7"/>
      <c r="C121" s="7" t="s">
        <v>3595</v>
      </c>
      <c r="D121" s="7" t="s">
        <v>3895</v>
      </c>
      <c r="E121" s="7" t="s">
        <v>1682</v>
      </c>
      <c r="F121" s="58">
        <v>1</v>
      </c>
      <c r="G121" s="7">
        <v>416232</v>
      </c>
      <c r="H121" s="123">
        <v>45569</v>
      </c>
      <c r="I121" s="7">
        <v>3700</v>
      </c>
      <c r="J121" s="7"/>
      <c r="K121" s="7"/>
    </row>
    <row r="122" spans="1:11" ht="13.5" customHeight="1">
      <c r="A122" s="7">
        <v>110</v>
      </c>
      <c r="B122" s="7"/>
      <c r="C122" s="7" t="s">
        <v>3596</v>
      </c>
      <c r="D122" s="7" t="s">
        <v>3896</v>
      </c>
      <c r="E122" s="7" t="s">
        <v>1682</v>
      </c>
      <c r="F122" s="58">
        <v>1</v>
      </c>
      <c r="G122" s="7">
        <v>416233</v>
      </c>
      <c r="H122" s="123">
        <v>45569</v>
      </c>
      <c r="I122" s="7">
        <v>3700</v>
      </c>
      <c r="J122" s="7"/>
      <c r="K122" s="7"/>
    </row>
    <row r="123" spans="1:11" ht="13.5" customHeight="1">
      <c r="A123" s="7">
        <v>111</v>
      </c>
      <c r="B123" s="7"/>
      <c r="C123" s="7" t="s">
        <v>3970</v>
      </c>
      <c r="D123" s="7" t="s">
        <v>3897</v>
      </c>
      <c r="E123" s="7" t="s">
        <v>1682</v>
      </c>
      <c r="F123" s="58">
        <v>1</v>
      </c>
      <c r="G123" s="7">
        <v>416234</v>
      </c>
      <c r="H123" s="123">
        <v>45569</v>
      </c>
      <c r="I123" s="7">
        <v>5660</v>
      </c>
      <c r="J123" s="7"/>
      <c r="K123" s="7"/>
    </row>
    <row r="124" spans="1:11" ht="13.5" customHeight="1">
      <c r="A124" s="7">
        <v>112</v>
      </c>
      <c r="B124" s="7"/>
      <c r="C124" s="7" t="s">
        <v>3597</v>
      </c>
      <c r="D124" s="7" t="s">
        <v>3898</v>
      </c>
      <c r="E124" s="7" t="s">
        <v>1682</v>
      </c>
      <c r="F124" s="58">
        <v>1</v>
      </c>
      <c r="G124" s="7">
        <v>416235</v>
      </c>
      <c r="H124" s="123">
        <v>45569</v>
      </c>
      <c r="I124" s="7">
        <v>3700</v>
      </c>
      <c r="J124" s="7"/>
      <c r="K124" s="7"/>
    </row>
    <row r="125" spans="1:11" ht="13.5" customHeight="1">
      <c r="A125" s="7">
        <v>113</v>
      </c>
      <c r="B125" s="7"/>
      <c r="C125" s="7" t="s">
        <v>3598</v>
      </c>
      <c r="D125" s="7" t="s">
        <v>3899</v>
      </c>
      <c r="E125" s="7" t="s">
        <v>1682</v>
      </c>
      <c r="F125" s="58">
        <v>1</v>
      </c>
      <c r="G125" s="7">
        <v>416236</v>
      </c>
      <c r="H125" s="123">
        <v>45569</v>
      </c>
      <c r="I125" s="7">
        <v>3700</v>
      </c>
      <c r="J125" s="7"/>
      <c r="K125" s="7"/>
    </row>
    <row r="126" spans="1:11" ht="13.5" customHeight="1">
      <c r="A126" s="7">
        <v>114</v>
      </c>
      <c r="B126" s="7"/>
      <c r="C126" s="7"/>
      <c r="D126" s="7"/>
      <c r="E126" s="7"/>
      <c r="F126" s="58"/>
      <c r="G126" s="7"/>
      <c r="H126" s="58"/>
      <c r="I126" s="7"/>
      <c r="J126" s="7"/>
      <c r="K126" s="7"/>
    </row>
    <row r="127" spans="1:11" ht="13.5" customHeight="1">
      <c r="A127" s="7">
        <v>115</v>
      </c>
      <c r="B127" s="7"/>
      <c r="C127" s="7"/>
      <c r="D127" s="7"/>
      <c r="E127" s="7"/>
      <c r="F127" s="58"/>
      <c r="G127" s="7"/>
      <c r="H127" s="58"/>
      <c r="I127" s="7"/>
      <c r="J127" s="7"/>
      <c r="K127" s="7"/>
    </row>
    <row r="128" spans="1:11" ht="13.5" customHeight="1">
      <c r="A128" s="7">
        <v>116</v>
      </c>
      <c r="B128" s="7"/>
      <c r="C128" s="7"/>
      <c r="D128" s="7"/>
      <c r="E128" s="7"/>
      <c r="F128" s="58"/>
      <c r="G128" s="7"/>
      <c r="H128" s="58"/>
      <c r="I128" s="7"/>
      <c r="J128" s="7"/>
      <c r="K128" s="7"/>
    </row>
    <row r="129" spans="1:11" ht="13.5" customHeight="1">
      <c r="A129" s="7">
        <v>117</v>
      </c>
      <c r="B129" s="7"/>
      <c r="C129" s="7"/>
      <c r="D129" s="7"/>
      <c r="E129" s="7"/>
      <c r="F129" s="58"/>
      <c r="G129" s="7"/>
      <c r="H129" s="58"/>
      <c r="I129" s="7"/>
      <c r="J129" s="7"/>
      <c r="K129" s="7"/>
    </row>
    <row r="130" spans="1:11" ht="13.5" customHeight="1">
      <c r="A130" s="7">
        <v>118</v>
      </c>
      <c r="B130" s="7"/>
      <c r="C130" s="7"/>
      <c r="D130" s="7"/>
      <c r="E130" s="7"/>
      <c r="F130" s="58"/>
      <c r="G130" s="7"/>
      <c r="H130" s="58"/>
      <c r="I130" s="7"/>
      <c r="J130" s="7"/>
      <c r="K130" s="7"/>
    </row>
    <row r="131" spans="1:11" ht="13.5" customHeight="1">
      <c r="A131" s="7">
        <v>119</v>
      </c>
      <c r="B131" s="7"/>
      <c r="C131" s="7"/>
      <c r="D131" s="7"/>
      <c r="E131" s="7"/>
      <c r="F131" s="58"/>
      <c r="G131" s="7"/>
      <c r="H131" s="58"/>
      <c r="I131" s="7"/>
      <c r="J131" s="7"/>
      <c r="K131" s="7"/>
    </row>
    <row r="132" spans="1:11" ht="13.5" customHeight="1">
      <c r="A132" s="7">
        <v>120</v>
      </c>
      <c r="B132" s="7"/>
      <c r="C132" s="7"/>
      <c r="D132" s="7"/>
      <c r="E132" s="7"/>
      <c r="F132" s="58"/>
      <c r="G132" s="7"/>
      <c r="H132" s="58"/>
      <c r="I132" s="7"/>
      <c r="J132" s="7"/>
      <c r="K132" s="7"/>
    </row>
    <row r="133" spans="1:11" ht="13.5" customHeight="1">
      <c r="A133" s="7">
        <v>121</v>
      </c>
      <c r="B133" s="7"/>
      <c r="C133" s="7"/>
      <c r="D133" s="7"/>
      <c r="E133" s="7"/>
      <c r="F133" s="58"/>
      <c r="G133" s="7"/>
      <c r="H133" s="58"/>
      <c r="I133" s="7"/>
      <c r="J133" s="7"/>
      <c r="K133" s="7"/>
    </row>
    <row r="134" spans="1:11" ht="13.5" customHeight="1">
      <c r="A134" s="7">
        <v>122</v>
      </c>
      <c r="B134" s="7"/>
      <c r="C134" s="7"/>
      <c r="D134" s="7"/>
      <c r="E134" s="7"/>
      <c r="F134" s="58"/>
      <c r="G134" s="7"/>
      <c r="H134" s="58"/>
      <c r="I134" s="7"/>
      <c r="J134" s="7"/>
      <c r="K134" s="7"/>
    </row>
    <row r="135" spans="1:11" ht="13.5" customHeight="1">
      <c r="A135" s="7">
        <v>123</v>
      </c>
      <c r="B135" s="7"/>
      <c r="C135" s="7"/>
      <c r="D135" s="7"/>
      <c r="E135" s="7"/>
      <c r="F135" s="58"/>
      <c r="G135" s="7"/>
      <c r="H135" s="58"/>
      <c r="I135" s="7"/>
      <c r="J135" s="7"/>
      <c r="K135" s="7"/>
    </row>
    <row r="136" spans="1:11" ht="13.5" customHeight="1">
      <c r="A136" s="7">
        <v>124</v>
      </c>
      <c r="B136" s="7"/>
      <c r="C136" s="7"/>
      <c r="D136" s="7"/>
      <c r="E136" s="7"/>
      <c r="F136" s="58"/>
      <c r="G136" s="7"/>
      <c r="H136" s="58"/>
      <c r="I136" s="7"/>
      <c r="J136" s="7"/>
      <c r="K136" s="7"/>
    </row>
    <row r="137" spans="1:11" ht="13.5" customHeight="1">
      <c r="A137" s="7">
        <v>125</v>
      </c>
      <c r="B137" s="7"/>
      <c r="C137" s="7"/>
      <c r="D137" s="7"/>
      <c r="E137" s="7"/>
      <c r="F137" s="58"/>
      <c r="G137" s="7"/>
      <c r="H137" s="58"/>
      <c r="I137" s="7"/>
      <c r="J137" s="7"/>
      <c r="K137" s="7"/>
    </row>
    <row r="138" spans="1:11" ht="13.5" customHeight="1">
      <c r="A138" s="7">
        <v>126</v>
      </c>
      <c r="B138" s="7"/>
      <c r="C138" s="7"/>
      <c r="D138" s="7"/>
      <c r="E138" s="7"/>
      <c r="F138" s="58"/>
      <c r="G138" s="7"/>
      <c r="H138" s="58"/>
      <c r="I138" s="7"/>
      <c r="J138" s="7"/>
      <c r="K138" s="7"/>
    </row>
    <row r="139" spans="1:11" ht="13.5" customHeight="1">
      <c r="A139" s="7">
        <v>127</v>
      </c>
      <c r="B139" s="7"/>
      <c r="C139" s="7"/>
      <c r="D139" s="7"/>
      <c r="E139" s="7"/>
      <c r="F139" s="58"/>
      <c r="G139" s="7"/>
      <c r="H139" s="58"/>
      <c r="I139" s="7"/>
      <c r="J139" s="7"/>
      <c r="K139" s="7"/>
    </row>
    <row r="140" spans="1:11" ht="13.5" customHeight="1">
      <c r="A140" s="7">
        <v>128</v>
      </c>
      <c r="B140" s="7"/>
      <c r="C140" s="7"/>
      <c r="D140" s="7"/>
      <c r="E140" s="7"/>
      <c r="F140" s="58"/>
      <c r="G140" s="7"/>
      <c r="H140" s="58"/>
      <c r="I140" s="7"/>
      <c r="J140" s="7"/>
      <c r="K140" s="7"/>
    </row>
    <row r="141" spans="1:11" ht="13.5" customHeight="1">
      <c r="A141" s="7">
        <v>129</v>
      </c>
      <c r="B141" s="7"/>
      <c r="C141" s="7"/>
      <c r="D141" s="7"/>
      <c r="E141" s="7"/>
      <c r="F141" s="58"/>
      <c r="G141" s="7"/>
      <c r="H141" s="58"/>
      <c r="I141" s="7"/>
      <c r="J141" s="7"/>
      <c r="K141" s="7"/>
    </row>
    <row r="142" spans="1:11" ht="13.5" customHeight="1">
      <c r="A142" s="7">
        <v>130</v>
      </c>
      <c r="B142" s="7"/>
      <c r="C142" s="7"/>
      <c r="D142" s="7"/>
      <c r="E142" s="7"/>
      <c r="F142" s="58"/>
      <c r="G142" s="7"/>
      <c r="H142" s="58"/>
      <c r="I142" s="7"/>
      <c r="J142" s="7"/>
      <c r="K142" s="7"/>
    </row>
    <row r="143" spans="1:11" ht="13.5" customHeight="1">
      <c r="A143" s="7">
        <v>131</v>
      </c>
      <c r="B143" s="7"/>
      <c r="C143" s="7"/>
      <c r="D143" s="7"/>
      <c r="E143" s="7"/>
      <c r="F143" s="58"/>
      <c r="G143" s="7"/>
      <c r="H143" s="58"/>
      <c r="I143" s="7"/>
      <c r="J143" s="7"/>
      <c r="K143" s="7"/>
    </row>
    <row r="144" spans="1:11" ht="13.5" customHeight="1">
      <c r="A144" s="7">
        <v>132</v>
      </c>
      <c r="B144" s="7"/>
      <c r="C144" s="7"/>
      <c r="D144" s="7"/>
      <c r="E144" s="7"/>
      <c r="F144" s="58"/>
      <c r="G144" s="7"/>
      <c r="H144" s="58"/>
      <c r="I144" s="7"/>
      <c r="J144" s="7"/>
      <c r="K144" s="7"/>
    </row>
    <row r="145" spans="1:11" ht="13.5" customHeight="1">
      <c r="A145" s="7">
        <v>133</v>
      </c>
      <c r="B145" s="7"/>
      <c r="C145" s="7"/>
      <c r="D145" s="7"/>
      <c r="E145" s="7"/>
      <c r="F145" s="58"/>
      <c r="G145" s="7"/>
      <c r="H145" s="58"/>
      <c r="I145" s="7"/>
      <c r="J145" s="7"/>
      <c r="K145" s="7"/>
    </row>
    <row r="146" spans="1:11" ht="13.5" customHeight="1">
      <c r="A146" s="7">
        <v>134</v>
      </c>
      <c r="B146" s="7"/>
      <c r="C146" s="7"/>
      <c r="D146" s="7"/>
      <c r="E146" s="7"/>
      <c r="F146" s="58"/>
      <c r="G146" s="7"/>
      <c r="H146" s="58"/>
      <c r="I146" s="7"/>
      <c r="J146" s="7"/>
      <c r="K146" s="7"/>
    </row>
    <row r="147" spans="1:11" ht="13.5" customHeight="1">
      <c r="A147" s="7">
        <v>135</v>
      </c>
      <c r="B147" s="7"/>
      <c r="C147" s="7"/>
      <c r="D147" s="7"/>
      <c r="E147" s="7"/>
      <c r="F147" s="58"/>
      <c r="G147" s="7"/>
      <c r="H147" s="58"/>
      <c r="I147" s="7"/>
      <c r="J147" s="7"/>
      <c r="K147" s="7"/>
    </row>
    <row r="148" spans="1:11" ht="13.5" customHeight="1">
      <c r="A148" s="7">
        <v>136</v>
      </c>
      <c r="B148" s="7"/>
      <c r="C148" s="7"/>
      <c r="D148" s="7"/>
      <c r="E148" s="7"/>
      <c r="F148" s="58"/>
      <c r="G148" s="7"/>
      <c r="H148" s="58"/>
      <c r="I148" s="7"/>
      <c r="J148" s="7"/>
      <c r="K148" s="7"/>
    </row>
    <row r="149" spans="1:11" ht="13.5" customHeight="1">
      <c r="A149" s="7">
        <v>137</v>
      </c>
      <c r="B149" s="7"/>
      <c r="C149" s="7"/>
      <c r="D149" s="7"/>
      <c r="E149" s="7"/>
      <c r="F149" s="58"/>
      <c r="G149" s="7"/>
      <c r="H149" s="58"/>
      <c r="I149" s="7"/>
      <c r="J149" s="7"/>
      <c r="K149" s="7"/>
    </row>
    <row r="150" spans="1:11" ht="13.5" customHeight="1">
      <c r="A150" s="7">
        <v>138</v>
      </c>
      <c r="B150" s="7"/>
      <c r="C150" s="7"/>
      <c r="D150" s="7"/>
      <c r="E150" s="7"/>
      <c r="F150" s="58"/>
      <c r="G150" s="7"/>
      <c r="H150" s="58"/>
      <c r="I150" s="7"/>
      <c r="J150" s="7"/>
      <c r="K150" s="7"/>
    </row>
    <row r="151" spans="1:11" ht="13.5" customHeight="1">
      <c r="A151" s="7">
        <v>139</v>
      </c>
      <c r="B151" s="7"/>
      <c r="C151" s="7"/>
      <c r="D151" s="7"/>
      <c r="E151" s="7"/>
      <c r="F151" s="58"/>
      <c r="G151" s="7"/>
      <c r="H151" s="58"/>
      <c r="I151" s="7"/>
      <c r="J151" s="7"/>
      <c r="K151" s="7"/>
    </row>
    <row r="152" spans="1:11" ht="13.5" customHeight="1">
      <c r="A152" s="7">
        <v>140</v>
      </c>
      <c r="B152" s="7"/>
      <c r="C152" s="7"/>
      <c r="D152" s="7"/>
      <c r="E152" s="7"/>
      <c r="F152" s="58"/>
      <c r="G152" s="7"/>
      <c r="H152" s="58"/>
      <c r="I152" s="7"/>
      <c r="J152" s="7"/>
      <c r="K152" s="7"/>
    </row>
    <row r="153" spans="1:11" ht="13.5" customHeight="1">
      <c r="A153" s="7">
        <v>141</v>
      </c>
      <c r="B153" s="7"/>
      <c r="C153" s="7"/>
      <c r="D153" s="7"/>
      <c r="E153" s="7"/>
      <c r="F153" s="58"/>
      <c r="G153" s="7"/>
      <c r="H153" s="58"/>
      <c r="I153" s="7"/>
      <c r="J153" s="7"/>
      <c r="K153" s="7"/>
    </row>
    <row r="154" spans="1:11" ht="13.5" customHeight="1">
      <c r="A154" s="7">
        <v>142</v>
      </c>
      <c r="B154" s="7"/>
      <c r="C154" s="7"/>
      <c r="D154" s="7"/>
      <c r="E154" s="7"/>
      <c r="F154" s="58"/>
      <c r="G154" s="7"/>
      <c r="H154" s="58"/>
      <c r="I154" s="7"/>
      <c r="J154" s="7"/>
      <c r="K154" s="7"/>
    </row>
    <row r="155" spans="1:11" ht="13.5" customHeight="1">
      <c r="A155" s="7">
        <v>143</v>
      </c>
      <c r="B155" s="7"/>
      <c r="C155" s="7"/>
      <c r="D155" s="7"/>
      <c r="E155" s="7"/>
      <c r="F155" s="58"/>
      <c r="G155" s="7"/>
      <c r="H155" s="58"/>
      <c r="I155" s="7"/>
      <c r="J155" s="7"/>
      <c r="K155" s="7"/>
    </row>
    <row r="156" spans="1:11" ht="13.5" customHeight="1">
      <c r="A156" s="7">
        <v>144</v>
      </c>
      <c r="B156" s="7"/>
      <c r="C156" s="7"/>
      <c r="D156" s="7"/>
      <c r="E156" s="7"/>
      <c r="F156" s="58"/>
      <c r="G156" s="7"/>
      <c r="H156" s="58"/>
      <c r="I156" s="7"/>
      <c r="J156" s="7"/>
      <c r="K156" s="7"/>
    </row>
    <row r="157" spans="1:11" ht="13.5" customHeight="1">
      <c r="A157" s="7">
        <v>145</v>
      </c>
      <c r="B157" s="7"/>
      <c r="C157" s="7"/>
      <c r="D157" s="7"/>
      <c r="E157" s="7"/>
      <c r="F157" s="58"/>
      <c r="G157" s="7"/>
      <c r="H157" s="58"/>
      <c r="I157" s="7"/>
      <c r="J157" s="7"/>
      <c r="K157" s="7"/>
    </row>
    <row r="158" spans="1:11" ht="13.5" customHeight="1">
      <c r="A158" s="7">
        <v>146</v>
      </c>
      <c r="B158" s="7"/>
      <c r="C158" s="7"/>
      <c r="D158" s="7"/>
      <c r="E158" s="7"/>
      <c r="F158" s="58"/>
      <c r="G158" s="7"/>
      <c r="H158" s="58"/>
      <c r="I158" s="7"/>
      <c r="J158" s="7"/>
      <c r="K158" s="7"/>
    </row>
    <row r="159" spans="1:11" ht="13.5" customHeight="1">
      <c r="A159" s="7">
        <v>147</v>
      </c>
      <c r="B159" s="7"/>
      <c r="C159" s="7"/>
      <c r="D159" s="7"/>
      <c r="E159" s="7"/>
      <c r="F159" s="58"/>
      <c r="G159" s="7"/>
      <c r="H159" s="58"/>
      <c r="I159" s="7"/>
      <c r="J159" s="7"/>
      <c r="K159" s="7"/>
    </row>
    <row r="160" spans="1:11" ht="13.5" customHeight="1">
      <c r="A160" s="7">
        <v>148</v>
      </c>
      <c r="B160" s="7"/>
      <c r="C160" s="7"/>
      <c r="D160" s="7"/>
      <c r="E160" s="7"/>
      <c r="F160" s="58"/>
      <c r="G160" s="7"/>
      <c r="H160" s="58"/>
      <c r="I160" s="7"/>
      <c r="J160" s="7"/>
      <c r="K160" s="7"/>
    </row>
    <row r="161" spans="1:11" ht="13.5" customHeight="1">
      <c r="A161" s="7">
        <v>149</v>
      </c>
      <c r="B161" s="7"/>
      <c r="C161" s="7"/>
      <c r="D161" s="7"/>
      <c r="E161" s="7"/>
      <c r="F161" s="58"/>
      <c r="G161" s="7"/>
      <c r="H161" s="58"/>
      <c r="I161" s="7"/>
      <c r="J161" s="7"/>
      <c r="K161" s="7"/>
    </row>
    <row r="162" spans="1:11" ht="13.5" customHeight="1">
      <c r="A162" s="7">
        <v>150</v>
      </c>
      <c r="B162" s="7"/>
      <c r="C162" s="7"/>
      <c r="D162" s="7"/>
      <c r="E162" s="7"/>
      <c r="F162" s="58"/>
      <c r="G162" s="7"/>
      <c r="H162" s="58"/>
      <c r="I162" s="7"/>
      <c r="J162" s="7"/>
      <c r="K162" s="7"/>
    </row>
    <row r="163" spans="1:11" ht="13.5" customHeight="1">
      <c r="A163" s="7">
        <v>151</v>
      </c>
      <c r="B163" s="7"/>
      <c r="C163" s="7"/>
      <c r="D163" s="7"/>
      <c r="E163" s="7"/>
      <c r="F163" s="58"/>
      <c r="G163" s="7"/>
      <c r="H163" s="58"/>
      <c r="I163" s="7"/>
      <c r="J163" s="7"/>
      <c r="K163" s="7"/>
    </row>
    <row r="164" spans="1:11" ht="13.5" customHeight="1">
      <c r="A164" s="7">
        <v>152</v>
      </c>
      <c r="B164" s="7"/>
      <c r="C164" s="7"/>
      <c r="D164" s="7"/>
      <c r="E164" s="7"/>
      <c r="F164" s="58"/>
      <c r="G164" s="7"/>
      <c r="H164" s="58"/>
      <c r="I164" s="7"/>
      <c r="J164" s="7"/>
      <c r="K164" s="7"/>
    </row>
    <row r="165" spans="1:11" ht="13.5" customHeight="1">
      <c r="A165" s="7">
        <v>153</v>
      </c>
      <c r="B165" s="7"/>
      <c r="C165" s="7"/>
      <c r="D165" s="7"/>
      <c r="E165" s="7"/>
      <c r="F165" s="58"/>
      <c r="G165" s="7"/>
      <c r="H165" s="58"/>
      <c r="I165" s="7"/>
      <c r="J165" s="7"/>
      <c r="K165" s="7"/>
    </row>
    <row r="166" spans="1:11" ht="13.5" customHeight="1">
      <c r="A166" s="7">
        <v>154</v>
      </c>
      <c r="B166" s="7"/>
      <c r="C166" s="7"/>
      <c r="D166" s="7"/>
      <c r="E166" s="7"/>
      <c r="F166" s="58"/>
      <c r="G166" s="7"/>
      <c r="H166" s="58"/>
      <c r="I166" s="7"/>
      <c r="J166" s="7"/>
      <c r="K166" s="7"/>
    </row>
    <row r="167" spans="1:11" ht="13.5" customHeight="1">
      <c r="A167" s="7">
        <v>155</v>
      </c>
      <c r="B167" s="7"/>
      <c r="C167" s="7"/>
      <c r="D167" s="7"/>
      <c r="E167" s="7"/>
      <c r="F167" s="58"/>
      <c r="G167" s="7"/>
      <c r="H167" s="58"/>
      <c r="I167" s="7"/>
      <c r="J167" s="7"/>
      <c r="K167" s="7"/>
    </row>
    <row r="168" spans="1:11" ht="13.5" customHeight="1">
      <c r="A168" s="7">
        <v>156</v>
      </c>
      <c r="B168" s="7"/>
      <c r="C168" s="7"/>
      <c r="D168" s="7"/>
      <c r="E168" s="7"/>
      <c r="F168" s="58"/>
      <c r="G168" s="7"/>
      <c r="H168" s="58"/>
      <c r="I168" s="7"/>
      <c r="J168" s="7"/>
      <c r="K168" s="7"/>
    </row>
    <row r="169" spans="1:11" ht="13.5" customHeight="1">
      <c r="A169" s="7">
        <v>157</v>
      </c>
      <c r="B169" s="7"/>
      <c r="C169" s="7"/>
      <c r="D169" s="7"/>
      <c r="E169" s="7"/>
      <c r="F169" s="58"/>
      <c r="G169" s="7"/>
      <c r="H169" s="58"/>
      <c r="I169" s="7"/>
      <c r="J169" s="7"/>
      <c r="K169" s="7"/>
    </row>
    <row r="170" spans="1:11" ht="13.5" customHeight="1">
      <c r="A170" s="7">
        <v>158</v>
      </c>
      <c r="B170" s="7"/>
      <c r="C170" s="7"/>
      <c r="D170" s="7"/>
      <c r="E170" s="7"/>
      <c r="F170" s="58"/>
      <c r="G170" s="7"/>
      <c r="H170" s="58"/>
      <c r="I170" s="7"/>
      <c r="J170" s="7"/>
      <c r="K170" s="7"/>
    </row>
    <row r="171" spans="1:11" ht="13.5" customHeight="1">
      <c r="A171" s="7">
        <v>159</v>
      </c>
      <c r="B171" s="7"/>
      <c r="C171" s="7"/>
      <c r="D171" s="7"/>
      <c r="E171" s="7"/>
      <c r="F171" s="58"/>
      <c r="G171" s="7"/>
      <c r="H171" s="58"/>
      <c r="I171" s="7"/>
      <c r="J171" s="7"/>
      <c r="K171" s="7"/>
    </row>
    <row r="172" spans="1:11" ht="13.5" customHeight="1">
      <c r="A172" s="7">
        <v>160</v>
      </c>
      <c r="B172" s="7"/>
      <c r="C172" s="7"/>
      <c r="D172" s="7"/>
      <c r="E172" s="7"/>
      <c r="F172" s="58"/>
      <c r="G172" s="7"/>
      <c r="H172" s="58"/>
      <c r="I172" s="7"/>
      <c r="J172" s="7"/>
      <c r="K172" s="7"/>
    </row>
    <row r="173" spans="1:11" ht="13.5" customHeight="1">
      <c r="A173" s="7">
        <v>161</v>
      </c>
      <c r="B173" s="7"/>
      <c r="C173" s="7"/>
      <c r="D173" s="7"/>
      <c r="E173" s="7"/>
      <c r="F173" s="58"/>
      <c r="G173" s="7"/>
      <c r="H173" s="58"/>
      <c r="I173" s="7"/>
      <c r="J173" s="7"/>
      <c r="K173" s="7"/>
    </row>
    <row r="174" spans="1:11" ht="13.5" customHeight="1">
      <c r="A174" s="7">
        <v>162</v>
      </c>
      <c r="B174" s="7"/>
      <c r="C174" s="7"/>
      <c r="D174" s="7"/>
      <c r="E174" s="7"/>
      <c r="F174" s="58"/>
      <c r="G174" s="7"/>
      <c r="H174" s="58"/>
      <c r="I174" s="7"/>
      <c r="J174" s="7"/>
      <c r="K174" s="7"/>
    </row>
    <row r="175" spans="1:11" ht="13.5" customHeight="1">
      <c r="A175" s="7">
        <v>163</v>
      </c>
      <c r="B175" s="7"/>
      <c r="C175" s="7"/>
      <c r="D175" s="7"/>
      <c r="E175" s="7"/>
      <c r="F175" s="58"/>
      <c r="G175" s="7"/>
      <c r="H175" s="58"/>
      <c r="I175" s="7"/>
      <c r="J175" s="7"/>
      <c r="K175" s="7"/>
    </row>
    <row r="176" spans="1:11" ht="13.5" customHeight="1">
      <c r="A176" s="7">
        <v>164</v>
      </c>
      <c r="B176" s="7"/>
      <c r="C176" s="7"/>
      <c r="D176" s="7"/>
      <c r="E176" s="7"/>
      <c r="F176" s="58"/>
      <c r="G176" s="7"/>
      <c r="H176" s="58"/>
      <c r="I176" s="7"/>
      <c r="J176" s="7"/>
      <c r="K176" s="7"/>
    </row>
    <row r="177" spans="1:11" ht="13.5" customHeight="1">
      <c r="A177" s="7">
        <v>165</v>
      </c>
      <c r="B177" s="7"/>
      <c r="C177" s="7"/>
      <c r="D177" s="7"/>
      <c r="E177" s="7"/>
      <c r="F177" s="58"/>
      <c r="G177" s="7"/>
      <c r="H177" s="58"/>
      <c r="I177" s="7"/>
      <c r="J177" s="7"/>
      <c r="K177" s="7"/>
    </row>
    <row r="178" spans="1:11" ht="13.5" customHeight="1">
      <c r="A178" s="7">
        <v>166</v>
      </c>
      <c r="B178" s="7"/>
      <c r="C178" s="7"/>
      <c r="D178" s="7"/>
      <c r="E178" s="7"/>
      <c r="F178" s="58"/>
      <c r="G178" s="7"/>
      <c r="H178" s="58"/>
      <c r="I178" s="7"/>
      <c r="J178" s="7"/>
      <c r="K178" s="7"/>
    </row>
    <row r="179" spans="1:11" ht="13.5" customHeight="1">
      <c r="A179" s="7">
        <v>167</v>
      </c>
      <c r="B179" s="7"/>
      <c r="C179" s="7"/>
      <c r="D179" s="7"/>
      <c r="E179" s="7"/>
      <c r="F179" s="58"/>
      <c r="G179" s="7"/>
      <c r="H179" s="58"/>
      <c r="I179" s="7"/>
      <c r="J179" s="7"/>
      <c r="K179" s="7"/>
    </row>
    <row r="180" spans="1:11" ht="13.5" customHeight="1">
      <c r="A180" s="7">
        <v>168</v>
      </c>
      <c r="B180" s="7"/>
      <c r="C180" s="7"/>
      <c r="D180" s="7"/>
      <c r="E180" s="7"/>
      <c r="F180" s="58"/>
      <c r="G180" s="7"/>
      <c r="H180" s="58"/>
      <c r="I180" s="7"/>
      <c r="J180" s="7"/>
      <c r="K180" s="7"/>
    </row>
    <row r="181" spans="1:11" ht="13.5" customHeight="1">
      <c r="A181" s="7">
        <v>169</v>
      </c>
      <c r="B181" s="7"/>
      <c r="C181" s="7"/>
      <c r="D181" s="7"/>
      <c r="E181" s="7"/>
      <c r="F181" s="58"/>
      <c r="G181" s="7"/>
      <c r="H181" s="58"/>
      <c r="I181" s="7"/>
      <c r="J181" s="7"/>
      <c r="K181" s="7"/>
    </row>
    <row r="182" spans="1:11" ht="13.5" customHeight="1">
      <c r="A182" s="7">
        <v>170</v>
      </c>
      <c r="B182" s="7"/>
      <c r="C182" s="7"/>
      <c r="D182" s="7"/>
      <c r="E182" s="7"/>
      <c r="F182" s="58"/>
      <c r="G182" s="7"/>
      <c r="H182" s="58"/>
      <c r="I182" s="7"/>
      <c r="J182" s="7"/>
      <c r="K182" s="7"/>
    </row>
    <row r="183" spans="1:11" ht="13.5" customHeight="1">
      <c r="A183" s="7">
        <v>171</v>
      </c>
      <c r="B183" s="7"/>
      <c r="C183" s="7"/>
      <c r="D183" s="7"/>
      <c r="E183" s="7"/>
      <c r="F183" s="58"/>
      <c r="G183" s="7"/>
      <c r="H183" s="58"/>
      <c r="I183" s="7"/>
      <c r="J183" s="7"/>
      <c r="K183" s="7"/>
    </row>
    <row r="184" spans="1:11" ht="13.5" customHeight="1">
      <c r="A184" s="7">
        <v>172</v>
      </c>
      <c r="B184" s="7"/>
      <c r="C184" s="7"/>
      <c r="D184" s="7"/>
      <c r="E184" s="7"/>
      <c r="F184" s="58"/>
      <c r="G184" s="7"/>
      <c r="H184" s="58"/>
      <c r="I184" s="7"/>
      <c r="J184" s="7"/>
      <c r="K184" s="7"/>
    </row>
    <row r="185" spans="1:11" ht="13.5" customHeight="1">
      <c r="A185" s="7">
        <v>173</v>
      </c>
      <c r="B185" s="7"/>
      <c r="C185" s="7"/>
      <c r="D185" s="7"/>
      <c r="E185" s="7"/>
      <c r="F185" s="58"/>
      <c r="G185" s="7"/>
      <c r="H185" s="58"/>
      <c r="I185" s="7"/>
      <c r="J185" s="7"/>
      <c r="K185" s="7"/>
    </row>
    <row r="186" spans="1:11" ht="13.5" customHeight="1">
      <c r="A186" s="7">
        <v>174</v>
      </c>
      <c r="B186" s="7"/>
      <c r="C186" s="7"/>
      <c r="D186" s="7"/>
      <c r="E186" s="7"/>
      <c r="F186" s="58"/>
      <c r="G186" s="7"/>
      <c r="H186" s="58"/>
      <c r="I186" s="7"/>
      <c r="J186" s="7"/>
      <c r="K186" s="7"/>
    </row>
    <row r="187" spans="1:11" ht="13.5" customHeight="1">
      <c r="A187" s="7">
        <v>175</v>
      </c>
      <c r="B187" s="7"/>
      <c r="C187" s="7"/>
      <c r="D187" s="7"/>
      <c r="E187" s="7"/>
      <c r="F187" s="58"/>
      <c r="G187" s="7"/>
      <c r="H187" s="58"/>
      <c r="I187" s="7"/>
      <c r="J187" s="7"/>
      <c r="K187" s="7"/>
    </row>
    <row r="188" spans="1:11" ht="13.5" customHeight="1">
      <c r="A188" s="7">
        <v>176</v>
      </c>
      <c r="B188" s="7"/>
      <c r="C188" s="7"/>
      <c r="D188" s="7"/>
      <c r="E188" s="7"/>
      <c r="F188" s="58"/>
      <c r="G188" s="7"/>
      <c r="H188" s="58"/>
      <c r="I188" s="7"/>
      <c r="J188" s="7"/>
      <c r="K188" s="7"/>
    </row>
    <row r="189" spans="1:11" ht="13.5" customHeight="1">
      <c r="A189" s="7">
        <v>177</v>
      </c>
      <c r="B189" s="7"/>
      <c r="C189" s="7"/>
      <c r="D189" s="7"/>
      <c r="E189" s="7"/>
      <c r="F189" s="58"/>
      <c r="G189" s="7"/>
      <c r="H189" s="58"/>
      <c r="I189" s="7"/>
      <c r="J189" s="7"/>
      <c r="K189" s="7"/>
    </row>
    <row r="190" spans="1:11" ht="13.5" customHeight="1">
      <c r="A190" s="7">
        <v>178</v>
      </c>
      <c r="B190" s="7"/>
      <c r="C190" s="7"/>
      <c r="D190" s="7"/>
      <c r="E190" s="7"/>
      <c r="F190" s="58"/>
      <c r="G190" s="7"/>
      <c r="H190" s="58"/>
      <c r="I190" s="7"/>
      <c r="J190" s="7"/>
      <c r="K190" s="7"/>
    </row>
    <row r="191" spans="1:11" ht="13.5" customHeight="1">
      <c r="A191" s="7">
        <v>179</v>
      </c>
      <c r="B191" s="7"/>
      <c r="C191" s="7"/>
      <c r="D191" s="7"/>
      <c r="E191" s="7"/>
      <c r="F191" s="58"/>
      <c r="G191" s="7"/>
      <c r="H191" s="58"/>
      <c r="I191" s="7"/>
      <c r="J191" s="7"/>
      <c r="K191" s="7"/>
    </row>
    <row r="192" spans="1:11" ht="13.5" customHeight="1">
      <c r="A192" s="7">
        <v>180</v>
      </c>
      <c r="B192" s="7"/>
      <c r="C192" s="7"/>
      <c r="D192" s="7"/>
      <c r="E192" s="7"/>
      <c r="F192" s="58"/>
      <c r="G192" s="7"/>
      <c r="H192" s="58"/>
      <c r="I192" s="7"/>
      <c r="J192" s="7"/>
      <c r="K192" s="7"/>
    </row>
    <row r="193" spans="1:11" ht="13.5" customHeight="1">
      <c r="A193" s="7">
        <v>181</v>
      </c>
      <c r="B193" s="7"/>
      <c r="C193" s="7"/>
      <c r="D193" s="7"/>
      <c r="E193" s="7"/>
      <c r="F193" s="58"/>
      <c r="G193" s="7"/>
      <c r="H193" s="58"/>
      <c r="I193" s="7"/>
      <c r="J193" s="7"/>
      <c r="K193" s="7"/>
    </row>
    <row r="194" spans="1:11" ht="13.5" customHeight="1">
      <c r="A194" s="7">
        <v>182</v>
      </c>
      <c r="B194" s="7"/>
      <c r="C194" s="7"/>
      <c r="D194" s="7"/>
      <c r="E194" s="7"/>
      <c r="F194" s="58"/>
      <c r="G194" s="7"/>
      <c r="H194" s="58"/>
      <c r="I194" s="7"/>
      <c r="J194" s="7"/>
      <c r="K194" s="7"/>
    </row>
    <row r="195" spans="1:11" ht="13.5" customHeight="1">
      <c r="A195" s="7">
        <v>183</v>
      </c>
      <c r="B195" s="7"/>
      <c r="C195" s="7"/>
      <c r="D195" s="7"/>
      <c r="E195" s="7"/>
      <c r="F195" s="58"/>
      <c r="G195" s="7"/>
      <c r="H195" s="58"/>
      <c r="I195" s="7"/>
      <c r="J195" s="7"/>
      <c r="K195" s="7"/>
    </row>
    <row r="196" spans="1:11" ht="13.5" customHeight="1">
      <c r="A196" s="7">
        <v>184</v>
      </c>
      <c r="B196" s="7"/>
      <c r="C196" s="7"/>
      <c r="D196" s="7"/>
      <c r="E196" s="7"/>
      <c r="F196" s="58"/>
      <c r="G196" s="7"/>
      <c r="H196" s="58"/>
      <c r="I196" s="7"/>
      <c r="J196" s="7"/>
      <c r="K196" s="7"/>
    </row>
    <row r="197" spans="1:11" ht="13.5" customHeight="1">
      <c r="A197" s="7">
        <v>185</v>
      </c>
      <c r="B197" s="7"/>
      <c r="C197" s="7"/>
      <c r="D197" s="7"/>
      <c r="E197" s="7"/>
      <c r="F197" s="58"/>
      <c r="G197" s="7"/>
      <c r="H197" s="58"/>
      <c r="I197" s="7"/>
      <c r="J197" s="7"/>
      <c r="K197" s="7"/>
    </row>
    <row r="198" spans="1:11" ht="13.5" customHeight="1">
      <c r="A198" s="7">
        <v>186</v>
      </c>
      <c r="B198" s="7"/>
      <c r="C198" s="7"/>
      <c r="D198" s="7"/>
      <c r="E198" s="7"/>
      <c r="F198" s="58"/>
      <c r="G198" s="7"/>
      <c r="H198" s="58"/>
      <c r="I198" s="7"/>
      <c r="J198" s="7"/>
      <c r="K198" s="7"/>
    </row>
    <row r="199" spans="1:11" ht="13.5" customHeight="1">
      <c r="A199" s="7">
        <v>187</v>
      </c>
      <c r="B199" s="7"/>
      <c r="C199" s="7"/>
      <c r="D199" s="7"/>
      <c r="E199" s="7"/>
      <c r="F199" s="58"/>
      <c r="G199" s="7"/>
      <c r="H199" s="58"/>
      <c r="I199" s="7"/>
      <c r="J199" s="7"/>
      <c r="K199" s="7"/>
    </row>
    <row r="200" spans="1:11" ht="13.5" customHeight="1">
      <c r="A200" s="7">
        <v>188</v>
      </c>
      <c r="B200" s="7"/>
      <c r="C200" s="7"/>
      <c r="D200" s="7"/>
      <c r="E200" s="7"/>
      <c r="F200" s="58"/>
      <c r="G200" s="7"/>
      <c r="H200" s="58"/>
      <c r="I200" s="7"/>
      <c r="J200" s="7"/>
      <c r="K200" s="7"/>
    </row>
    <row r="201" spans="1:11" ht="13.5" customHeight="1">
      <c r="A201" s="7">
        <v>189</v>
      </c>
      <c r="B201" s="7"/>
      <c r="C201" s="7"/>
      <c r="D201" s="7"/>
      <c r="E201" s="7"/>
      <c r="F201" s="58"/>
      <c r="G201" s="7"/>
      <c r="H201" s="58"/>
      <c r="I201" s="7"/>
      <c r="J201" s="7"/>
      <c r="K201" s="7"/>
    </row>
    <row r="202" spans="1:11" ht="13.5" customHeight="1">
      <c r="A202" s="7">
        <v>190</v>
      </c>
      <c r="B202" s="7"/>
      <c r="C202" s="7"/>
      <c r="D202" s="7"/>
      <c r="E202" s="7"/>
      <c r="F202" s="58"/>
      <c r="G202" s="7"/>
      <c r="H202" s="58"/>
      <c r="I202" s="7"/>
      <c r="J202" s="7"/>
      <c r="K202" s="7"/>
    </row>
    <row r="203" spans="1:11" ht="13.5" customHeight="1">
      <c r="A203" s="7">
        <v>191</v>
      </c>
      <c r="B203" s="7"/>
      <c r="C203" s="7"/>
      <c r="D203" s="7"/>
      <c r="E203" s="7"/>
      <c r="F203" s="58"/>
      <c r="G203" s="7"/>
      <c r="H203" s="58"/>
      <c r="I203" s="7"/>
      <c r="J203" s="7"/>
      <c r="K203" s="7"/>
    </row>
    <row r="204" spans="1:11" ht="13.5" customHeight="1">
      <c r="A204" s="7">
        <v>192</v>
      </c>
      <c r="B204" s="7"/>
      <c r="C204" s="7"/>
      <c r="D204" s="7"/>
      <c r="E204" s="7"/>
      <c r="F204" s="58"/>
      <c r="G204" s="7"/>
      <c r="H204" s="58"/>
      <c r="I204" s="7"/>
      <c r="J204" s="7"/>
      <c r="K204" s="7"/>
    </row>
    <row r="205" spans="1:11" ht="13.5" customHeight="1">
      <c r="A205" s="7">
        <v>193</v>
      </c>
      <c r="B205" s="7"/>
      <c r="C205" s="7"/>
      <c r="D205" s="7"/>
      <c r="E205" s="7"/>
      <c r="F205" s="58"/>
      <c r="G205" s="7"/>
      <c r="H205" s="58"/>
      <c r="I205" s="7"/>
      <c r="J205" s="7"/>
      <c r="K205" s="7"/>
    </row>
    <row r="206" spans="1:11" ht="13.5" customHeight="1">
      <c r="A206" s="7">
        <v>194</v>
      </c>
      <c r="B206" s="7"/>
      <c r="C206" s="7"/>
      <c r="D206" s="7"/>
      <c r="E206" s="7"/>
      <c r="F206" s="58"/>
      <c r="G206" s="7"/>
      <c r="H206" s="58"/>
      <c r="I206" s="7"/>
      <c r="J206" s="7"/>
      <c r="K206" s="7"/>
    </row>
    <row r="207" spans="1:11" ht="13.5" customHeight="1">
      <c r="A207" s="7">
        <v>195</v>
      </c>
      <c r="B207" s="7"/>
      <c r="C207" s="7"/>
      <c r="D207" s="7"/>
      <c r="E207" s="7"/>
      <c r="F207" s="58"/>
      <c r="G207" s="7"/>
      <c r="H207" s="58"/>
      <c r="I207" s="7"/>
      <c r="J207" s="7"/>
      <c r="K207" s="7"/>
    </row>
    <row r="208" spans="1:11" ht="13.5" customHeight="1">
      <c r="A208" s="7">
        <v>196</v>
      </c>
      <c r="B208" s="7"/>
      <c r="C208" s="7"/>
      <c r="D208" s="7"/>
      <c r="E208" s="7"/>
      <c r="F208" s="58"/>
      <c r="G208" s="7"/>
      <c r="H208" s="58"/>
      <c r="I208" s="7"/>
      <c r="J208" s="7"/>
      <c r="K208" s="7"/>
    </row>
    <row r="209" spans="1:11" ht="13.5" customHeight="1">
      <c r="A209" s="7">
        <v>197</v>
      </c>
      <c r="B209" s="7"/>
      <c r="C209" s="7"/>
      <c r="D209" s="7"/>
      <c r="E209" s="7"/>
      <c r="F209" s="58"/>
      <c r="G209" s="7"/>
      <c r="H209" s="58"/>
      <c r="I209" s="7"/>
      <c r="J209" s="7"/>
      <c r="K209" s="7"/>
    </row>
    <row r="210" spans="1:11" ht="13.5" customHeight="1">
      <c r="A210" s="7">
        <v>198</v>
      </c>
      <c r="B210" s="7"/>
      <c r="C210" s="7"/>
      <c r="D210" s="7"/>
      <c r="E210" s="7"/>
      <c r="F210" s="58"/>
      <c r="G210" s="7"/>
      <c r="H210" s="58"/>
      <c r="I210" s="7"/>
      <c r="J210" s="7"/>
      <c r="K210" s="7"/>
    </row>
    <row r="211" spans="1:11" ht="13.5" customHeight="1">
      <c r="A211" s="7">
        <v>199</v>
      </c>
      <c r="B211" s="7"/>
      <c r="C211" s="7"/>
      <c r="D211" s="7"/>
      <c r="E211" s="7"/>
      <c r="F211" s="58"/>
      <c r="G211" s="7"/>
      <c r="H211" s="58"/>
      <c r="I211" s="7"/>
      <c r="J211" s="7"/>
      <c r="K211" s="7"/>
    </row>
    <row r="212" spans="1:11" ht="13.5" customHeight="1">
      <c r="A212" s="7">
        <v>200</v>
      </c>
      <c r="B212" s="7"/>
      <c r="C212" s="7"/>
      <c r="D212" s="7"/>
      <c r="E212" s="7"/>
      <c r="F212" s="58"/>
      <c r="G212" s="7"/>
      <c r="H212" s="58"/>
      <c r="I212" s="7"/>
      <c r="J212" s="7"/>
      <c r="K212" s="7"/>
    </row>
    <row r="213" spans="1:11" ht="13.5" customHeight="1">
      <c r="A213" s="7">
        <v>201</v>
      </c>
      <c r="B213" s="7"/>
      <c r="C213" s="7"/>
      <c r="D213" s="7"/>
      <c r="E213" s="7"/>
      <c r="F213" s="58"/>
      <c r="G213" s="7"/>
      <c r="H213" s="58"/>
      <c r="I213" s="7"/>
      <c r="J213" s="7"/>
      <c r="K213" s="7"/>
    </row>
    <row r="214" spans="1:11" ht="13.5" customHeight="1">
      <c r="A214" s="7">
        <v>202</v>
      </c>
      <c r="B214" s="7"/>
      <c r="C214" s="7"/>
      <c r="D214" s="7"/>
      <c r="E214" s="7"/>
      <c r="F214" s="58"/>
      <c r="G214" s="7"/>
      <c r="H214" s="58"/>
      <c r="I214" s="7"/>
      <c r="J214" s="7"/>
      <c r="K214" s="7"/>
    </row>
    <row r="215" spans="1:11" ht="13.5" customHeight="1">
      <c r="A215" s="7">
        <v>203</v>
      </c>
      <c r="B215" s="7"/>
      <c r="C215" s="7"/>
      <c r="D215" s="7"/>
      <c r="E215" s="7"/>
      <c r="F215" s="58"/>
      <c r="G215" s="7"/>
      <c r="H215" s="58"/>
      <c r="I215" s="7"/>
      <c r="J215" s="7"/>
      <c r="K215" s="7"/>
    </row>
    <row r="216" spans="1:11" ht="13.5" customHeight="1">
      <c r="A216" s="7">
        <v>204</v>
      </c>
      <c r="B216" s="7"/>
      <c r="C216" s="7"/>
      <c r="D216" s="7"/>
      <c r="E216" s="7"/>
      <c r="F216" s="58"/>
      <c r="G216" s="7"/>
      <c r="H216" s="58"/>
      <c r="I216" s="7"/>
      <c r="J216" s="7"/>
      <c r="K216" s="7"/>
    </row>
    <row r="217" spans="1:11" ht="13.5" customHeight="1">
      <c r="A217" s="7">
        <v>205</v>
      </c>
      <c r="B217" s="7"/>
      <c r="C217" s="7"/>
      <c r="D217" s="7"/>
      <c r="E217" s="7"/>
      <c r="F217" s="58"/>
      <c r="G217" s="7"/>
      <c r="H217" s="58"/>
      <c r="I217" s="7"/>
      <c r="J217" s="7"/>
      <c r="K217" s="7"/>
    </row>
    <row r="218" spans="1:11" ht="13.5" customHeight="1">
      <c r="A218" s="7">
        <v>206</v>
      </c>
      <c r="B218" s="7"/>
      <c r="C218" s="7"/>
      <c r="D218" s="7"/>
      <c r="E218" s="7"/>
      <c r="F218" s="58"/>
      <c r="G218" s="7"/>
      <c r="H218" s="58"/>
      <c r="I218" s="7"/>
      <c r="J218" s="7"/>
      <c r="K218" s="7"/>
    </row>
    <row r="219" spans="1:11" ht="13.5" customHeight="1">
      <c r="A219" s="7">
        <v>207</v>
      </c>
      <c r="B219" s="7"/>
      <c r="C219" s="7"/>
      <c r="D219" s="7"/>
      <c r="E219" s="7"/>
      <c r="F219" s="58"/>
      <c r="G219" s="7"/>
      <c r="H219" s="58"/>
      <c r="I219" s="7"/>
      <c r="J219" s="7"/>
      <c r="K219" s="7"/>
    </row>
    <row r="220" spans="1:11" ht="13.5" customHeight="1">
      <c r="A220" s="7">
        <v>208</v>
      </c>
      <c r="B220" s="7"/>
      <c r="C220" s="7"/>
      <c r="D220" s="7"/>
      <c r="E220" s="7"/>
      <c r="F220" s="58"/>
      <c r="G220" s="7"/>
      <c r="H220" s="58"/>
      <c r="I220" s="7"/>
      <c r="J220" s="7"/>
      <c r="K220" s="7"/>
    </row>
    <row r="221" spans="1:11" ht="13.5" customHeight="1">
      <c r="A221" s="7">
        <v>209</v>
      </c>
      <c r="B221" s="7"/>
      <c r="C221" s="7"/>
      <c r="D221" s="7"/>
      <c r="E221" s="7"/>
      <c r="F221" s="58"/>
      <c r="G221" s="7"/>
      <c r="H221" s="58"/>
      <c r="I221" s="7"/>
      <c r="J221" s="7"/>
      <c r="K221" s="7"/>
    </row>
    <row r="222" spans="1:11" ht="13.5" customHeight="1">
      <c r="A222" s="7">
        <v>210</v>
      </c>
      <c r="B222" s="7"/>
      <c r="C222" s="7"/>
      <c r="D222" s="7"/>
      <c r="E222" s="7"/>
      <c r="F222" s="58"/>
      <c r="G222" s="7"/>
      <c r="H222" s="58"/>
      <c r="I222" s="7"/>
      <c r="J222" s="7"/>
      <c r="K222" s="7"/>
    </row>
    <row r="223" spans="1:11" ht="13.5" customHeight="1">
      <c r="A223" s="7">
        <v>211</v>
      </c>
      <c r="B223" s="7"/>
      <c r="C223" s="7"/>
      <c r="D223" s="7"/>
      <c r="E223" s="7"/>
      <c r="F223" s="58"/>
      <c r="G223" s="7"/>
      <c r="H223" s="58"/>
      <c r="I223" s="7"/>
      <c r="J223" s="7"/>
      <c r="K223" s="7"/>
    </row>
    <row r="224" spans="1:11" ht="13.5" customHeight="1">
      <c r="A224" s="7">
        <v>212</v>
      </c>
      <c r="B224" s="7"/>
      <c r="C224" s="7"/>
      <c r="D224" s="7"/>
      <c r="E224" s="7"/>
      <c r="F224" s="58"/>
      <c r="G224" s="7"/>
      <c r="H224" s="58"/>
      <c r="I224" s="7"/>
      <c r="J224" s="7"/>
      <c r="K224" s="7"/>
    </row>
    <row r="225" spans="1:11" ht="13.5" customHeight="1">
      <c r="A225" s="7">
        <v>213</v>
      </c>
      <c r="B225" s="7"/>
      <c r="C225" s="7"/>
      <c r="D225" s="7"/>
      <c r="E225" s="7"/>
      <c r="F225" s="58"/>
      <c r="G225" s="7"/>
      <c r="H225" s="58"/>
      <c r="I225" s="7"/>
      <c r="J225" s="7"/>
      <c r="K225" s="7"/>
    </row>
    <row r="226" spans="1:11" ht="13.5" customHeight="1">
      <c r="A226" s="7">
        <v>214</v>
      </c>
      <c r="B226" s="7"/>
      <c r="C226" s="7"/>
      <c r="D226" s="7"/>
      <c r="E226" s="7"/>
      <c r="F226" s="58"/>
      <c r="G226" s="7"/>
      <c r="H226" s="58"/>
      <c r="I226" s="7"/>
      <c r="J226" s="7"/>
      <c r="K226" s="7"/>
    </row>
    <row r="227" spans="1:11" ht="13.5" customHeight="1">
      <c r="A227" s="7">
        <v>215</v>
      </c>
      <c r="B227" s="7"/>
      <c r="C227" s="7"/>
      <c r="D227" s="7"/>
      <c r="E227" s="7"/>
      <c r="F227" s="58"/>
      <c r="G227" s="7"/>
      <c r="H227" s="58"/>
      <c r="I227" s="7"/>
      <c r="J227" s="7"/>
      <c r="K227" s="7"/>
    </row>
    <row r="228" spans="1:11" ht="13.5" customHeight="1">
      <c r="A228" s="7">
        <v>216</v>
      </c>
      <c r="B228" s="7"/>
      <c r="C228" s="7"/>
      <c r="D228" s="7"/>
      <c r="E228" s="7"/>
      <c r="F228" s="58"/>
      <c r="G228" s="7"/>
      <c r="H228" s="58"/>
      <c r="I228" s="7"/>
      <c r="J228" s="7"/>
      <c r="K228" s="7"/>
    </row>
    <row r="229" spans="1:11" ht="13.5" customHeight="1">
      <c r="A229" s="7">
        <v>217</v>
      </c>
      <c r="B229" s="7"/>
      <c r="C229" s="7"/>
      <c r="D229" s="7"/>
      <c r="E229" s="7"/>
      <c r="F229" s="58"/>
      <c r="G229" s="7"/>
      <c r="H229" s="58"/>
      <c r="I229" s="7"/>
      <c r="J229" s="7"/>
      <c r="K229" s="7"/>
    </row>
    <row r="230" spans="1:11" ht="13.5" customHeight="1">
      <c r="A230" s="7">
        <v>218</v>
      </c>
      <c r="B230" s="7"/>
      <c r="C230" s="7"/>
      <c r="D230" s="7"/>
      <c r="E230" s="7"/>
      <c r="F230" s="58"/>
      <c r="G230" s="7"/>
      <c r="H230" s="58"/>
      <c r="I230" s="7"/>
      <c r="J230" s="7"/>
      <c r="K230" s="7"/>
    </row>
    <row r="231" spans="1:11" ht="13.5" customHeight="1">
      <c r="A231" s="7">
        <v>219</v>
      </c>
      <c r="B231" s="7"/>
      <c r="C231" s="7"/>
      <c r="D231" s="7"/>
      <c r="E231" s="7"/>
      <c r="F231" s="58"/>
      <c r="G231" s="7"/>
      <c r="H231" s="58"/>
      <c r="I231" s="7"/>
      <c r="J231" s="7"/>
      <c r="K231" s="7"/>
    </row>
  </sheetData>
  <autoFilter ref="A12:U231" xr:uid="{00000000-0009-0000-0000-00000C000000}"/>
  <customSheetViews>
    <customSheetView guid="{4A49014B-6EB8-41BC-821C-AA758C89CB00}" scale="80" showPageBreaks="1" showAutoFilter="1">
      <pane xSplit="3" ySplit="12" topLeftCell="D106" activePane="bottomRight" state="frozen"/>
      <selection pane="bottomRight" activeCell="C134" sqref="C134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U231" xr:uid="{274406A6-5FE7-42A4-B141-054EA5738D23}"/>
    </customSheetView>
  </customSheetViews>
  <mergeCells count="4">
    <mergeCell ref="H1:I1"/>
    <mergeCell ref="H2:I2"/>
    <mergeCell ref="H3:I3"/>
    <mergeCell ref="H4:I4"/>
  </mergeCells>
  <phoneticPr fontId="3"/>
  <conditionalFormatting sqref="A10:B10">
    <cfRule type="expression" dxfId="5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4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D220"/>
  <sheetViews>
    <sheetView zoomScale="80" zoomScaleNormal="80" workbookViewId="0">
      <selection activeCell="B1" sqref="B1"/>
    </sheetView>
  </sheetViews>
  <sheetFormatPr defaultColWidth="9" defaultRowHeight="13.2"/>
  <cols>
    <col min="1" max="1" width="9.6640625" style="5" customWidth="1"/>
    <col min="2" max="2" width="14.33203125" style="56" bestFit="1" customWidth="1"/>
    <col min="3" max="16384" width="9" style="2"/>
  </cols>
  <sheetData>
    <row r="1" spans="1:4">
      <c r="A1" s="141" t="s">
        <v>2242</v>
      </c>
      <c r="B1" s="141" t="s">
        <v>1931</v>
      </c>
      <c r="C1" s="141" t="s">
        <v>2215</v>
      </c>
      <c r="D1" s="141" t="s">
        <v>1932</v>
      </c>
    </row>
    <row r="2" spans="1:4" ht="13.5" customHeight="1">
      <c r="A2" s="140">
        <v>416237</v>
      </c>
      <c r="B2" s="2">
        <v>3</v>
      </c>
      <c r="C2" s="140">
        <v>3700</v>
      </c>
      <c r="D2" s="140" t="s">
        <v>4053</v>
      </c>
    </row>
    <row r="3" spans="1:4" ht="13.5" customHeight="1">
      <c r="A3" s="140">
        <v>416238</v>
      </c>
      <c r="B3" s="2">
        <v>3</v>
      </c>
      <c r="C3" s="140">
        <v>5700</v>
      </c>
      <c r="D3" s="140" t="s">
        <v>4053</v>
      </c>
    </row>
    <row r="4" spans="1:4" ht="13.5" customHeight="1">
      <c r="A4" s="140">
        <v>416239</v>
      </c>
      <c r="B4" s="2">
        <v>3</v>
      </c>
      <c r="C4" s="140">
        <v>3700</v>
      </c>
      <c r="D4" s="140" t="s">
        <v>4053</v>
      </c>
    </row>
    <row r="5" spans="1:4" ht="13.5" customHeight="1">
      <c r="A5" s="140">
        <v>416240</v>
      </c>
      <c r="B5" s="2">
        <v>3</v>
      </c>
      <c r="C5" s="140">
        <v>5200</v>
      </c>
      <c r="D5" s="140" t="s">
        <v>4053</v>
      </c>
    </row>
    <row r="6" spans="1:4" ht="13.5" customHeight="1">
      <c r="A6" s="140">
        <v>416103</v>
      </c>
      <c r="B6" s="2">
        <v>3</v>
      </c>
      <c r="C6" s="140">
        <v>4000</v>
      </c>
      <c r="D6" s="140" t="s">
        <v>4053</v>
      </c>
    </row>
    <row r="7" spans="1:4" ht="13.5" customHeight="1">
      <c r="A7" s="140">
        <v>416104</v>
      </c>
      <c r="B7" s="2">
        <v>3</v>
      </c>
      <c r="C7" s="140">
        <v>5000</v>
      </c>
      <c r="D7" s="140" t="s">
        <v>4053</v>
      </c>
    </row>
    <row r="8" spans="1:4" ht="13.5" customHeight="1">
      <c r="A8" s="140">
        <v>416105</v>
      </c>
      <c r="B8" s="2">
        <v>3</v>
      </c>
      <c r="C8" s="140">
        <v>5000</v>
      </c>
      <c r="D8" s="140" t="s">
        <v>4053</v>
      </c>
    </row>
    <row r="9" spans="1:4" ht="13.5" customHeight="1">
      <c r="A9" s="140">
        <v>416106</v>
      </c>
      <c r="B9" s="2">
        <v>3</v>
      </c>
      <c r="C9" s="140">
        <v>5000</v>
      </c>
      <c r="D9" s="140" t="s">
        <v>4053</v>
      </c>
    </row>
    <row r="10" spans="1:4" ht="13.5" customHeight="1">
      <c r="A10" s="140">
        <v>416107</v>
      </c>
      <c r="B10" s="2">
        <v>3</v>
      </c>
      <c r="C10" s="140">
        <v>3700</v>
      </c>
      <c r="D10" s="140" t="s">
        <v>4053</v>
      </c>
    </row>
    <row r="11" spans="1:4" ht="13.5" customHeight="1">
      <c r="A11" s="140">
        <v>416108</v>
      </c>
      <c r="B11" s="2">
        <v>3</v>
      </c>
      <c r="C11" s="140">
        <v>3700</v>
      </c>
      <c r="D11" s="140" t="s">
        <v>4053</v>
      </c>
    </row>
    <row r="12" spans="1:4" ht="13.5" customHeight="1">
      <c r="A12" s="140">
        <v>416109</v>
      </c>
      <c r="B12" s="2">
        <v>3</v>
      </c>
      <c r="C12" s="140">
        <v>3700</v>
      </c>
      <c r="D12" s="140" t="s">
        <v>4053</v>
      </c>
    </row>
    <row r="13" spans="1:4" ht="13.5" customHeight="1">
      <c r="A13" s="140">
        <v>416110</v>
      </c>
      <c r="B13" s="2">
        <v>3</v>
      </c>
      <c r="C13" s="140">
        <v>3300</v>
      </c>
      <c r="D13" s="140" t="s">
        <v>4053</v>
      </c>
    </row>
    <row r="14" spans="1:4" ht="13.5" customHeight="1">
      <c r="A14" s="140">
        <v>416111</v>
      </c>
      <c r="B14" s="2">
        <v>3</v>
      </c>
      <c r="C14" s="140">
        <v>3200</v>
      </c>
      <c r="D14" s="140" t="s">
        <v>4053</v>
      </c>
    </row>
    <row r="15" spans="1:4" ht="13.5" customHeight="1">
      <c r="A15" s="140">
        <v>416112</v>
      </c>
      <c r="B15" s="2">
        <v>3</v>
      </c>
      <c r="C15" s="140">
        <v>6000</v>
      </c>
      <c r="D15" s="140" t="s">
        <v>4053</v>
      </c>
    </row>
    <row r="16" spans="1:4" ht="13.5" customHeight="1">
      <c r="A16" s="140">
        <v>416113</v>
      </c>
      <c r="B16" s="2">
        <v>3</v>
      </c>
      <c r="C16" s="140">
        <v>4800</v>
      </c>
      <c r="D16" s="140" t="s">
        <v>4053</v>
      </c>
    </row>
    <row r="17" spans="1:4" ht="13.5" customHeight="1">
      <c r="A17" s="140">
        <v>416114</v>
      </c>
      <c r="B17" s="2">
        <v>3</v>
      </c>
      <c r="C17" s="140">
        <v>3700</v>
      </c>
      <c r="D17" s="140" t="s">
        <v>4053</v>
      </c>
    </row>
    <row r="18" spans="1:4" ht="13.5" customHeight="1">
      <c r="A18" s="140">
        <v>416115</v>
      </c>
      <c r="B18" s="2">
        <v>3</v>
      </c>
      <c r="C18" s="140">
        <v>3900</v>
      </c>
      <c r="D18" s="140" t="s">
        <v>4053</v>
      </c>
    </row>
    <row r="19" spans="1:4" ht="13.5" customHeight="1">
      <c r="A19" s="140">
        <v>416116</v>
      </c>
      <c r="B19" s="2">
        <v>3</v>
      </c>
      <c r="C19" s="140">
        <v>3800</v>
      </c>
      <c r="D19" s="140" t="s">
        <v>4053</v>
      </c>
    </row>
    <row r="20" spans="1:4" ht="13.5" customHeight="1">
      <c r="A20" s="140">
        <v>416117</v>
      </c>
      <c r="B20" s="2">
        <v>3</v>
      </c>
      <c r="C20" s="140">
        <v>5000</v>
      </c>
      <c r="D20" s="140" t="s">
        <v>4053</v>
      </c>
    </row>
    <row r="21" spans="1:4" ht="13.5" customHeight="1">
      <c r="A21" s="140">
        <v>416118</v>
      </c>
      <c r="B21" s="2">
        <v>3</v>
      </c>
      <c r="C21" s="140">
        <v>5800</v>
      </c>
      <c r="D21" s="140" t="s">
        <v>4053</v>
      </c>
    </row>
    <row r="22" spans="1:4" ht="13.5" customHeight="1">
      <c r="A22" s="140">
        <v>416119</v>
      </c>
      <c r="B22" s="2">
        <v>3</v>
      </c>
      <c r="C22" s="140">
        <v>5000</v>
      </c>
      <c r="D22" s="140" t="s">
        <v>4053</v>
      </c>
    </row>
    <row r="23" spans="1:4" ht="13.5" customHeight="1">
      <c r="A23" s="140">
        <v>416145</v>
      </c>
      <c r="B23" s="2">
        <v>3</v>
      </c>
      <c r="C23" s="140">
        <v>3500</v>
      </c>
      <c r="D23" s="140" t="s">
        <v>4053</v>
      </c>
    </row>
    <row r="24" spans="1:4" ht="13.5" customHeight="1">
      <c r="A24" s="140">
        <v>416146</v>
      </c>
      <c r="B24" s="2">
        <v>3</v>
      </c>
      <c r="C24" s="140">
        <v>7000</v>
      </c>
      <c r="D24" s="140" t="s">
        <v>4053</v>
      </c>
    </row>
    <row r="25" spans="1:4" ht="13.5" customHeight="1">
      <c r="A25" s="140">
        <v>416147</v>
      </c>
      <c r="B25" s="2">
        <v>3</v>
      </c>
      <c r="C25" s="140">
        <v>6600</v>
      </c>
      <c r="D25" s="140" t="s">
        <v>4053</v>
      </c>
    </row>
    <row r="26" spans="1:4" ht="13.5" customHeight="1">
      <c r="A26" s="140">
        <v>416148</v>
      </c>
      <c r="B26" s="2">
        <v>3</v>
      </c>
      <c r="C26" s="140">
        <v>4400</v>
      </c>
      <c r="D26" s="140" t="s">
        <v>4053</v>
      </c>
    </row>
    <row r="27" spans="1:4" ht="13.5" customHeight="1">
      <c r="A27" s="140">
        <v>416149</v>
      </c>
      <c r="B27" s="2">
        <v>3</v>
      </c>
      <c r="C27" s="140">
        <v>5400</v>
      </c>
      <c r="D27" s="140" t="s">
        <v>4053</v>
      </c>
    </row>
    <row r="28" spans="1:4" ht="13.5" customHeight="1">
      <c r="A28" s="140">
        <v>416150</v>
      </c>
      <c r="B28" s="2">
        <v>3</v>
      </c>
      <c r="C28" s="140">
        <v>5000</v>
      </c>
      <c r="D28" s="140" t="s">
        <v>4053</v>
      </c>
    </row>
    <row r="29" spans="1:4" ht="13.5" customHeight="1">
      <c r="A29" s="140">
        <v>416151</v>
      </c>
      <c r="B29" s="2">
        <v>3</v>
      </c>
      <c r="C29" s="140">
        <v>4000</v>
      </c>
      <c r="D29" s="140" t="s">
        <v>4053</v>
      </c>
    </row>
    <row r="30" spans="1:4" ht="13.5" customHeight="1">
      <c r="A30" s="140">
        <v>416152</v>
      </c>
      <c r="B30" s="2">
        <v>3</v>
      </c>
      <c r="C30" s="140">
        <v>4800</v>
      </c>
      <c r="D30" s="140" t="s">
        <v>4053</v>
      </c>
    </row>
    <row r="31" spans="1:4" ht="13.5" customHeight="1">
      <c r="A31" s="140">
        <v>416153</v>
      </c>
      <c r="B31" s="2">
        <v>3</v>
      </c>
      <c r="C31" s="140">
        <v>3500</v>
      </c>
      <c r="D31" s="140" t="s">
        <v>4053</v>
      </c>
    </row>
    <row r="32" spans="1:4" ht="13.5" customHeight="1">
      <c r="A32" s="140">
        <v>416154</v>
      </c>
      <c r="B32" s="2">
        <v>3</v>
      </c>
      <c r="C32" s="140">
        <v>5000</v>
      </c>
      <c r="D32" s="140" t="s">
        <v>4053</v>
      </c>
    </row>
    <row r="33" spans="1:4" ht="13.5" customHeight="1">
      <c r="A33" s="140">
        <v>416155</v>
      </c>
      <c r="B33" s="2">
        <v>3</v>
      </c>
      <c r="C33" s="140">
        <v>3150</v>
      </c>
      <c r="D33" s="140" t="s">
        <v>4053</v>
      </c>
    </row>
    <row r="34" spans="1:4" ht="13.5" customHeight="1">
      <c r="A34" s="140">
        <v>416156</v>
      </c>
      <c r="B34" s="2">
        <v>3</v>
      </c>
      <c r="C34" s="140">
        <v>3800</v>
      </c>
      <c r="D34" s="140" t="s">
        <v>4053</v>
      </c>
    </row>
    <row r="35" spans="1:4" ht="13.5" customHeight="1">
      <c r="A35" s="140">
        <v>416157</v>
      </c>
      <c r="B35" s="2">
        <v>3</v>
      </c>
      <c r="C35" s="140">
        <v>3200</v>
      </c>
      <c r="D35" s="140" t="s">
        <v>4053</v>
      </c>
    </row>
    <row r="36" spans="1:4" ht="13.5" customHeight="1">
      <c r="A36" s="140">
        <v>416158</v>
      </c>
      <c r="B36" s="2">
        <v>3</v>
      </c>
      <c r="C36" s="140">
        <v>3700</v>
      </c>
      <c r="D36" s="140" t="s">
        <v>4053</v>
      </c>
    </row>
    <row r="37" spans="1:4" ht="13.5" customHeight="1">
      <c r="A37" s="140">
        <v>416159</v>
      </c>
      <c r="B37" s="2">
        <v>3</v>
      </c>
      <c r="C37" s="140">
        <v>5700</v>
      </c>
      <c r="D37" s="140" t="s">
        <v>4053</v>
      </c>
    </row>
    <row r="38" spans="1:4" ht="13.5" customHeight="1">
      <c r="A38" s="140">
        <v>416160</v>
      </c>
      <c r="B38" s="2">
        <v>3</v>
      </c>
      <c r="C38" s="140">
        <v>3700</v>
      </c>
      <c r="D38" s="140" t="s">
        <v>4053</v>
      </c>
    </row>
    <row r="39" spans="1:4" ht="13.5" customHeight="1">
      <c r="A39" s="140">
        <v>416161</v>
      </c>
      <c r="B39" s="2">
        <v>3</v>
      </c>
      <c r="C39" s="140">
        <v>5700</v>
      </c>
      <c r="D39" s="140" t="s">
        <v>4053</v>
      </c>
    </row>
    <row r="40" spans="1:4" ht="13.5" customHeight="1">
      <c r="A40" s="140">
        <v>416162</v>
      </c>
      <c r="B40" s="2">
        <v>3</v>
      </c>
      <c r="C40" s="140">
        <v>3700</v>
      </c>
      <c r="D40" s="140" t="s">
        <v>4053</v>
      </c>
    </row>
    <row r="41" spans="1:4" ht="13.5" customHeight="1">
      <c r="A41" s="140">
        <v>416163</v>
      </c>
      <c r="B41" s="2">
        <v>3</v>
      </c>
      <c r="C41" s="140">
        <v>4000</v>
      </c>
      <c r="D41" s="140" t="s">
        <v>4053</v>
      </c>
    </row>
    <row r="42" spans="1:4" ht="13.5" customHeight="1">
      <c r="A42" s="140">
        <v>416164</v>
      </c>
      <c r="B42" s="2">
        <v>3</v>
      </c>
      <c r="C42" s="140">
        <v>3400</v>
      </c>
      <c r="D42" s="140" t="s">
        <v>4053</v>
      </c>
    </row>
    <row r="43" spans="1:4" ht="13.5" customHeight="1">
      <c r="A43" s="140">
        <v>416165</v>
      </c>
      <c r="B43" s="2">
        <v>3</v>
      </c>
      <c r="C43" s="140">
        <v>3600</v>
      </c>
      <c r="D43" s="140" t="s">
        <v>4053</v>
      </c>
    </row>
    <row r="44" spans="1:4" ht="13.5" customHeight="1">
      <c r="A44" s="140">
        <v>416166</v>
      </c>
      <c r="B44" s="2">
        <v>3</v>
      </c>
      <c r="C44" s="140">
        <v>3800</v>
      </c>
      <c r="D44" s="140" t="s">
        <v>4053</v>
      </c>
    </row>
    <row r="45" spans="1:4" ht="13.5" customHeight="1">
      <c r="A45" s="140">
        <v>416167</v>
      </c>
      <c r="B45" s="2">
        <v>3</v>
      </c>
      <c r="C45" s="140">
        <v>3800</v>
      </c>
      <c r="D45" s="140" t="s">
        <v>4053</v>
      </c>
    </row>
    <row r="46" spans="1:4" ht="13.5" customHeight="1">
      <c r="A46" s="140">
        <v>416168</v>
      </c>
      <c r="B46" s="2">
        <v>3</v>
      </c>
      <c r="C46" s="140">
        <v>3200</v>
      </c>
      <c r="D46" s="140" t="s">
        <v>4053</v>
      </c>
    </row>
    <row r="47" spans="1:4" ht="13.5" customHeight="1">
      <c r="A47" s="140">
        <v>416169</v>
      </c>
      <c r="B47" s="2">
        <v>3</v>
      </c>
      <c r="C47" s="140">
        <v>3800</v>
      </c>
      <c r="D47" s="140" t="s">
        <v>4053</v>
      </c>
    </row>
    <row r="48" spans="1:4" ht="13.5" customHeight="1">
      <c r="A48" s="140">
        <v>416170</v>
      </c>
      <c r="B48" s="2">
        <v>3</v>
      </c>
      <c r="C48" s="140">
        <v>4400</v>
      </c>
      <c r="D48" s="140" t="s">
        <v>4053</v>
      </c>
    </row>
    <row r="49" spans="1:4" ht="13.5" customHeight="1">
      <c r="A49" s="140">
        <v>416171</v>
      </c>
      <c r="B49" s="2">
        <v>3</v>
      </c>
      <c r="C49" s="140">
        <v>5200</v>
      </c>
      <c r="D49" s="140" t="s">
        <v>4053</v>
      </c>
    </row>
    <row r="50" spans="1:4" ht="13.5" customHeight="1">
      <c r="A50" s="140">
        <v>416172</v>
      </c>
      <c r="B50" s="2">
        <v>3</v>
      </c>
      <c r="C50" s="140">
        <v>3000</v>
      </c>
      <c r="D50" s="140" t="s">
        <v>4053</v>
      </c>
    </row>
    <row r="51" spans="1:4" ht="13.5" customHeight="1">
      <c r="A51" s="140">
        <v>416173</v>
      </c>
      <c r="B51" s="2">
        <v>3</v>
      </c>
      <c r="C51" s="140">
        <v>4500</v>
      </c>
      <c r="D51" s="140" t="s">
        <v>4053</v>
      </c>
    </row>
    <row r="52" spans="1:4" ht="13.5" customHeight="1">
      <c r="A52" s="140">
        <v>416174</v>
      </c>
      <c r="B52" s="2">
        <v>3</v>
      </c>
      <c r="C52" s="140">
        <v>5200</v>
      </c>
      <c r="D52" s="140" t="s">
        <v>4053</v>
      </c>
    </row>
    <row r="53" spans="1:4" ht="13.5" customHeight="1">
      <c r="A53" s="140">
        <v>416175</v>
      </c>
      <c r="B53" s="2">
        <v>3</v>
      </c>
      <c r="C53" s="140">
        <v>3000</v>
      </c>
      <c r="D53" s="140" t="s">
        <v>4053</v>
      </c>
    </row>
    <row r="54" spans="1:4" ht="13.5" customHeight="1">
      <c r="A54" s="140">
        <v>416176</v>
      </c>
      <c r="B54" s="2">
        <v>3</v>
      </c>
      <c r="C54" s="140">
        <v>3700</v>
      </c>
      <c r="D54" s="140" t="s">
        <v>4053</v>
      </c>
    </row>
    <row r="55" spans="1:4" ht="13.5" customHeight="1">
      <c r="A55" s="140">
        <v>416177</v>
      </c>
      <c r="B55" s="2">
        <v>3</v>
      </c>
      <c r="C55" s="140">
        <v>3900</v>
      </c>
      <c r="D55" s="140" t="s">
        <v>4053</v>
      </c>
    </row>
    <row r="56" spans="1:4" ht="13.5" customHeight="1">
      <c r="A56" s="140">
        <v>416178</v>
      </c>
      <c r="B56" s="2">
        <v>3</v>
      </c>
      <c r="C56" s="140">
        <v>3250</v>
      </c>
      <c r="D56" s="140" t="s">
        <v>4053</v>
      </c>
    </row>
    <row r="57" spans="1:4" ht="13.5" customHeight="1">
      <c r="A57" s="140">
        <v>416179</v>
      </c>
      <c r="B57" s="2">
        <v>3</v>
      </c>
      <c r="C57" s="140">
        <v>8000</v>
      </c>
      <c r="D57" s="140" t="s">
        <v>4053</v>
      </c>
    </row>
    <row r="58" spans="1:4" ht="13.5" customHeight="1">
      <c r="A58" s="140">
        <v>416180</v>
      </c>
      <c r="B58" s="2">
        <v>3</v>
      </c>
      <c r="C58" s="140">
        <v>9000</v>
      </c>
      <c r="D58" s="140" t="s">
        <v>4053</v>
      </c>
    </row>
    <row r="59" spans="1:4" ht="13.5" customHeight="1">
      <c r="A59" s="140">
        <v>416181</v>
      </c>
      <c r="B59" s="2">
        <v>3</v>
      </c>
      <c r="C59" s="140">
        <v>5400</v>
      </c>
      <c r="D59" s="140" t="s">
        <v>4053</v>
      </c>
    </row>
    <row r="60" spans="1:4" ht="13.5" customHeight="1">
      <c r="A60" s="140">
        <v>416182</v>
      </c>
      <c r="B60" s="2">
        <v>3</v>
      </c>
      <c r="C60" s="140">
        <v>4300</v>
      </c>
      <c r="D60" s="140" t="s">
        <v>4053</v>
      </c>
    </row>
    <row r="61" spans="1:4" s="10" customFormat="1" ht="13.5" customHeight="1">
      <c r="A61" s="140">
        <v>416183</v>
      </c>
      <c r="B61" s="2">
        <v>3</v>
      </c>
      <c r="C61" s="140">
        <v>5000</v>
      </c>
      <c r="D61" s="140" t="s">
        <v>4053</v>
      </c>
    </row>
    <row r="62" spans="1:4" ht="13.5" customHeight="1">
      <c r="A62" s="140">
        <v>416184</v>
      </c>
      <c r="B62" s="2">
        <v>3</v>
      </c>
      <c r="C62" s="140">
        <v>5000</v>
      </c>
      <c r="D62" s="140" t="s">
        <v>4053</v>
      </c>
    </row>
    <row r="63" spans="1:4" ht="13.5" customHeight="1">
      <c r="A63" s="140">
        <v>416185</v>
      </c>
      <c r="B63" s="2">
        <v>3</v>
      </c>
      <c r="C63" s="140">
        <v>4000</v>
      </c>
      <c r="D63" s="140" t="s">
        <v>4053</v>
      </c>
    </row>
    <row r="64" spans="1:4" ht="13.5" customHeight="1">
      <c r="A64" s="140">
        <v>416186</v>
      </c>
      <c r="B64" s="2">
        <v>3</v>
      </c>
      <c r="C64" s="140">
        <v>3000</v>
      </c>
      <c r="D64" s="140" t="s">
        <v>4053</v>
      </c>
    </row>
    <row r="65" spans="1:4" ht="13.5" customHeight="1">
      <c r="A65" s="140">
        <v>416187</v>
      </c>
      <c r="B65" s="2">
        <v>3</v>
      </c>
      <c r="C65" s="140">
        <v>4500</v>
      </c>
      <c r="D65" s="140" t="s">
        <v>4053</v>
      </c>
    </row>
    <row r="66" spans="1:4" ht="13.5" customHeight="1">
      <c r="A66" s="140">
        <v>416188</v>
      </c>
      <c r="B66" s="2">
        <v>3</v>
      </c>
      <c r="C66" s="140">
        <v>5000</v>
      </c>
      <c r="D66" s="140" t="s">
        <v>4053</v>
      </c>
    </row>
    <row r="67" spans="1:4" ht="13.5" customHeight="1">
      <c r="A67" s="140">
        <v>416189</v>
      </c>
      <c r="B67" s="2">
        <v>3</v>
      </c>
      <c r="C67" s="140">
        <v>3200</v>
      </c>
      <c r="D67" s="140" t="s">
        <v>4053</v>
      </c>
    </row>
    <row r="68" spans="1:4" ht="13.5" customHeight="1">
      <c r="A68" s="140">
        <v>416190</v>
      </c>
      <c r="B68" s="2">
        <v>3</v>
      </c>
      <c r="C68" s="140">
        <v>4000</v>
      </c>
      <c r="D68" s="140" t="s">
        <v>4053</v>
      </c>
    </row>
    <row r="69" spans="1:4" ht="13.5" customHeight="1">
      <c r="A69" s="140">
        <v>416191</v>
      </c>
      <c r="B69" s="2">
        <v>3</v>
      </c>
      <c r="C69" s="140">
        <v>5000</v>
      </c>
      <c r="D69" s="140" t="s">
        <v>4053</v>
      </c>
    </row>
    <row r="70" spans="1:4" ht="13.5" customHeight="1">
      <c r="A70" s="140">
        <v>416192</v>
      </c>
      <c r="B70" s="2">
        <v>3</v>
      </c>
      <c r="C70" s="140">
        <v>3300</v>
      </c>
      <c r="D70" s="140" t="s">
        <v>4053</v>
      </c>
    </row>
    <row r="71" spans="1:4" ht="13.5" customHeight="1">
      <c r="A71" s="140">
        <v>416193</v>
      </c>
      <c r="B71" s="2">
        <v>3</v>
      </c>
      <c r="C71" s="140">
        <v>4500</v>
      </c>
      <c r="D71" s="140" t="s">
        <v>4053</v>
      </c>
    </row>
    <row r="72" spans="1:4" ht="13.5" customHeight="1">
      <c r="A72" s="140">
        <v>416194</v>
      </c>
      <c r="B72" s="2">
        <v>3</v>
      </c>
      <c r="C72" s="140">
        <v>5000</v>
      </c>
      <c r="D72" s="140" t="s">
        <v>4053</v>
      </c>
    </row>
    <row r="73" spans="1:4" ht="13.5" customHeight="1">
      <c r="A73" s="140">
        <v>416195</v>
      </c>
      <c r="B73" s="2">
        <v>3</v>
      </c>
      <c r="C73" s="140">
        <v>3300</v>
      </c>
      <c r="D73" s="140" t="s">
        <v>4053</v>
      </c>
    </row>
    <row r="74" spans="1:4" ht="13.5" customHeight="1">
      <c r="A74" s="140">
        <v>416196</v>
      </c>
      <c r="B74" s="2">
        <v>3</v>
      </c>
      <c r="C74" s="140">
        <v>4000</v>
      </c>
      <c r="D74" s="140" t="s">
        <v>4053</v>
      </c>
    </row>
    <row r="75" spans="1:4" ht="13.5" customHeight="1">
      <c r="A75" s="140">
        <v>416197</v>
      </c>
      <c r="B75" s="2">
        <v>3</v>
      </c>
      <c r="C75" s="140">
        <v>5000</v>
      </c>
      <c r="D75" s="140" t="s">
        <v>4053</v>
      </c>
    </row>
    <row r="76" spans="1:4" ht="13.5" customHeight="1">
      <c r="A76" s="140">
        <v>416198</v>
      </c>
      <c r="B76" s="2">
        <v>3</v>
      </c>
      <c r="C76" s="140">
        <v>4600</v>
      </c>
      <c r="D76" s="140" t="s">
        <v>4053</v>
      </c>
    </row>
    <row r="77" spans="1:4" ht="13.5" customHeight="1">
      <c r="A77" s="140">
        <v>416199</v>
      </c>
      <c r="B77" s="2">
        <v>3</v>
      </c>
      <c r="C77" s="140">
        <v>6000</v>
      </c>
      <c r="D77" s="140" t="s">
        <v>4053</v>
      </c>
    </row>
    <row r="78" spans="1:4" ht="13.5" customHeight="1">
      <c r="A78" s="140">
        <v>416200</v>
      </c>
      <c r="B78" s="2">
        <v>3</v>
      </c>
      <c r="C78" s="140">
        <v>7200</v>
      </c>
      <c r="D78" s="140" t="s">
        <v>4053</v>
      </c>
    </row>
    <row r="79" spans="1:4" ht="13.5" customHeight="1">
      <c r="A79" s="140">
        <v>416201</v>
      </c>
      <c r="B79" s="2">
        <v>3</v>
      </c>
      <c r="C79" s="140">
        <v>4600</v>
      </c>
      <c r="D79" s="140" t="s">
        <v>4053</v>
      </c>
    </row>
    <row r="80" spans="1:4" ht="13.5" customHeight="1">
      <c r="A80" s="140">
        <v>416202</v>
      </c>
      <c r="B80" s="2">
        <v>3</v>
      </c>
      <c r="C80" s="140">
        <v>5000</v>
      </c>
      <c r="D80" s="140" t="s">
        <v>4053</v>
      </c>
    </row>
    <row r="81" spans="1:4" ht="13.5" customHeight="1">
      <c r="A81" s="140">
        <v>416203</v>
      </c>
      <c r="B81" s="2">
        <v>3</v>
      </c>
      <c r="C81" s="140">
        <v>5000</v>
      </c>
      <c r="D81" s="140" t="s">
        <v>4053</v>
      </c>
    </row>
    <row r="82" spans="1:4" ht="13.5" customHeight="1">
      <c r="A82" s="140">
        <v>416204</v>
      </c>
      <c r="B82" s="2">
        <v>3</v>
      </c>
      <c r="C82" s="140">
        <v>3000</v>
      </c>
      <c r="D82" s="140" t="s">
        <v>4053</v>
      </c>
    </row>
    <row r="83" spans="1:4" ht="13.5" customHeight="1">
      <c r="A83" s="140">
        <v>416205</v>
      </c>
      <c r="B83" s="2">
        <v>3</v>
      </c>
      <c r="C83" s="140">
        <v>7500</v>
      </c>
      <c r="D83" s="140" t="s">
        <v>4053</v>
      </c>
    </row>
    <row r="84" spans="1:4" ht="13.5" customHeight="1">
      <c r="A84" s="140">
        <v>416206</v>
      </c>
      <c r="B84" s="2">
        <v>3</v>
      </c>
      <c r="C84" s="140">
        <v>4500</v>
      </c>
      <c r="D84" s="140" t="s">
        <v>4053</v>
      </c>
    </row>
    <row r="85" spans="1:4" ht="13.5" customHeight="1">
      <c r="A85" s="140">
        <v>416207</v>
      </c>
      <c r="B85" s="2">
        <v>3</v>
      </c>
      <c r="C85" s="140">
        <v>4300</v>
      </c>
      <c r="D85" s="140" t="s">
        <v>4053</v>
      </c>
    </row>
    <row r="86" spans="1:4" ht="13.5" customHeight="1">
      <c r="A86" s="140">
        <v>416208</v>
      </c>
      <c r="B86" s="2">
        <v>3</v>
      </c>
      <c r="C86" s="140">
        <v>5000</v>
      </c>
      <c r="D86" s="140" t="s">
        <v>4053</v>
      </c>
    </row>
    <row r="87" spans="1:4" ht="13.5" customHeight="1">
      <c r="A87" s="140">
        <v>416209</v>
      </c>
      <c r="B87" s="2">
        <v>3</v>
      </c>
      <c r="C87" s="140">
        <v>3400</v>
      </c>
      <c r="D87" s="140" t="s">
        <v>4053</v>
      </c>
    </row>
    <row r="88" spans="1:4" ht="13.5" customHeight="1">
      <c r="A88" s="140">
        <v>416210</v>
      </c>
      <c r="B88" s="2">
        <v>3</v>
      </c>
      <c r="C88" s="140">
        <v>3000</v>
      </c>
      <c r="D88" s="140" t="s">
        <v>4053</v>
      </c>
    </row>
    <row r="89" spans="1:4" ht="13.5" customHeight="1">
      <c r="A89" s="140">
        <v>416211</v>
      </c>
      <c r="B89" s="2">
        <v>3</v>
      </c>
      <c r="C89" s="140">
        <v>3100</v>
      </c>
      <c r="D89" s="140" t="s">
        <v>4053</v>
      </c>
    </row>
    <row r="90" spans="1:4" ht="13.5" customHeight="1">
      <c r="A90" s="140">
        <v>416212</v>
      </c>
      <c r="B90" s="2">
        <v>3</v>
      </c>
      <c r="C90" s="140">
        <v>4700</v>
      </c>
      <c r="D90" s="140" t="s">
        <v>4053</v>
      </c>
    </row>
    <row r="91" spans="1:4" ht="13.5" customHeight="1">
      <c r="A91" s="140">
        <v>416213</v>
      </c>
      <c r="B91" s="2">
        <v>3</v>
      </c>
      <c r="C91" s="140">
        <v>4200</v>
      </c>
      <c r="D91" s="140" t="s">
        <v>4053</v>
      </c>
    </row>
    <row r="92" spans="1:4" ht="13.5" customHeight="1">
      <c r="A92" s="140">
        <v>416214</v>
      </c>
      <c r="B92" s="2">
        <v>3</v>
      </c>
      <c r="C92" s="140">
        <v>3000</v>
      </c>
      <c r="D92" s="140" t="s">
        <v>4053</v>
      </c>
    </row>
    <row r="93" spans="1:4" ht="13.5" customHeight="1">
      <c r="A93" s="140">
        <v>416215</v>
      </c>
      <c r="B93" s="2">
        <v>3</v>
      </c>
      <c r="C93" s="140">
        <v>3980</v>
      </c>
      <c r="D93" s="140" t="s">
        <v>4053</v>
      </c>
    </row>
    <row r="94" spans="1:4" ht="13.5" customHeight="1">
      <c r="A94" s="140">
        <v>416216</v>
      </c>
      <c r="B94" s="2">
        <v>3</v>
      </c>
      <c r="C94" s="140">
        <v>3240</v>
      </c>
      <c r="D94" s="140" t="s">
        <v>4053</v>
      </c>
    </row>
    <row r="95" spans="1:4" ht="13.5" customHeight="1">
      <c r="A95" s="140">
        <v>416217</v>
      </c>
      <c r="B95" s="2">
        <v>3</v>
      </c>
      <c r="C95" s="140">
        <v>3700</v>
      </c>
      <c r="D95" s="140" t="s">
        <v>4053</v>
      </c>
    </row>
    <row r="96" spans="1:4" ht="13.5" customHeight="1">
      <c r="A96" s="140">
        <v>416218</v>
      </c>
      <c r="B96" s="2">
        <v>3</v>
      </c>
      <c r="C96" s="140">
        <v>3400</v>
      </c>
      <c r="D96" s="140" t="s">
        <v>4053</v>
      </c>
    </row>
    <row r="97" spans="1:4" ht="13.5" customHeight="1">
      <c r="A97" s="140">
        <v>416219</v>
      </c>
      <c r="B97" s="2">
        <v>3</v>
      </c>
      <c r="C97" s="140">
        <v>3700</v>
      </c>
      <c r="D97" s="140" t="s">
        <v>4053</v>
      </c>
    </row>
    <row r="98" spans="1:4" ht="13.5" customHeight="1">
      <c r="A98" s="140">
        <v>416220</v>
      </c>
      <c r="B98" s="2">
        <v>3</v>
      </c>
      <c r="C98" s="140">
        <v>3400</v>
      </c>
      <c r="D98" s="140" t="s">
        <v>4053</v>
      </c>
    </row>
    <row r="99" spans="1:4" ht="13.5" customHeight="1">
      <c r="A99" s="140">
        <v>416221</v>
      </c>
      <c r="B99" s="2">
        <v>3</v>
      </c>
      <c r="C99" s="140">
        <v>3700</v>
      </c>
      <c r="D99" s="140" t="s">
        <v>4053</v>
      </c>
    </row>
    <row r="100" spans="1:4" ht="13.5" customHeight="1">
      <c r="A100" s="140">
        <v>416222</v>
      </c>
      <c r="B100" s="2">
        <v>3</v>
      </c>
      <c r="C100" s="140">
        <v>4450</v>
      </c>
      <c r="D100" s="140" t="s">
        <v>4053</v>
      </c>
    </row>
    <row r="101" spans="1:4" ht="13.5" customHeight="1">
      <c r="A101" s="140">
        <v>416223</v>
      </c>
      <c r="B101" s="2">
        <v>3</v>
      </c>
      <c r="C101" s="140">
        <v>5200</v>
      </c>
      <c r="D101" s="140" t="s">
        <v>4053</v>
      </c>
    </row>
    <row r="102" spans="1:4" ht="13.5" customHeight="1">
      <c r="A102" s="140">
        <v>416224</v>
      </c>
      <c r="B102" s="2">
        <v>3</v>
      </c>
      <c r="C102" s="140">
        <v>5700</v>
      </c>
      <c r="D102" s="140" t="s">
        <v>4053</v>
      </c>
    </row>
    <row r="103" spans="1:4" ht="13.5" customHeight="1">
      <c r="A103" s="140">
        <v>416225</v>
      </c>
      <c r="B103" s="2">
        <v>3</v>
      </c>
      <c r="C103" s="140">
        <v>4200</v>
      </c>
      <c r="D103" s="140" t="s">
        <v>4053</v>
      </c>
    </row>
    <row r="104" spans="1:4" ht="13.5" customHeight="1">
      <c r="A104" s="140">
        <v>416226</v>
      </c>
      <c r="B104" s="2">
        <v>3</v>
      </c>
      <c r="C104" s="140">
        <v>5200</v>
      </c>
      <c r="D104" s="140" t="s">
        <v>4053</v>
      </c>
    </row>
    <row r="105" spans="1:4" ht="13.5" customHeight="1">
      <c r="A105" s="140">
        <v>416227</v>
      </c>
      <c r="B105" s="2">
        <v>3</v>
      </c>
      <c r="C105" s="140">
        <v>3700</v>
      </c>
      <c r="D105" s="140" t="s">
        <v>4053</v>
      </c>
    </row>
    <row r="106" spans="1:4" ht="13.5" customHeight="1">
      <c r="A106" s="140">
        <v>416228</v>
      </c>
      <c r="B106" s="2">
        <v>3</v>
      </c>
      <c r="C106" s="140">
        <v>3700</v>
      </c>
      <c r="D106" s="140" t="s">
        <v>4053</v>
      </c>
    </row>
    <row r="107" spans="1:4" ht="13.5" customHeight="1">
      <c r="A107" s="140">
        <v>416229</v>
      </c>
      <c r="B107" s="2">
        <v>3</v>
      </c>
      <c r="C107" s="140">
        <v>3700</v>
      </c>
      <c r="D107" s="140" t="s">
        <v>4053</v>
      </c>
    </row>
    <row r="108" spans="1:4" ht="13.5" customHeight="1">
      <c r="A108" s="140">
        <v>416230</v>
      </c>
      <c r="B108" s="2">
        <v>3</v>
      </c>
      <c r="C108" s="140">
        <v>3700</v>
      </c>
      <c r="D108" s="140" t="s">
        <v>4053</v>
      </c>
    </row>
    <row r="109" spans="1:4" ht="13.5" customHeight="1">
      <c r="A109" s="140">
        <v>416231</v>
      </c>
      <c r="B109" s="2">
        <v>3</v>
      </c>
      <c r="C109" s="140">
        <v>3700</v>
      </c>
      <c r="D109" s="140" t="s">
        <v>4053</v>
      </c>
    </row>
    <row r="110" spans="1:4" ht="13.5" customHeight="1">
      <c r="A110" s="140">
        <v>416232</v>
      </c>
      <c r="B110" s="2">
        <v>3</v>
      </c>
      <c r="C110" s="140">
        <v>3700</v>
      </c>
      <c r="D110" s="140" t="s">
        <v>4053</v>
      </c>
    </row>
    <row r="111" spans="1:4" ht="13.5" customHeight="1">
      <c r="A111" s="140">
        <v>416233</v>
      </c>
      <c r="B111" s="2">
        <v>3</v>
      </c>
      <c r="C111" s="140">
        <v>3700</v>
      </c>
      <c r="D111" s="140" t="s">
        <v>4053</v>
      </c>
    </row>
    <row r="112" spans="1:4" ht="13.5" customHeight="1">
      <c r="A112" s="140">
        <v>416234</v>
      </c>
      <c r="B112" s="2">
        <v>3</v>
      </c>
      <c r="C112" s="140">
        <v>5660</v>
      </c>
      <c r="D112" s="140" t="s">
        <v>4053</v>
      </c>
    </row>
    <row r="113" spans="1:4" ht="13.5" customHeight="1">
      <c r="A113" s="140">
        <v>416235</v>
      </c>
      <c r="B113" s="2">
        <v>3</v>
      </c>
      <c r="C113" s="140">
        <v>3700</v>
      </c>
      <c r="D113" s="140" t="s">
        <v>4053</v>
      </c>
    </row>
    <row r="114" spans="1:4" ht="13.5" customHeight="1">
      <c r="A114" s="140">
        <v>416236</v>
      </c>
      <c r="B114" s="2">
        <v>3</v>
      </c>
      <c r="C114" s="140">
        <v>3700</v>
      </c>
      <c r="D114" s="140" t="s">
        <v>4053</v>
      </c>
    </row>
    <row r="115" spans="1:4" ht="13.5" customHeight="1">
      <c r="A115" s="140"/>
      <c r="B115" s="142"/>
      <c r="C115" s="140"/>
      <c r="D115" s="140"/>
    </row>
    <row r="116" spans="1:4" ht="13.5" customHeight="1">
      <c r="A116" s="140"/>
      <c r="B116" s="142"/>
      <c r="C116" s="140"/>
      <c r="D116" s="140"/>
    </row>
    <row r="117" spans="1:4" ht="13.5" customHeight="1">
      <c r="A117" s="140"/>
      <c r="B117" s="142"/>
      <c r="C117" s="140"/>
      <c r="D117" s="140"/>
    </row>
    <row r="118" spans="1:4" ht="13.5" customHeight="1">
      <c r="A118" s="140"/>
      <c r="B118" s="142"/>
      <c r="C118" s="140"/>
      <c r="D118" s="140"/>
    </row>
    <row r="119" spans="1:4" ht="13.5" customHeight="1">
      <c r="A119" s="140"/>
      <c r="B119" s="142"/>
      <c r="C119" s="140"/>
      <c r="D119" s="140"/>
    </row>
    <row r="120" spans="1:4" ht="13.5" customHeight="1">
      <c r="A120" s="140"/>
      <c r="B120" s="142"/>
      <c r="C120" s="140"/>
      <c r="D120" s="140"/>
    </row>
    <row r="121" spans="1:4" ht="13.5" customHeight="1">
      <c r="A121" s="140"/>
      <c r="B121" s="142"/>
      <c r="C121" s="140"/>
      <c r="D121" s="140"/>
    </row>
    <row r="122" spans="1:4" ht="13.5" customHeight="1">
      <c r="A122" s="140"/>
      <c r="B122" s="142"/>
      <c r="C122" s="140"/>
      <c r="D122" s="140"/>
    </row>
    <row r="123" spans="1:4" ht="13.5" customHeight="1">
      <c r="A123" s="140"/>
      <c r="B123" s="142"/>
      <c r="C123" s="140"/>
      <c r="D123" s="140"/>
    </row>
    <row r="124" spans="1:4" ht="13.5" customHeight="1">
      <c r="A124" s="140"/>
      <c r="B124" s="142"/>
      <c r="C124" s="140"/>
      <c r="D124" s="140"/>
    </row>
    <row r="125" spans="1:4" ht="13.5" customHeight="1">
      <c r="A125" s="140"/>
      <c r="B125" s="142"/>
      <c r="C125" s="140"/>
      <c r="D125" s="140"/>
    </row>
    <row r="126" spans="1:4" ht="13.5" customHeight="1">
      <c r="A126" s="140"/>
      <c r="B126" s="142"/>
      <c r="C126" s="140"/>
      <c r="D126" s="140"/>
    </row>
    <row r="127" spans="1:4" ht="13.5" customHeight="1">
      <c r="A127" s="140"/>
      <c r="B127" s="142"/>
      <c r="C127" s="140"/>
      <c r="D127" s="140"/>
    </row>
    <row r="128" spans="1:4" ht="13.5" customHeight="1">
      <c r="A128" s="140"/>
      <c r="B128" s="142"/>
      <c r="C128" s="140"/>
      <c r="D128" s="140"/>
    </row>
    <row r="129" spans="1:4" ht="13.5" customHeight="1">
      <c r="A129" s="140"/>
      <c r="B129" s="142"/>
      <c r="C129" s="140"/>
      <c r="D129" s="140"/>
    </row>
    <row r="130" spans="1:4" ht="13.5" customHeight="1">
      <c r="A130" s="140"/>
      <c r="B130" s="142"/>
      <c r="C130" s="140"/>
      <c r="D130" s="140"/>
    </row>
    <row r="131" spans="1:4" ht="13.5" customHeight="1">
      <c r="A131" s="140"/>
      <c r="B131" s="142"/>
      <c r="C131" s="140"/>
      <c r="D131" s="140"/>
    </row>
    <row r="132" spans="1:4" ht="13.5" customHeight="1">
      <c r="A132" s="140"/>
      <c r="B132" s="142"/>
      <c r="C132" s="140"/>
      <c r="D132" s="140"/>
    </row>
    <row r="133" spans="1:4" ht="13.5" customHeight="1">
      <c r="A133" s="140"/>
      <c r="B133" s="142"/>
      <c r="C133" s="140"/>
      <c r="D133" s="140"/>
    </row>
    <row r="134" spans="1:4" ht="13.5" customHeight="1">
      <c r="A134" s="140"/>
      <c r="B134" s="142"/>
      <c r="C134" s="140"/>
      <c r="D134" s="140"/>
    </row>
    <row r="135" spans="1:4" ht="13.5" customHeight="1">
      <c r="A135" s="140"/>
      <c r="B135" s="142"/>
      <c r="C135" s="140"/>
      <c r="D135" s="140"/>
    </row>
    <row r="136" spans="1:4" ht="13.5" customHeight="1">
      <c r="A136" s="140"/>
      <c r="B136" s="142"/>
      <c r="C136" s="140"/>
      <c r="D136" s="140"/>
    </row>
    <row r="137" spans="1:4" ht="13.5" customHeight="1">
      <c r="A137" s="140"/>
      <c r="B137" s="142"/>
      <c r="C137" s="140"/>
      <c r="D137" s="140"/>
    </row>
    <row r="138" spans="1:4" ht="13.5" customHeight="1">
      <c r="A138" s="140"/>
      <c r="B138" s="142"/>
      <c r="C138" s="140"/>
      <c r="D138" s="140"/>
    </row>
    <row r="139" spans="1:4" ht="13.5" customHeight="1">
      <c r="A139" s="140"/>
      <c r="B139" s="142"/>
      <c r="C139" s="140"/>
      <c r="D139" s="140"/>
    </row>
    <row r="140" spans="1:4" ht="13.5" customHeight="1">
      <c r="A140" s="140"/>
      <c r="B140" s="142"/>
      <c r="C140" s="140"/>
      <c r="D140" s="140"/>
    </row>
    <row r="141" spans="1:4" ht="13.5" customHeight="1">
      <c r="A141" s="140"/>
      <c r="B141" s="142"/>
      <c r="C141" s="140"/>
      <c r="D141" s="140"/>
    </row>
    <row r="142" spans="1:4" ht="13.5" customHeight="1">
      <c r="A142" s="140"/>
      <c r="B142" s="142"/>
      <c r="C142" s="140"/>
      <c r="D142" s="140"/>
    </row>
    <row r="143" spans="1:4" ht="13.5" customHeight="1">
      <c r="A143" s="140"/>
      <c r="B143" s="142"/>
      <c r="C143" s="140"/>
      <c r="D143" s="140"/>
    </row>
    <row r="144" spans="1:4" ht="13.5" customHeight="1">
      <c r="A144" s="140"/>
      <c r="B144" s="142"/>
      <c r="C144" s="140"/>
      <c r="D144" s="140"/>
    </row>
    <row r="145" spans="1:4" ht="13.5" customHeight="1">
      <c r="A145" s="140"/>
      <c r="B145" s="142"/>
      <c r="C145" s="140"/>
      <c r="D145" s="140"/>
    </row>
    <row r="146" spans="1:4" ht="13.5" customHeight="1">
      <c r="A146" s="140"/>
      <c r="B146" s="142"/>
      <c r="C146" s="140"/>
      <c r="D146" s="140"/>
    </row>
    <row r="147" spans="1:4" ht="13.5" customHeight="1">
      <c r="A147" s="140"/>
      <c r="B147" s="142"/>
      <c r="C147" s="140"/>
      <c r="D147" s="140"/>
    </row>
    <row r="148" spans="1:4" ht="13.5" customHeight="1">
      <c r="A148" s="140"/>
      <c r="B148" s="142"/>
      <c r="C148" s="140"/>
      <c r="D148" s="140"/>
    </row>
    <row r="149" spans="1:4" ht="13.5" customHeight="1">
      <c r="A149" s="140"/>
      <c r="B149" s="142"/>
      <c r="C149" s="140"/>
      <c r="D149" s="140"/>
    </row>
    <row r="150" spans="1:4" ht="13.5" customHeight="1">
      <c r="A150" s="140"/>
      <c r="B150" s="142"/>
      <c r="C150" s="140"/>
      <c r="D150" s="140"/>
    </row>
    <row r="151" spans="1:4" ht="13.5" customHeight="1">
      <c r="A151" s="140"/>
      <c r="B151" s="142"/>
      <c r="C151" s="140"/>
      <c r="D151" s="140"/>
    </row>
    <row r="152" spans="1:4" ht="13.5" customHeight="1">
      <c r="A152" s="140"/>
      <c r="B152" s="142"/>
      <c r="C152" s="140"/>
      <c r="D152" s="140"/>
    </row>
    <row r="153" spans="1:4" ht="13.5" customHeight="1">
      <c r="A153" s="140"/>
      <c r="B153" s="142"/>
      <c r="C153" s="140"/>
      <c r="D153" s="140"/>
    </row>
    <row r="154" spans="1:4" ht="13.5" customHeight="1">
      <c r="A154" s="140"/>
      <c r="B154" s="142"/>
      <c r="C154" s="140"/>
      <c r="D154" s="140"/>
    </row>
    <row r="155" spans="1:4" ht="13.5" customHeight="1">
      <c r="A155" s="140"/>
      <c r="B155" s="142"/>
      <c r="C155" s="140"/>
      <c r="D155" s="140"/>
    </row>
    <row r="156" spans="1:4" ht="13.5" customHeight="1">
      <c r="A156" s="140"/>
      <c r="B156" s="142"/>
      <c r="C156" s="140"/>
      <c r="D156" s="140"/>
    </row>
    <row r="157" spans="1:4" ht="13.5" customHeight="1">
      <c r="A157" s="140"/>
      <c r="B157" s="142"/>
      <c r="C157" s="140"/>
      <c r="D157" s="140"/>
    </row>
    <row r="158" spans="1:4" ht="13.5" customHeight="1">
      <c r="A158" s="140"/>
      <c r="B158" s="142"/>
      <c r="C158" s="140"/>
      <c r="D158" s="140"/>
    </row>
    <row r="159" spans="1:4" ht="13.5" customHeight="1">
      <c r="A159" s="140"/>
      <c r="B159" s="142"/>
      <c r="C159" s="140"/>
      <c r="D159" s="140"/>
    </row>
    <row r="160" spans="1:4" ht="13.5" customHeight="1">
      <c r="A160" s="140"/>
      <c r="B160" s="142"/>
      <c r="C160" s="140"/>
      <c r="D160" s="140"/>
    </row>
    <row r="161" spans="1:4" ht="13.5" customHeight="1">
      <c r="A161" s="140"/>
      <c r="B161" s="142"/>
      <c r="C161" s="140"/>
      <c r="D161" s="140"/>
    </row>
    <row r="162" spans="1:4" ht="13.5" customHeight="1">
      <c r="A162" s="140"/>
      <c r="B162" s="142"/>
      <c r="C162" s="140"/>
      <c r="D162" s="140"/>
    </row>
    <row r="163" spans="1:4" ht="13.5" customHeight="1">
      <c r="A163" s="140"/>
      <c r="B163" s="142"/>
      <c r="C163" s="140"/>
      <c r="D163" s="140"/>
    </row>
    <row r="164" spans="1:4" ht="13.5" customHeight="1">
      <c r="A164" s="140"/>
      <c r="B164" s="142"/>
      <c r="C164" s="140"/>
      <c r="D164" s="140"/>
    </row>
    <row r="165" spans="1:4" ht="13.5" customHeight="1">
      <c r="A165" s="140"/>
      <c r="B165" s="142"/>
      <c r="C165" s="140"/>
      <c r="D165" s="140"/>
    </row>
    <row r="166" spans="1:4" ht="13.5" customHeight="1">
      <c r="A166" s="140"/>
      <c r="B166" s="142"/>
      <c r="C166" s="140"/>
      <c r="D166" s="140"/>
    </row>
    <row r="167" spans="1:4" ht="13.5" customHeight="1">
      <c r="A167" s="140"/>
      <c r="B167" s="142"/>
      <c r="C167" s="140"/>
      <c r="D167" s="140"/>
    </row>
    <row r="168" spans="1:4" ht="13.5" customHeight="1">
      <c r="A168" s="140"/>
      <c r="B168" s="142"/>
      <c r="C168" s="140"/>
      <c r="D168" s="140"/>
    </row>
    <row r="169" spans="1:4" ht="13.5" customHeight="1">
      <c r="A169" s="140"/>
      <c r="B169" s="142"/>
      <c r="C169" s="140"/>
      <c r="D169" s="140"/>
    </row>
    <row r="170" spans="1:4" ht="13.5" customHeight="1">
      <c r="A170" s="140"/>
      <c r="B170" s="142"/>
      <c r="C170" s="140"/>
      <c r="D170" s="140"/>
    </row>
    <row r="171" spans="1:4" ht="13.5" customHeight="1">
      <c r="A171" s="140"/>
      <c r="B171" s="142"/>
      <c r="C171" s="140"/>
      <c r="D171" s="140"/>
    </row>
    <row r="172" spans="1:4" ht="13.5" customHeight="1">
      <c r="A172" s="140"/>
      <c r="B172" s="142"/>
      <c r="C172" s="140"/>
      <c r="D172" s="140"/>
    </row>
    <row r="173" spans="1:4" ht="13.5" customHeight="1">
      <c r="A173" s="140"/>
      <c r="B173" s="142"/>
      <c r="C173" s="140"/>
      <c r="D173" s="140"/>
    </row>
    <row r="174" spans="1:4" ht="13.5" customHeight="1">
      <c r="A174" s="140"/>
      <c r="B174" s="142"/>
      <c r="C174" s="140"/>
      <c r="D174" s="140"/>
    </row>
    <row r="175" spans="1:4" ht="13.5" customHeight="1">
      <c r="A175" s="140"/>
      <c r="B175" s="142"/>
      <c r="C175" s="140"/>
      <c r="D175" s="140"/>
    </row>
    <row r="176" spans="1:4" ht="13.5" customHeight="1">
      <c r="A176" s="140"/>
      <c r="B176" s="142"/>
      <c r="C176" s="140"/>
      <c r="D176" s="140"/>
    </row>
    <row r="177" spans="1:4" ht="13.5" customHeight="1">
      <c r="A177" s="140"/>
      <c r="B177" s="142"/>
      <c r="C177" s="140"/>
      <c r="D177" s="140"/>
    </row>
    <row r="178" spans="1:4" ht="13.5" customHeight="1">
      <c r="A178" s="140"/>
      <c r="B178" s="142"/>
      <c r="C178" s="140"/>
      <c r="D178" s="140"/>
    </row>
    <row r="179" spans="1:4" ht="13.5" customHeight="1">
      <c r="A179" s="140"/>
      <c r="B179" s="142"/>
      <c r="C179" s="140"/>
      <c r="D179" s="140"/>
    </row>
    <row r="180" spans="1:4" ht="13.5" customHeight="1">
      <c r="A180" s="140"/>
      <c r="B180" s="142"/>
      <c r="C180" s="140"/>
      <c r="D180" s="140"/>
    </row>
    <row r="181" spans="1:4" ht="13.5" customHeight="1">
      <c r="A181" s="140"/>
      <c r="B181" s="142"/>
      <c r="C181" s="140"/>
      <c r="D181" s="140"/>
    </row>
    <row r="182" spans="1:4" ht="13.5" customHeight="1">
      <c r="A182" s="140"/>
      <c r="B182" s="142"/>
      <c r="C182" s="140"/>
      <c r="D182" s="140"/>
    </row>
    <row r="183" spans="1:4" ht="13.5" customHeight="1">
      <c r="A183" s="140"/>
      <c r="B183" s="142"/>
      <c r="C183" s="140"/>
      <c r="D183" s="140"/>
    </row>
    <row r="184" spans="1:4" ht="13.5" customHeight="1">
      <c r="A184" s="140"/>
      <c r="B184" s="142"/>
      <c r="C184" s="140"/>
      <c r="D184" s="140"/>
    </row>
    <row r="185" spans="1:4" ht="13.5" customHeight="1">
      <c r="A185" s="140"/>
      <c r="B185" s="142"/>
      <c r="C185" s="140"/>
      <c r="D185" s="140"/>
    </row>
    <row r="186" spans="1:4" ht="13.5" customHeight="1">
      <c r="A186" s="140"/>
      <c r="B186" s="142"/>
      <c r="C186" s="140"/>
      <c r="D186" s="140"/>
    </row>
    <row r="187" spans="1:4" ht="13.5" customHeight="1">
      <c r="A187" s="140"/>
      <c r="B187" s="142"/>
      <c r="C187" s="140"/>
      <c r="D187" s="140"/>
    </row>
    <row r="188" spans="1:4" ht="13.5" customHeight="1">
      <c r="A188" s="140"/>
      <c r="B188" s="142"/>
      <c r="C188" s="140"/>
      <c r="D188" s="140"/>
    </row>
    <row r="189" spans="1:4" ht="13.5" customHeight="1">
      <c r="A189" s="140"/>
      <c r="B189" s="142"/>
      <c r="C189" s="140"/>
      <c r="D189" s="140"/>
    </row>
    <row r="190" spans="1:4" ht="13.5" customHeight="1">
      <c r="A190" s="140"/>
      <c r="B190" s="142"/>
      <c r="C190" s="140"/>
      <c r="D190" s="140"/>
    </row>
    <row r="191" spans="1:4" ht="13.5" customHeight="1">
      <c r="A191" s="140"/>
      <c r="B191" s="142"/>
      <c r="C191" s="140"/>
      <c r="D191" s="140"/>
    </row>
    <row r="192" spans="1:4" ht="13.5" customHeight="1">
      <c r="A192" s="140"/>
      <c r="B192" s="142"/>
      <c r="C192" s="140"/>
      <c r="D192" s="140"/>
    </row>
    <row r="193" spans="1:4" ht="13.5" customHeight="1">
      <c r="A193" s="140"/>
      <c r="B193" s="142"/>
      <c r="C193" s="140"/>
      <c r="D193" s="140"/>
    </row>
    <row r="194" spans="1:4" ht="13.5" customHeight="1">
      <c r="A194" s="140"/>
      <c r="B194" s="142"/>
      <c r="C194" s="140"/>
      <c r="D194" s="140"/>
    </row>
    <row r="195" spans="1:4" ht="13.5" customHeight="1">
      <c r="A195" s="140"/>
      <c r="B195" s="142"/>
      <c r="C195" s="140"/>
      <c r="D195" s="140"/>
    </row>
    <row r="196" spans="1:4" ht="13.5" customHeight="1">
      <c r="A196" s="140"/>
      <c r="B196" s="142"/>
      <c r="C196" s="140"/>
      <c r="D196" s="140"/>
    </row>
    <row r="197" spans="1:4" ht="13.5" customHeight="1">
      <c r="A197" s="140"/>
      <c r="B197" s="142"/>
      <c r="C197" s="140"/>
      <c r="D197" s="140"/>
    </row>
    <row r="198" spans="1:4" ht="13.5" customHeight="1">
      <c r="A198" s="140"/>
      <c r="B198" s="142"/>
      <c r="C198" s="140"/>
      <c r="D198" s="140"/>
    </row>
    <row r="199" spans="1:4" ht="13.5" customHeight="1">
      <c r="A199" s="140"/>
      <c r="B199" s="142"/>
      <c r="C199" s="140"/>
      <c r="D199" s="140"/>
    </row>
    <row r="200" spans="1:4" ht="13.5" customHeight="1">
      <c r="A200" s="140"/>
      <c r="B200" s="142"/>
      <c r="C200" s="140"/>
      <c r="D200" s="140"/>
    </row>
    <row r="201" spans="1:4" ht="13.5" customHeight="1">
      <c r="A201" s="140"/>
      <c r="B201" s="142"/>
      <c r="C201" s="140"/>
      <c r="D201" s="140"/>
    </row>
    <row r="202" spans="1:4" ht="13.5" customHeight="1">
      <c r="A202" s="140"/>
      <c r="B202" s="142"/>
      <c r="C202" s="140"/>
      <c r="D202" s="140"/>
    </row>
    <row r="203" spans="1:4" ht="13.5" customHeight="1">
      <c r="A203" s="140"/>
      <c r="B203" s="142"/>
      <c r="C203" s="140"/>
      <c r="D203" s="140"/>
    </row>
    <row r="204" spans="1:4" ht="13.5" customHeight="1">
      <c r="A204" s="140"/>
      <c r="B204" s="142"/>
      <c r="C204" s="140"/>
      <c r="D204" s="140"/>
    </row>
    <row r="205" spans="1:4" ht="13.5" customHeight="1">
      <c r="A205" s="140"/>
      <c r="B205" s="142"/>
      <c r="C205" s="140"/>
      <c r="D205" s="140"/>
    </row>
    <row r="206" spans="1:4" ht="13.5" customHeight="1">
      <c r="A206" s="140"/>
      <c r="B206" s="142"/>
      <c r="C206" s="140"/>
      <c r="D206" s="140"/>
    </row>
    <row r="207" spans="1:4" ht="13.5" customHeight="1">
      <c r="A207" s="140"/>
      <c r="B207" s="142"/>
      <c r="C207" s="140"/>
      <c r="D207" s="140"/>
    </row>
    <row r="208" spans="1:4" ht="13.5" customHeight="1">
      <c r="A208" s="140"/>
      <c r="B208" s="142"/>
      <c r="C208" s="140"/>
      <c r="D208" s="140"/>
    </row>
    <row r="209" spans="1:4" ht="13.5" customHeight="1">
      <c r="A209" s="140"/>
      <c r="B209" s="142"/>
      <c r="C209" s="140"/>
      <c r="D209" s="140"/>
    </row>
    <row r="210" spans="1:4" ht="13.5" customHeight="1">
      <c r="A210" s="140"/>
      <c r="B210" s="142"/>
      <c r="C210" s="140"/>
      <c r="D210" s="140"/>
    </row>
    <row r="211" spans="1:4" ht="13.5" customHeight="1">
      <c r="A211" s="140"/>
      <c r="B211" s="142"/>
      <c r="C211" s="140"/>
      <c r="D211" s="140"/>
    </row>
    <row r="212" spans="1:4" ht="13.5" customHeight="1">
      <c r="A212" s="140"/>
      <c r="B212" s="142"/>
      <c r="C212" s="140"/>
      <c r="D212" s="140"/>
    </row>
    <row r="213" spans="1:4" ht="13.5" customHeight="1">
      <c r="A213" s="140"/>
      <c r="B213" s="142"/>
      <c r="C213" s="140"/>
      <c r="D213" s="140"/>
    </row>
    <row r="214" spans="1:4" ht="13.5" customHeight="1">
      <c r="A214" s="140"/>
      <c r="B214" s="142"/>
      <c r="C214" s="140"/>
      <c r="D214" s="140"/>
    </row>
    <row r="215" spans="1:4" ht="13.5" customHeight="1">
      <c r="A215" s="140"/>
      <c r="B215" s="142"/>
      <c r="C215" s="140"/>
      <c r="D215" s="140"/>
    </row>
    <row r="216" spans="1:4" ht="13.5" customHeight="1">
      <c r="A216" s="140"/>
      <c r="B216" s="142"/>
      <c r="C216" s="140"/>
      <c r="D216" s="140"/>
    </row>
    <row r="217" spans="1:4" ht="13.5" customHeight="1">
      <c r="A217" s="140"/>
      <c r="B217" s="142"/>
      <c r="C217" s="140"/>
      <c r="D217" s="140"/>
    </row>
    <row r="218" spans="1:4" ht="13.5" customHeight="1">
      <c r="A218" s="140"/>
      <c r="B218" s="142"/>
      <c r="C218" s="140"/>
      <c r="D218" s="140"/>
    </row>
    <row r="219" spans="1:4" ht="13.5" customHeight="1">
      <c r="A219" s="140"/>
      <c r="B219" s="142"/>
      <c r="C219" s="140"/>
      <c r="D219" s="140"/>
    </row>
    <row r="220" spans="1:4" ht="13.5" customHeight="1">
      <c r="A220" s="140"/>
      <c r="B220" s="142"/>
      <c r="C220" s="140"/>
      <c r="D220" s="140"/>
    </row>
  </sheetData>
  <phoneticPr fontId="3"/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K125"/>
  <sheetViews>
    <sheetView zoomScale="80" zoomScaleNormal="80" workbookViewId="0">
      <pane xSplit="3" ySplit="12" topLeftCell="D13" activePane="bottomRight" state="frozen"/>
      <selection pane="topRight" activeCell="D1" sqref="D1"/>
      <selection pane="bottomLeft" activeCell="A13" sqref="A13"/>
      <selection pane="bottomRight" activeCell="N123" sqref="N123"/>
    </sheetView>
  </sheetViews>
  <sheetFormatPr defaultColWidth="9" defaultRowHeight="13.2"/>
  <cols>
    <col min="1" max="2" width="6.6640625" style="2" customWidth="1"/>
    <col min="3" max="3" width="50.6640625" style="2" customWidth="1"/>
    <col min="4" max="4" width="10.109375" style="2" bestFit="1" customWidth="1"/>
    <col min="5" max="5" width="6.6640625" style="2" customWidth="1"/>
    <col min="6" max="6" width="9" style="2"/>
    <col min="7" max="7" width="9.6640625" style="5" customWidth="1"/>
    <col min="8" max="16384" width="9" style="2"/>
  </cols>
  <sheetData>
    <row r="1" spans="1:11" s="16" customFormat="1">
      <c r="C1" s="42"/>
      <c r="G1" s="2" t="s">
        <v>2035</v>
      </c>
      <c r="H1" s="144">
        <v>44926</v>
      </c>
      <c r="I1" s="144"/>
    </row>
    <row r="2" spans="1:11" s="16" customFormat="1">
      <c r="C2" s="42"/>
      <c r="D2" s="32"/>
      <c r="E2" s="32"/>
      <c r="G2" s="2" t="s">
        <v>2036</v>
      </c>
      <c r="H2" s="144">
        <v>44791</v>
      </c>
      <c r="I2" s="144"/>
      <c r="J2" s="4">
        <v>791</v>
      </c>
      <c r="K2" s="2" t="e">
        <f ca="1">[1]!T担当者(J2)</f>
        <v>#NAME?</v>
      </c>
    </row>
    <row r="3" spans="1:11" s="16" customFormat="1">
      <c r="C3" s="42"/>
      <c r="D3" s="32"/>
      <c r="E3" s="41"/>
      <c r="G3" s="2" t="s">
        <v>2247</v>
      </c>
      <c r="H3" s="144">
        <v>44792</v>
      </c>
      <c r="I3" s="144"/>
      <c r="J3" s="4">
        <v>791</v>
      </c>
      <c r="K3" s="2" t="e">
        <f ca="1">[1]!T担当者(J3)</f>
        <v>#NAME?</v>
      </c>
    </row>
    <row r="4" spans="1:11" s="16" customFormat="1">
      <c r="D4" s="32"/>
      <c r="E4" s="32"/>
      <c r="F4" s="81"/>
      <c r="G4" s="2" t="s">
        <v>2230</v>
      </c>
      <c r="H4" s="144">
        <v>44791</v>
      </c>
      <c r="I4" s="145"/>
      <c r="J4" s="4">
        <v>791</v>
      </c>
      <c r="K4" s="2" t="e">
        <f ca="1">[1]!T担当者(J4)</f>
        <v>#NAME?</v>
      </c>
    </row>
    <row r="5" spans="1:11" s="16" customFormat="1">
      <c r="C5" s="81" t="s">
        <v>1939</v>
      </c>
      <c r="D5" s="32"/>
      <c r="E5" s="41"/>
      <c r="G5" s="19"/>
    </row>
    <row r="6" spans="1:11" s="16" customFormat="1">
      <c r="C6" s="18"/>
      <c r="D6" s="32"/>
      <c r="E6" s="41"/>
      <c r="G6" s="19"/>
    </row>
    <row r="7" spans="1:11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</row>
    <row r="8" spans="1:11">
      <c r="A8" s="117"/>
      <c r="B8" s="117"/>
      <c r="C8" s="117"/>
      <c r="D8" s="117"/>
      <c r="E8" s="117"/>
      <c r="F8" s="2" t="s">
        <v>2002</v>
      </c>
      <c r="G8" s="2" t="s">
        <v>1999</v>
      </c>
      <c r="H8" s="2" t="s">
        <v>2002</v>
      </c>
      <c r="I8" s="2" t="s">
        <v>2002</v>
      </c>
      <c r="J8" s="2" t="s">
        <v>2002</v>
      </c>
    </row>
    <row r="9" spans="1:11">
      <c r="C9" s="2" t="s">
        <v>1401</v>
      </c>
      <c r="F9" s="56" t="s">
        <v>1939</v>
      </c>
      <c r="H9" s="56" t="s">
        <v>1939</v>
      </c>
      <c r="I9" s="56" t="s">
        <v>1939</v>
      </c>
      <c r="J9" s="56" t="s">
        <v>1939</v>
      </c>
    </row>
    <row r="10" spans="1:11" s="55" customFormat="1">
      <c r="F10" s="57" t="s">
        <v>1944</v>
      </c>
      <c r="G10" s="57" t="s">
        <v>1944</v>
      </c>
      <c r="H10" s="57" t="s">
        <v>1944</v>
      </c>
      <c r="I10" s="57" t="s">
        <v>1944</v>
      </c>
      <c r="J10" s="57" t="s">
        <v>1944</v>
      </c>
    </row>
    <row r="11" spans="1:11" s="15" customFormat="1">
      <c r="A11" s="35"/>
      <c r="B11" s="35"/>
      <c r="C11" s="34"/>
      <c r="D11" s="34"/>
      <c r="E11" s="34"/>
      <c r="F11" s="50" t="s">
        <v>1683</v>
      </c>
      <c r="G11" s="50" t="s">
        <v>1683</v>
      </c>
      <c r="H11" s="50" t="s">
        <v>1683</v>
      </c>
      <c r="I11" s="50" t="s">
        <v>1683</v>
      </c>
      <c r="J11" s="50" t="s">
        <v>1683</v>
      </c>
    </row>
    <row r="12" spans="1:11" s="15" customFormat="1" ht="39.9" customHeight="1">
      <c r="A12" s="13" t="s">
        <v>1431</v>
      </c>
      <c r="B12" s="13" t="s">
        <v>1410</v>
      </c>
      <c r="C12" s="13" t="s">
        <v>480</v>
      </c>
      <c r="D12" s="13" t="s">
        <v>4</v>
      </c>
      <c r="E12" s="13" t="s">
        <v>486</v>
      </c>
      <c r="F12" s="14" t="s">
        <v>1935</v>
      </c>
      <c r="G12" s="13" t="s">
        <v>2242</v>
      </c>
      <c r="H12" s="14" t="s">
        <v>2216</v>
      </c>
      <c r="I12" s="14" t="s">
        <v>2215</v>
      </c>
      <c r="J12" s="14" t="s">
        <v>1938</v>
      </c>
    </row>
    <row r="13" spans="1:11" ht="13.5" customHeight="1">
      <c r="A13" s="7">
        <v>1</v>
      </c>
      <c r="B13" s="7"/>
      <c r="C13" s="7" t="s">
        <v>3512</v>
      </c>
      <c r="D13" s="7" t="s">
        <v>3801</v>
      </c>
      <c r="E13" s="7" t="s">
        <v>1682</v>
      </c>
      <c r="F13" s="7">
        <v>5202000</v>
      </c>
      <c r="G13" s="7">
        <v>416237</v>
      </c>
      <c r="H13" s="7"/>
      <c r="I13" s="7">
        <v>3700</v>
      </c>
      <c r="J13" s="7"/>
    </row>
    <row r="14" spans="1:11" ht="13.5" customHeight="1">
      <c r="A14" s="7">
        <v>2</v>
      </c>
      <c r="B14" s="7"/>
      <c r="C14" s="7" t="s">
        <v>3513</v>
      </c>
      <c r="D14" s="7" t="s">
        <v>3802</v>
      </c>
      <c r="E14" s="7" t="s">
        <v>1682</v>
      </c>
      <c r="F14" s="7">
        <v>5202000</v>
      </c>
      <c r="G14" s="7">
        <v>416238</v>
      </c>
      <c r="H14" s="7"/>
      <c r="I14" s="7">
        <v>5700</v>
      </c>
      <c r="J14" s="7"/>
    </row>
    <row r="15" spans="1:11" ht="13.5" customHeight="1">
      <c r="A15" s="7">
        <v>3</v>
      </c>
      <c r="B15" s="7"/>
      <c r="C15" s="7" t="s">
        <v>3514</v>
      </c>
      <c r="D15" s="7" t="s">
        <v>3803</v>
      </c>
      <c r="E15" s="7" t="s">
        <v>1682</v>
      </c>
      <c r="F15" s="7">
        <v>5202000</v>
      </c>
      <c r="G15" s="7">
        <v>416239</v>
      </c>
      <c r="H15" s="7"/>
      <c r="I15" s="7">
        <v>3700</v>
      </c>
      <c r="J15" s="7"/>
    </row>
    <row r="16" spans="1:11" ht="13.5" customHeight="1">
      <c r="A16" s="7">
        <v>4</v>
      </c>
      <c r="B16" s="7"/>
      <c r="C16" s="7" t="s">
        <v>3515</v>
      </c>
      <c r="D16" s="7" t="s">
        <v>3804</v>
      </c>
      <c r="E16" s="7" t="s">
        <v>1682</v>
      </c>
      <c r="F16" s="7">
        <v>5202000</v>
      </c>
      <c r="G16" s="7">
        <v>416240</v>
      </c>
      <c r="H16" s="7"/>
      <c r="I16" s="7">
        <v>5200</v>
      </c>
      <c r="J16" s="7"/>
    </row>
    <row r="17" spans="1:10" ht="13.5" customHeight="1">
      <c r="A17" s="7">
        <v>5</v>
      </c>
      <c r="B17" s="7"/>
      <c r="C17" s="7" t="s">
        <v>3945</v>
      </c>
      <c r="D17" s="7" t="s">
        <v>3805</v>
      </c>
      <c r="E17" s="7" t="s">
        <v>1682</v>
      </c>
      <c r="F17" s="7">
        <v>5202000</v>
      </c>
      <c r="G17" s="7">
        <v>416103</v>
      </c>
      <c r="H17" s="7"/>
      <c r="I17" s="7">
        <v>4000</v>
      </c>
      <c r="J17" s="7"/>
    </row>
    <row r="18" spans="1:10" ht="13.5" customHeight="1">
      <c r="A18" s="7">
        <v>6</v>
      </c>
      <c r="B18" s="7"/>
      <c r="C18" s="7" t="s">
        <v>3516</v>
      </c>
      <c r="D18" s="7"/>
      <c r="E18" s="7" t="s">
        <v>1682</v>
      </c>
      <c r="F18" s="7">
        <v>5202000</v>
      </c>
      <c r="G18" s="7">
        <v>416104</v>
      </c>
      <c r="H18" s="7"/>
      <c r="I18" s="7">
        <v>5000</v>
      </c>
      <c r="J18" s="7"/>
    </row>
    <row r="19" spans="1:10" ht="13.5" customHeight="1">
      <c r="A19" s="7">
        <v>7</v>
      </c>
      <c r="B19" s="7"/>
      <c r="C19" s="7" t="s">
        <v>3517</v>
      </c>
      <c r="D19" s="7" t="s">
        <v>3806</v>
      </c>
      <c r="E19" s="7" t="s">
        <v>1682</v>
      </c>
      <c r="F19" s="7">
        <v>5202000</v>
      </c>
      <c r="G19" s="7">
        <v>416105</v>
      </c>
      <c r="H19" s="7"/>
      <c r="I19" s="7">
        <v>5000</v>
      </c>
      <c r="J19" s="7"/>
    </row>
    <row r="20" spans="1:10" ht="13.5" customHeight="1">
      <c r="A20" s="7">
        <v>8</v>
      </c>
      <c r="B20" s="7"/>
      <c r="C20" s="7" t="s">
        <v>3518</v>
      </c>
      <c r="D20" s="7"/>
      <c r="E20" s="7" t="s">
        <v>1682</v>
      </c>
      <c r="F20" s="7">
        <v>5202000</v>
      </c>
      <c r="G20" s="7">
        <v>416106</v>
      </c>
      <c r="H20" s="7"/>
      <c r="I20" s="7">
        <v>5000</v>
      </c>
      <c r="J20" s="7"/>
    </row>
    <row r="21" spans="1:10" ht="13.5" customHeight="1">
      <c r="A21" s="7">
        <v>9</v>
      </c>
      <c r="B21" s="7"/>
      <c r="C21" s="7" t="s">
        <v>3519</v>
      </c>
      <c r="D21" s="7" t="s">
        <v>3807</v>
      </c>
      <c r="E21" s="7" t="s">
        <v>1682</v>
      </c>
      <c r="F21" s="7">
        <v>5202000</v>
      </c>
      <c r="G21" s="7">
        <v>416107</v>
      </c>
      <c r="H21" s="7"/>
      <c r="I21" s="7">
        <v>3700</v>
      </c>
      <c r="J21" s="7"/>
    </row>
    <row r="22" spans="1:10" ht="13.5" customHeight="1">
      <c r="A22" s="7">
        <v>10</v>
      </c>
      <c r="B22" s="7"/>
      <c r="C22" s="7" t="s">
        <v>3520</v>
      </c>
      <c r="D22" s="7" t="s">
        <v>3808</v>
      </c>
      <c r="E22" s="7" t="s">
        <v>1682</v>
      </c>
      <c r="F22" s="7">
        <v>5202000</v>
      </c>
      <c r="G22" s="7">
        <v>416108</v>
      </c>
      <c r="H22" s="7"/>
      <c r="I22" s="7">
        <v>3700</v>
      </c>
      <c r="J22" s="7"/>
    </row>
    <row r="23" spans="1:10" ht="13.5" customHeight="1">
      <c r="A23" s="7">
        <v>11</v>
      </c>
      <c r="B23" s="7"/>
      <c r="C23" s="7" t="s">
        <v>3946</v>
      </c>
      <c r="D23" s="7" t="s">
        <v>3809</v>
      </c>
      <c r="E23" s="7" t="s">
        <v>1682</v>
      </c>
      <c r="F23" s="7">
        <v>5202000</v>
      </c>
      <c r="G23" s="7">
        <v>416109</v>
      </c>
      <c r="H23" s="7"/>
      <c r="I23" s="7">
        <v>3700</v>
      </c>
      <c r="J23" s="7"/>
    </row>
    <row r="24" spans="1:10" ht="13.5" customHeight="1">
      <c r="A24" s="7">
        <v>12</v>
      </c>
      <c r="B24" s="7"/>
      <c r="C24" s="7" t="s">
        <v>3521</v>
      </c>
      <c r="D24" s="7" t="s">
        <v>3810</v>
      </c>
      <c r="E24" s="7" t="s">
        <v>1682</v>
      </c>
      <c r="F24" s="7">
        <v>5202000</v>
      </c>
      <c r="G24" s="7">
        <v>416110</v>
      </c>
      <c r="H24" s="7"/>
      <c r="I24" s="7">
        <v>3300</v>
      </c>
      <c r="J24" s="7"/>
    </row>
    <row r="25" spans="1:10" ht="13.5" customHeight="1">
      <c r="A25" s="7">
        <v>13</v>
      </c>
      <c r="B25" s="7"/>
      <c r="C25" s="7" t="s">
        <v>3947</v>
      </c>
      <c r="D25" s="7" t="s">
        <v>3811</v>
      </c>
      <c r="E25" s="7" t="s">
        <v>1682</v>
      </c>
      <c r="F25" s="7">
        <v>5202000</v>
      </c>
      <c r="G25" s="7">
        <v>416111</v>
      </c>
      <c r="H25" s="7"/>
      <c r="I25" s="7">
        <v>3200</v>
      </c>
      <c r="J25" s="7"/>
    </row>
    <row r="26" spans="1:10" ht="13.5" customHeight="1">
      <c r="A26" s="7">
        <v>14</v>
      </c>
      <c r="B26" s="7"/>
      <c r="C26" s="7" t="s">
        <v>3522</v>
      </c>
      <c r="D26" s="7" t="s">
        <v>3812</v>
      </c>
      <c r="E26" s="7" t="s">
        <v>1682</v>
      </c>
      <c r="F26" s="7">
        <v>5202000</v>
      </c>
      <c r="G26" s="7">
        <v>416112</v>
      </c>
      <c r="H26" s="7"/>
      <c r="I26" s="7">
        <v>6000</v>
      </c>
      <c r="J26" s="7"/>
    </row>
    <row r="27" spans="1:10" ht="13.5" customHeight="1">
      <c r="A27" s="7">
        <v>15</v>
      </c>
      <c r="B27" s="7"/>
      <c r="C27" s="7" t="s">
        <v>3523</v>
      </c>
      <c r="D27" s="7" t="s">
        <v>3813</v>
      </c>
      <c r="E27" s="7" t="s">
        <v>1682</v>
      </c>
      <c r="F27" s="7">
        <v>5202000</v>
      </c>
      <c r="G27" s="7">
        <v>416113</v>
      </c>
      <c r="H27" s="7"/>
      <c r="I27" s="7">
        <v>4800</v>
      </c>
      <c r="J27" s="7"/>
    </row>
    <row r="28" spans="1:10" ht="13.5" customHeight="1">
      <c r="A28" s="7">
        <v>16</v>
      </c>
      <c r="B28" s="7"/>
      <c r="C28" s="7" t="s">
        <v>3524</v>
      </c>
      <c r="D28" s="7"/>
      <c r="E28" s="7" t="s">
        <v>1682</v>
      </c>
      <c r="F28" s="7">
        <v>5202000</v>
      </c>
      <c r="G28" s="7">
        <v>416114</v>
      </c>
      <c r="H28" s="7"/>
      <c r="I28" s="7">
        <v>3700</v>
      </c>
      <c r="J28" s="7"/>
    </row>
    <row r="29" spans="1:10" ht="13.5" customHeight="1">
      <c r="A29" s="7">
        <v>17</v>
      </c>
      <c r="B29" s="7"/>
      <c r="C29" s="7" t="s">
        <v>3525</v>
      </c>
      <c r="D29" s="7" t="s">
        <v>3814</v>
      </c>
      <c r="E29" s="7" t="s">
        <v>1682</v>
      </c>
      <c r="F29" s="7">
        <v>5202000</v>
      </c>
      <c r="G29" s="7">
        <v>416115</v>
      </c>
      <c r="H29" s="7"/>
      <c r="I29" s="7">
        <v>3900</v>
      </c>
      <c r="J29" s="7"/>
    </row>
    <row r="30" spans="1:10" ht="13.5" customHeight="1">
      <c r="A30" s="7">
        <v>18</v>
      </c>
      <c r="B30" s="7"/>
      <c r="C30" s="7" t="s">
        <v>3526</v>
      </c>
      <c r="D30" s="7" t="s">
        <v>3815</v>
      </c>
      <c r="E30" s="7" t="s">
        <v>1682</v>
      </c>
      <c r="F30" s="7">
        <v>5202000</v>
      </c>
      <c r="G30" s="7">
        <v>416116</v>
      </c>
      <c r="H30" s="7"/>
      <c r="I30" s="7">
        <v>3800</v>
      </c>
      <c r="J30" s="7"/>
    </row>
    <row r="31" spans="1:10" ht="13.5" customHeight="1">
      <c r="A31" s="7">
        <v>19</v>
      </c>
      <c r="B31" s="7"/>
      <c r="C31" s="7" t="s">
        <v>3527</v>
      </c>
      <c r="D31" s="7">
        <v>49701</v>
      </c>
      <c r="E31" s="7" t="s">
        <v>1682</v>
      </c>
      <c r="F31" s="7">
        <v>5202000</v>
      </c>
      <c r="G31" s="7">
        <v>416117</v>
      </c>
      <c r="H31" s="7"/>
      <c r="I31" s="7">
        <v>5000</v>
      </c>
      <c r="J31" s="7"/>
    </row>
    <row r="32" spans="1:10" ht="13.5" customHeight="1">
      <c r="A32" s="7">
        <v>20</v>
      </c>
      <c r="B32" s="7"/>
      <c r="C32" s="7" t="s">
        <v>3948</v>
      </c>
      <c r="D32" s="7" t="s">
        <v>3816</v>
      </c>
      <c r="E32" s="7" t="s">
        <v>1682</v>
      </c>
      <c r="F32" s="7">
        <v>5202000</v>
      </c>
      <c r="G32" s="7">
        <v>416118</v>
      </c>
      <c r="H32" s="7"/>
      <c r="I32" s="7">
        <v>5800</v>
      </c>
      <c r="J32" s="7"/>
    </row>
    <row r="33" spans="1:10" ht="13.5" customHeight="1">
      <c r="A33" s="7">
        <v>21</v>
      </c>
      <c r="B33" s="7"/>
      <c r="C33" s="7" t="s">
        <v>3528</v>
      </c>
      <c r="D33" s="7">
        <v>430199</v>
      </c>
      <c r="E33" s="7" t="s">
        <v>1682</v>
      </c>
      <c r="F33" s="7">
        <v>5202000</v>
      </c>
      <c r="G33" s="7">
        <v>416119</v>
      </c>
      <c r="H33" s="7"/>
      <c r="I33" s="7">
        <v>5000</v>
      </c>
      <c r="J33" s="7"/>
    </row>
    <row r="34" spans="1:10" ht="13.5" customHeight="1">
      <c r="A34" s="7">
        <v>22</v>
      </c>
      <c r="B34" s="7"/>
      <c r="C34" s="7" t="s">
        <v>3529</v>
      </c>
      <c r="D34" s="7"/>
      <c r="E34" s="7" t="s">
        <v>1682</v>
      </c>
      <c r="F34" s="7">
        <v>5202000</v>
      </c>
      <c r="G34" s="7">
        <v>416145</v>
      </c>
      <c r="H34" s="7"/>
      <c r="I34" s="7">
        <v>3500</v>
      </c>
      <c r="J34" s="7"/>
    </row>
    <row r="35" spans="1:10" ht="13.5" customHeight="1">
      <c r="A35" s="7">
        <v>23</v>
      </c>
      <c r="B35" s="7"/>
      <c r="C35" s="7" t="s">
        <v>3530</v>
      </c>
      <c r="D35" s="7"/>
      <c r="E35" s="7" t="s">
        <v>1682</v>
      </c>
      <c r="F35" s="7">
        <v>5202000</v>
      </c>
      <c r="G35" s="7">
        <v>416146</v>
      </c>
      <c r="H35" s="7"/>
      <c r="I35" s="7">
        <v>7000</v>
      </c>
      <c r="J35" s="7"/>
    </row>
    <row r="36" spans="1:10" ht="13.5" customHeight="1">
      <c r="A36" s="7">
        <v>24</v>
      </c>
      <c r="B36" s="7"/>
      <c r="C36" s="7" t="s">
        <v>3531</v>
      </c>
      <c r="D36" s="7" t="s">
        <v>3817</v>
      </c>
      <c r="E36" s="7" t="s">
        <v>1682</v>
      </c>
      <c r="F36" s="7">
        <v>5202000</v>
      </c>
      <c r="G36" s="7">
        <v>416147</v>
      </c>
      <c r="H36" s="7"/>
      <c r="I36" s="7">
        <v>6600</v>
      </c>
      <c r="J36" s="7"/>
    </row>
    <row r="37" spans="1:10" ht="13.5" customHeight="1">
      <c r="A37" s="7">
        <v>25</v>
      </c>
      <c r="B37" s="7"/>
      <c r="C37" s="7" t="s">
        <v>3532</v>
      </c>
      <c r="D37" s="7" t="s">
        <v>3818</v>
      </c>
      <c r="E37" s="7" t="s">
        <v>1682</v>
      </c>
      <c r="F37" s="7">
        <v>5202000</v>
      </c>
      <c r="G37" s="7">
        <v>416148</v>
      </c>
      <c r="H37" s="7"/>
      <c r="I37" s="7">
        <v>4400</v>
      </c>
      <c r="J37" s="7"/>
    </row>
    <row r="38" spans="1:10" ht="13.5" customHeight="1">
      <c r="A38" s="7">
        <v>26</v>
      </c>
      <c r="B38" s="7"/>
      <c r="C38" s="7" t="s">
        <v>3533</v>
      </c>
      <c r="D38" s="7" t="s">
        <v>3819</v>
      </c>
      <c r="E38" s="7" t="s">
        <v>1682</v>
      </c>
      <c r="F38" s="7">
        <v>5202000</v>
      </c>
      <c r="G38" s="7">
        <v>416149</v>
      </c>
      <c r="H38" s="7"/>
      <c r="I38" s="7">
        <v>5400</v>
      </c>
      <c r="J38" s="7"/>
    </row>
    <row r="39" spans="1:10" ht="13.5" customHeight="1">
      <c r="A39" s="7">
        <v>27</v>
      </c>
      <c r="B39" s="7"/>
      <c r="C39" s="7" t="s">
        <v>3534</v>
      </c>
      <c r="D39" s="7" t="s">
        <v>3820</v>
      </c>
      <c r="E39" s="7" t="s">
        <v>1682</v>
      </c>
      <c r="F39" s="7">
        <v>5202000</v>
      </c>
      <c r="G39" s="7">
        <v>416150</v>
      </c>
      <c r="H39" s="7"/>
      <c r="I39" s="7">
        <v>5000</v>
      </c>
      <c r="J39" s="7"/>
    </row>
    <row r="40" spans="1:10" ht="13.5" customHeight="1">
      <c r="A40" s="7">
        <v>28</v>
      </c>
      <c r="B40" s="7"/>
      <c r="C40" s="7" t="s">
        <v>3535</v>
      </c>
      <c r="D40" s="7" t="s">
        <v>3821</v>
      </c>
      <c r="E40" s="7" t="s">
        <v>1682</v>
      </c>
      <c r="F40" s="7">
        <v>5202000</v>
      </c>
      <c r="G40" s="7">
        <v>416151</v>
      </c>
      <c r="H40" s="7"/>
      <c r="I40" s="7">
        <v>4000</v>
      </c>
      <c r="J40" s="7"/>
    </row>
    <row r="41" spans="1:10" ht="13.5" customHeight="1">
      <c r="A41" s="7">
        <v>29</v>
      </c>
      <c r="B41" s="7"/>
      <c r="C41" s="7" t="s">
        <v>3949</v>
      </c>
      <c r="D41" s="7" t="s">
        <v>3822</v>
      </c>
      <c r="E41" s="7" t="s">
        <v>1682</v>
      </c>
      <c r="F41" s="7">
        <v>5202000</v>
      </c>
      <c r="G41" s="7">
        <v>416152</v>
      </c>
      <c r="H41" s="7"/>
      <c r="I41" s="7">
        <v>4800</v>
      </c>
      <c r="J41" s="7"/>
    </row>
    <row r="42" spans="1:10" ht="13.5" customHeight="1">
      <c r="A42" s="7">
        <v>30</v>
      </c>
      <c r="B42" s="7"/>
      <c r="C42" s="7" t="s">
        <v>3536</v>
      </c>
      <c r="D42" s="7" t="s">
        <v>3823</v>
      </c>
      <c r="E42" s="7" t="s">
        <v>1682</v>
      </c>
      <c r="F42" s="7">
        <v>5202000</v>
      </c>
      <c r="G42" s="7">
        <v>416153</v>
      </c>
      <c r="H42" s="7"/>
      <c r="I42" s="7">
        <v>3500</v>
      </c>
      <c r="J42" s="7"/>
    </row>
    <row r="43" spans="1:10" ht="13.5" customHeight="1">
      <c r="A43" s="7">
        <v>31</v>
      </c>
      <c r="B43" s="7"/>
      <c r="C43" s="7" t="s">
        <v>3537</v>
      </c>
      <c r="D43" s="7" t="s">
        <v>3824</v>
      </c>
      <c r="E43" s="7" t="s">
        <v>1682</v>
      </c>
      <c r="F43" s="7">
        <v>5202000</v>
      </c>
      <c r="G43" s="7">
        <v>416154</v>
      </c>
      <c r="H43" s="7"/>
      <c r="I43" s="7">
        <v>5000</v>
      </c>
      <c r="J43" s="7"/>
    </row>
    <row r="44" spans="1:10" ht="13.5" customHeight="1">
      <c r="A44" s="7">
        <v>32</v>
      </c>
      <c r="B44" s="7"/>
      <c r="C44" s="7" t="s">
        <v>3538</v>
      </c>
      <c r="D44" s="7" t="s">
        <v>3825</v>
      </c>
      <c r="E44" s="7" t="s">
        <v>1682</v>
      </c>
      <c r="F44" s="7">
        <v>5202000</v>
      </c>
      <c r="G44" s="7">
        <v>416155</v>
      </c>
      <c r="H44" s="7"/>
      <c r="I44" s="7">
        <v>3150</v>
      </c>
      <c r="J44" s="7"/>
    </row>
    <row r="45" spans="1:10" ht="13.5" customHeight="1">
      <c r="A45" s="7">
        <v>33</v>
      </c>
      <c r="B45" s="7"/>
      <c r="C45" s="7" t="s">
        <v>3539</v>
      </c>
      <c r="D45" s="7" t="s">
        <v>3826</v>
      </c>
      <c r="E45" s="7" t="s">
        <v>1682</v>
      </c>
      <c r="F45" s="7">
        <v>5202000</v>
      </c>
      <c r="G45" s="7">
        <v>416156</v>
      </c>
      <c r="H45" s="7"/>
      <c r="I45" s="7">
        <v>3800</v>
      </c>
      <c r="J45" s="7"/>
    </row>
    <row r="46" spans="1:10" ht="13.5" customHeight="1">
      <c r="A46" s="7">
        <v>34</v>
      </c>
      <c r="B46" s="7"/>
      <c r="C46" s="7" t="s">
        <v>3950</v>
      </c>
      <c r="D46" s="7" t="s">
        <v>3827</v>
      </c>
      <c r="E46" s="7" t="s">
        <v>1682</v>
      </c>
      <c r="F46" s="7">
        <v>5202000</v>
      </c>
      <c r="G46" s="7">
        <v>416157</v>
      </c>
      <c r="H46" s="7"/>
      <c r="I46" s="7">
        <v>3200</v>
      </c>
      <c r="J46" s="7"/>
    </row>
    <row r="47" spans="1:10" ht="13.5" customHeight="1">
      <c r="A47" s="7">
        <v>35</v>
      </c>
      <c r="B47" s="7"/>
      <c r="C47" s="7" t="s">
        <v>3951</v>
      </c>
      <c r="D47" s="7" t="s">
        <v>3828</v>
      </c>
      <c r="E47" s="7" t="s">
        <v>1682</v>
      </c>
      <c r="F47" s="7">
        <v>5202000</v>
      </c>
      <c r="G47" s="7">
        <v>416158</v>
      </c>
      <c r="H47" s="7"/>
      <c r="I47" s="7">
        <v>3700</v>
      </c>
      <c r="J47" s="7"/>
    </row>
    <row r="48" spans="1:10" ht="13.5" customHeight="1">
      <c r="A48" s="7">
        <v>36</v>
      </c>
      <c r="B48" s="7"/>
      <c r="C48" s="7" t="s">
        <v>3540</v>
      </c>
      <c r="D48" s="7" t="s">
        <v>3829</v>
      </c>
      <c r="E48" s="7" t="s">
        <v>1682</v>
      </c>
      <c r="F48" s="7">
        <v>5202000</v>
      </c>
      <c r="G48" s="7">
        <v>416159</v>
      </c>
      <c r="H48" s="7"/>
      <c r="I48" s="7">
        <v>5700</v>
      </c>
      <c r="J48" s="7"/>
    </row>
    <row r="49" spans="1:10" ht="13.5" customHeight="1">
      <c r="A49" s="7">
        <v>37</v>
      </c>
      <c r="B49" s="7"/>
      <c r="C49" s="7" t="s">
        <v>3541</v>
      </c>
      <c r="D49" s="7" t="s">
        <v>3830</v>
      </c>
      <c r="E49" s="7" t="s">
        <v>1682</v>
      </c>
      <c r="F49" s="7">
        <v>5202000</v>
      </c>
      <c r="G49" s="7">
        <v>416160</v>
      </c>
      <c r="H49" s="7"/>
      <c r="I49" s="7">
        <v>3700</v>
      </c>
      <c r="J49" s="7"/>
    </row>
    <row r="50" spans="1:10" ht="13.5" customHeight="1">
      <c r="A50" s="7">
        <v>38</v>
      </c>
      <c r="B50" s="7"/>
      <c r="C50" s="7" t="s">
        <v>3542</v>
      </c>
      <c r="D50" s="7" t="s">
        <v>3831</v>
      </c>
      <c r="E50" s="7" t="s">
        <v>1682</v>
      </c>
      <c r="F50" s="7">
        <v>5202000</v>
      </c>
      <c r="G50" s="7">
        <v>416161</v>
      </c>
      <c r="H50" s="7"/>
      <c r="I50" s="7">
        <v>5700</v>
      </c>
      <c r="J50" s="7"/>
    </row>
    <row r="51" spans="1:10" ht="13.5" customHeight="1">
      <c r="A51" s="7">
        <v>39</v>
      </c>
      <c r="B51" s="7"/>
      <c r="C51" s="7" t="s">
        <v>3543</v>
      </c>
      <c r="D51" s="7" t="s">
        <v>3832</v>
      </c>
      <c r="E51" s="7" t="s">
        <v>1682</v>
      </c>
      <c r="F51" s="7">
        <v>5202000</v>
      </c>
      <c r="G51" s="7">
        <v>416162</v>
      </c>
      <c r="H51" s="7"/>
      <c r="I51" s="7">
        <v>3700</v>
      </c>
      <c r="J51" s="7"/>
    </row>
    <row r="52" spans="1:10" ht="13.5" customHeight="1">
      <c r="A52" s="7">
        <v>40</v>
      </c>
      <c r="B52" s="7"/>
      <c r="C52" s="7" t="s">
        <v>3544</v>
      </c>
      <c r="D52" s="7" t="s">
        <v>3833</v>
      </c>
      <c r="E52" s="7" t="s">
        <v>1682</v>
      </c>
      <c r="F52" s="7">
        <v>5202000</v>
      </c>
      <c r="G52" s="7">
        <v>416163</v>
      </c>
      <c r="H52" s="7"/>
      <c r="I52" s="7">
        <v>4000</v>
      </c>
      <c r="J52" s="7"/>
    </row>
    <row r="53" spans="1:10" ht="13.5" customHeight="1">
      <c r="A53" s="7">
        <v>41</v>
      </c>
      <c r="B53" s="7"/>
      <c r="C53" s="7" t="s">
        <v>3545</v>
      </c>
      <c r="D53" s="7" t="s">
        <v>3834</v>
      </c>
      <c r="E53" s="7" t="s">
        <v>1682</v>
      </c>
      <c r="F53" s="7">
        <v>5202000</v>
      </c>
      <c r="G53" s="7">
        <v>416164</v>
      </c>
      <c r="H53" s="7"/>
      <c r="I53" s="7">
        <v>3400</v>
      </c>
      <c r="J53" s="7"/>
    </row>
    <row r="54" spans="1:10" ht="13.5" customHeight="1">
      <c r="A54" s="7">
        <v>42</v>
      </c>
      <c r="B54" s="7"/>
      <c r="C54" s="7" t="s">
        <v>3546</v>
      </c>
      <c r="D54" s="7" t="s">
        <v>3835</v>
      </c>
      <c r="E54" s="7" t="s">
        <v>1682</v>
      </c>
      <c r="F54" s="7">
        <v>5202000</v>
      </c>
      <c r="G54" s="7">
        <v>416165</v>
      </c>
      <c r="H54" s="7"/>
      <c r="I54" s="7">
        <v>3600</v>
      </c>
      <c r="J54" s="7"/>
    </row>
    <row r="55" spans="1:10" ht="13.5" customHeight="1">
      <c r="A55" s="7">
        <v>43</v>
      </c>
      <c r="B55" s="7"/>
      <c r="C55" s="7" t="s">
        <v>3952</v>
      </c>
      <c r="D55" s="7" t="s">
        <v>3836</v>
      </c>
      <c r="E55" s="7" t="s">
        <v>1682</v>
      </c>
      <c r="F55" s="7">
        <v>5202000</v>
      </c>
      <c r="G55" s="7">
        <v>416166</v>
      </c>
      <c r="H55" s="7"/>
      <c r="I55" s="7">
        <v>3800</v>
      </c>
      <c r="J55" s="7"/>
    </row>
    <row r="56" spans="1:10" ht="13.5" customHeight="1">
      <c r="A56" s="7">
        <v>44</v>
      </c>
      <c r="B56" s="7"/>
      <c r="C56" s="7" t="s">
        <v>3953</v>
      </c>
      <c r="D56" s="7" t="s">
        <v>3837</v>
      </c>
      <c r="E56" s="7" t="s">
        <v>1682</v>
      </c>
      <c r="F56" s="7">
        <v>5202000</v>
      </c>
      <c r="G56" s="7">
        <v>416167</v>
      </c>
      <c r="H56" s="7"/>
      <c r="I56" s="7">
        <v>3800</v>
      </c>
      <c r="J56" s="7"/>
    </row>
    <row r="57" spans="1:10" ht="13.5" customHeight="1">
      <c r="A57" s="7">
        <v>45</v>
      </c>
      <c r="B57" s="7"/>
      <c r="C57" s="7" t="s">
        <v>3954</v>
      </c>
      <c r="D57" s="7" t="s">
        <v>3838</v>
      </c>
      <c r="E57" s="7" t="s">
        <v>1682</v>
      </c>
      <c r="F57" s="7">
        <v>5202000</v>
      </c>
      <c r="G57" s="7">
        <v>416168</v>
      </c>
      <c r="H57" s="7"/>
      <c r="I57" s="7">
        <v>3200</v>
      </c>
      <c r="J57" s="7"/>
    </row>
    <row r="58" spans="1:10" ht="13.5" customHeight="1">
      <c r="A58" s="7">
        <v>46</v>
      </c>
      <c r="B58" s="7"/>
      <c r="C58" s="7" t="s">
        <v>3547</v>
      </c>
      <c r="D58" s="7" t="s">
        <v>3839</v>
      </c>
      <c r="E58" s="7" t="s">
        <v>1682</v>
      </c>
      <c r="F58" s="7">
        <v>5202000</v>
      </c>
      <c r="G58" s="7">
        <v>416169</v>
      </c>
      <c r="H58" s="7"/>
      <c r="I58" s="7">
        <v>3800</v>
      </c>
      <c r="J58" s="7"/>
    </row>
    <row r="59" spans="1:10" ht="13.5" customHeight="1">
      <c r="A59" s="7">
        <v>47</v>
      </c>
      <c r="B59" s="7"/>
      <c r="C59" s="7" t="s">
        <v>3548</v>
      </c>
      <c r="D59" s="7" t="s">
        <v>3840</v>
      </c>
      <c r="E59" s="7" t="s">
        <v>1682</v>
      </c>
      <c r="F59" s="7">
        <v>5202000</v>
      </c>
      <c r="G59" s="7">
        <v>416170</v>
      </c>
      <c r="H59" s="7"/>
      <c r="I59" s="7">
        <v>4400</v>
      </c>
      <c r="J59" s="7"/>
    </row>
    <row r="60" spans="1:10" ht="13.5" customHeight="1">
      <c r="A60" s="7">
        <v>48</v>
      </c>
      <c r="B60" s="7"/>
      <c r="C60" s="7" t="s">
        <v>3549</v>
      </c>
      <c r="D60" s="7" t="s">
        <v>3841</v>
      </c>
      <c r="E60" s="7" t="s">
        <v>1682</v>
      </c>
      <c r="F60" s="7">
        <v>5202000</v>
      </c>
      <c r="G60" s="7">
        <v>416171</v>
      </c>
      <c r="H60" s="7"/>
      <c r="I60" s="7">
        <v>5200</v>
      </c>
      <c r="J60" s="7"/>
    </row>
    <row r="61" spans="1:10" ht="13.5" customHeight="1">
      <c r="A61" s="7">
        <v>49</v>
      </c>
      <c r="B61" s="7"/>
      <c r="C61" s="7" t="s">
        <v>3550</v>
      </c>
      <c r="D61" s="7" t="s">
        <v>3842</v>
      </c>
      <c r="E61" s="7" t="s">
        <v>1682</v>
      </c>
      <c r="F61" s="7">
        <v>5202000</v>
      </c>
      <c r="G61" s="7">
        <v>416172</v>
      </c>
      <c r="H61" s="7"/>
      <c r="I61" s="7">
        <v>3000</v>
      </c>
      <c r="J61" s="7"/>
    </row>
    <row r="62" spans="1:10" ht="13.5" customHeight="1">
      <c r="A62" s="7">
        <v>50</v>
      </c>
      <c r="B62" s="7"/>
      <c r="C62" s="7" t="s">
        <v>3551</v>
      </c>
      <c r="D62" s="7" t="s">
        <v>3843</v>
      </c>
      <c r="E62" s="7" t="s">
        <v>1682</v>
      </c>
      <c r="F62" s="7">
        <v>5202000</v>
      </c>
      <c r="G62" s="7">
        <v>416173</v>
      </c>
      <c r="H62" s="7"/>
      <c r="I62" s="7">
        <v>4500</v>
      </c>
      <c r="J62" s="7"/>
    </row>
    <row r="63" spans="1:10" ht="13.5" customHeight="1">
      <c r="A63" s="7">
        <v>51</v>
      </c>
      <c r="B63" s="7"/>
      <c r="C63" s="7" t="s">
        <v>3552</v>
      </c>
      <c r="D63" s="7" t="s">
        <v>3844</v>
      </c>
      <c r="E63" s="7" t="s">
        <v>1682</v>
      </c>
      <c r="F63" s="7">
        <v>5202000</v>
      </c>
      <c r="G63" s="7">
        <v>416174</v>
      </c>
      <c r="H63" s="7"/>
      <c r="I63" s="7">
        <v>5200</v>
      </c>
      <c r="J63" s="7"/>
    </row>
    <row r="64" spans="1:10" ht="13.5" customHeight="1">
      <c r="A64" s="7">
        <v>52</v>
      </c>
      <c r="B64" s="7"/>
      <c r="C64" s="7" t="s">
        <v>3553</v>
      </c>
      <c r="D64" s="7" t="s">
        <v>3845</v>
      </c>
      <c r="E64" s="7" t="s">
        <v>1682</v>
      </c>
      <c r="F64" s="7">
        <v>5202000</v>
      </c>
      <c r="G64" s="7">
        <v>416175</v>
      </c>
      <c r="H64" s="7"/>
      <c r="I64" s="7">
        <v>3000</v>
      </c>
      <c r="J64" s="7"/>
    </row>
    <row r="65" spans="1:10" ht="13.5" customHeight="1">
      <c r="A65" s="7">
        <v>53</v>
      </c>
      <c r="B65" s="7"/>
      <c r="C65" s="7" t="s">
        <v>3554</v>
      </c>
      <c r="D65" s="7" t="s">
        <v>3846</v>
      </c>
      <c r="E65" s="7" t="s">
        <v>1682</v>
      </c>
      <c r="F65" s="7">
        <v>5202000</v>
      </c>
      <c r="G65" s="7">
        <v>416176</v>
      </c>
      <c r="H65" s="7"/>
      <c r="I65" s="7">
        <v>3700</v>
      </c>
      <c r="J65" s="7"/>
    </row>
    <row r="66" spans="1:10" ht="13.5" customHeight="1">
      <c r="A66" s="7">
        <v>54</v>
      </c>
      <c r="B66" s="7"/>
      <c r="C66" s="7" t="s">
        <v>3555</v>
      </c>
      <c r="D66" s="7" t="s">
        <v>3847</v>
      </c>
      <c r="E66" s="7" t="s">
        <v>1682</v>
      </c>
      <c r="F66" s="7">
        <v>5202000</v>
      </c>
      <c r="G66" s="7">
        <v>416177</v>
      </c>
      <c r="H66" s="7"/>
      <c r="I66" s="7">
        <v>3900</v>
      </c>
      <c r="J66" s="7"/>
    </row>
    <row r="67" spans="1:10" ht="13.5" customHeight="1">
      <c r="A67" s="7">
        <v>55</v>
      </c>
      <c r="B67" s="7"/>
      <c r="C67" s="7" t="s">
        <v>3556</v>
      </c>
      <c r="D67" s="7" t="s">
        <v>3848</v>
      </c>
      <c r="E67" s="7" t="s">
        <v>1682</v>
      </c>
      <c r="F67" s="7">
        <v>5202000</v>
      </c>
      <c r="G67" s="7">
        <v>416178</v>
      </c>
      <c r="H67" s="7"/>
      <c r="I67" s="7">
        <v>3250</v>
      </c>
      <c r="J67" s="7"/>
    </row>
    <row r="68" spans="1:10" ht="13.5" customHeight="1">
      <c r="A68" s="7">
        <v>56</v>
      </c>
      <c r="B68" s="7"/>
      <c r="C68" s="7" t="s">
        <v>3557</v>
      </c>
      <c r="D68" s="7" t="s">
        <v>3849</v>
      </c>
      <c r="E68" s="7" t="s">
        <v>1682</v>
      </c>
      <c r="F68" s="7">
        <v>5202000</v>
      </c>
      <c r="G68" s="7">
        <v>416179</v>
      </c>
      <c r="H68" s="7"/>
      <c r="I68" s="7">
        <v>8000</v>
      </c>
      <c r="J68" s="7"/>
    </row>
    <row r="69" spans="1:10" ht="13.5" customHeight="1">
      <c r="A69" s="7">
        <v>57</v>
      </c>
      <c r="B69" s="7"/>
      <c r="C69" s="7" t="s">
        <v>3558</v>
      </c>
      <c r="D69" s="7"/>
      <c r="E69" s="7" t="s">
        <v>1682</v>
      </c>
      <c r="F69" s="7">
        <v>5202000</v>
      </c>
      <c r="G69" s="7">
        <v>416180</v>
      </c>
      <c r="H69" s="7"/>
      <c r="I69" s="7">
        <v>9000</v>
      </c>
      <c r="J69" s="7"/>
    </row>
    <row r="70" spans="1:10" ht="13.5" customHeight="1">
      <c r="A70" s="7">
        <v>58</v>
      </c>
      <c r="B70" s="7"/>
      <c r="C70" s="7" t="s">
        <v>3559</v>
      </c>
      <c r="D70" s="7" t="s">
        <v>3850</v>
      </c>
      <c r="E70" s="7" t="s">
        <v>1682</v>
      </c>
      <c r="F70" s="7">
        <v>5202000</v>
      </c>
      <c r="G70" s="7">
        <v>416181</v>
      </c>
      <c r="H70" s="7"/>
      <c r="I70" s="7">
        <v>5400</v>
      </c>
      <c r="J70" s="7"/>
    </row>
    <row r="71" spans="1:10" ht="13.5" customHeight="1">
      <c r="A71" s="7">
        <v>59</v>
      </c>
      <c r="B71" s="7"/>
      <c r="C71" s="7" t="s">
        <v>3955</v>
      </c>
      <c r="D71" s="7" t="s">
        <v>3851</v>
      </c>
      <c r="E71" s="7" t="s">
        <v>1682</v>
      </c>
      <c r="F71" s="7">
        <v>5202000</v>
      </c>
      <c r="G71" s="7">
        <v>416182</v>
      </c>
      <c r="H71" s="7"/>
      <c r="I71" s="7">
        <v>4300</v>
      </c>
      <c r="J71" s="7"/>
    </row>
    <row r="72" spans="1:10" s="10" customFormat="1" ht="13.5" customHeight="1">
      <c r="A72" s="7">
        <v>60</v>
      </c>
      <c r="B72" s="7"/>
      <c r="C72" s="7" t="s">
        <v>3956</v>
      </c>
      <c r="D72" s="7"/>
      <c r="E72" s="7" t="s">
        <v>1682</v>
      </c>
      <c r="F72" s="7">
        <v>5202000</v>
      </c>
      <c r="G72" s="7">
        <v>416183</v>
      </c>
      <c r="H72" s="7"/>
      <c r="I72" s="7">
        <v>5000</v>
      </c>
      <c r="J72" s="7"/>
    </row>
    <row r="73" spans="1:10" ht="13.5" customHeight="1">
      <c r="A73" s="7">
        <v>61</v>
      </c>
      <c r="B73" s="7"/>
      <c r="C73" s="7" t="s">
        <v>3560</v>
      </c>
      <c r="D73" s="7"/>
      <c r="E73" s="7" t="s">
        <v>1682</v>
      </c>
      <c r="F73" s="7">
        <v>5202000</v>
      </c>
      <c r="G73" s="7">
        <v>416184</v>
      </c>
      <c r="H73" s="7"/>
      <c r="I73" s="7">
        <v>5000</v>
      </c>
      <c r="J73" s="7"/>
    </row>
    <row r="74" spans="1:10" ht="13.5" customHeight="1">
      <c r="A74" s="7">
        <v>62</v>
      </c>
      <c r="B74" s="7"/>
      <c r="C74" s="7" t="s">
        <v>3561</v>
      </c>
      <c r="D74" s="7" t="s">
        <v>3852</v>
      </c>
      <c r="E74" s="7" t="s">
        <v>1682</v>
      </c>
      <c r="F74" s="7">
        <v>5202000</v>
      </c>
      <c r="G74" s="7">
        <v>416185</v>
      </c>
      <c r="H74" s="7"/>
      <c r="I74" s="7">
        <v>4000</v>
      </c>
      <c r="J74" s="7"/>
    </row>
    <row r="75" spans="1:10" ht="13.5" customHeight="1">
      <c r="A75" s="7">
        <v>63</v>
      </c>
      <c r="B75" s="7"/>
      <c r="C75" s="7" t="s">
        <v>3957</v>
      </c>
      <c r="D75" s="7" t="s">
        <v>3853</v>
      </c>
      <c r="E75" s="7" t="s">
        <v>1682</v>
      </c>
      <c r="F75" s="7">
        <v>5202000</v>
      </c>
      <c r="G75" s="7">
        <v>416186</v>
      </c>
      <c r="H75" s="7"/>
      <c r="I75" s="7">
        <v>3000</v>
      </c>
      <c r="J75" s="7"/>
    </row>
    <row r="76" spans="1:10" ht="13.5" customHeight="1">
      <c r="A76" s="7">
        <v>64</v>
      </c>
      <c r="B76" s="7"/>
      <c r="C76" s="7" t="s">
        <v>3562</v>
      </c>
      <c r="D76" s="7" t="s">
        <v>3854</v>
      </c>
      <c r="E76" s="7" t="s">
        <v>1682</v>
      </c>
      <c r="F76" s="7">
        <v>5202000</v>
      </c>
      <c r="G76" s="7">
        <v>416187</v>
      </c>
      <c r="H76" s="7"/>
      <c r="I76" s="7">
        <v>4500</v>
      </c>
      <c r="J76" s="7"/>
    </row>
    <row r="77" spans="1:10" ht="13.5" customHeight="1">
      <c r="A77" s="7">
        <v>65</v>
      </c>
      <c r="B77" s="7"/>
      <c r="C77" s="7" t="s">
        <v>3563</v>
      </c>
      <c r="D77" s="7" t="s">
        <v>3855</v>
      </c>
      <c r="E77" s="7" t="s">
        <v>1682</v>
      </c>
      <c r="F77" s="7">
        <v>5202000</v>
      </c>
      <c r="G77" s="7">
        <v>416188</v>
      </c>
      <c r="H77" s="7"/>
      <c r="I77" s="7">
        <v>5000</v>
      </c>
      <c r="J77" s="7"/>
    </row>
    <row r="78" spans="1:10" ht="13.5" customHeight="1">
      <c r="A78" s="7">
        <v>66</v>
      </c>
      <c r="B78" s="7"/>
      <c r="C78" s="7" t="s">
        <v>3564</v>
      </c>
      <c r="D78" s="7" t="s">
        <v>3856</v>
      </c>
      <c r="E78" s="7" t="s">
        <v>1682</v>
      </c>
      <c r="F78" s="7">
        <v>5202000</v>
      </c>
      <c r="G78" s="7">
        <v>416189</v>
      </c>
      <c r="H78" s="7"/>
      <c r="I78" s="7">
        <v>3200</v>
      </c>
      <c r="J78" s="7"/>
    </row>
    <row r="79" spans="1:10" ht="13.5" customHeight="1">
      <c r="A79" s="7">
        <v>67</v>
      </c>
      <c r="B79" s="7"/>
      <c r="C79" s="7" t="s">
        <v>3958</v>
      </c>
      <c r="D79" s="7" t="s">
        <v>3857</v>
      </c>
      <c r="E79" s="7" t="s">
        <v>1682</v>
      </c>
      <c r="F79" s="7">
        <v>5202000</v>
      </c>
      <c r="G79" s="7">
        <v>416190</v>
      </c>
      <c r="H79" s="7"/>
      <c r="I79" s="7">
        <v>4000</v>
      </c>
      <c r="J79" s="7"/>
    </row>
    <row r="80" spans="1:10" ht="13.5" customHeight="1">
      <c r="A80" s="7">
        <v>68</v>
      </c>
      <c r="B80" s="7"/>
      <c r="C80" s="7" t="s">
        <v>3959</v>
      </c>
      <c r="D80" s="7" t="s">
        <v>3858</v>
      </c>
      <c r="E80" s="7" t="s">
        <v>1682</v>
      </c>
      <c r="F80" s="7">
        <v>5202000</v>
      </c>
      <c r="G80" s="7">
        <v>416191</v>
      </c>
      <c r="H80" s="7"/>
      <c r="I80" s="7">
        <v>5000</v>
      </c>
      <c r="J80" s="7"/>
    </row>
    <row r="81" spans="1:10" ht="13.5" customHeight="1">
      <c r="A81" s="7">
        <v>69</v>
      </c>
      <c r="B81" s="7"/>
      <c r="C81" s="7" t="s">
        <v>3565</v>
      </c>
      <c r="D81" s="7" t="s">
        <v>3859</v>
      </c>
      <c r="E81" s="7" t="s">
        <v>1682</v>
      </c>
      <c r="F81" s="7">
        <v>5202000</v>
      </c>
      <c r="G81" s="7">
        <v>416192</v>
      </c>
      <c r="H81" s="7"/>
      <c r="I81" s="7">
        <v>3300</v>
      </c>
      <c r="J81" s="7"/>
    </row>
    <row r="82" spans="1:10" ht="13.5" customHeight="1">
      <c r="A82" s="7">
        <v>70</v>
      </c>
      <c r="B82" s="7"/>
      <c r="C82" s="7" t="s">
        <v>3566</v>
      </c>
      <c r="D82" s="7" t="s">
        <v>3860</v>
      </c>
      <c r="E82" s="7" t="s">
        <v>1682</v>
      </c>
      <c r="F82" s="7">
        <v>5202000</v>
      </c>
      <c r="G82" s="7">
        <v>416193</v>
      </c>
      <c r="H82" s="7"/>
      <c r="I82" s="7">
        <v>4500</v>
      </c>
      <c r="J82" s="7"/>
    </row>
    <row r="83" spans="1:10" ht="13.5" customHeight="1">
      <c r="A83" s="7">
        <v>71</v>
      </c>
      <c r="B83" s="7"/>
      <c r="C83" s="7" t="s">
        <v>3567</v>
      </c>
      <c r="D83" s="7" t="s">
        <v>3861</v>
      </c>
      <c r="E83" s="7" t="s">
        <v>1682</v>
      </c>
      <c r="F83" s="7">
        <v>5202000</v>
      </c>
      <c r="G83" s="7">
        <v>416194</v>
      </c>
      <c r="H83" s="7"/>
      <c r="I83" s="7">
        <v>5000</v>
      </c>
      <c r="J83" s="7"/>
    </row>
    <row r="84" spans="1:10" ht="13.5" customHeight="1">
      <c r="A84" s="7">
        <v>72</v>
      </c>
      <c r="B84" s="7"/>
      <c r="C84" s="7" t="s">
        <v>3568</v>
      </c>
      <c r="D84" s="7" t="s">
        <v>3862</v>
      </c>
      <c r="E84" s="7" t="s">
        <v>1682</v>
      </c>
      <c r="F84" s="7">
        <v>5202000</v>
      </c>
      <c r="G84" s="7">
        <v>416195</v>
      </c>
      <c r="H84" s="7"/>
      <c r="I84" s="7">
        <v>3300</v>
      </c>
      <c r="J84" s="7"/>
    </row>
    <row r="85" spans="1:10" ht="13.5" customHeight="1">
      <c r="A85" s="7">
        <v>73</v>
      </c>
      <c r="B85" s="7"/>
      <c r="C85" s="7" t="s">
        <v>3569</v>
      </c>
      <c r="D85" s="7" t="s">
        <v>3863</v>
      </c>
      <c r="E85" s="7" t="s">
        <v>1682</v>
      </c>
      <c r="F85" s="7">
        <v>5202000</v>
      </c>
      <c r="G85" s="7">
        <v>416196</v>
      </c>
      <c r="H85" s="7"/>
      <c r="I85" s="7">
        <v>4000</v>
      </c>
      <c r="J85" s="7"/>
    </row>
    <row r="86" spans="1:10" ht="13.5" customHeight="1">
      <c r="A86" s="7">
        <v>74</v>
      </c>
      <c r="B86" s="7"/>
      <c r="C86" s="7" t="s">
        <v>3570</v>
      </c>
      <c r="D86" s="7" t="s">
        <v>3864</v>
      </c>
      <c r="E86" s="7" t="s">
        <v>1682</v>
      </c>
      <c r="F86" s="7">
        <v>5202000</v>
      </c>
      <c r="G86" s="7">
        <v>416197</v>
      </c>
      <c r="H86" s="7"/>
      <c r="I86" s="7">
        <v>5000</v>
      </c>
      <c r="J86" s="7"/>
    </row>
    <row r="87" spans="1:10" ht="13.5" customHeight="1">
      <c r="A87" s="7">
        <v>75</v>
      </c>
      <c r="B87" s="7"/>
      <c r="C87" s="7" t="s">
        <v>3571</v>
      </c>
      <c r="D87" s="7" t="s">
        <v>3865</v>
      </c>
      <c r="E87" s="7" t="s">
        <v>1682</v>
      </c>
      <c r="F87" s="7">
        <v>5202000</v>
      </c>
      <c r="G87" s="7">
        <v>416198</v>
      </c>
      <c r="H87" s="7"/>
      <c r="I87" s="7">
        <v>4600</v>
      </c>
      <c r="J87" s="7"/>
    </row>
    <row r="88" spans="1:10" ht="13.5" customHeight="1">
      <c r="A88" s="7">
        <v>76</v>
      </c>
      <c r="B88" s="7"/>
      <c r="C88" s="7" t="s">
        <v>3572</v>
      </c>
      <c r="D88" s="7">
        <v>630003</v>
      </c>
      <c r="E88" s="7" t="s">
        <v>1682</v>
      </c>
      <c r="F88" s="7">
        <v>5202000</v>
      </c>
      <c r="G88" s="7">
        <v>416199</v>
      </c>
      <c r="H88" s="7"/>
      <c r="I88" s="7">
        <v>6000</v>
      </c>
      <c r="J88" s="7"/>
    </row>
    <row r="89" spans="1:10" ht="13.5" customHeight="1">
      <c r="A89" s="7">
        <v>77</v>
      </c>
      <c r="B89" s="7"/>
      <c r="C89" s="7" t="s">
        <v>3573</v>
      </c>
      <c r="D89" s="7" t="s">
        <v>3866</v>
      </c>
      <c r="E89" s="7" t="s">
        <v>1682</v>
      </c>
      <c r="F89" s="7">
        <v>5202000</v>
      </c>
      <c r="G89" s="7">
        <v>416200</v>
      </c>
      <c r="H89" s="7"/>
      <c r="I89" s="7">
        <v>7200</v>
      </c>
      <c r="J89" s="7"/>
    </row>
    <row r="90" spans="1:10" ht="13.5" customHeight="1">
      <c r="A90" s="7">
        <v>78</v>
      </c>
      <c r="B90" s="7"/>
      <c r="C90" s="7" t="s">
        <v>3574</v>
      </c>
      <c r="D90" s="7" t="s">
        <v>3867</v>
      </c>
      <c r="E90" s="7" t="s">
        <v>1682</v>
      </c>
      <c r="F90" s="7">
        <v>5202000</v>
      </c>
      <c r="G90" s="7">
        <v>416201</v>
      </c>
      <c r="H90" s="7"/>
      <c r="I90" s="7">
        <v>4600</v>
      </c>
      <c r="J90" s="7"/>
    </row>
    <row r="91" spans="1:10" ht="13.5" customHeight="1">
      <c r="A91" s="7">
        <v>79</v>
      </c>
      <c r="B91" s="7"/>
      <c r="C91" s="7" t="s">
        <v>3575</v>
      </c>
      <c r="D91" s="7" t="s">
        <v>3868</v>
      </c>
      <c r="E91" s="7" t="s">
        <v>1682</v>
      </c>
      <c r="F91" s="7">
        <v>5202000</v>
      </c>
      <c r="G91" s="7">
        <v>416202</v>
      </c>
      <c r="H91" s="7"/>
      <c r="I91" s="7">
        <v>5000</v>
      </c>
      <c r="J91" s="7"/>
    </row>
    <row r="92" spans="1:10" ht="13.5" customHeight="1">
      <c r="A92" s="7">
        <v>80</v>
      </c>
      <c r="B92" s="7"/>
      <c r="C92" s="7" t="s">
        <v>3960</v>
      </c>
      <c r="D92" s="7" t="s">
        <v>3869</v>
      </c>
      <c r="E92" s="7" t="s">
        <v>1682</v>
      </c>
      <c r="F92" s="7">
        <v>5202000</v>
      </c>
      <c r="G92" s="7">
        <v>416203</v>
      </c>
      <c r="H92" s="7"/>
      <c r="I92" s="7">
        <v>5000</v>
      </c>
      <c r="J92" s="7"/>
    </row>
    <row r="93" spans="1:10" ht="13.5" customHeight="1">
      <c r="A93" s="7">
        <v>81</v>
      </c>
      <c r="B93" s="7"/>
      <c r="C93" s="7" t="s">
        <v>3576</v>
      </c>
      <c r="D93" s="7" t="s">
        <v>3870</v>
      </c>
      <c r="E93" s="7" t="s">
        <v>1682</v>
      </c>
      <c r="F93" s="7">
        <v>5202000</v>
      </c>
      <c r="G93" s="7">
        <v>416204</v>
      </c>
      <c r="H93" s="7"/>
      <c r="I93" s="7">
        <v>3000</v>
      </c>
      <c r="J93" s="7"/>
    </row>
    <row r="94" spans="1:10" ht="13.5" customHeight="1">
      <c r="A94" s="7">
        <v>82</v>
      </c>
      <c r="B94" s="7"/>
      <c r="C94" s="7" t="s">
        <v>3577</v>
      </c>
      <c r="D94" s="7" t="s">
        <v>3871</v>
      </c>
      <c r="E94" s="7" t="s">
        <v>1682</v>
      </c>
      <c r="F94" s="7">
        <v>5202000</v>
      </c>
      <c r="G94" s="7">
        <v>416205</v>
      </c>
      <c r="H94" s="7"/>
      <c r="I94" s="7">
        <v>7500</v>
      </c>
      <c r="J94" s="7"/>
    </row>
    <row r="95" spans="1:10" ht="13.5" customHeight="1">
      <c r="A95" s="7">
        <v>83</v>
      </c>
      <c r="B95" s="7"/>
      <c r="C95" s="7" t="s">
        <v>3961</v>
      </c>
      <c r="D95" s="7">
        <v>106803</v>
      </c>
      <c r="E95" s="7" t="s">
        <v>1682</v>
      </c>
      <c r="F95" s="7">
        <v>5202000</v>
      </c>
      <c r="G95" s="7">
        <v>416206</v>
      </c>
      <c r="H95" s="7"/>
      <c r="I95" s="7">
        <v>4500</v>
      </c>
      <c r="J95" s="7"/>
    </row>
    <row r="96" spans="1:10" ht="13.5" customHeight="1">
      <c r="A96" s="7">
        <v>84</v>
      </c>
      <c r="B96" s="7"/>
      <c r="C96" s="7" t="s">
        <v>3578</v>
      </c>
      <c r="D96" s="7"/>
      <c r="E96" s="7" t="s">
        <v>1682</v>
      </c>
      <c r="F96" s="7">
        <v>5202000</v>
      </c>
      <c r="G96" s="7">
        <v>416207</v>
      </c>
      <c r="H96" s="7"/>
      <c r="I96" s="7">
        <v>4300</v>
      </c>
      <c r="J96" s="7"/>
    </row>
    <row r="97" spans="1:10" ht="13.5" customHeight="1">
      <c r="A97" s="7">
        <v>85</v>
      </c>
      <c r="B97" s="7"/>
      <c r="C97" s="7" t="s">
        <v>3579</v>
      </c>
      <c r="D97" s="7" t="s">
        <v>3872</v>
      </c>
      <c r="E97" s="7" t="s">
        <v>1682</v>
      </c>
      <c r="F97" s="7">
        <v>5202000</v>
      </c>
      <c r="G97" s="7">
        <v>416208</v>
      </c>
      <c r="H97" s="7"/>
      <c r="I97" s="7">
        <v>5000</v>
      </c>
      <c r="J97" s="7"/>
    </row>
    <row r="98" spans="1:10" ht="13.5" customHeight="1">
      <c r="A98" s="7">
        <v>86</v>
      </c>
      <c r="B98" s="7"/>
      <c r="C98" s="7" t="s">
        <v>3580</v>
      </c>
      <c r="D98" s="7" t="s">
        <v>3873</v>
      </c>
      <c r="E98" s="7" t="s">
        <v>1682</v>
      </c>
      <c r="F98" s="7">
        <v>5202000</v>
      </c>
      <c r="G98" s="7">
        <v>416209</v>
      </c>
      <c r="H98" s="7"/>
      <c r="I98" s="7">
        <v>3400</v>
      </c>
      <c r="J98" s="7"/>
    </row>
    <row r="99" spans="1:10" ht="13.5" customHeight="1">
      <c r="A99" s="7">
        <v>87</v>
      </c>
      <c r="B99" s="7"/>
      <c r="C99" s="7" t="s">
        <v>3581</v>
      </c>
      <c r="D99" s="7" t="s">
        <v>3874</v>
      </c>
      <c r="E99" s="7" t="s">
        <v>1682</v>
      </c>
      <c r="F99" s="7">
        <v>5202000</v>
      </c>
      <c r="G99" s="7">
        <v>416210</v>
      </c>
      <c r="H99" s="7"/>
      <c r="I99" s="7">
        <v>3000</v>
      </c>
      <c r="J99" s="7"/>
    </row>
    <row r="100" spans="1:10" ht="13.5" customHeight="1">
      <c r="A100" s="7">
        <v>88</v>
      </c>
      <c r="B100" s="7"/>
      <c r="C100" s="7" t="s">
        <v>3582</v>
      </c>
      <c r="D100" s="7" t="s">
        <v>3875</v>
      </c>
      <c r="E100" s="7" t="s">
        <v>1682</v>
      </c>
      <c r="F100" s="7">
        <v>5202000</v>
      </c>
      <c r="G100" s="7">
        <v>416211</v>
      </c>
      <c r="H100" s="7"/>
      <c r="I100" s="7">
        <v>3100</v>
      </c>
      <c r="J100" s="7"/>
    </row>
    <row r="101" spans="1:10" ht="13.5" customHeight="1">
      <c r="A101" s="7">
        <v>89</v>
      </c>
      <c r="B101" s="7"/>
      <c r="C101" s="7" t="s">
        <v>3962</v>
      </c>
      <c r="D101" s="7" t="s">
        <v>3876</v>
      </c>
      <c r="E101" s="7" t="s">
        <v>1682</v>
      </c>
      <c r="F101" s="7">
        <v>5202000</v>
      </c>
      <c r="G101" s="7">
        <v>416212</v>
      </c>
      <c r="H101" s="7"/>
      <c r="I101" s="7">
        <v>4700</v>
      </c>
      <c r="J101" s="7"/>
    </row>
    <row r="102" spans="1:10" ht="13.5" customHeight="1">
      <c r="A102" s="7">
        <v>90</v>
      </c>
      <c r="B102" s="7"/>
      <c r="C102" s="7" t="s">
        <v>3583</v>
      </c>
      <c r="D102" s="7" t="s">
        <v>3877</v>
      </c>
      <c r="E102" s="7" t="s">
        <v>1682</v>
      </c>
      <c r="F102" s="7">
        <v>5202000</v>
      </c>
      <c r="G102" s="7">
        <v>416213</v>
      </c>
      <c r="H102" s="7"/>
      <c r="I102" s="7">
        <v>4200</v>
      </c>
      <c r="J102" s="7"/>
    </row>
    <row r="103" spans="1:10" ht="13.5" customHeight="1">
      <c r="A103" s="7">
        <v>91</v>
      </c>
      <c r="B103" s="7"/>
      <c r="C103" s="7" t="s">
        <v>3963</v>
      </c>
      <c r="D103" s="7" t="s">
        <v>3878</v>
      </c>
      <c r="E103" s="7" t="s">
        <v>1682</v>
      </c>
      <c r="F103" s="7">
        <v>5202000</v>
      </c>
      <c r="G103" s="7">
        <v>416214</v>
      </c>
      <c r="H103" s="7"/>
      <c r="I103" s="7">
        <v>3000</v>
      </c>
      <c r="J103" s="7"/>
    </row>
    <row r="104" spans="1:10" ht="13.5" customHeight="1">
      <c r="A104" s="7">
        <v>92</v>
      </c>
      <c r="B104" s="7"/>
      <c r="C104" s="7" t="s">
        <v>3964</v>
      </c>
      <c r="D104" s="7" t="s">
        <v>3879</v>
      </c>
      <c r="E104" s="7" t="s">
        <v>1682</v>
      </c>
      <c r="F104" s="7">
        <v>5202000</v>
      </c>
      <c r="G104" s="7">
        <v>416215</v>
      </c>
      <c r="H104" s="7"/>
      <c r="I104" s="7">
        <v>3980</v>
      </c>
      <c r="J104" s="7"/>
    </row>
    <row r="105" spans="1:10" ht="13.5" customHeight="1">
      <c r="A105" s="7">
        <v>93</v>
      </c>
      <c r="B105" s="7"/>
      <c r="C105" s="7" t="s">
        <v>3584</v>
      </c>
      <c r="D105" s="7"/>
      <c r="E105" s="7" t="s">
        <v>1682</v>
      </c>
      <c r="F105" s="7">
        <v>5202000</v>
      </c>
      <c r="G105" s="7">
        <v>416216</v>
      </c>
      <c r="H105" s="7"/>
      <c r="I105" s="7">
        <v>3240</v>
      </c>
      <c r="J105" s="7"/>
    </row>
    <row r="106" spans="1:10" ht="13.5" customHeight="1">
      <c r="A106" s="7">
        <v>94</v>
      </c>
      <c r="B106" s="7"/>
      <c r="C106" s="7" t="s">
        <v>3585</v>
      </c>
      <c r="D106" s="7" t="s">
        <v>3880</v>
      </c>
      <c r="E106" s="7" t="s">
        <v>1682</v>
      </c>
      <c r="F106" s="7">
        <v>5202000</v>
      </c>
      <c r="G106" s="7">
        <v>416217</v>
      </c>
      <c r="H106" s="7"/>
      <c r="I106" s="7">
        <v>3700</v>
      </c>
      <c r="J106" s="7"/>
    </row>
    <row r="107" spans="1:10" ht="13.5" customHeight="1">
      <c r="A107" s="7">
        <v>95</v>
      </c>
      <c r="B107" s="7"/>
      <c r="C107" s="7" t="s">
        <v>3586</v>
      </c>
      <c r="D107" s="7" t="s">
        <v>3881</v>
      </c>
      <c r="E107" s="7" t="s">
        <v>1682</v>
      </c>
      <c r="F107" s="7">
        <v>5202000</v>
      </c>
      <c r="G107" s="7">
        <v>416218</v>
      </c>
      <c r="H107" s="7"/>
      <c r="I107" s="7">
        <v>3400</v>
      </c>
      <c r="J107" s="7"/>
    </row>
    <row r="108" spans="1:10" ht="13.5" customHeight="1">
      <c r="A108" s="7">
        <v>96</v>
      </c>
      <c r="B108" s="7"/>
      <c r="C108" s="7" t="s">
        <v>3965</v>
      </c>
      <c r="D108" s="7" t="s">
        <v>3882</v>
      </c>
      <c r="E108" s="7" t="s">
        <v>1682</v>
      </c>
      <c r="F108" s="7">
        <v>5202000</v>
      </c>
      <c r="G108" s="7">
        <v>416219</v>
      </c>
      <c r="H108" s="7"/>
      <c r="I108" s="7">
        <v>3700</v>
      </c>
      <c r="J108" s="7"/>
    </row>
    <row r="109" spans="1:10" ht="13.5" customHeight="1">
      <c r="A109" s="7">
        <v>97</v>
      </c>
      <c r="B109" s="7"/>
      <c r="C109" s="7" t="s">
        <v>3587</v>
      </c>
      <c r="D109" s="7" t="s">
        <v>3883</v>
      </c>
      <c r="E109" s="7" t="s">
        <v>1682</v>
      </c>
      <c r="F109" s="7">
        <v>5202000</v>
      </c>
      <c r="G109" s="7">
        <v>416220</v>
      </c>
      <c r="H109" s="7"/>
      <c r="I109" s="7">
        <v>3400</v>
      </c>
      <c r="J109" s="7"/>
    </row>
    <row r="110" spans="1:10" ht="13.5" customHeight="1">
      <c r="A110" s="7">
        <v>98</v>
      </c>
      <c r="B110" s="7"/>
      <c r="C110" s="7" t="s">
        <v>3966</v>
      </c>
      <c r="D110" s="7" t="s">
        <v>3884</v>
      </c>
      <c r="E110" s="7" t="s">
        <v>1682</v>
      </c>
      <c r="F110" s="7">
        <v>5202000</v>
      </c>
      <c r="G110" s="7">
        <v>416221</v>
      </c>
      <c r="H110" s="7"/>
      <c r="I110" s="7">
        <v>3700</v>
      </c>
      <c r="J110" s="7"/>
    </row>
    <row r="111" spans="1:10" ht="13.5" customHeight="1">
      <c r="A111" s="7">
        <v>99</v>
      </c>
      <c r="B111" s="7"/>
      <c r="C111" s="7" t="s">
        <v>3967</v>
      </c>
      <c r="D111" s="7" t="s">
        <v>3885</v>
      </c>
      <c r="E111" s="7" t="s">
        <v>1682</v>
      </c>
      <c r="F111" s="7">
        <v>5202000</v>
      </c>
      <c r="G111" s="7">
        <v>416222</v>
      </c>
      <c r="H111" s="7"/>
      <c r="I111" s="7">
        <v>4450</v>
      </c>
      <c r="J111" s="7"/>
    </row>
    <row r="112" spans="1:10" ht="13.5" customHeight="1">
      <c r="A112" s="7">
        <v>100</v>
      </c>
      <c r="B112" s="7"/>
      <c r="C112" s="7" t="s">
        <v>3588</v>
      </c>
      <c r="D112" s="7" t="s">
        <v>3886</v>
      </c>
      <c r="E112" s="7" t="s">
        <v>1682</v>
      </c>
      <c r="F112" s="7">
        <v>5202000</v>
      </c>
      <c r="G112" s="7">
        <v>416223</v>
      </c>
      <c r="H112" s="7"/>
      <c r="I112" s="7">
        <v>5200</v>
      </c>
      <c r="J112" s="7"/>
    </row>
    <row r="113" spans="1:10" ht="13.5" customHeight="1">
      <c r="A113" s="7">
        <v>101</v>
      </c>
      <c r="B113" s="7"/>
      <c r="C113" s="7" t="s">
        <v>3968</v>
      </c>
      <c r="D113" s="7" t="s">
        <v>3887</v>
      </c>
      <c r="E113" s="7" t="s">
        <v>1682</v>
      </c>
      <c r="F113" s="7">
        <v>5202000</v>
      </c>
      <c r="G113" s="7">
        <v>416224</v>
      </c>
      <c r="H113" s="7"/>
      <c r="I113" s="7">
        <v>5700</v>
      </c>
      <c r="J113" s="7"/>
    </row>
    <row r="114" spans="1:10" ht="13.5" customHeight="1">
      <c r="A114" s="7">
        <v>102</v>
      </c>
      <c r="B114" s="7"/>
      <c r="C114" s="7" t="s">
        <v>3589</v>
      </c>
      <c r="D114" s="7" t="s">
        <v>3888</v>
      </c>
      <c r="E114" s="7" t="s">
        <v>1682</v>
      </c>
      <c r="F114" s="7">
        <v>5202000</v>
      </c>
      <c r="G114" s="7">
        <v>416225</v>
      </c>
      <c r="H114" s="7"/>
      <c r="I114" s="7">
        <v>4200</v>
      </c>
      <c r="J114" s="7"/>
    </row>
    <row r="115" spans="1:10" ht="13.5" customHeight="1">
      <c r="A115" s="7">
        <v>103</v>
      </c>
      <c r="B115" s="7"/>
      <c r="C115" s="7" t="s">
        <v>3590</v>
      </c>
      <c r="D115" s="7" t="s">
        <v>3889</v>
      </c>
      <c r="E115" s="7" t="s">
        <v>1682</v>
      </c>
      <c r="F115" s="7">
        <v>5202000</v>
      </c>
      <c r="G115" s="7">
        <v>416226</v>
      </c>
      <c r="H115" s="7"/>
      <c r="I115" s="7">
        <v>5200</v>
      </c>
      <c r="J115" s="7"/>
    </row>
    <row r="116" spans="1:10" ht="13.5" customHeight="1">
      <c r="A116" s="7">
        <v>104</v>
      </c>
      <c r="B116" s="7"/>
      <c r="C116" s="7" t="s">
        <v>3591</v>
      </c>
      <c r="D116" s="7" t="s">
        <v>3890</v>
      </c>
      <c r="E116" s="7" t="s">
        <v>1682</v>
      </c>
      <c r="F116" s="7">
        <v>5202000</v>
      </c>
      <c r="G116" s="7">
        <v>416227</v>
      </c>
      <c r="H116" s="7"/>
      <c r="I116" s="7">
        <v>3700</v>
      </c>
      <c r="J116" s="7"/>
    </row>
    <row r="117" spans="1:10" ht="13.5" customHeight="1">
      <c r="A117" s="7">
        <v>105</v>
      </c>
      <c r="B117" s="7"/>
      <c r="C117" s="7" t="s">
        <v>3592</v>
      </c>
      <c r="D117" s="7" t="s">
        <v>3891</v>
      </c>
      <c r="E117" s="7" t="s">
        <v>1682</v>
      </c>
      <c r="F117" s="7">
        <v>5202000</v>
      </c>
      <c r="G117" s="7">
        <v>416228</v>
      </c>
      <c r="H117" s="7"/>
      <c r="I117" s="7">
        <v>3700</v>
      </c>
      <c r="J117" s="7"/>
    </row>
    <row r="118" spans="1:10" ht="13.5" customHeight="1">
      <c r="A118" s="7">
        <v>106</v>
      </c>
      <c r="B118" s="7"/>
      <c r="C118" s="7" t="s">
        <v>3593</v>
      </c>
      <c r="D118" s="7" t="s">
        <v>3892</v>
      </c>
      <c r="E118" s="7" t="s">
        <v>1682</v>
      </c>
      <c r="F118" s="7">
        <v>5202000</v>
      </c>
      <c r="G118" s="7">
        <v>416229</v>
      </c>
      <c r="H118" s="7"/>
      <c r="I118" s="7">
        <v>3700</v>
      </c>
      <c r="J118" s="7"/>
    </row>
    <row r="119" spans="1:10" ht="13.5" customHeight="1">
      <c r="A119" s="7">
        <v>107</v>
      </c>
      <c r="B119" s="7"/>
      <c r="C119" s="7" t="s">
        <v>3594</v>
      </c>
      <c r="D119" s="7" t="s">
        <v>3893</v>
      </c>
      <c r="E119" s="7" t="s">
        <v>1682</v>
      </c>
      <c r="F119" s="7">
        <v>5202000</v>
      </c>
      <c r="G119" s="7">
        <v>416230</v>
      </c>
      <c r="H119" s="7"/>
      <c r="I119" s="7">
        <v>3700</v>
      </c>
      <c r="J119" s="7"/>
    </row>
    <row r="120" spans="1:10" ht="13.5" customHeight="1">
      <c r="A120" s="7">
        <v>108</v>
      </c>
      <c r="B120" s="7"/>
      <c r="C120" s="7" t="s">
        <v>3969</v>
      </c>
      <c r="D120" s="7" t="s">
        <v>3894</v>
      </c>
      <c r="E120" s="7" t="s">
        <v>1682</v>
      </c>
      <c r="F120" s="7">
        <v>5202000</v>
      </c>
      <c r="G120" s="7">
        <v>416231</v>
      </c>
      <c r="H120" s="7"/>
      <c r="I120" s="7">
        <v>3700</v>
      </c>
      <c r="J120" s="7"/>
    </row>
    <row r="121" spans="1:10" ht="13.5" customHeight="1">
      <c r="A121" s="7">
        <v>109</v>
      </c>
      <c r="B121" s="7"/>
      <c r="C121" s="7" t="s">
        <v>3595</v>
      </c>
      <c r="D121" s="7" t="s">
        <v>3895</v>
      </c>
      <c r="E121" s="7" t="s">
        <v>1682</v>
      </c>
      <c r="F121" s="7">
        <v>5202000</v>
      </c>
      <c r="G121" s="7">
        <v>416232</v>
      </c>
      <c r="H121" s="7"/>
      <c r="I121" s="7">
        <v>3700</v>
      </c>
      <c r="J121" s="7"/>
    </row>
    <row r="122" spans="1:10" ht="13.5" customHeight="1">
      <c r="A122" s="7">
        <v>110</v>
      </c>
      <c r="B122" s="7"/>
      <c r="C122" s="7" t="s">
        <v>3596</v>
      </c>
      <c r="D122" s="7" t="s">
        <v>3896</v>
      </c>
      <c r="E122" s="7" t="s">
        <v>1682</v>
      </c>
      <c r="F122" s="7">
        <v>5202000</v>
      </c>
      <c r="G122" s="7">
        <v>416233</v>
      </c>
      <c r="H122" s="7"/>
      <c r="I122" s="7">
        <v>3700</v>
      </c>
      <c r="J122" s="7"/>
    </row>
    <row r="123" spans="1:10" ht="13.5" customHeight="1">
      <c r="A123" s="7">
        <v>111</v>
      </c>
      <c r="B123" s="7"/>
      <c r="C123" s="7" t="s">
        <v>3970</v>
      </c>
      <c r="D123" s="7" t="s">
        <v>3897</v>
      </c>
      <c r="E123" s="7" t="s">
        <v>1682</v>
      </c>
      <c r="F123" s="7">
        <v>5202000</v>
      </c>
      <c r="G123" s="7">
        <v>416234</v>
      </c>
      <c r="H123" s="7"/>
      <c r="I123" s="7">
        <v>5660</v>
      </c>
      <c r="J123" s="7"/>
    </row>
    <row r="124" spans="1:10" ht="13.5" customHeight="1">
      <c r="A124" s="7">
        <v>112</v>
      </c>
      <c r="B124" s="7"/>
      <c r="C124" s="7" t="s">
        <v>3597</v>
      </c>
      <c r="D124" s="7" t="s">
        <v>3898</v>
      </c>
      <c r="E124" s="7" t="s">
        <v>1682</v>
      </c>
      <c r="F124" s="7">
        <v>5202000</v>
      </c>
      <c r="G124" s="7">
        <v>416235</v>
      </c>
      <c r="H124" s="7"/>
      <c r="I124" s="7">
        <v>3700</v>
      </c>
      <c r="J124" s="7"/>
    </row>
    <row r="125" spans="1:10" ht="13.5" customHeight="1">
      <c r="A125" s="7">
        <v>113</v>
      </c>
      <c r="B125" s="7"/>
      <c r="C125" s="7" t="s">
        <v>3598</v>
      </c>
      <c r="D125" s="7" t="s">
        <v>3899</v>
      </c>
      <c r="E125" s="7" t="s">
        <v>1682</v>
      </c>
      <c r="F125" s="7">
        <v>5202000</v>
      </c>
      <c r="G125" s="7">
        <v>416236</v>
      </c>
      <c r="H125" s="7"/>
      <c r="I125" s="7">
        <v>3700</v>
      </c>
      <c r="J125" s="7"/>
    </row>
  </sheetData>
  <autoFilter ref="A12:AE125" xr:uid="{00000000-0009-0000-0000-00000E000000}"/>
  <customSheetViews>
    <customSheetView guid="{4A49014B-6EB8-41BC-821C-AA758C89CB00}" scale="80" showPageBreaks="1" showAutoFilter="1">
      <pane xSplit="3" ySplit="12" topLeftCell="D13" activePane="bottomRight" state="frozen"/>
      <selection pane="bottomRight" activeCell="N123" sqref="N123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AE125" xr:uid="{FD0F9B34-4A45-4E95-A8E4-9B3A5DC07252}"/>
    </customSheetView>
  </customSheetViews>
  <mergeCells count="4">
    <mergeCell ref="H1:I1"/>
    <mergeCell ref="H2:I2"/>
    <mergeCell ref="H3:I3"/>
    <mergeCell ref="H4:I4"/>
  </mergeCells>
  <phoneticPr fontId="3"/>
  <conditionalFormatting sqref="A10:B10">
    <cfRule type="expression" dxfId="3" priority="15" stopIfTrue="1">
      <formula>"51＜"</formula>
    </cfRule>
    <cfRule type="expression" priority="16" stopIfTrue="1">
      <formula>"51＜"</formula>
    </cfRule>
  </conditionalFormatting>
  <conditionalFormatting sqref="G5:G6">
    <cfRule type="expression" dxfId="2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L231"/>
  <sheetViews>
    <sheetView zoomScale="80" zoomScaleNormal="8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 activeCell="D5" sqref="D5"/>
    </sheetView>
  </sheetViews>
  <sheetFormatPr defaultColWidth="9" defaultRowHeight="13.2"/>
  <cols>
    <col min="1" max="2" width="6.6640625" style="2" customWidth="1"/>
    <col min="3" max="3" width="9.6640625" style="5" customWidth="1"/>
    <col min="4" max="4" width="50.6640625" style="2" customWidth="1"/>
    <col min="5" max="5" width="10.109375" style="2" bestFit="1" customWidth="1"/>
    <col min="6" max="6" width="6.6640625" style="2" customWidth="1"/>
    <col min="7" max="9" width="9" style="2"/>
    <col min="10" max="10" width="12" style="2" bestFit="1" customWidth="1"/>
    <col min="11" max="11" width="13.21875" style="2" bestFit="1" customWidth="1"/>
    <col min="12" max="12" width="9" style="56"/>
    <col min="13" max="16384" width="9" style="2"/>
  </cols>
  <sheetData>
    <row r="1" spans="1:12" s="16" customFormat="1">
      <c r="C1" s="19"/>
      <c r="D1" s="42"/>
      <c r="H1" s="2" t="s">
        <v>2035</v>
      </c>
      <c r="I1" s="144">
        <v>44926</v>
      </c>
      <c r="J1" s="144"/>
    </row>
    <row r="2" spans="1:12" s="16" customFormat="1">
      <c r="C2" s="19"/>
      <c r="D2" s="42"/>
      <c r="E2" s="32"/>
      <c r="F2" s="32"/>
      <c r="H2" s="2" t="s">
        <v>2036</v>
      </c>
      <c r="I2" s="144">
        <v>44791</v>
      </c>
      <c r="J2" s="144"/>
      <c r="K2" s="4">
        <v>791</v>
      </c>
      <c r="L2" s="2" t="e">
        <f ca="1">[1]!T担当者(K2)</f>
        <v>#NAME?</v>
      </c>
    </row>
    <row r="3" spans="1:12" s="16" customFormat="1">
      <c r="C3" s="19"/>
      <c r="D3" s="42"/>
      <c r="E3" s="32"/>
      <c r="F3" s="41"/>
      <c r="H3" s="2" t="s">
        <v>2247</v>
      </c>
      <c r="I3" s="144">
        <v>44792</v>
      </c>
      <c r="J3" s="144"/>
      <c r="K3" s="4">
        <v>791</v>
      </c>
      <c r="L3" s="2" t="e">
        <f ca="1">[1]!T担当者(K3)</f>
        <v>#NAME?</v>
      </c>
    </row>
    <row r="4" spans="1:12" s="16" customFormat="1">
      <c r="C4" s="19"/>
      <c r="E4" s="32"/>
      <c r="F4" s="32"/>
      <c r="H4" s="2" t="s">
        <v>2230</v>
      </c>
      <c r="I4" s="144">
        <v>44791</v>
      </c>
      <c r="J4" s="145"/>
      <c r="K4" s="4">
        <v>791</v>
      </c>
      <c r="L4" s="2" t="e">
        <f ca="1">[1]!T担当者(K4)</f>
        <v>#NAME?</v>
      </c>
    </row>
    <row r="5" spans="1:12" s="16" customFormat="1">
      <c r="C5" s="19"/>
      <c r="D5" s="16" t="s">
        <v>1929</v>
      </c>
      <c r="E5" s="32"/>
      <c r="F5" s="41"/>
      <c r="L5" s="81"/>
    </row>
    <row r="6" spans="1:12" s="16" customFormat="1">
      <c r="C6" s="19"/>
      <c r="D6" s="18"/>
      <c r="E6" s="32"/>
      <c r="F6" s="41"/>
      <c r="L6" s="81"/>
    </row>
    <row r="7" spans="1:12">
      <c r="A7" s="2" t="s">
        <v>472</v>
      </c>
      <c r="B7" s="2" t="s">
        <v>472</v>
      </c>
      <c r="C7" s="2" t="s">
        <v>472</v>
      </c>
      <c r="D7" s="2" t="s">
        <v>472</v>
      </c>
      <c r="E7" s="2" t="s">
        <v>472</v>
      </c>
      <c r="F7" s="2" t="s">
        <v>472</v>
      </c>
      <c r="G7" s="2" t="s">
        <v>472</v>
      </c>
      <c r="H7" s="2" t="s">
        <v>472</v>
      </c>
      <c r="I7" s="2" t="s">
        <v>472</v>
      </c>
      <c r="J7" s="2" t="s">
        <v>472</v>
      </c>
      <c r="K7" s="2" t="s">
        <v>472</v>
      </c>
      <c r="L7" s="56" t="s">
        <v>472</v>
      </c>
    </row>
    <row r="8" spans="1:12">
      <c r="A8" s="117"/>
      <c r="B8" s="117"/>
      <c r="C8" s="2" t="s">
        <v>1999</v>
      </c>
      <c r="D8" s="117"/>
      <c r="E8" s="117"/>
      <c r="F8" s="117"/>
      <c r="G8" s="117"/>
      <c r="H8" s="117"/>
      <c r="I8" s="117"/>
      <c r="J8" s="2" t="s">
        <v>2002</v>
      </c>
      <c r="K8" s="2" t="s">
        <v>2002</v>
      </c>
      <c r="L8" s="2" t="s">
        <v>2002</v>
      </c>
    </row>
    <row r="9" spans="1:12">
      <c r="D9" s="2" t="s">
        <v>1401</v>
      </c>
      <c r="G9" s="2" t="s">
        <v>1933</v>
      </c>
      <c r="H9" s="2" t="s">
        <v>1933</v>
      </c>
      <c r="I9" s="2" t="s">
        <v>1933</v>
      </c>
      <c r="J9" s="2" t="s">
        <v>1933</v>
      </c>
      <c r="K9" s="2" t="s">
        <v>1933</v>
      </c>
      <c r="L9" s="2" t="s">
        <v>1933</v>
      </c>
    </row>
    <row r="10" spans="1:12" s="55" customFormat="1" ht="26.4">
      <c r="C10" s="55" t="s">
        <v>2013</v>
      </c>
      <c r="G10" s="55" t="s">
        <v>2013</v>
      </c>
      <c r="H10" s="55" t="s">
        <v>2012</v>
      </c>
      <c r="I10" s="55" t="s">
        <v>2013</v>
      </c>
      <c r="J10" s="55" t="s">
        <v>2013</v>
      </c>
      <c r="K10" s="55" t="s">
        <v>2013</v>
      </c>
      <c r="L10" s="55" t="s">
        <v>2013</v>
      </c>
    </row>
    <row r="11" spans="1:12" s="15" customFormat="1">
      <c r="A11" s="35"/>
      <c r="B11" s="35"/>
      <c r="C11" s="50" t="s">
        <v>1683</v>
      </c>
      <c r="D11" s="34"/>
      <c r="E11" s="34"/>
      <c r="F11" s="34"/>
      <c r="G11" s="50" t="s">
        <v>1683</v>
      </c>
      <c r="H11" s="34"/>
      <c r="I11" s="50" t="s">
        <v>1683</v>
      </c>
      <c r="J11" s="50" t="s">
        <v>1683</v>
      </c>
      <c r="K11" s="50" t="s">
        <v>1683</v>
      </c>
      <c r="L11" s="50" t="s">
        <v>1683</v>
      </c>
    </row>
    <row r="12" spans="1:12" s="15" customFormat="1" ht="26.4">
      <c r="A12" s="13" t="s">
        <v>1431</v>
      </c>
      <c r="B12" s="13" t="s">
        <v>1410</v>
      </c>
      <c r="C12" s="13" t="s">
        <v>2242</v>
      </c>
      <c r="D12" s="13" t="s">
        <v>480</v>
      </c>
      <c r="E12" s="13" t="s">
        <v>4</v>
      </c>
      <c r="F12" s="13" t="s">
        <v>486</v>
      </c>
      <c r="G12" s="14" t="s">
        <v>1926</v>
      </c>
      <c r="H12" s="14" t="s">
        <v>1927</v>
      </c>
      <c r="I12" s="14" t="s">
        <v>2217</v>
      </c>
      <c r="J12" s="14" t="s">
        <v>2009</v>
      </c>
      <c r="K12" s="14" t="s">
        <v>2010</v>
      </c>
      <c r="L12" s="14" t="s">
        <v>1928</v>
      </c>
    </row>
    <row r="13" spans="1:12" ht="13.5" customHeight="1">
      <c r="A13" s="7">
        <v>1</v>
      </c>
      <c r="B13" s="7"/>
      <c r="C13" s="7"/>
      <c r="D13" s="7" t="s">
        <v>1463</v>
      </c>
      <c r="E13" s="7" t="s">
        <v>1684</v>
      </c>
      <c r="F13" s="7" t="s">
        <v>1682</v>
      </c>
      <c r="G13" s="7">
        <v>400001</v>
      </c>
      <c r="H13" s="7" t="e">
        <f ca="1">[1]!t仕入先名(G13)</f>
        <v>#NAME?</v>
      </c>
      <c r="I13" s="7"/>
      <c r="J13" s="124">
        <v>44896</v>
      </c>
      <c r="K13" s="124">
        <v>44926</v>
      </c>
      <c r="L13" s="82">
        <v>100</v>
      </c>
    </row>
    <row r="14" spans="1:12" ht="13.5" customHeight="1">
      <c r="A14" s="7">
        <v>2</v>
      </c>
      <c r="B14" s="7"/>
      <c r="C14" s="7"/>
      <c r="D14" s="7" t="s">
        <v>1464</v>
      </c>
      <c r="E14" s="7" t="s">
        <v>1685</v>
      </c>
      <c r="F14" s="7" t="s">
        <v>1682</v>
      </c>
      <c r="G14" s="7"/>
      <c r="H14" s="7" t="e">
        <f ca="1">[1]!t仕入先名(G14)</f>
        <v>#NAME?</v>
      </c>
      <c r="I14" s="7"/>
      <c r="J14" s="82"/>
      <c r="K14" s="82"/>
      <c r="L14" s="82"/>
    </row>
    <row r="15" spans="1:12" ht="13.5" customHeight="1">
      <c r="A15" s="7">
        <v>3</v>
      </c>
      <c r="B15" s="7"/>
      <c r="C15" s="7"/>
      <c r="D15" s="7" t="s">
        <v>1465</v>
      </c>
      <c r="E15" s="7" t="s">
        <v>1686</v>
      </c>
      <c r="F15" s="7" t="s">
        <v>1682</v>
      </c>
      <c r="G15" s="7"/>
      <c r="H15" s="7" t="e">
        <f ca="1">[1]!t仕入先名(G15)</f>
        <v>#NAME?</v>
      </c>
      <c r="I15" s="7"/>
      <c r="J15" s="82"/>
      <c r="K15" s="82"/>
      <c r="L15" s="82"/>
    </row>
    <row r="16" spans="1:12" ht="13.5" customHeight="1">
      <c r="A16" s="7">
        <v>4</v>
      </c>
      <c r="B16" s="7"/>
      <c r="C16" s="7"/>
      <c r="D16" s="7" t="s">
        <v>1466</v>
      </c>
      <c r="E16" s="7" t="s">
        <v>1687</v>
      </c>
      <c r="F16" s="7" t="s">
        <v>1682</v>
      </c>
      <c r="G16" s="7"/>
      <c r="H16" s="7" t="e">
        <f ca="1">[1]!t仕入先名(G16)</f>
        <v>#NAME?</v>
      </c>
      <c r="I16" s="7"/>
      <c r="J16" s="82"/>
      <c r="K16" s="82"/>
      <c r="L16" s="82"/>
    </row>
    <row r="17" spans="1:12" ht="13.5" customHeight="1">
      <c r="A17" s="7">
        <v>5</v>
      </c>
      <c r="B17" s="7"/>
      <c r="C17" s="7"/>
      <c r="D17" s="7" t="s">
        <v>1467</v>
      </c>
      <c r="E17" s="7" t="s">
        <v>1688</v>
      </c>
      <c r="F17" s="7" t="s">
        <v>1682</v>
      </c>
      <c r="G17" s="7"/>
      <c r="H17" s="7" t="e">
        <f ca="1">[1]!t仕入先名(G17)</f>
        <v>#NAME?</v>
      </c>
      <c r="I17" s="7"/>
      <c r="J17" s="82"/>
      <c r="K17" s="82"/>
      <c r="L17" s="82"/>
    </row>
    <row r="18" spans="1:12" ht="13.5" customHeight="1">
      <c r="A18" s="7">
        <v>6</v>
      </c>
      <c r="B18" s="7"/>
      <c r="C18" s="7"/>
      <c r="D18" s="7" t="s">
        <v>1468</v>
      </c>
      <c r="E18" s="7"/>
      <c r="F18" s="7" t="s">
        <v>1682</v>
      </c>
      <c r="G18" s="7"/>
      <c r="H18" s="7" t="e">
        <f ca="1">[1]!t仕入先名(G18)</f>
        <v>#NAME?</v>
      </c>
      <c r="I18" s="7"/>
      <c r="J18" s="82"/>
      <c r="K18" s="82"/>
      <c r="L18" s="82"/>
    </row>
    <row r="19" spans="1:12" ht="13.5" customHeight="1">
      <c r="A19" s="7">
        <v>7</v>
      </c>
      <c r="B19" s="7"/>
      <c r="C19" s="7"/>
      <c r="D19" s="7" t="s">
        <v>1469</v>
      </c>
      <c r="E19" s="7"/>
      <c r="F19" s="7" t="s">
        <v>1682</v>
      </c>
      <c r="G19" s="7"/>
      <c r="H19" s="7" t="e">
        <f ca="1">[1]!t仕入先名(G19)</f>
        <v>#NAME?</v>
      </c>
      <c r="I19" s="7"/>
      <c r="J19" s="82"/>
      <c r="K19" s="82"/>
      <c r="L19" s="82"/>
    </row>
    <row r="20" spans="1:12" ht="13.5" customHeight="1">
      <c r="A20" s="7">
        <v>8</v>
      </c>
      <c r="B20" s="7"/>
      <c r="C20" s="7"/>
      <c r="D20" s="7" t="s">
        <v>1470</v>
      </c>
      <c r="E20" s="7"/>
      <c r="F20" s="7" t="s">
        <v>1682</v>
      </c>
      <c r="G20" s="7"/>
      <c r="H20" s="7" t="e">
        <f ca="1">[1]!t仕入先名(G20)</f>
        <v>#NAME?</v>
      </c>
      <c r="I20" s="7"/>
      <c r="J20" s="82"/>
      <c r="K20" s="82"/>
      <c r="L20" s="82"/>
    </row>
    <row r="21" spans="1:12" ht="13.5" customHeight="1">
      <c r="A21" s="7">
        <v>9</v>
      </c>
      <c r="B21" s="7"/>
      <c r="C21" s="7"/>
      <c r="D21" s="7" t="s">
        <v>1471</v>
      </c>
      <c r="E21" s="7"/>
      <c r="F21" s="7" t="s">
        <v>1682</v>
      </c>
      <c r="G21" s="7"/>
      <c r="H21" s="7" t="e">
        <f ca="1">[1]!t仕入先名(G21)</f>
        <v>#NAME?</v>
      </c>
      <c r="I21" s="7"/>
      <c r="J21" s="82"/>
      <c r="K21" s="82"/>
      <c r="L21" s="82"/>
    </row>
    <row r="22" spans="1:12" ht="13.5" customHeight="1">
      <c r="A22" s="7">
        <v>10</v>
      </c>
      <c r="B22" s="7"/>
      <c r="C22" s="7"/>
      <c r="D22" s="7" t="s">
        <v>1472</v>
      </c>
      <c r="E22" s="7"/>
      <c r="F22" s="7" t="s">
        <v>1682</v>
      </c>
      <c r="G22" s="7"/>
      <c r="H22" s="7" t="e">
        <f ca="1">[1]!t仕入先名(G22)</f>
        <v>#NAME?</v>
      </c>
      <c r="I22" s="7"/>
      <c r="J22" s="82"/>
      <c r="K22" s="82"/>
      <c r="L22" s="82"/>
    </row>
    <row r="23" spans="1:12" ht="13.5" customHeight="1">
      <c r="A23" s="7">
        <v>11</v>
      </c>
      <c r="B23" s="7"/>
      <c r="C23" s="7"/>
      <c r="D23" s="7" t="s">
        <v>1473</v>
      </c>
      <c r="E23" s="7"/>
      <c r="F23" s="7" t="s">
        <v>1682</v>
      </c>
      <c r="G23" s="7"/>
      <c r="H23" s="7" t="e">
        <f ca="1">[1]!t仕入先名(G23)</f>
        <v>#NAME?</v>
      </c>
      <c r="I23" s="7"/>
      <c r="J23" s="82"/>
      <c r="K23" s="82"/>
      <c r="L23" s="82"/>
    </row>
    <row r="24" spans="1:12" ht="13.5" customHeight="1">
      <c r="A24" s="7">
        <v>12</v>
      </c>
      <c r="B24" s="7"/>
      <c r="C24" s="7"/>
      <c r="D24" s="7" t="s">
        <v>1681</v>
      </c>
      <c r="E24" s="7"/>
      <c r="F24" s="7" t="s">
        <v>1682</v>
      </c>
      <c r="G24" s="7"/>
      <c r="H24" s="7" t="e">
        <f ca="1">[1]!t仕入先名(G24)</f>
        <v>#NAME?</v>
      </c>
      <c r="I24" s="7"/>
      <c r="J24" s="82"/>
      <c r="K24" s="82"/>
      <c r="L24" s="82"/>
    </row>
    <row r="25" spans="1:12" ht="13.5" customHeight="1">
      <c r="A25" s="7">
        <v>13</v>
      </c>
      <c r="B25" s="7"/>
      <c r="C25" s="7"/>
      <c r="D25" s="7" t="s">
        <v>1474</v>
      </c>
      <c r="E25" s="7" t="s">
        <v>1689</v>
      </c>
      <c r="F25" s="7" t="s">
        <v>1682</v>
      </c>
      <c r="G25" s="7"/>
      <c r="H25" s="7" t="e">
        <f ca="1">[1]!t仕入先名(G25)</f>
        <v>#NAME?</v>
      </c>
      <c r="I25" s="7"/>
      <c r="J25" s="82"/>
      <c r="K25" s="82"/>
      <c r="L25" s="82"/>
    </row>
    <row r="26" spans="1:12" ht="13.5" customHeight="1">
      <c r="A26" s="7">
        <v>14</v>
      </c>
      <c r="B26" s="7"/>
      <c r="C26" s="7"/>
      <c r="D26" s="7" t="s">
        <v>1475</v>
      </c>
      <c r="E26" s="7"/>
      <c r="F26" s="7" t="s">
        <v>1682</v>
      </c>
      <c r="G26" s="7"/>
      <c r="H26" s="7" t="e">
        <f ca="1">[1]!t仕入先名(G26)</f>
        <v>#NAME?</v>
      </c>
      <c r="I26" s="7"/>
      <c r="J26" s="82"/>
      <c r="K26" s="82"/>
      <c r="L26" s="82"/>
    </row>
    <row r="27" spans="1:12" ht="13.5" customHeight="1">
      <c r="A27" s="7">
        <v>15</v>
      </c>
      <c r="B27" s="7"/>
      <c r="C27" s="7"/>
      <c r="D27" s="7" t="s">
        <v>1476</v>
      </c>
      <c r="E27" s="7"/>
      <c r="F27" s="7" t="s">
        <v>1682</v>
      </c>
      <c r="G27" s="7"/>
      <c r="H27" s="7" t="e">
        <f ca="1">[1]!t仕入先名(G27)</f>
        <v>#NAME?</v>
      </c>
      <c r="I27" s="7"/>
      <c r="J27" s="82"/>
      <c r="K27" s="82"/>
      <c r="L27" s="82"/>
    </row>
    <row r="28" spans="1:12" ht="13.5" customHeight="1">
      <c r="A28" s="7">
        <v>16</v>
      </c>
      <c r="B28" s="7"/>
      <c r="C28" s="7"/>
      <c r="D28" s="7" t="s">
        <v>1477</v>
      </c>
      <c r="E28" s="7"/>
      <c r="F28" s="7" t="s">
        <v>1682</v>
      </c>
      <c r="G28" s="7"/>
      <c r="H28" s="7" t="e">
        <f ca="1">[1]!t仕入先名(G28)</f>
        <v>#NAME?</v>
      </c>
      <c r="I28" s="7"/>
      <c r="J28" s="82"/>
      <c r="K28" s="82"/>
      <c r="L28" s="82"/>
    </row>
    <row r="29" spans="1:12" ht="13.5" customHeight="1">
      <c r="A29" s="7">
        <v>17</v>
      </c>
      <c r="B29" s="7"/>
      <c r="C29" s="7"/>
      <c r="D29" s="7" t="s">
        <v>1478</v>
      </c>
      <c r="E29" s="7" t="s">
        <v>1690</v>
      </c>
      <c r="F29" s="7" t="s">
        <v>1682</v>
      </c>
      <c r="G29" s="7"/>
      <c r="H29" s="7" t="e">
        <f ca="1">[1]!t仕入先名(G29)</f>
        <v>#NAME?</v>
      </c>
      <c r="I29" s="7"/>
      <c r="J29" s="82"/>
      <c r="K29" s="82"/>
      <c r="L29" s="82"/>
    </row>
    <row r="30" spans="1:12" ht="13.5" customHeight="1">
      <c r="A30" s="7">
        <v>18</v>
      </c>
      <c r="B30" s="7"/>
      <c r="C30" s="7"/>
      <c r="D30" s="7" t="s">
        <v>1479</v>
      </c>
      <c r="E30" s="7" t="s">
        <v>1691</v>
      </c>
      <c r="F30" s="7" t="s">
        <v>1682</v>
      </c>
      <c r="G30" s="7"/>
      <c r="H30" s="7" t="e">
        <f ca="1">[1]!t仕入先名(G30)</f>
        <v>#NAME?</v>
      </c>
      <c r="I30" s="7"/>
      <c r="J30" s="82"/>
      <c r="K30" s="82"/>
      <c r="L30" s="82"/>
    </row>
    <row r="31" spans="1:12" ht="13.5" customHeight="1">
      <c r="A31" s="7">
        <v>19</v>
      </c>
      <c r="B31" s="7"/>
      <c r="C31" s="7"/>
      <c r="D31" s="7" t="s">
        <v>1480</v>
      </c>
      <c r="E31" s="7" t="s">
        <v>1692</v>
      </c>
      <c r="F31" s="7" t="s">
        <v>1682</v>
      </c>
      <c r="G31" s="7"/>
      <c r="H31" s="7" t="e">
        <f ca="1">[1]!t仕入先名(G31)</f>
        <v>#NAME?</v>
      </c>
      <c r="I31" s="7"/>
      <c r="J31" s="82"/>
      <c r="K31" s="82"/>
      <c r="L31" s="82"/>
    </row>
    <row r="32" spans="1:12" ht="13.5" customHeight="1">
      <c r="A32" s="7">
        <v>20</v>
      </c>
      <c r="B32" s="7"/>
      <c r="C32" s="7"/>
      <c r="D32" s="7" t="s">
        <v>1481</v>
      </c>
      <c r="E32" s="7"/>
      <c r="F32" s="7" t="s">
        <v>1682</v>
      </c>
      <c r="G32" s="7"/>
      <c r="H32" s="7" t="e">
        <f ca="1">[1]!t仕入先名(G32)</f>
        <v>#NAME?</v>
      </c>
      <c r="I32" s="7"/>
      <c r="J32" s="82"/>
      <c r="K32" s="82"/>
      <c r="L32" s="82"/>
    </row>
    <row r="33" spans="1:12" ht="13.5" customHeight="1">
      <c r="A33" s="7">
        <v>21</v>
      </c>
      <c r="B33" s="7"/>
      <c r="C33" s="7"/>
      <c r="D33" s="7" t="s">
        <v>1482</v>
      </c>
      <c r="E33" s="7" t="s">
        <v>1693</v>
      </c>
      <c r="F33" s="7" t="s">
        <v>1682</v>
      </c>
      <c r="G33" s="7"/>
      <c r="H33" s="7" t="e">
        <f ca="1">[1]!t仕入先名(G33)</f>
        <v>#NAME?</v>
      </c>
      <c r="I33" s="7"/>
      <c r="J33" s="82"/>
      <c r="K33" s="82"/>
      <c r="L33" s="82"/>
    </row>
    <row r="34" spans="1:12" ht="13.5" customHeight="1">
      <c r="A34" s="7">
        <v>22</v>
      </c>
      <c r="B34" s="7"/>
      <c r="C34" s="7"/>
      <c r="D34" s="7" t="s">
        <v>1483</v>
      </c>
      <c r="E34" s="7" t="s">
        <v>1694</v>
      </c>
      <c r="F34" s="7" t="s">
        <v>1682</v>
      </c>
      <c r="G34" s="7"/>
      <c r="H34" s="7" t="e">
        <f ca="1">[1]!t仕入先名(G34)</f>
        <v>#NAME?</v>
      </c>
      <c r="I34" s="7"/>
      <c r="J34" s="82"/>
      <c r="K34" s="82"/>
      <c r="L34" s="82"/>
    </row>
    <row r="35" spans="1:12" ht="13.5" customHeight="1">
      <c r="A35" s="7">
        <v>23</v>
      </c>
      <c r="B35" s="7"/>
      <c r="C35" s="7"/>
      <c r="D35" s="7" t="s">
        <v>1484</v>
      </c>
      <c r="E35" s="7" t="s">
        <v>1695</v>
      </c>
      <c r="F35" s="7" t="s">
        <v>1682</v>
      </c>
      <c r="G35" s="7"/>
      <c r="H35" s="7" t="e">
        <f ca="1">[1]!t仕入先名(G35)</f>
        <v>#NAME?</v>
      </c>
      <c r="I35" s="7"/>
      <c r="J35" s="82"/>
      <c r="K35" s="82"/>
      <c r="L35" s="82"/>
    </row>
    <row r="36" spans="1:12" ht="13.5" customHeight="1">
      <c r="A36" s="7">
        <v>24</v>
      </c>
      <c r="B36" s="7"/>
      <c r="C36" s="7"/>
      <c r="D36" s="7" t="s">
        <v>1485</v>
      </c>
      <c r="E36" s="7" t="s">
        <v>1696</v>
      </c>
      <c r="F36" s="7" t="s">
        <v>1682</v>
      </c>
      <c r="G36" s="7"/>
      <c r="H36" s="7" t="e">
        <f ca="1">[1]!t仕入先名(G36)</f>
        <v>#NAME?</v>
      </c>
      <c r="I36" s="7"/>
      <c r="J36" s="82"/>
      <c r="K36" s="82"/>
      <c r="L36" s="82"/>
    </row>
    <row r="37" spans="1:12" ht="13.5" customHeight="1">
      <c r="A37" s="7">
        <v>25</v>
      </c>
      <c r="B37" s="7"/>
      <c r="C37" s="7"/>
      <c r="D37" s="7" t="s">
        <v>1486</v>
      </c>
      <c r="E37" s="7" t="s">
        <v>1697</v>
      </c>
      <c r="F37" s="7" t="s">
        <v>1682</v>
      </c>
      <c r="G37" s="7"/>
      <c r="H37" s="7" t="e">
        <f ca="1">[1]!t仕入先名(G37)</f>
        <v>#NAME?</v>
      </c>
      <c r="I37" s="7"/>
      <c r="J37" s="82"/>
      <c r="K37" s="82"/>
      <c r="L37" s="82"/>
    </row>
    <row r="38" spans="1:12" ht="13.5" customHeight="1">
      <c r="A38" s="7">
        <v>26</v>
      </c>
      <c r="B38" s="7"/>
      <c r="C38" s="7"/>
      <c r="D38" s="7" t="s">
        <v>1487</v>
      </c>
      <c r="E38" s="7" t="s">
        <v>1698</v>
      </c>
      <c r="F38" s="7" t="s">
        <v>1682</v>
      </c>
      <c r="G38" s="7"/>
      <c r="H38" s="7" t="e">
        <f ca="1">[1]!t仕入先名(G38)</f>
        <v>#NAME?</v>
      </c>
      <c r="I38" s="7"/>
      <c r="J38" s="82"/>
      <c r="K38" s="82"/>
      <c r="L38" s="82"/>
    </row>
    <row r="39" spans="1:12" ht="13.5" customHeight="1">
      <c r="A39" s="7">
        <v>27</v>
      </c>
      <c r="B39" s="7"/>
      <c r="C39" s="7"/>
      <c r="D39" s="7" t="s">
        <v>1488</v>
      </c>
      <c r="E39" s="7" t="s">
        <v>1699</v>
      </c>
      <c r="F39" s="7" t="s">
        <v>1682</v>
      </c>
      <c r="G39" s="7"/>
      <c r="H39" s="7" t="e">
        <f ca="1">[1]!t仕入先名(G39)</f>
        <v>#NAME?</v>
      </c>
      <c r="I39" s="7"/>
      <c r="J39" s="82"/>
      <c r="K39" s="82"/>
      <c r="L39" s="82"/>
    </row>
    <row r="40" spans="1:12" ht="13.5" customHeight="1">
      <c r="A40" s="7">
        <v>28</v>
      </c>
      <c r="B40" s="7"/>
      <c r="C40" s="7"/>
      <c r="D40" s="7" t="s">
        <v>1489</v>
      </c>
      <c r="E40" s="7" t="s">
        <v>1700</v>
      </c>
      <c r="F40" s="7" t="s">
        <v>1682</v>
      </c>
      <c r="G40" s="7"/>
      <c r="H40" s="7" t="e">
        <f ca="1">[1]!t仕入先名(G40)</f>
        <v>#NAME?</v>
      </c>
      <c r="I40" s="7"/>
      <c r="J40" s="82"/>
      <c r="K40" s="82"/>
      <c r="L40" s="82"/>
    </row>
    <row r="41" spans="1:12" ht="13.5" customHeight="1">
      <c r="A41" s="7">
        <v>29</v>
      </c>
      <c r="B41" s="7"/>
      <c r="C41" s="7"/>
      <c r="D41" s="7" t="s">
        <v>1490</v>
      </c>
      <c r="E41" s="7" t="s">
        <v>1701</v>
      </c>
      <c r="F41" s="7" t="s">
        <v>1682</v>
      </c>
      <c r="G41" s="7"/>
      <c r="H41" s="7" t="e">
        <f ca="1">[1]!t仕入先名(G41)</f>
        <v>#NAME?</v>
      </c>
      <c r="I41" s="7"/>
      <c r="J41" s="82"/>
      <c r="K41" s="82"/>
      <c r="L41" s="82"/>
    </row>
    <row r="42" spans="1:12" ht="13.5" customHeight="1">
      <c r="A42" s="7">
        <v>30</v>
      </c>
      <c r="B42" s="7"/>
      <c r="C42" s="7"/>
      <c r="D42" s="7" t="s">
        <v>1491</v>
      </c>
      <c r="E42" s="7" t="s">
        <v>1702</v>
      </c>
      <c r="F42" s="7" t="s">
        <v>1682</v>
      </c>
      <c r="G42" s="7"/>
      <c r="H42" s="7" t="e">
        <f ca="1">[1]!t仕入先名(G42)</f>
        <v>#NAME?</v>
      </c>
      <c r="I42" s="7"/>
      <c r="J42" s="82"/>
      <c r="K42" s="82"/>
      <c r="L42" s="82"/>
    </row>
    <row r="43" spans="1:12" ht="13.5" customHeight="1">
      <c r="A43" s="7">
        <v>31</v>
      </c>
      <c r="B43" s="7"/>
      <c r="C43" s="7"/>
      <c r="D43" s="7" t="s">
        <v>1492</v>
      </c>
      <c r="E43" s="7" t="s">
        <v>1703</v>
      </c>
      <c r="F43" s="7" t="s">
        <v>1682</v>
      </c>
      <c r="G43" s="7"/>
      <c r="H43" s="7" t="e">
        <f ca="1">[1]!t仕入先名(G43)</f>
        <v>#NAME?</v>
      </c>
      <c r="I43" s="7"/>
      <c r="J43" s="82"/>
      <c r="K43" s="82"/>
      <c r="L43" s="82"/>
    </row>
    <row r="44" spans="1:12" ht="13.5" customHeight="1">
      <c r="A44" s="7">
        <v>32</v>
      </c>
      <c r="B44" s="7"/>
      <c r="C44" s="7"/>
      <c r="D44" s="7" t="s">
        <v>1493</v>
      </c>
      <c r="E44" s="7" t="s">
        <v>1704</v>
      </c>
      <c r="F44" s="7" t="s">
        <v>1682</v>
      </c>
      <c r="G44" s="7"/>
      <c r="H44" s="7" t="e">
        <f ca="1">[1]!t仕入先名(G44)</f>
        <v>#NAME?</v>
      </c>
      <c r="I44" s="7"/>
      <c r="J44" s="82"/>
      <c r="K44" s="82"/>
      <c r="L44" s="82"/>
    </row>
    <row r="45" spans="1:12" ht="13.5" customHeight="1">
      <c r="A45" s="7">
        <v>33</v>
      </c>
      <c r="B45" s="7"/>
      <c r="C45" s="7"/>
      <c r="D45" s="7" t="s">
        <v>1494</v>
      </c>
      <c r="E45" s="7" t="s">
        <v>1705</v>
      </c>
      <c r="F45" s="7" t="s">
        <v>1682</v>
      </c>
      <c r="G45" s="7"/>
      <c r="H45" s="7" t="e">
        <f ca="1">[1]!t仕入先名(G45)</f>
        <v>#NAME?</v>
      </c>
      <c r="I45" s="7"/>
      <c r="J45" s="82"/>
      <c r="K45" s="82"/>
      <c r="L45" s="82"/>
    </row>
    <row r="46" spans="1:12" ht="13.5" customHeight="1">
      <c r="A46" s="7">
        <v>34</v>
      </c>
      <c r="B46" s="7"/>
      <c r="C46" s="7"/>
      <c r="D46" s="7" t="s">
        <v>1495</v>
      </c>
      <c r="E46" s="7" t="s">
        <v>1706</v>
      </c>
      <c r="F46" s="7" t="s">
        <v>1682</v>
      </c>
      <c r="G46" s="7"/>
      <c r="H46" s="7" t="e">
        <f ca="1">[1]!t仕入先名(G46)</f>
        <v>#NAME?</v>
      </c>
      <c r="I46" s="7"/>
      <c r="J46" s="82"/>
      <c r="K46" s="82"/>
      <c r="L46" s="82"/>
    </row>
    <row r="47" spans="1:12" ht="13.5" customHeight="1">
      <c r="A47" s="7">
        <v>35</v>
      </c>
      <c r="B47" s="7"/>
      <c r="C47" s="7"/>
      <c r="D47" s="7" t="s">
        <v>1496</v>
      </c>
      <c r="E47" s="7" t="s">
        <v>1707</v>
      </c>
      <c r="F47" s="7" t="s">
        <v>1682</v>
      </c>
      <c r="G47" s="7"/>
      <c r="H47" s="7" t="e">
        <f ca="1">[1]!t仕入先名(G47)</f>
        <v>#NAME?</v>
      </c>
      <c r="I47" s="7"/>
      <c r="J47" s="82"/>
      <c r="K47" s="82"/>
      <c r="L47" s="82"/>
    </row>
    <row r="48" spans="1:12" ht="13.5" customHeight="1">
      <c r="A48" s="7">
        <v>36</v>
      </c>
      <c r="B48" s="7"/>
      <c r="C48" s="7"/>
      <c r="D48" s="7" t="s">
        <v>1497</v>
      </c>
      <c r="E48" s="7" t="s">
        <v>1708</v>
      </c>
      <c r="F48" s="7" t="s">
        <v>1682</v>
      </c>
      <c r="G48" s="7"/>
      <c r="H48" s="7" t="e">
        <f ca="1">[1]!t仕入先名(G48)</f>
        <v>#NAME?</v>
      </c>
      <c r="I48" s="7"/>
      <c r="J48" s="82"/>
      <c r="K48" s="82"/>
      <c r="L48" s="82"/>
    </row>
    <row r="49" spans="1:12" ht="13.5" customHeight="1">
      <c r="A49" s="7">
        <v>37</v>
      </c>
      <c r="B49" s="7"/>
      <c r="C49" s="7"/>
      <c r="D49" s="7" t="s">
        <v>1498</v>
      </c>
      <c r="E49" s="7" t="s">
        <v>1709</v>
      </c>
      <c r="F49" s="7" t="s">
        <v>1682</v>
      </c>
      <c r="G49" s="7"/>
      <c r="H49" s="7" t="e">
        <f ca="1">[1]!t仕入先名(G49)</f>
        <v>#NAME?</v>
      </c>
      <c r="I49" s="7"/>
      <c r="J49" s="82"/>
      <c r="K49" s="82"/>
      <c r="L49" s="82"/>
    </row>
    <row r="50" spans="1:12" ht="13.5" customHeight="1">
      <c r="A50" s="7">
        <v>38</v>
      </c>
      <c r="B50" s="7"/>
      <c r="C50" s="7"/>
      <c r="D50" s="7" t="s">
        <v>1499</v>
      </c>
      <c r="E50" s="7" t="s">
        <v>1710</v>
      </c>
      <c r="F50" s="7" t="s">
        <v>1682</v>
      </c>
      <c r="G50" s="7"/>
      <c r="H50" s="7" t="e">
        <f ca="1">[1]!t仕入先名(G50)</f>
        <v>#NAME?</v>
      </c>
      <c r="I50" s="7"/>
      <c r="J50" s="82"/>
      <c r="K50" s="82"/>
      <c r="L50" s="82"/>
    </row>
    <row r="51" spans="1:12" ht="13.5" customHeight="1">
      <c r="A51" s="7">
        <v>39</v>
      </c>
      <c r="B51" s="7"/>
      <c r="C51" s="7"/>
      <c r="D51" s="7" t="s">
        <v>1500</v>
      </c>
      <c r="E51" s="7" t="s">
        <v>1711</v>
      </c>
      <c r="F51" s="7" t="s">
        <v>1682</v>
      </c>
      <c r="G51" s="7"/>
      <c r="H51" s="7" t="e">
        <f ca="1">[1]!t仕入先名(G51)</f>
        <v>#NAME?</v>
      </c>
      <c r="I51" s="7"/>
      <c r="J51" s="82"/>
      <c r="K51" s="82"/>
      <c r="L51" s="82"/>
    </row>
    <row r="52" spans="1:12" ht="13.5" customHeight="1">
      <c r="A52" s="7">
        <v>40</v>
      </c>
      <c r="B52" s="7"/>
      <c r="C52" s="7"/>
      <c r="D52" s="7" t="s">
        <v>1501</v>
      </c>
      <c r="E52" s="7" t="s">
        <v>1712</v>
      </c>
      <c r="F52" s="7" t="s">
        <v>1682</v>
      </c>
      <c r="G52" s="7"/>
      <c r="H52" s="7" t="e">
        <f ca="1">[1]!t仕入先名(G52)</f>
        <v>#NAME?</v>
      </c>
      <c r="I52" s="7"/>
      <c r="J52" s="82"/>
      <c r="K52" s="82"/>
      <c r="L52" s="82"/>
    </row>
    <row r="53" spans="1:12" ht="13.5" customHeight="1">
      <c r="A53" s="7">
        <v>41</v>
      </c>
      <c r="B53" s="7"/>
      <c r="C53" s="7"/>
      <c r="D53" s="7" t="s">
        <v>1502</v>
      </c>
      <c r="E53" s="7" t="s">
        <v>1713</v>
      </c>
      <c r="F53" s="7" t="s">
        <v>1682</v>
      </c>
      <c r="G53" s="7"/>
      <c r="H53" s="7" t="e">
        <f ca="1">[1]!t仕入先名(G53)</f>
        <v>#NAME?</v>
      </c>
      <c r="I53" s="7"/>
      <c r="J53" s="82"/>
      <c r="K53" s="82"/>
      <c r="L53" s="82"/>
    </row>
    <row r="54" spans="1:12" ht="13.5" customHeight="1">
      <c r="A54" s="7">
        <v>42</v>
      </c>
      <c r="B54" s="7"/>
      <c r="C54" s="7"/>
      <c r="D54" s="7" t="s">
        <v>1503</v>
      </c>
      <c r="E54" s="7" t="s">
        <v>1714</v>
      </c>
      <c r="F54" s="7" t="s">
        <v>1682</v>
      </c>
      <c r="G54" s="7"/>
      <c r="H54" s="7" t="e">
        <f ca="1">[1]!t仕入先名(G54)</f>
        <v>#NAME?</v>
      </c>
      <c r="I54" s="7"/>
      <c r="J54" s="82"/>
      <c r="K54" s="82"/>
      <c r="L54" s="82"/>
    </row>
    <row r="55" spans="1:12" ht="13.5" customHeight="1">
      <c r="A55" s="7">
        <v>43</v>
      </c>
      <c r="B55" s="7"/>
      <c r="C55" s="7"/>
      <c r="D55" s="7" t="s">
        <v>1504</v>
      </c>
      <c r="E55" s="7"/>
      <c r="F55" s="7" t="s">
        <v>1682</v>
      </c>
      <c r="G55" s="7"/>
      <c r="H55" s="7" t="e">
        <f ca="1">[1]!t仕入先名(G55)</f>
        <v>#NAME?</v>
      </c>
      <c r="I55" s="7"/>
      <c r="J55" s="82"/>
      <c r="K55" s="82"/>
      <c r="L55" s="82"/>
    </row>
    <row r="56" spans="1:12" ht="13.5" customHeight="1">
      <c r="A56" s="7">
        <v>44</v>
      </c>
      <c r="B56" s="7"/>
      <c r="C56" s="7"/>
      <c r="D56" s="7" t="s">
        <v>1505</v>
      </c>
      <c r="E56" s="7" t="s">
        <v>1715</v>
      </c>
      <c r="F56" s="7" t="s">
        <v>1682</v>
      </c>
      <c r="G56" s="7"/>
      <c r="H56" s="7" t="e">
        <f ca="1">[1]!t仕入先名(G56)</f>
        <v>#NAME?</v>
      </c>
      <c r="I56" s="7"/>
      <c r="J56" s="82"/>
      <c r="K56" s="82"/>
      <c r="L56" s="82"/>
    </row>
    <row r="57" spans="1:12" ht="13.5" customHeight="1">
      <c r="A57" s="7">
        <v>45</v>
      </c>
      <c r="B57" s="7"/>
      <c r="C57" s="7"/>
      <c r="D57" s="7" t="s">
        <v>1506</v>
      </c>
      <c r="E57" s="7" t="s">
        <v>1716</v>
      </c>
      <c r="F57" s="7" t="s">
        <v>1682</v>
      </c>
      <c r="G57" s="7"/>
      <c r="H57" s="7" t="e">
        <f ca="1">[1]!t仕入先名(G57)</f>
        <v>#NAME?</v>
      </c>
      <c r="I57" s="7"/>
      <c r="J57" s="82"/>
      <c r="K57" s="82"/>
      <c r="L57" s="82"/>
    </row>
    <row r="58" spans="1:12" ht="13.5" customHeight="1">
      <c r="A58" s="7">
        <v>46</v>
      </c>
      <c r="B58" s="7"/>
      <c r="C58" s="7"/>
      <c r="D58" s="7" t="s">
        <v>1507</v>
      </c>
      <c r="E58" s="7" t="s">
        <v>1717</v>
      </c>
      <c r="F58" s="7" t="s">
        <v>1682</v>
      </c>
      <c r="G58" s="7"/>
      <c r="H58" s="7" t="e">
        <f ca="1">[1]!t仕入先名(G58)</f>
        <v>#NAME?</v>
      </c>
      <c r="I58" s="7"/>
      <c r="J58" s="82"/>
      <c r="K58" s="82"/>
      <c r="L58" s="82"/>
    </row>
    <row r="59" spans="1:12" ht="13.5" customHeight="1">
      <c r="A59" s="7">
        <v>47</v>
      </c>
      <c r="B59" s="7"/>
      <c r="C59" s="7"/>
      <c r="D59" s="7" t="s">
        <v>1508</v>
      </c>
      <c r="E59" s="7" t="s">
        <v>1718</v>
      </c>
      <c r="F59" s="7" t="s">
        <v>1682</v>
      </c>
      <c r="G59" s="7"/>
      <c r="H59" s="7" t="e">
        <f ca="1">[1]!t仕入先名(G59)</f>
        <v>#NAME?</v>
      </c>
      <c r="I59" s="7"/>
      <c r="J59" s="82"/>
      <c r="K59" s="82"/>
      <c r="L59" s="82"/>
    </row>
    <row r="60" spans="1:12" ht="13.5" customHeight="1">
      <c r="A60" s="7">
        <v>48</v>
      </c>
      <c r="B60" s="7"/>
      <c r="C60" s="7"/>
      <c r="D60" s="7" t="s">
        <v>1509</v>
      </c>
      <c r="E60" s="7" t="s">
        <v>1719</v>
      </c>
      <c r="F60" s="7" t="s">
        <v>1682</v>
      </c>
      <c r="G60" s="7"/>
      <c r="H60" s="7" t="e">
        <f ca="1">[1]!t仕入先名(G60)</f>
        <v>#NAME?</v>
      </c>
      <c r="I60" s="7"/>
      <c r="J60" s="82"/>
      <c r="K60" s="82"/>
      <c r="L60" s="82"/>
    </row>
    <row r="61" spans="1:12" ht="13.5" customHeight="1">
      <c r="A61" s="7">
        <v>49</v>
      </c>
      <c r="B61" s="7"/>
      <c r="C61" s="7"/>
      <c r="D61" s="7" t="s">
        <v>1510</v>
      </c>
      <c r="E61" s="7" t="s">
        <v>1720</v>
      </c>
      <c r="F61" s="7" t="s">
        <v>1682</v>
      </c>
      <c r="G61" s="7"/>
      <c r="H61" s="7" t="e">
        <f ca="1">[1]!t仕入先名(G61)</f>
        <v>#NAME?</v>
      </c>
      <c r="I61" s="7"/>
      <c r="J61" s="82"/>
      <c r="K61" s="82"/>
      <c r="L61" s="82"/>
    </row>
    <row r="62" spans="1:12" ht="13.5" customHeight="1">
      <c r="A62" s="7">
        <v>50</v>
      </c>
      <c r="B62" s="7"/>
      <c r="C62" s="7"/>
      <c r="D62" s="7" t="s">
        <v>1511</v>
      </c>
      <c r="E62" s="7" t="s">
        <v>1721</v>
      </c>
      <c r="F62" s="7">
        <v>4</v>
      </c>
      <c r="G62" s="7"/>
      <c r="H62" s="7" t="e">
        <f ca="1">[1]!t仕入先名(G62)</f>
        <v>#NAME?</v>
      </c>
      <c r="I62" s="7"/>
      <c r="J62" s="82"/>
      <c r="K62" s="82"/>
      <c r="L62" s="82"/>
    </row>
    <row r="63" spans="1:12" ht="13.5" customHeight="1">
      <c r="A63" s="7">
        <v>51</v>
      </c>
      <c r="B63" s="7"/>
      <c r="C63" s="7"/>
      <c r="D63" s="7" t="s">
        <v>1512</v>
      </c>
      <c r="E63" s="7" t="s">
        <v>1722</v>
      </c>
      <c r="F63" s="7">
        <v>4</v>
      </c>
      <c r="G63" s="7"/>
      <c r="H63" s="7" t="e">
        <f ca="1">[1]!t仕入先名(G63)</f>
        <v>#NAME?</v>
      </c>
      <c r="I63" s="7"/>
      <c r="J63" s="82"/>
      <c r="K63" s="82"/>
      <c r="L63" s="82"/>
    </row>
    <row r="64" spans="1:12" ht="13.5" customHeight="1">
      <c r="A64" s="7">
        <v>52</v>
      </c>
      <c r="B64" s="7"/>
      <c r="C64" s="7"/>
      <c r="D64" s="7" t="s">
        <v>1513</v>
      </c>
      <c r="E64" s="7" t="s">
        <v>1723</v>
      </c>
      <c r="F64" s="7">
        <v>4</v>
      </c>
      <c r="G64" s="7"/>
      <c r="H64" s="7" t="e">
        <f ca="1">[1]!t仕入先名(G64)</f>
        <v>#NAME?</v>
      </c>
      <c r="I64" s="7"/>
      <c r="J64" s="82"/>
      <c r="K64" s="82"/>
      <c r="L64" s="82"/>
    </row>
    <row r="65" spans="1:12" ht="13.5" customHeight="1">
      <c r="A65" s="7">
        <v>53</v>
      </c>
      <c r="B65" s="7"/>
      <c r="C65" s="7"/>
      <c r="D65" s="7" t="s">
        <v>1514</v>
      </c>
      <c r="E65" s="7" t="s">
        <v>1724</v>
      </c>
      <c r="F65" s="7">
        <v>10</v>
      </c>
      <c r="G65" s="7"/>
      <c r="H65" s="7" t="e">
        <f ca="1">[1]!t仕入先名(G65)</f>
        <v>#NAME?</v>
      </c>
      <c r="I65" s="7"/>
      <c r="J65" s="82"/>
      <c r="K65" s="82"/>
      <c r="L65" s="82"/>
    </row>
    <row r="66" spans="1:12" ht="13.5" customHeight="1">
      <c r="A66" s="7">
        <v>54</v>
      </c>
      <c r="B66" s="7"/>
      <c r="C66" s="7"/>
      <c r="D66" s="7" t="s">
        <v>1515</v>
      </c>
      <c r="E66" s="7" t="s">
        <v>1725</v>
      </c>
      <c r="F66" s="7">
        <v>6</v>
      </c>
      <c r="G66" s="7"/>
      <c r="H66" s="7" t="e">
        <f ca="1">[1]!t仕入先名(G66)</f>
        <v>#NAME?</v>
      </c>
      <c r="I66" s="7"/>
      <c r="J66" s="82"/>
      <c r="K66" s="82"/>
      <c r="L66" s="82"/>
    </row>
    <row r="67" spans="1:12" ht="13.5" customHeight="1">
      <c r="A67" s="7">
        <v>55</v>
      </c>
      <c r="B67" s="7"/>
      <c r="C67" s="7"/>
      <c r="D67" s="7" t="s">
        <v>1516</v>
      </c>
      <c r="E67" s="7" t="s">
        <v>1726</v>
      </c>
      <c r="F67" s="7">
        <v>4</v>
      </c>
      <c r="G67" s="7"/>
      <c r="H67" s="7" t="e">
        <f ca="1">[1]!t仕入先名(G67)</f>
        <v>#NAME?</v>
      </c>
      <c r="I67" s="7"/>
      <c r="J67" s="82"/>
      <c r="K67" s="82"/>
      <c r="L67" s="82"/>
    </row>
    <row r="68" spans="1:12" ht="13.5" customHeight="1">
      <c r="A68" s="7">
        <v>56</v>
      </c>
      <c r="B68" s="7"/>
      <c r="C68" s="7"/>
      <c r="D68" s="7" t="s">
        <v>1517</v>
      </c>
      <c r="E68" s="7" t="s">
        <v>1727</v>
      </c>
      <c r="F68" s="7">
        <v>6</v>
      </c>
      <c r="G68" s="7"/>
      <c r="H68" s="7" t="e">
        <f ca="1">[1]!t仕入先名(G68)</f>
        <v>#NAME?</v>
      </c>
      <c r="I68" s="7"/>
      <c r="J68" s="82"/>
      <c r="K68" s="82"/>
      <c r="L68" s="82"/>
    </row>
    <row r="69" spans="1:12" ht="13.5" customHeight="1">
      <c r="A69" s="7">
        <v>57</v>
      </c>
      <c r="B69" s="7"/>
      <c r="C69" s="7"/>
      <c r="D69" s="7" t="s">
        <v>1518</v>
      </c>
      <c r="E69" s="7" t="s">
        <v>1728</v>
      </c>
      <c r="F69" s="7">
        <v>6</v>
      </c>
      <c r="G69" s="7"/>
      <c r="H69" s="7" t="e">
        <f ca="1">[1]!t仕入先名(G69)</f>
        <v>#NAME?</v>
      </c>
      <c r="I69" s="7"/>
      <c r="J69" s="82"/>
      <c r="K69" s="82"/>
      <c r="L69" s="82"/>
    </row>
    <row r="70" spans="1:12" ht="13.5" customHeight="1">
      <c r="A70" s="7">
        <v>58</v>
      </c>
      <c r="B70" s="7"/>
      <c r="C70" s="7"/>
      <c r="D70" s="7" t="s">
        <v>1519</v>
      </c>
      <c r="E70" s="7" t="s">
        <v>1729</v>
      </c>
      <c r="F70" s="7">
        <v>5</v>
      </c>
      <c r="G70" s="7"/>
      <c r="H70" s="7" t="e">
        <f ca="1">[1]!t仕入先名(G70)</f>
        <v>#NAME?</v>
      </c>
      <c r="I70" s="7"/>
      <c r="J70" s="82"/>
      <c r="K70" s="82"/>
      <c r="L70" s="82"/>
    </row>
    <row r="71" spans="1:12" ht="13.5" customHeight="1">
      <c r="A71" s="7">
        <v>59</v>
      </c>
      <c r="B71" s="7"/>
      <c r="C71" s="7"/>
      <c r="D71" s="7" t="s">
        <v>1520</v>
      </c>
      <c r="E71" s="7" t="s">
        <v>1730</v>
      </c>
      <c r="F71" s="7">
        <v>5</v>
      </c>
      <c r="G71" s="7"/>
      <c r="H71" s="7" t="e">
        <f ca="1">[1]!t仕入先名(G71)</f>
        <v>#NAME?</v>
      </c>
      <c r="I71" s="7"/>
      <c r="J71" s="82"/>
      <c r="K71" s="82"/>
      <c r="L71" s="82"/>
    </row>
    <row r="72" spans="1:12" s="10" customFormat="1" ht="13.5" customHeight="1">
      <c r="A72" s="7">
        <v>60</v>
      </c>
      <c r="B72" s="7"/>
      <c r="C72" s="7"/>
      <c r="D72" s="7" t="s">
        <v>1521</v>
      </c>
      <c r="E72" s="7" t="s">
        <v>1731</v>
      </c>
      <c r="F72" s="7">
        <v>5</v>
      </c>
      <c r="G72" s="7"/>
      <c r="H72" s="7" t="e">
        <f ca="1">[1]!t仕入先名(G72)</f>
        <v>#NAME?</v>
      </c>
      <c r="I72" s="7"/>
      <c r="J72" s="82"/>
      <c r="K72" s="82"/>
      <c r="L72" s="82"/>
    </row>
    <row r="73" spans="1:12" ht="13.5" customHeight="1">
      <c r="A73" s="7">
        <v>61</v>
      </c>
      <c r="B73" s="7"/>
      <c r="C73" s="7"/>
      <c r="D73" s="7" t="s">
        <v>1522</v>
      </c>
      <c r="E73" s="7" t="s">
        <v>1732</v>
      </c>
      <c r="F73" s="7">
        <v>6</v>
      </c>
      <c r="G73" s="7"/>
      <c r="H73" s="7" t="e">
        <f ca="1">[1]!t仕入先名(G73)</f>
        <v>#NAME?</v>
      </c>
      <c r="I73" s="7"/>
      <c r="J73" s="82"/>
      <c r="K73" s="82"/>
      <c r="L73" s="82"/>
    </row>
    <row r="74" spans="1:12" ht="13.5" customHeight="1">
      <c r="A74" s="7">
        <v>62</v>
      </c>
      <c r="B74" s="7"/>
      <c r="C74" s="7"/>
      <c r="D74" s="7" t="s">
        <v>1523</v>
      </c>
      <c r="E74" s="7" t="s">
        <v>1733</v>
      </c>
      <c r="F74" s="7">
        <v>6</v>
      </c>
      <c r="G74" s="7"/>
      <c r="H74" s="7" t="e">
        <f ca="1">[1]!t仕入先名(G74)</f>
        <v>#NAME?</v>
      </c>
      <c r="I74" s="7"/>
      <c r="J74" s="82"/>
      <c r="K74" s="82"/>
      <c r="L74" s="82"/>
    </row>
    <row r="75" spans="1:12" ht="13.5" customHeight="1">
      <c r="A75" s="7">
        <v>63</v>
      </c>
      <c r="B75" s="7"/>
      <c r="C75" s="7"/>
      <c r="D75" s="7" t="s">
        <v>1524</v>
      </c>
      <c r="E75" s="7" t="s">
        <v>1734</v>
      </c>
      <c r="F75" s="7">
        <v>5</v>
      </c>
      <c r="G75" s="7"/>
      <c r="H75" s="7" t="e">
        <f ca="1">[1]!t仕入先名(G75)</f>
        <v>#NAME?</v>
      </c>
      <c r="I75" s="7"/>
      <c r="J75" s="82"/>
      <c r="K75" s="82"/>
      <c r="L75" s="82"/>
    </row>
    <row r="76" spans="1:12" ht="13.5" customHeight="1">
      <c r="A76" s="7">
        <v>64</v>
      </c>
      <c r="B76" s="7"/>
      <c r="C76" s="7"/>
      <c r="D76" s="7" t="s">
        <v>1525</v>
      </c>
      <c r="E76" s="7" t="s">
        <v>1735</v>
      </c>
      <c r="F76" s="7">
        <v>4</v>
      </c>
      <c r="G76" s="7"/>
      <c r="H76" s="7" t="e">
        <f ca="1">[1]!t仕入先名(G76)</f>
        <v>#NAME?</v>
      </c>
      <c r="I76" s="7"/>
      <c r="J76" s="82"/>
      <c r="K76" s="82"/>
      <c r="L76" s="82"/>
    </row>
    <row r="77" spans="1:12" ht="13.5" customHeight="1">
      <c r="A77" s="7">
        <v>65</v>
      </c>
      <c r="B77" s="7"/>
      <c r="C77" s="7"/>
      <c r="D77" s="7" t="s">
        <v>1526</v>
      </c>
      <c r="E77" s="7" t="s">
        <v>1736</v>
      </c>
      <c r="F77" s="7">
        <v>5</v>
      </c>
      <c r="G77" s="7"/>
      <c r="H77" s="7" t="e">
        <f ca="1">[1]!t仕入先名(G77)</f>
        <v>#NAME?</v>
      </c>
      <c r="I77" s="7"/>
      <c r="J77" s="82"/>
      <c r="K77" s="82"/>
      <c r="L77" s="82"/>
    </row>
    <row r="78" spans="1:12" ht="13.5" customHeight="1">
      <c r="A78" s="7">
        <v>66</v>
      </c>
      <c r="B78" s="7"/>
      <c r="C78" s="7"/>
      <c r="D78" s="7" t="s">
        <v>1527</v>
      </c>
      <c r="E78" s="7" t="s">
        <v>1732</v>
      </c>
      <c r="F78" s="7">
        <v>4</v>
      </c>
      <c r="G78" s="7"/>
      <c r="H78" s="7" t="e">
        <f ca="1">[1]!t仕入先名(G78)</f>
        <v>#NAME?</v>
      </c>
      <c r="I78" s="7"/>
      <c r="J78" s="82"/>
      <c r="K78" s="82"/>
      <c r="L78" s="82"/>
    </row>
    <row r="79" spans="1:12" ht="13.5" customHeight="1">
      <c r="A79" s="7">
        <v>67</v>
      </c>
      <c r="B79" s="7"/>
      <c r="C79" s="7"/>
      <c r="D79" s="7" t="s">
        <v>1528</v>
      </c>
      <c r="E79" s="7" t="s">
        <v>1737</v>
      </c>
      <c r="F79" s="7">
        <v>4</v>
      </c>
      <c r="G79" s="7"/>
      <c r="H79" s="7" t="e">
        <f ca="1">[1]!t仕入先名(G79)</f>
        <v>#NAME?</v>
      </c>
      <c r="I79" s="7"/>
      <c r="J79" s="82"/>
      <c r="K79" s="82"/>
      <c r="L79" s="82"/>
    </row>
    <row r="80" spans="1:12" ht="13.5" customHeight="1">
      <c r="A80" s="7">
        <v>68</v>
      </c>
      <c r="B80" s="7"/>
      <c r="C80" s="7"/>
      <c r="D80" s="7" t="s">
        <v>1529</v>
      </c>
      <c r="E80" s="7" t="s">
        <v>1738</v>
      </c>
      <c r="F80" s="7">
        <v>4</v>
      </c>
      <c r="G80" s="7"/>
      <c r="H80" s="7" t="e">
        <f ca="1">[1]!t仕入先名(G80)</f>
        <v>#NAME?</v>
      </c>
      <c r="I80" s="7"/>
      <c r="J80" s="82"/>
      <c r="K80" s="82"/>
      <c r="L80" s="82"/>
    </row>
    <row r="81" spans="1:12" ht="13.5" customHeight="1">
      <c r="A81" s="7">
        <v>69</v>
      </c>
      <c r="B81" s="7"/>
      <c r="C81" s="7"/>
      <c r="D81" s="7" t="s">
        <v>1530</v>
      </c>
      <c r="E81" s="7" t="s">
        <v>1739</v>
      </c>
      <c r="F81" s="7">
        <v>4</v>
      </c>
      <c r="G81" s="7"/>
      <c r="H81" s="7" t="e">
        <f ca="1">[1]!t仕入先名(G81)</f>
        <v>#NAME?</v>
      </c>
      <c r="I81" s="7"/>
      <c r="J81" s="82"/>
      <c r="K81" s="82"/>
      <c r="L81" s="82"/>
    </row>
    <row r="82" spans="1:12" ht="13.5" customHeight="1">
      <c r="A82" s="7">
        <v>70</v>
      </c>
      <c r="B82" s="7"/>
      <c r="C82" s="7"/>
      <c r="D82" s="7" t="s">
        <v>1531</v>
      </c>
      <c r="E82" s="7" t="s">
        <v>1740</v>
      </c>
      <c r="F82" s="7">
        <v>6</v>
      </c>
      <c r="G82" s="7"/>
      <c r="H82" s="7" t="e">
        <f ca="1">[1]!t仕入先名(G82)</f>
        <v>#NAME?</v>
      </c>
      <c r="I82" s="7"/>
      <c r="J82" s="82"/>
      <c r="K82" s="82"/>
      <c r="L82" s="82"/>
    </row>
    <row r="83" spans="1:12" ht="13.5" customHeight="1">
      <c r="A83" s="7">
        <v>71</v>
      </c>
      <c r="B83" s="7"/>
      <c r="C83" s="7"/>
      <c r="D83" s="7" t="s">
        <v>1532</v>
      </c>
      <c r="E83" s="7" t="s">
        <v>1741</v>
      </c>
      <c r="F83" s="7">
        <v>4</v>
      </c>
      <c r="G83" s="7"/>
      <c r="H83" s="7" t="e">
        <f ca="1">[1]!t仕入先名(G83)</f>
        <v>#NAME?</v>
      </c>
      <c r="I83" s="7"/>
      <c r="J83" s="82"/>
      <c r="K83" s="82"/>
      <c r="L83" s="82"/>
    </row>
    <row r="84" spans="1:12" ht="13.5" customHeight="1">
      <c r="A84" s="7">
        <v>72</v>
      </c>
      <c r="B84" s="7"/>
      <c r="C84" s="7"/>
      <c r="D84" s="7" t="s">
        <v>1533</v>
      </c>
      <c r="E84" s="7" t="s">
        <v>1742</v>
      </c>
      <c r="F84" s="7">
        <v>6</v>
      </c>
      <c r="G84" s="7"/>
      <c r="H84" s="7" t="e">
        <f ca="1">[1]!t仕入先名(G84)</f>
        <v>#NAME?</v>
      </c>
      <c r="I84" s="7"/>
      <c r="J84" s="82"/>
      <c r="K84" s="82"/>
      <c r="L84" s="82"/>
    </row>
    <row r="85" spans="1:12" ht="13.5" customHeight="1">
      <c r="A85" s="7">
        <v>73</v>
      </c>
      <c r="B85" s="7"/>
      <c r="C85" s="7"/>
      <c r="D85" s="7" t="s">
        <v>1534</v>
      </c>
      <c r="E85" s="7" t="s">
        <v>1743</v>
      </c>
      <c r="F85" s="7">
        <v>4</v>
      </c>
      <c r="G85" s="7"/>
      <c r="H85" s="7" t="e">
        <f ca="1">[1]!t仕入先名(G85)</f>
        <v>#NAME?</v>
      </c>
      <c r="I85" s="7"/>
      <c r="J85" s="82"/>
      <c r="K85" s="82"/>
      <c r="L85" s="82"/>
    </row>
    <row r="86" spans="1:12" ht="13.5" customHeight="1">
      <c r="A86" s="7">
        <v>74</v>
      </c>
      <c r="B86" s="7"/>
      <c r="C86" s="7"/>
      <c r="D86" s="7" t="s">
        <v>1535</v>
      </c>
      <c r="E86" s="7" t="s">
        <v>1744</v>
      </c>
      <c r="F86" s="7">
        <v>12</v>
      </c>
      <c r="G86" s="7"/>
      <c r="H86" s="7" t="e">
        <f ca="1">[1]!t仕入先名(G86)</f>
        <v>#NAME?</v>
      </c>
      <c r="I86" s="7"/>
      <c r="J86" s="82"/>
      <c r="K86" s="82"/>
      <c r="L86" s="82"/>
    </row>
    <row r="87" spans="1:12" ht="13.5" customHeight="1">
      <c r="A87" s="7">
        <v>75</v>
      </c>
      <c r="B87" s="7"/>
      <c r="C87" s="7"/>
      <c r="D87" s="7" t="s">
        <v>1536</v>
      </c>
      <c r="E87" s="7" t="s">
        <v>1745</v>
      </c>
      <c r="F87" s="7">
        <v>8</v>
      </c>
      <c r="G87" s="7"/>
      <c r="H87" s="7" t="e">
        <f ca="1">[1]!t仕入先名(G87)</f>
        <v>#NAME?</v>
      </c>
      <c r="I87" s="7"/>
      <c r="J87" s="82"/>
      <c r="K87" s="82"/>
      <c r="L87" s="82"/>
    </row>
    <row r="88" spans="1:12" ht="13.5" customHeight="1">
      <c r="A88" s="7">
        <v>76</v>
      </c>
      <c r="B88" s="7"/>
      <c r="C88" s="7"/>
      <c r="D88" s="7" t="s">
        <v>1537</v>
      </c>
      <c r="E88" s="7" t="s">
        <v>1746</v>
      </c>
      <c r="F88" s="7">
        <v>3</v>
      </c>
      <c r="G88" s="7"/>
      <c r="H88" s="7" t="e">
        <f ca="1">[1]!t仕入先名(G88)</f>
        <v>#NAME?</v>
      </c>
      <c r="I88" s="7"/>
      <c r="J88" s="82"/>
      <c r="K88" s="82"/>
      <c r="L88" s="82"/>
    </row>
    <row r="89" spans="1:12" ht="13.5" customHeight="1">
      <c r="A89" s="7">
        <v>77</v>
      </c>
      <c r="B89" s="7"/>
      <c r="C89" s="7"/>
      <c r="D89" s="7" t="s">
        <v>1538</v>
      </c>
      <c r="E89" s="7" t="s">
        <v>1747</v>
      </c>
      <c r="F89" s="7">
        <v>2</v>
      </c>
      <c r="G89" s="7"/>
      <c r="H89" s="7" t="e">
        <f ca="1">[1]!t仕入先名(G89)</f>
        <v>#NAME?</v>
      </c>
      <c r="I89" s="7"/>
      <c r="J89" s="82"/>
      <c r="K89" s="82"/>
      <c r="L89" s="82"/>
    </row>
    <row r="90" spans="1:12" ht="13.5" customHeight="1">
      <c r="A90" s="7">
        <v>78</v>
      </c>
      <c r="B90" s="7"/>
      <c r="C90" s="7"/>
      <c r="D90" s="7" t="s">
        <v>1539</v>
      </c>
      <c r="E90" s="7" t="s">
        <v>1748</v>
      </c>
      <c r="F90" s="7">
        <v>3</v>
      </c>
      <c r="G90" s="7"/>
      <c r="H90" s="7" t="e">
        <f ca="1">[1]!t仕入先名(G90)</f>
        <v>#NAME?</v>
      </c>
      <c r="I90" s="7"/>
      <c r="J90" s="82"/>
      <c r="K90" s="82"/>
      <c r="L90" s="82"/>
    </row>
    <row r="91" spans="1:12" ht="13.5" customHeight="1">
      <c r="A91" s="7">
        <v>79</v>
      </c>
      <c r="B91" s="7"/>
      <c r="C91" s="7"/>
      <c r="D91" s="7" t="s">
        <v>1540</v>
      </c>
      <c r="E91" s="7" t="s">
        <v>1749</v>
      </c>
      <c r="F91" s="7">
        <v>3</v>
      </c>
      <c r="G91" s="7"/>
      <c r="H91" s="7" t="e">
        <f ca="1">[1]!t仕入先名(G91)</f>
        <v>#NAME?</v>
      </c>
      <c r="I91" s="7"/>
      <c r="J91" s="82"/>
      <c r="K91" s="82"/>
      <c r="L91" s="82"/>
    </row>
    <row r="92" spans="1:12" ht="13.5" customHeight="1">
      <c r="A92" s="7">
        <v>80</v>
      </c>
      <c r="B92" s="7"/>
      <c r="C92" s="7"/>
      <c r="D92" s="7" t="s">
        <v>1541</v>
      </c>
      <c r="E92" s="7" t="s">
        <v>1750</v>
      </c>
      <c r="F92" s="7">
        <v>3</v>
      </c>
      <c r="G92" s="7"/>
      <c r="H92" s="7" t="e">
        <f ca="1">[1]!t仕入先名(G92)</f>
        <v>#NAME?</v>
      </c>
      <c r="I92" s="7"/>
      <c r="J92" s="82"/>
      <c r="K92" s="82"/>
      <c r="L92" s="82"/>
    </row>
    <row r="93" spans="1:12" ht="13.5" customHeight="1">
      <c r="A93" s="7">
        <v>81</v>
      </c>
      <c r="B93" s="7"/>
      <c r="C93" s="7"/>
      <c r="D93" s="7" t="s">
        <v>1542</v>
      </c>
      <c r="E93" s="7" t="s">
        <v>1751</v>
      </c>
      <c r="F93" s="7">
        <v>3</v>
      </c>
      <c r="G93" s="7"/>
      <c r="H93" s="7" t="e">
        <f ca="1">[1]!t仕入先名(G93)</f>
        <v>#NAME?</v>
      </c>
      <c r="I93" s="7"/>
      <c r="J93" s="82"/>
      <c r="K93" s="82"/>
      <c r="L93" s="82"/>
    </row>
    <row r="94" spans="1:12" ht="13.5" customHeight="1">
      <c r="A94" s="7">
        <v>82</v>
      </c>
      <c r="B94" s="7"/>
      <c r="C94" s="7"/>
      <c r="D94" s="7" t="s">
        <v>1543</v>
      </c>
      <c r="E94" s="7" t="s">
        <v>1752</v>
      </c>
      <c r="F94" s="7">
        <v>3</v>
      </c>
      <c r="G94" s="7"/>
      <c r="H94" s="7" t="e">
        <f ca="1">[1]!t仕入先名(G94)</f>
        <v>#NAME?</v>
      </c>
      <c r="I94" s="7"/>
      <c r="J94" s="82"/>
      <c r="K94" s="82"/>
      <c r="L94" s="82"/>
    </row>
    <row r="95" spans="1:12" ht="13.5" customHeight="1">
      <c r="A95" s="7">
        <v>83</v>
      </c>
      <c r="B95" s="7"/>
      <c r="C95" s="7"/>
      <c r="D95" s="7" t="s">
        <v>1544</v>
      </c>
      <c r="E95" s="7" t="s">
        <v>1753</v>
      </c>
      <c r="F95" s="7">
        <v>6</v>
      </c>
      <c r="G95" s="7"/>
      <c r="H95" s="7" t="e">
        <f ca="1">[1]!t仕入先名(G95)</f>
        <v>#NAME?</v>
      </c>
      <c r="I95" s="7"/>
      <c r="J95" s="82"/>
      <c r="K95" s="82"/>
      <c r="L95" s="82"/>
    </row>
    <row r="96" spans="1:12" ht="13.5" customHeight="1">
      <c r="A96" s="7">
        <v>84</v>
      </c>
      <c r="B96" s="7"/>
      <c r="C96" s="7"/>
      <c r="D96" s="7" t="s">
        <v>1545</v>
      </c>
      <c r="E96" s="7" t="s">
        <v>1754</v>
      </c>
      <c r="F96" s="7">
        <v>4</v>
      </c>
      <c r="G96" s="7"/>
      <c r="H96" s="7" t="e">
        <f ca="1">[1]!t仕入先名(G96)</f>
        <v>#NAME?</v>
      </c>
      <c r="I96" s="7"/>
      <c r="J96" s="82"/>
      <c r="K96" s="82"/>
      <c r="L96" s="82"/>
    </row>
    <row r="97" spans="1:12" ht="13.5" customHeight="1">
      <c r="A97" s="7">
        <v>85</v>
      </c>
      <c r="B97" s="7"/>
      <c r="C97" s="7"/>
      <c r="D97" s="7" t="s">
        <v>1546</v>
      </c>
      <c r="E97" s="7" t="s">
        <v>1755</v>
      </c>
      <c r="F97" s="7">
        <v>6</v>
      </c>
      <c r="G97" s="7"/>
      <c r="H97" s="7" t="e">
        <f ca="1">[1]!t仕入先名(G97)</f>
        <v>#NAME?</v>
      </c>
      <c r="I97" s="7"/>
      <c r="J97" s="82"/>
      <c r="K97" s="82"/>
      <c r="L97" s="82"/>
    </row>
    <row r="98" spans="1:12" ht="13.5" customHeight="1">
      <c r="A98" s="7">
        <v>86</v>
      </c>
      <c r="B98" s="7"/>
      <c r="C98" s="7"/>
      <c r="D98" s="7" t="s">
        <v>1547</v>
      </c>
      <c r="E98" s="7" t="s">
        <v>1756</v>
      </c>
      <c r="F98" s="7" t="s">
        <v>1682</v>
      </c>
      <c r="G98" s="7"/>
      <c r="H98" s="7" t="e">
        <f ca="1">[1]!t仕入先名(G98)</f>
        <v>#NAME?</v>
      </c>
      <c r="I98" s="7"/>
      <c r="J98" s="82"/>
      <c r="K98" s="82"/>
      <c r="L98" s="82"/>
    </row>
    <row r="99" spans="1:12" ht="13.5" customHeight="1">
      <c r="A99" s="7">
        <v>87</v>
      </c>
      <c r="B99" s="7"/>
      <c r="C99" s="7"/>
      <c r="D99" s="7" t="s">
        <v>1548</v>
      </c>
      <c r="E99" s="7" t="s">
        <v>1757</v>
      </c>
      <c r="F99" s="7" t="s">
        <v>1682</v>
      </c>
      <c r="G99" s="7"/>
      <c r="H99" s="7" t="e">
        <f ca="1">[1]!t仕入先名(G99)</f>
        <v>#NAME?</v>
      </c>
      <c r="I99" s="7"/>
      <c r="J99" s="82"/>
      <c r="K99" s="82"/>
      <c r="L99" s="82"/>
    </row>
    <row r="100" spans="1:12" ht="13.5" customHeight="1">
      <c r="A100" s="7">
        <v>88</v>
      </c>
      <c r="B100" s="7"/>
      <c r="C100" s="7"/>
      <c r="D100" s="7" t="s">
        <v>1549</v>
      </c>
      <c r="E100" s="7" t="s">
        <v>1758</v>
      </c>
      <c r="F100" s="7" t="s">
        <v>1682</v>
      </c>
      <c r="G100" s="7"/>
      <c r="H100" s="7" t="e">
        <f ca="1">[1]!t仕入先名(G100)</f>
        <v>#NAME?</v>
      </c>
      <c r="I100" s="7"/>
      <c r="J100" s="82"/>
      <c r="K100" s="82"/>
      <c r="L100" s="82"/>
    </row>
    <row r="101" spans="1:12" ht="13.5" customHeight="1">
      <c r="A101" s="7">
        <v>89</v>
      </c>
      <c r="B101" s="7"/>
      <c r="C101" s="7"/>
      <c r="D101" s="7" t="s">
        <v>1550</v>
      </c>
      <c r="E101" s="7" t="s">
        <v>1759</v>
      </c>
      <c r="F101" s="7" t="s">
        <v>1682</v>
      </c>
      <c r="G101" s="7"/>
      <c r="H101" s="7" t="e">
        <f ca="1">[1]!t仕入先名(G101)</f>
        <v>#NAME?</v>
      </c>
      <c r="I101" s="7"/>
      <c r="J101" s="82"/>
      <c r="K101" s="82"/>
      <c r="L101" s="82"/>
    </row>
    <row r="102" spans="1:12" ht="13.5" customHeight="1">
      <c r="A102" s="7">
        <v>90</v>
      </c>
      <c r="B102" s="7"/>
      <c r="C102" s="7"/>
      <c r="D102" s="7" t="s">
        <v>1551</v>
      </c>
      <c r="E102" s="7" t="s">
        <v>1760</v>
      </c>
      <c r="F102" s="7" t="s">
        <v>1682</v>
      </c>
      <c r="G102" s="7"/>
      <c r="H102" s="7" t="e">
        <f ca="1">[1]!t仕入先名(G102)</f>
        <v>#NAME?</v>
      </c>
      <c r="I102" s="7"/>
      <c r="J102" s="82"/>
      <c r="K102" s="82"/>
      <c r="L102" s="82"/>
    </row>
    <row r="103" spans="1:12" ht="13.5" customHeight="1">
      <c r="A103" s="7">
        <v>91</v>
      </c>
      <c r="B103" s="7"/>
      <c r="C103" s="7"/>
      <c r="D103" s="7" t="s">
        <v>1552</v>
      </c>
      <c r="E103" s="7" t="s">
        <v>1761</v>
      </c>
      <c r="F103" s="7" t="s">
        <v>1682</v>
      </c>
      <c r="G103" s="7"/>
      <c r="H103" s="7" t="e">
        <f ca="1">[1]!t仕入先名(G103)</f>
        <v>#NAME?</v>
      </c>
      <c r="I103" s="7"/>
      <c r="J103" s="82"/>
      <c r="K103" s="82"/>
      <c r="L103" s="82"/>
    </row>
    <row r="104" spans="1:12" ht="13.5" customHeight="1">
      <c r="A104" s="7">
        <v>92</v>
      </c>
      <c r="B104" s="7"/>
      <c r="C104" s="7"/>
      <c r="D104" s="7" t="s">
        <v>1553</v>
      </c>
      <c r="E104" s="7" t="s">
        <v>1762</v>
      </c>
      <c r="F104" s="7" t="s">
        <v>1682</v>
      </c>
      <c r="G104" s="7"/>
      <c r="H104" s="7" t="e">
        <f ca="1">[1]!t仕入先名(G104)</f>
        <v>#NAME?</v>
      </c>
      <c r="I104" s="7"/>
      <c r="J104" s="82"/>
      <c r="K104" s="82"/>
      <c r="L104" s="82"/>
    </row>
    <row r="105" spans="1:12" ht="13.5" customHeight="1">
      <c r="A105" s="7">
        <v>93</v>
      </c>
      <c r="B105" s="7"/>
      <c r="C105" s="7"/>
      <c r="D105" s="7" t="s">
        <v>1554</v>
      </c>
      <c r="E105" s="7" t="s">
        <v>1763</v>
      </c>
      <c r="F105" s="7" t="s">
        <v>1682</v>
      </c>
      <c r="G105" s="7"/>
      <c r="H105" s="7" t="e">
        <f ca="1">[1]!t仕入先名(G105)</f>
        <v>#NAME?</v>
      </c>
      <c r="I105" s="7"/>
      <c r="J105" s="82"/>
      <c r="K105" s="82"/>
      <c r="L105" s="82"/>
    </row>
    <row r="106" spans="1:12" ht="13.5" customHeight="1">
      <c r="A106" s="7">
        <v>94</v>
      </c>
      <c r="B106" s="7"/>
      <c r="C106" s="7"/>
      <c r="D106" s="7" t="s">
        <v>1555</v>
      </c>
      <c r="E106" s="7" t="s">
        <v>1764</v>
      </c>
      <c r="F106" s="7" t="s">
        <v>1682</v>
      </c>
      <c r="G106" s="7"/>
      <c r="H106" s="7" t="e">
        <f ca="1">[1]!t仕入先名(G106)</f>
        <v>#NAME?</v>
      </c>
      <c r="I106" s="7"/>
      <c r="J106" s="82"/>
      <c r="K106" s="82"/>
      <c r="L106" s="82"/>
    </row>
    <row r="107" spans="1:12" ht="13.5" customHeight="1">
      <c r="A107" s="7">
        <v>95</v>
      </c>
      <c r="B107" s="7"/>
      <c r="C107" s="7"/>
      <c r="D107" s="7" t="s">
        <v>1556</v>
      </c>
      <c r="E107" s="7" t="s">
        <v>1765</v>
      </c>
      <c r="F107" s="7" t="s">
        <v>1682</v>
      </c>
      <c r="G107" s="7"/>
      <c r="H107" s="7" t="e">
        <f ca="1">[1]!t仕入先名(G107)</f>
        <v>#NAME?</v>
      </c>
      <c r="I107" s="7"/>
      <c r="J107" s="82"/>
      <c r="K107" s="82"/>
      <c r="L107" s="82"/>
    </row>
    <row r="108" spans="1:12" ht="13.5" customHeight="1">
      <c r="A108" s="7">
        <v>96</v>
      </c>
      <c r="B108" s="7"/>
      <c r="C108" s="7"/>
      <c r="D108" s="7" t="s">
        <v>1557</v>
      </c>
      <c r="E108" s="7" t="s">
        <v>1766</v>
      </c>
      <c r="F108" s="7" t="s">
        <v>1682</v>
      </c>
      <c r="G108" s="7"/>
      <c r="H108" s="7" t="e">
        <f ca="1">[1]!t仕入先名(G108)</f>
        <v>#NAME?</v>
      </c>
      <c r="I108" s="7"/>
      <c r="J108" s="82"/>
      <c r="K108" s="82"/>
      <c r="L108" s="82"/>
    </row>
    <row r="109" spans="1:12" ht="13.5" customHeight="1">
      <c r="A109" s="7">
        <v>97</v>
      </c>
      <c r="B109" s="7"/>
      <c r="C109" s="7"/>
      <c r="D109" s="7" t="s">
        <v>1558</v>
      </c>
      <c r="E109" s="7" t="s">
        <v>1767</v>
      </c>
      <c r="F109" s="7" t="s">
        <v>1682</v>
      </c>
      <c r="G109" s="7"/>
      <c r="H109" s="7" t="e">
        <f ca="1">[1]!t仕入先名(G109)</f>
        <v>#NAME?</v>
      </c>
      <c r="I109" s="7"/>
      <c r="J109" s="82"/>
      <c r="K109" s="82"/>
      <c r="L109" s="82"/>
    </row>
    <row r="110" spans="1:12" ht="13.5" customHeight="1">
      <c r="A110" s="7">
        <v>98</v>
      </c>
      <c r="B110" s="7"/>
      <c r="C110" s="7"/>
      <c r="D110" s="7" t="s">
        <v>1559</v>
      </c>
      <c r="E110" s="7" t="s">
        <v>1768</v>
      </c>
      <c r="F110" s="7" t="s">
        <v>1682</v>
      </c>
      <c r="G110" s="7"/>
      <c r="H110" s="7" t="e">
        <f ca="1">[1]!t仕入先名(G110)</f>
        <v>#NAME?</v>
      </c>
      <c r="I110" s="7"/>
      <c r="J110" s="82"/>
      <c r="K110" s="82"/>
      <c r="L110" s="82"/>
    </row>
    <row r="111" spans="1:12" ht="13.5" customHeight="1">
      <c r="A111" s="7">
        <v>99</v>
      </c>
      <c r="B111" s="7"/>
      <c r="C111" s="7"/>
      <c r="D111" s="7" t="s">
        <v>1560</v>
      </c>
      <c r="E111" s="7" t="s">
        <v>1769</v>
      </c>
      <c r="F111" s="7" t="s">
        <v>1682</v>
      </c>
      <c r="G111" s="7"/>
      <c r="H111" s="7" t="e">
        <f ca="1">[1]!t仕入先名(G111)</f>
        <v>#NAME?</v>
      </c>
      <c r="I111" s="7"/>
      <c r="J111" s="82"/>
      <c r="K111" s="82"/>
      <c r="L111" s="82"/>
    </row>
    <row r="112" spans="1:12" ht="13.5" customHeight="1">
      <c r="A112" s="7">
        <v>100</v>
      </c>
      <c r="B112" s="7"/>
      <c r="C112" s="7"/>
      <c r="D112" s="7" t="s">
        <v>1561</v>
      </c>
      <c r="E112" s="7" t="s">
        <v>1770</v>
      </c>
      <c r="F112" s="7" t="s">
        <v>1682</v>
      </c>
      <c r="G112" s="7"/>
      <c r="H112" s="7" t="e">
        <f ca="1">[1]!t仕入先名(G112)</f>
        <v>#NAME?</v>
      </c>
      <c r="I112" s="7"/>
      <c r="J112" s="82"/>
      <c r="K112" s="82"/>
      <c r="L112" s="82"/>
    </row>
    <row r="113" spans="1:12" ht="13.5" customHeight="1">
      <c r="A113" s="7">
        <v>101</v>
      </c>
      <c r="B113" s="7"/>
      <c r="C113" s="7"/>
      <c r="D113" s="7" t="s">
        <v>1562</v>
      </c>
      <c r="E113" s="7" t="s">
        <v>1771</v>
      </c>
      <c r="F113" s="7" t="s">
        <v>1682</v>
      </c>
      <c r="G113" s="7"/>
      <c r="H113" s="7" t="e">
        <f ca="1">[1]!t仕入先名(G113)</f>
        <v>#NAME?</v>
      </c>
      <c r="I113" s="7"/>
      <c r="J113" s="82"/>
      <c r="K113" s="82"/>
      <c r="L113" s="82"/>
    </row>
    <row r="114" spans="1:12" ht="13.5" customHeight="1">
      <c r="A114" s="7">
        <v>102</v>
      </c>
      <c r="B114" s="7"/>
      <c r="C114" s="7"/>
      <c r="D114" s="7" t="s">
        <v>1563</v>
      </c>
      <c r="E114" s="7" t="s">
        <v>1772</v>
      </c>
      <c r="F114" s="7" t="s">
        <v>1682</v>
      </c>
      <c r="G114" s="7"/>
      <c r="H114" s="7" t="e">
        <f ca="1">[1]!t仕入先名(G114)</f>
        <v>#NAME?</v>
      </c>
      <c r="I114" s="7"/>
      <c r="J114" s="82"/>
      <c r="K114" s="82"/>
      <c r="L114" s="82"/>
    </row>
    <row r="115" spans="1:12" ht="13.5" customHeight="1">
      <c r="A115" s="7">
        <v>103</v>
      </c>
      <c r="B115" s="7"/>
      <c r="C115" s="7"/>
      <c r="D115" s="7" t="s">
        <v>1564</v>
      </c>
      <c r="E115" s="7" t="s">
        <v>1773</v>
      </c>
      <c r="F115" s="7" t="s">
        <v>1682</v>
      </c>
      <c r="G115" s="7"/>
      <c r="H115" s="7" t="e">
        <f ca="1">[1]!t仕入先名(G115)</f>
        <v>#NAME?</v>
      </c>
      <c r="I115" s="7"/>
      <c r="J115" s="82"/>
      <c r="K115" s="82"/>
      <c r="L115" s="82"/>
    </row>
    <row r="116" spans="1:12" ht="13.5" customHeight="1">
      <c r="A116" s="7">
        <v>104</v>
      </c>
      <c r="B116" s="7"/>
      <c r="C116" s="7"/>
      <c r="D116" s="7" t="s">
        <v>1565</v>
      </c>
      <c r="E116" s="7" t="s">
        <v>1774</v>
      </c>
      <c r="F116" s="7" t="s">
        <v>1682</v>
      </c>
      <c r="G116" s="7"/>
      <c r="H116" s="7" t="e">
        <f ca="1">[1]!t仕入先名(G116)</f>
        <v>#NAME?</v>
      </c>
      <c r="I116" s="7"/>
      <c r="J116" s="82"/>
      <c r="K116" s="82"/>
      <c r="L116" s="82"/>
    </row>
    <row r="117" spans="1:12" ht="13.5" customHeight="1">
      <c r="A117" s="7">
        <v>105</v>
      </c>
      <c r="B117" s="7"/>
      <c r="C117" s="7"/>
      <c r="D117" s="7" t="s">
        <v>1566</v>
      </c>
      <c r="E117" s="7" t="s">
        <v>1775</v>
      </c>
      <c r="F117" s="7" t="s">
        <v>1682</v>
      </c>
      <c r="G117" s="7"/>
      <c r="H117" s="7" t="e">
        <f ca="1">[1]!t仕入先名(G117)</f>
        <v>#NAME?</v>
      </c>
      <c r="I117" s="7"/>
      <c r="J117" s="82"/>
      <c r="K117" s="82"/>
      <c r="L117" s="82"/>
    </row>
    <row r="118" spans="1:12" ht="13.5" customHeight="1">
      <c r="A118" s="7">
        <v>106</v>
      </c>
      <c r="B118" s="7"/>
      <c r="C118" s="7"/>
      <c r="D118" s="7" t="s">
        <v>1567</v>
      </c>
      <c r="E118" s="7" t="s">
        <v>1776</v>
      </c>
      <c r="F118" s="7" t="s">
        <v>1682</v>
      </c>
      <c r="G118" s="7"/>
      <c r="H118" s="7" t="e">
        <f ca="1">[1]!t仕入先名(G118)</f>
        <v>#NAME?</v>
      </c>
      <c r="I118" s="7"/>
      <c r="J118" s="82"/>
      <c r="K118" s="82"/>
      <c r="L118" s="82"/>
    </row>
    <row r="119" spans="1:12" ht="13.5" customHeight="1">
      <c r="A119" s="7">
        <v>107</v>
      </c>
      <c r="B119" s="7"/>
      <c r="C119" s="7"/>
      <c r="D119" s="7" t="s">
        <v>1568</v>
      </c>
      <c r="E119" s="7" t="s">
        <v>1777</v>
      </c>
      <c r="F119" s="7" t="s">
        <v>1682</v>
      </c>
      <c r="G119" s="7"/>
      <c r="H119" s="7" t="e">
        <f ca="1">[1]!t仕入先名(G119)</f>
        <v>#NAME?</v>
      </c>
      <c r="I119" s="7"/>
      <c r="J119" s="82"/>
      <c r="K119" s="82"/>
      <c r="L119" s="82"/>
    </row>
    <row r="120" spans="1:12" ht="13.5" customHeight="1">
      <c r="A120" s="7">
        <v>108</v>
      </c>
      <c r="B120" s="7"/>
      <c r="C120" s="7"/>
      <c r="D120" s="7" t="s">
        <v>1569</v>
      </c>
      <c r="E120" s="7" t="s">
        <v>1778</v>
      </c>
      <c r="F120" s="7" t="s">
        <v>1682</v>
      </c>
      <c r="G120" s="7"/>
      <c r="H120" s="7" t="e">
        <f ca="1">[1]!t仕入先名(G120)</f>
        <v>#NAME?</v>
      </c>
      <c r="I120" s="7"/>
      <c r="J120" s="82"/>
      <c r="K120" s="82"/>
      <c r="L120" s="82"/>
    </row>
    <row r="121" spans="1:12" ht="13.5" customHeight="1">
      <c r="A121" s="7">
        <v>109</v>
      </c>
      <c r="B121" s="7"/>
      <c r="C121" s="7"/>
      <c r="D121" s="7" t="s">
        <v>1570</v>
      </c>
      <c r="E121" s="7" t="s">
        <v>1779</v>
      </c>
      <c r="F121" s="7" t="s">
        <v>1682</v>
      </c>
      <c r="G121" s="7"/>
      <c r="H121" s="7" t="e">
        <f ca="1">[1]!t仕入先名(G121)</f>
        <v>#NAME?</v>
      </c>
      <c r="I121" s="7"/>
      <c r="J121" s="82"/>
      <c r="K121" s="82"/>
      <c r="L121" s="82"/>
    </row>
    <row r="122" spans="1:12" ht="13.5" customHeight="1">
      <c r="A122" s="7">
        <v>110</v>
      </c>
      <c r="B122" s="7"/>
      <c r="C122" s="7"/>
      <c r="D122" s="7" t="s">
        <v>1571</v>
      </c>
      <c r="E122" s="7" t="s">
        <v>1780</v>
      </c>
      <c r="F122" s="7" t="s">
        <v>1682</v>
      </c>
      <c r="G122" s="7"/>
      <c r="H122" s="7" t="e">
        <f ca="1">[1]!t仕入先名(G122)</f>
        <v>#NAME?</v>
      </c>
      <c r="I122" s="7"/>
      <c r="J122" s="82"/>
      <c r="K122" s="82"/>
      <c r="L122" s="82"/>
    </row>
    <row r="123" spans="1:12" ht="13.5" customHeight="1">
      <c r="A123" s="7">
        <v>111</v>
      </c>
      <c r="B123" s="7"/>
      <c r="C123" s="7"/>
      <c r="D123" s="7" t="s">
        <v>1572</v>
      </c>
      <c r="E123" s="7" t="s">
        <v>1781</v>
      </c>
      <c r="F123" s="7" t="s">
        <v>1682</v>
      </c>
      <c r="G123" s="7"/>
      <c r="H123" s="7" t="e">
        <f ca="1">[1]!t仕入先名(G123)</f>
        <v>#NAME?</v>
      </c>
      <c r="I123" s="7"/>
      <c r="J123" s="82"/>
      <c r="K123" s="82"/>
      <c r="L123" s="82"/>
    </row>
    <row r="124" spans="1:12" ht="13.5" customHeight="1">
      <c r="A124" s="7">
        <v>112</v>
      </c>
      <c r="B124" s="7"/>
      <c r="C124" s="7"/>
      <c r="D124" s="7" t="s">
        <v>1573</v>
      </c>
      <c r="E124" s="7" t="s">
        <v>1782</v>
      </c>
      <c r="F124" s="7" t="s">
        <v>1682</v>
      </c>
      <c r="G124" s="7"/>
      <c r="H124" s="7" t="e">
        <f ca="1">[1]!t仕入先名(G124)</f>
        <v>#NAME?</v>
      </c>
      <c r="I124" s="7"/>
      <c r="J124" s="82"/>
      <c r="K124" s="82"/>
      <c r="L124" s="82"/>
    </row>
    <row r="125" spans="1:12" ht="13.5" customHeight="1">
      <c r="A125" s="7">
        <v>113</v>
      </c>
      <c r="B125" s="7"/>
      <c r="C125" s="7"/>
      <c r="D125" s="7" t="s">
        <v>1574</v>
      </c>
      <c r="E125" s="7" t="s">
        <v>1783</v>
      </c>
      <c r="F125" s="7" t="s">
        <v>1682</v>
      </c>
      <c r="G125" s="7"/>
      <c r="H125" s="7" t="e">
        <f ca="1">[1]!t仕入先名(G125)</f>
        <v>#NAME?</v>
      </c>
      <c r="I125" s="7"/>
      <c r="J125" s="82"/>
      <c r="K125" s="82"/>
      <c r="L125" s="82"/>
    </row>
    <row r="126" spans="1:12" ht="13.5" customHeight="1">
      <c r="A126" s="7">
        <v>114</v>
      </c>
      <c r="B126" s="7"/>
      <c r="C126" s="7"/>
      <c r="D126" s="7" t="s">
        <v>1575</v>
      </c>
      <c r="E126" s="7" t="s">
        <v>1784</v>
      </c>
      <c r="F126" s="7" t="s">
        <v>1682</v>
      </c>
      <c r="G126" s="7"/>
      <c r="H126" s="7" t="e">
        <f ca="1">[1]!t仕入先名(G126)</f>
        <v>#NAME?</v>
      </c>
      <c r="I126" s="7"/>
      <c r="J126" s="82"/>
      <c r="K126" s="82"/>
      <c r="L126" s="82"/>
    </row>
    <row r="127" spans="1:12" ht="13.5" customHeight="1">
      <c r="A127" s="7">
        <v>115</v>
      </c>
      <c r="B127" s="7"/>
      <c r="C127" s="7"/>
      <c r="D127" s="7" t="s">
        <v>1576</v>
      </c>
      <c r="E127" s="7" t="s">
        <v>1785</v>
      </c>
      <c r="F127" s="7" t="s">
        <v>1682</v>
      </c>
      <c r="G127" s="7"/>
      <c r="H127" s="7" t="e">
        <f ca="1">[1]!t仕入先名(G127)</f>
        <v>#NAME?</v>
      </c>
      <c r="I127" s="7"/>
      <c r="J127" s="82"/>
      <c r="K127" s="82"/>
      <c r="L127" s="82"/>
    </row>
    <row r="128" spans="1:12" ht="13.5" customHeight="1">
      <c r="A128" s="7">
        <v>116</v>
      </c>
      <c r="B128" s="7"/>
      <c r="C128" s="7"/>
      <c r="D128" s="7" t="s">
        <v>1577</v>
      </c>
      <c r="E128" s="7" t="s">
        <v>1786</v>
      </c>
      <c r="F128" s="7" t="s">
        <v>1682</v>
      </c>
      <c r="G128" s="7"/>
      <c r="H128" s="7" t="e">
        <f ca="1">[1]!t仕入先名(G128)</f>
        <v>#NAME?</v>
      </c>
      <c r="I128" s="7"/>
      <c r="J128" s="82"/>
      <c r="K128" s="82"/>
      <c r="L128" s="82"/>
    </row>
    <row r="129" spans="1:12" ht="13.5" customHeight="1">
      <c r="A129" s="7">
        <v>117</v>
      </c>
      <c r="B129" s="7"/>
      <c r="C129" s="7"/>
      <c r="D129" s="7" t="s">
        <v>1578</v>
      </c>
      <c r="E129" s="7" t="s">
        <v>1787</v>
      </c>
      <c r="F129" s="7" t="s">
        <v>1682</v>
      </c>
      <c r="G129" s="7"/>
      <c r="H129" s="7" t="e">
        <f ca="1">[1]!t仕入先名(G129)</f>
        <v>#NAME?</v>
      </c>
      <c r="I129" s="7"/>
      <c r="J129" s="82"/>
      <c r="K129" s="82"/>
      <c r="L129" s="82"/>
    </row>
    <row r="130" spans="1:12" ht="13.5" customHeight="1">
      <c r="A130" s="7">
        <v>118</v>
      </c>
      <c r="B130" s="7"/>
      <c r="C130" s="7"/>
      <c r="D130" s="7" t="s">
        <v>1579</v>
      </c>
      <c r="E130" s="7" t="s">
        <v>1788</v>
      </c>
      <c r="F130" s="7" t="s">
        <v>1682</v>
      </c>
      <c r="G130" s="7"/>
      <c r="H130" s="7" t="e">
        <f ca="1">[1]!t仕入先名(G130)</f>
        <v>#NAME?</v>
      </c>
      <c r="I130" s="7"/>
      <c r="J130" s="82"/>
      <c r="K130" s="82"/>
      <c r="L130" s="82"/>
    </row>
    <row r="131" spans="1:12" ht="13.5" customHeight="1">
      <c r="A131" s="7">
        <v>119</v>
      </c>
      <c r="B131" s="7"/>
      <c r="C131" s="7"/>
      <c r="D131" s="7" t="s">
        <v>1580</v>
      </c>
      <c r="E131" s="7" t="s">
        <v>1789</v>
      </c>
      <c r="F131" s="7" t="s">
        <v>1682</v>
      </c>
      <c r="G131" s="7"/>
      <c r="H131" s="7" t="e">
        <f ca="1">[1]!t仕入先名(G131)</f>
        <v>#NAME?</v>
      </c>
      <c r="I131" s="7"/>
      <c r="J131" s="82"/>
      <c r="K131" s="82"/>
      <c r="L131" s="82"/>
    </row>
    <row r="132" spans="1:12" ht="13.5" customHeight="1">
      <c r="A132" s="7">
        <v>120</v>
      </c>
      <c r="B132" s="7"/>
      <c r="C132" s="7"/>
      <c r="D132" s="7" t="s">
        <v>1581</v>
      </c>
      <c r="E132" s="7" t="s">
        <v>1790</v>
      </c>
      <c r="F132" s="7" t="s">
        <v>1682</v>
      </c>
      <c r="G132" s="7"/>
      <c r="H132" s="7" t="e">
        <f ca="1">[1]!t仕入先名(G132)</f>
        <v>#NAME?</v>
      </c>
      <c r="I132" s="7"/>
      <c r="J132" s="82"/>
      <c r="K132" s="82"/>
      <c r="L132" s="82"/>
    </row>
    <row r="133" spans="1:12" ht="13.5" customHeight="1">
      <c r="A133" s="7">
        <v>121</v>
      </c>
      <c r="B133" s="7"/>
      <c r="C133" s="7"/>
      <c r="D133" s="7" t="s">
        <v>1582</v>
      </c>
      <c r="E133" s="7" t="s">
        <v>1791</v>
      </c>
      <c r="F133" s="7" t="s">
        <v>1682</v>
      </c>
      <c r="G133" s="7"/>
      <c r="H133" s="7" t="e">
        <f ca="1">[1]!t仕入先名(G133)</f>
        <v>#NAME?</v>
      </c>
      <c r="I133" s="7"/>
      <c r="J133" s="82"/>
      <c r="K133" s="82"/>
      <c r="L133" s="82"/>
    </row>
    <row r="134" spans="1:12" ht="13.5" customHeight="1">
      <c r="A134" s="7">
        <v>122</v>
      </c>
      <c r="B134" s="7"/>
      <c r="C134" s="7"/>
      <c r="D134" s="7" t="s">
        <v>1583</v>
      </c>
      <c r="E134" s="7" t="s">
        <v>1792</v>
      </c>
      <c r="F134" s="7" t="s">
        <v>1682</v>
      </c>
      <c r="G134" s="7"/>
      <c r="H134" s="7" t="e">
        <f ca="1">[1]!t仕入先名(G134)</f>
        <v>#NAME?</v>
      </c>
      <c r="I134" s="7"/>
      <c r="J134" s="82"/>
      <c r="K134" s="82"/>
      <c r="L134" s="82"/>
    </row>
    <row r="135" spans="1:12" ht="13.5" customHeight="1">
      <c r="A135" s="7">
        <v>123</v>
      </c>
      <c r="B135" s="7"/>
      <c r="C135" s="7"/>
      <c r="D135" s="7" t="s">
        <v>1584</v>
      </c>
      <c r="E135" s="7" t="s">
        <v>1793</v>
      </c>
      <c r="F135" s="7" t="s">
        <v>1682</v>
      </c>
      <c r="G135" s="7"/>
      <c r="H135" s="7" t="e">
        <f ca="1">[1]!t仕入先名(G135)</f>
        <v>#NAME?</v>
      </c>
      <c r="I135" s="7"/>
      <c r="J135" s="82"/>
      <c r="K135" s="82"/>
      <c r="L135" s="82"/>
    </row>
    <row r="136" spans="1:12" ht="13.5" customHeight="1">
      <c r="A136" s="7">
        <v>124</v>
      </c>
      <c r="B136" s="7"/>
      <c r="C136" s="7"/>
      <c r="D136" s="7" t="s">
        <v>1585</v>
      </c>
      <c r="E136" s="7" t="s">
        <v>1794</v>
      </c>
      <c r="F136" s="7" t="s">
        <v>1682</v>
      </c>
      <c r="G136" s="7"/>
      <c r="H136" s="7" t="e">
        <f ca="1">[1]!t仕入先名(G136)</f>
        <v>#NAME?</v>
      </c>
      <c r="I136" s="7"/>
      <c r="J136" s="82"/>
      <c r="K136" s="82"/>
      <c r="L136" s="82"/>
    </row>
    <row r="137" spans="1:12" ht="13.5" customHeight="1">
      <c r="A137" s="7">
        <v>125</v>
      </c>
      <c r="B137" s="7"/>
      <c r="C137" s="7"/>
      <c r="D137" s="7" t="s">
        <v>1586</v>
      </c>
      <c r="E137" s="7" t="s">
        <v>1795</v>
      </c>
      <c r="F137" s="7" t="s">
        <v>1682</v>
      </c>
      <c r="G137" s="7"/>
      <c r="H137" s="7" t="e">
        <f ca="1">[1]!t仕入先名(G137)</f>
        <v>#NAME?</v>
      </c>
      <c r="I137" s="7"/>
      <c r="J137" s="82"/>
      <c r="K137" s="82"/>
      <c r="L137" s="82"/>
    </row>
    <row r="138" spans="1:12" ht="13.5" customHeight="1">
      <c r="A138" s="7">
        <v>126</v>
      </c>
      <c r="B138" s="7"/>
      <c r="C138" s="7"/>
      <c r="D138" s="7" t="s">
        <v>1587</v>
      </c>
      <c r="E138" s="7" t="s">
        <v>1796</v>
      </c>
      <c r="F138" s="7" t="s">
        <v>1682</v>
      </c>
      <c r="G138" s="7"/>
      <c r="H138" s="7" t="e">
        <f ca="1">[1]!t仕入先名(G138)</f>
        <v>#NAME?</v>
      </c>
      <c r="I138" s="7"/>
      <c r="J138" s="82"/>
      <c r="K138" s="82"/>
      <c r="L138" s="82"/>
    </row>
    <row r="139" spans="1:12" ht="13.5" customHeight="1">
      <c r="A139" s="7">
        <v>127</v>
      </c>
      <c r="B139" s="7"/>
      <c r="C139" s="7"/>
      <c r="D139" s="7" t="s">
        <v>1588</v>
      </c>
      <c r="E139" s="7" t="s">
        <v>1797</v>
      </c>
      <c r="F139" s="7" t="s">
        <v>1682</v>
      </c>
      <c r="G139" s="7"/>
      <c r="H139" s="7" t="e">
        <f ca="1">[1]!t仕入先名(G139)</f>
        <v>#NAME?</v>
      </c>
      <c r="I139" s="7"/>
      <c r="J139" s="82"/>
      <c r="K139" s="82"/>
      <c r="L139" s="82"/>
    </row>
    <row r="140" spans="1:12" ht="13.5" customHeight="1">
      <c r="A140" s="7">
        <v>128</v>
      </c>
      <c r="B140" s="7"/>
      <c r="C140" s="7"/>
      <c r="D140" s="7" t="s">
        <v>1589</v>
      </c>
      <c r="E140" s="7" t="s">
        <v>1798</v>
      </c>
      <c r="F140" s="7" t="s">
        <v>1682</v>
      </c>
      <c r="G140" s="7"/>
      <c r="H140" s="7" t="e">
        <f ca="1">[1]!t仕入先名(G140)</f>
        <v>#NAME?</v>
      </c>
      <c r="I140" s="7"/>
      <c r="J140" s="82"/>
      <c r="K140" s="82"/>
      <c r="L140" s="82"/>
    </row>
    <row r="141" spans="1:12" ht="13.5" customHeight="1">
      <c r="A141" s="7">
        <v>129</v>
      </c>
      <c r="B141" s="7"/>
      <c r="C141" s="7"/>
      <c r="D141" s="7" t="s">
        <v>1590</v>
      </c>
      <c r="E141" s="7" t="s">
        <v>1799</v>
      </c>
      <c r="F141" s="7" t="s">
        <v>1682</v>
      </c>
      <c r="G141" s="7"/>
      <c r="H141" s="7" t="e">
        <f ca="1">[1]!t仕入先名(G141)</f>
        <v>#NAME?</v>
      </c>
      <c r="I141" s="7"/>
      <c r="J141" s="82"/>
      <c r="K141" s="82"/>
      <c r="L141" s="82"/>
    </row>
    <row r="142" spans="1:12" ht="13.5" customHeight="1">
      <c r="A142" s="7">
        <v>130</v>
      </c>
      <c r="B142" s="7"/>
      <c r="C142" s="7"/>
      <c r="D142" s="7" t="s">
        <v>1591</v>
      </c>
      <c r="E142" s="7" t="s">
        <v>1800</v>
      </c>
      <c r="F142" s="7" t="s">
        <v>1682</v>
      </c>
      <c r="G142" s="7"/>
      <c r="H142" s="7" t="e">
        <f ca="1">[1]!t仕入先名(G142)</f>
        <v>#NAME?</v>
      </c>
      <c r="I142" s="7"/>
      <c r="J142" s="82"/>
      <c r="K142" s="82"/>
      <c r="L142" s="82"/>
    </row>
    <row r="143" spans="1:12" ht="13.5" customHeight="1">
      <c r="A143" s="7">
        <v>131</v>
      </c>
      <c r="B143" s="7"/>
      <c r="C143" s="7"/>
      <c r="D143" s="7" t="s">
        <v>1592</v>
      </c>
      <c r="E143" s="7" t="s">
        <v>1801</v>
      </c>
      <c r="F143" s="7" t="s">
        <v>1682</v>
      </c>
      <c r="G143" s="7"/>
      <c r="H143" s="7" t="e">
        <f ca="1">[1]!t仕入先名(G143)</f>
        <v>#NAME?</v>
      </c>
      <c r="I143" s="7"/>
      <c r="J143" s="82"/>
      <c r="K143" s="82"/>
      <c r="L143" s="82"/>
    </row>
    <row r="144" spans="1:12" ht="13.5" customHeight="1">
      <c r="A144" s="7">
        <v>132</v>
      </c>
      <c r="B144" s="7"/>
      <c r="C144" s="7"/>
      <c r="D144" s="7" t="s">
        <v>1593</v>
      </c>
      <c r="E144" s="7" t="s">
        <v>1802</v>
      </c>
      <c r="F144" s="7" t="s">
        <v>1682</v>
      </c>
      <c r="G144" s="7"/>
      <c r="H144" s="7" t="e">
        <f ca="1">[1]!t仕入先名(G144)</f>
        <v>#NAME?</v>
      </c>
      <c r="I144" s="7"/>
      <c r="J144" s="82"/>
      <c r="K144" s="82"/>
      <c r="L144" s="82"/>
    </row>
    <row r="145" spans="1:12" ht="13.5" customHeight="1">
      <c r="A145" s="7">
        <v>133</v>
      </c>
      <c r="B145" s="7"/>
      <c r="C145" s="7"/>
      <c r="D145" s="7" t="s">
        <v>1594</v>
      </c>
      <c r="E145" s="7" t="s">
        <v>1803</v>
      </c>
      <c r="F145" s="7" t="s">
        <v>1682</v>
      </c>
      <c r="G145" s="7"/>
      <c r="H145" s="7" t="e">
        <f ca="1">[1]!t仕入先名(G145)</f>
        <v>#NAME?</v>
      </c>
      <c r="I145" s="7"/>
      <c r="J145" s="82"/>
      <c r="K145" s="82"/>
      <c r="L145" s="82"/>
    </row>
    <row r="146" spans="1:12" ht="13.5" customHeight="1">
      <c r="A146" s="7">
        <v>134</v>
      </c>
      <c r="B146" s="7"/>
      <c r="C146" s="7"/>
      <c r="D146" s="7" t="s">
        <v>1595</v>
      </c>
      <c r="E146" s="7" t="s">
        <v>1804</v>
      </c>
      <c r="F146" s="7" t="s">
        <v>1682</v>
      </c>
      <c r="G146" s="7"/>
      <c r="H146" s="7" t="e">
        <f ca="1">[1]!t仕入先名(G146)</f>
        <v>#NAME?</v>
      </c>
      <c r="I146" s="7"/>
      <c r="J146" s="82"/>
      <c r="K146" s="82"/>
      <c r="L146" s="82"/>
    </row>
    <row r="147" spans="1:12" ht="13.5" customHeight="1">
      <c r="A147" s="7">
        <v>135</v>
      </c>
      <c r="B147" s="7"/>
      <c r="C147" s="7"/>
      <c r="D147" s="7" t="s">
        <v>1596</v>
      </c>
      <c r="E147" s="7" t="s">
        <v>1805</v>
      </c>
      <c r="F147" s="7" t="s">
        <v>1682</v>
      </c>
      <c r="G147" s="7"/>
      <c r="H147" s="7" t="e">
        <f ca="1">[1]!t仕入先名(G147)</f>
        <v>#NAME?</v>
      </c>
      <c r="I147" s="7"/>
      <c r="J147" s="82"/>
      <c r="K147" s="82"/>
      <c r="L147" s="82"/>
    </row>
    <row r="148" spans="1:12" ht="13.5" customHeight="1">
      <c r="A148" s="7">
        <v>136</v>
      </c>
      <c r="B148" s="7"/>
      <c r="C148" s="7"/>
      <c r="D148" s="7" t="s">
        <v>1597</v>
      </c>
      <c r="E148" s="7" t="s">
        <v>1806</v>
      </c>
      <c r="F148" s="7" t="s">
        <v>1682</v>
      </c>
      <c r="G148" s="7"/>
      <c r="H148" s="7" t="e">
        <f ca="1">[1]!t仕入先名(G148)</f>
        <v>#NAME?</v>
      </c>
      <c r="I148" s="7"/>
      <c r="J148" s="82"/>
      <c r="K148" s="82"/>
      <c r="L148" s="82"/>
    </row>
    <row r="149" spans="1:12" ht="13.5" customHeight="1">
      <c r="A149" s="7">
        <v>137</v>
      </c>
      <c r="B149" s="7"/>
      <c r="C149" s="7"/>
      <c r="D149" s="7" t="s">
        <v>1598</v>
      </c>
      <c r="E149" s="7" t="s">
        <v>1807</v>
      </c>
      <c r="F149" s="7" t="s">
        <v>1682</v>
      </c>
      <c r="G149" s="7"/>
      <c r="H149" s="7" t="e">
        <f ca="1">[1]!t仕入先名(G149)</f>
        <v>#NAME?</v>
      </c>
      <c r="I149" s="7"/>
      <c r="J149" s="82"/>
      <c r="K149" s="82"/>
      <c r="L149" s="82"/>
    </row>
    <row r="150" spans="1:12" ht="13.5" customHeight="1">
      <c r="A150" s="7">
        <v>138</v>
      </c>
      <c r="B150" s="7"/>
      <c r="C150" s="7"/>
      <c r="D150" s="7" t="s">
        <v>1599</v>
      </c>
      <c r="E150" s="7" t="s">
        <v>1808</v>
      </c>
      <c r="F150" s="7" t="s">
        <v>1682</v>
      </c>
      <c r="G150" s="7"/>
      <c r="H150" s="7" t="e">
        <f ca="1">[1]!t仕入先名(G150)</f>
        <v>#NAME?</v>
      </c>
      <c r="I150" s="7"/>
      <c r="J150" s="82"/>
      <c r="K150" s="82"/>
      <c r="L150" s="82"/>
    </row>
    <row r="151" spans="1:12" ht="13.5" customHeight="1">
      <c r="A151" s="7">
        <v>139</v>
      </c>
      <c r="B151" s="7"/>
      <c r="C151" s="7"/>
      <c r="D151" s="7" t="s">
        <v>1600</v>
      </c>
      <c r="E151" s="7" t="s">
        <v>1809</v>
      </c>
      <c r="F151" s="7" t="s">
        <v>1682</v>
      </c>
      <c r="G151" s="7"/>
      <c r="H151" s="7" t="e">
        <f ca="1">[1]!t仕入先名(G151)</f>
        <v>#NAME?</v>
      </c>
      <c r="I151" s="7"/>
      <c r="J151" s="82"/>
      <c r="K151" s="82"/>
      <c r="L151" s="82"/>
    </row>
    <row r="152" spans="1:12" ht="13.5" customHeight="1">
      <c r="A152" s="7">
        <v>140</v>
      </c>
      <c r="B152" s="7"/>
      <c r="C152" s="7"/>
      <c r="D152" s="7" t="s">
        <v>1601</v>
      </c>
      <c r="E152" s="7" t="s">
        <v>1810</v>
      </c>
      <c r="F152" s="7" t="s">
        <v>1682</v>
      </c>
      <c r="G152" s="7"/>
      <c r="H152" s="7" t="e">
        <f ca="1">[1]!t仕入先名(G152)</f>
        <v>#NAME?</v>
      </c>
      <c r="I152" s="7"/>
      <c r="J152" s="82"/>
      <c r="K152" s="82"/>
      <c r="L152" s="82"/>
    </row>
    <row r="153" spans="1:12" ht="13.5" customHeight="1">
      <c r="A153" s="7">
        <v>141</v>
      </c>
      <c r="B153" s="7"/>
      <c r="C153" s="7"/>
      <c r="D153" s="7" t="s">
        <v>1602</v>
      </c>
      <c r="E153" s="7" t="s">
        <v>1811</v>
      </c>
      <c r="F153" s="7" t="s">
        <v>1682</v>
      </c>
      <c r="G153" s="7"/>
      <c r="H153" s="7" t="e">
        <f ca="1">[1]!t仕入先名(G153)</f>
        <v>#NAME?</v>
      </c>
      <c r="I153" s="7"/>
      <c r="J153" s="82"/>
      <c r="K153" s="82"/>
      <c r="L153" s="82"/>
    </row>
    <row r="154" spans="1:12" ht="13.5" customHeight="1">
      <c r="A154" s="7">
        <v>142</v>
      </c>
      <c r="B154" s="7"/>
      <c r="C154" s="7"/>
      <c r="D154" s="7" t="s">
        <v>1603</v>
      </c>
      <c r="E154" s="7" t="s">
        <v>1812</v>
      </c>
      <c r="F154" s="7" t="s">
        <v>1682</v>
      </c>
      <c r="G154" s="7"/>
      <c r="H154" s="7" t="e">
        <f ca="1">[1]!t仕入先名(G154)</f>
        <v>#NAME?</v>
      </c>
      <c r="I154" s="7"/>
      <c r="J154" s="82"/>
      <c r="K154" s="82"/>
      <c r="L154" s="82"/>
    </row>
    <row r="155" spans="1:12" ht="13.5" customHeight="1">
      <c r="A155" s="7">
        <v>143</v>
      </c>
      <c r="B155" s="7"/>
      <c r="C155" s="7"/>
      <c r="D155" s="7" t="s">
        <v>1604</v>
      </c>
      <c r="E155" s="7" t="s">
        <v>1813</v>
      </c>
      <c r="F155" s="7" t="s">
        <v>1682</v>
      </c>
      <c r="G155" s="7"/>
      <c r="H155" s="7" t="e">
        <f ca="1">[1]!t仕入先名(G155)</f>
        <v>#NAME?</v>
      </c>
      <c r="I155" s="7"/>
      <c r="J155" s="82"/>
      <c r="K155" s="82"/>
      <c r="L155" s="82"/>
    </row>
    <row r="156" spans="1:12" ht="13.5" customHeight="1">
      <c r="A156" s="7">
        <v>144</v>
      </c>
      <c r="B156" s="7"/>
      <c r="C156" s="7"/>
      <c r="D156" s="7" t="s">
        <v>1605</v>
      </c>
      <c r="E156" s="7" t="s">
        <v>1814</v>
      </c>
      <c r="F156" s="7" t="s">
        <v>1682</v>
      </c>
      <c r="G156" s="7"/>
      <c r="H156" s="7" t="e">
        <f ca="1">[1]!t仕入先名(G156)</f>
        <v>#NAME?</v>
      </c>
      <c r="I156" s="7"/>
      <c r="J156" s="82"/>
      <c r="K156" s="82"/>
      <c r="L156" s="82"/>
    </row>
    <row r="157" spans="1:12" ht="13.5" customHeight="1">
      <c r="A157" s="7">
        <v>145</v>
      </c>
      <c r="B157" s="7"/>
      <c r="C157" s="7"/>
      <c r="D157" s="7" t="s">
        <v>1606</v>
      </c>
      <c r="E157" s="7" t="s">
        <v>1815</v>
      </c>
      <c r="F157" s="7" t="s">
        <v>1682</v>
      </c>
      <c r="G157" s="7"/>
      <c r="H157" s="7" t="e">
        <f ca="1">[1]!t仕入先名(G157)</f>
        <v>#NAME?</v>
      </c>
      <c r="I157" s="7"/>
      <c r="J157" s="82"/>
      <c r="K157" s="82"/>
      <c r="L157" s="82"/>
    </row>
    <row r="158" spans="1:12" ht="13.5" customHeight="1">
      <c r="A158" s="7">
        <v>146</v>
      </c>
      <c r="B158" s="7"/>
      <c r="C158" s="7"/>
      <c r="D158" s="7" t="s">
        <v>1607</v>
      </c>
      <c r="E158" s="7" t="s">
        <v>1816</v>
      </c>
      <c r="F158" s="7" t="s">
        <v>1682</v>
      </c>
      <c r="G158" s="7"/>
      <c r="H158" s="7" t="e">
        <f ca="1">[1]!t仕入先名(G158)</f>
        <v>#NAME?</v>
      </c>
      <c r="I158" s="7"/>
      <c r="J158" s="82"/>
      <c r="K158" s="82"/>
      <c r="L158" s="82"/>
    </row>
    <row r="159" spans="1:12" ht="13.5" customHeight="1">
      <c r="A159" s="7">
        <v>147</v>
      </c>
      <c r="B159" s="7"/>
      <c r="C159" s="7"/>
      <c r="D159" s="7" t="s">
        <v>1608</v>
      </c>
      <c r="E159" s="7" t="s">
        <v>1817</v>
      </c>
      <c r="F159" s="7" t="s">
        <v>1682</v>
      </c>
      <c r="G159" s="7"/>
      <c r="H159" s="7" t="e">
        <f ca="1">[1]!t仕入先名(G159)</f>
        <v>#NAME?</v>
      </c>
      <c r="I159" s="7"/>
      <c r="J159" s="82"/>
      <c r="K159" s="82"/>
      <c r="L159" s="82"/>
    </row>
    <row r="160" spans="1:12" ht="13.5" customHeight="1">
      <c r="A160" s="7">
        <v>148</v>
      </c>
      <c r="B160" s="7"/>
      <c r="C160" s="7"/>
      <c r="D160" s="7" t="s">
        <v>1609</v>
      </c>
      <c r="E160" s="7" t="s">
        <v>1818</v>
      </c>
      <c r="F160" s="7" t="s">
        <v>1682</v>
      </c>
      <c r="G160" s="7"/>
      <c r="H160" s="7" t="e">
        <f ca="1">[1]!t仕入先名(G160)</f>
        <v>#NAME?</v>
      </c>
      <c r="I160" s="7"/>
      <c r="J160" s="82"/>
      <c r="K160" s="82"/>
      <c r="L160" s="82"/>
    </row>
    <row r="161" spans="1:12" ht="13.5" customHeight="1">
      <c r="A161" s="7">
        <v>149</v>
      </c>
      <c r="B161" s="7"/>
      <c r="C161" s="7"/>
      <c r="D161" s="7" t="s">
        <v>1610</v>
      </c>
      <c r="E161" s="7" t="s">
        <v>1819</v>
      </c>
      <c r="F161" s="7" t="s">
        <v>1682</v>
      </c>
      <c r="G161" s="7"/>
      <c r="H161" s="7" t="e">
        <f ca="1">[1]!t仕入先名(G161)</f>
        <v>#NAME?</v>
      </c>
      <c r="I161" s="7"/>
      <c r="J161" s="82"/>
      <c r="K161" s="82"/>
      <c r="L161" s="82"/>
    </row>
    <row r="162" spans="1:12" ht="13.5" customHeight="1">
      <c r="A162" s="7">
        <v>150</v>
      </c>
      <c r="B162" s="7"/>
      <c r="C162" s="7"/>
      <c r="D162" s="7" t="s">
        <v>1611</v>
      </c>
      <c r="E162" s="7" t="s">
        <v>1820</v>
      </c>
      <c r="F162" s="7" t="s">
        <v>1682</v>
      </c>
      <c r="G162" s="7"/>
      <c r="H162" s="7" t="e">
        <f ca="1">[1]!t仕入先名(G162)</f>
        <v>#NAME?</v>
      </c>
      <c r="I162" s="7"/>
      <c r="J162" s="82"/>
      <c r="K162" s="82"/>
      <c r="L162" s="82"/>
    </row>
    <row r="163" spans="1:12" ht="13.5" customHeight="1">
      <c r="A163" s="7">
        <v>151</v>
      </c>
      <c r="B163" s="7"/>
      <c r="C163" s="7"/>
      <c r="D163" s="7" t="s">
        <v>1612</v>
      </c>
      <c r="E163" s="7" t="s">
        <v>1821</v>
      </c>
      <c r="F163" s="7" t="s">
        <v>1682</v>
      </c>
      <c r="G163" s="7"/>
      <c r="H163" s="7" t="e">
        <f ca="1">[1]!t仕入先名(G163)</f>
        <v>#NAME?</v>
      </c>
      <c r="I163" s="7"/>
      <c r="J163" s="82"/>
      <c r="K163" s="82"/>
      <c r="L163" s="82"/>
    </row>
    <row r="164" spans="1:12" ht="13.5" customHeight="1">
      <c r="A164" s="7">
        <v>152</v>
      </c>
      <c r="B164" s="7"/>
      <c r="C164" s="7"/>
      <c r="D164" s="7" t="s">
        <v>1613</v>
      </c>
      <c r="E164" s="7" t="s">
        <v>1822</v>
      </c>
      <c r="F164" s="7" t="s">
        <v>1682</v>
      </c>
      <c r="G164" s="7"/>
      <c r="H164" s="7" t="e">
        <f ca="1">[1]!t仕入先名(G164)</f>
        <v>#NAME?</v>
      </c>
      <c r="I164" s="7"/>
      <c r="J164" s="82"/>
      <c r="K164" s="82"/>
      <c r="L164" s="82"/>
    </row>
    <row r="165" spans="1:12" ht="13.5" customHeight="1">
      <c r="A165" s="7">
        <v>153</v>
      </c>
      <c r="B165" s="7"/>
      <c r="C165" s="7"/>
      <c r="D165" s="7" t="s">
        <v>1614</v>
      </c>
      <c r="E165" s="7" t="s">
        <v>1823</v>
      </c>
      <c r="F165" s="7" t="s">
        <v>1682</v>
      </c>
      <c r="G165" s="7"/>
      <c r="H165" s="7" t="e">
        <f ca="1">[1]!t仕入先名(G165)</f>
        <v>#NAME?</v>
      </c>
      <c r="I165" s="7"/>
      <c r="J165" s="82"/>
      <c r="K165" s="82"/>
      <c r="L165" s="82"/>
    </row>
    <row r="166" spans="1:12" ht="13.5" customHeight="1">
      <c r="A166" s="7">
        <v>154</v>
      </c>
      <c r="B166" s="7"/>
      <c r="C166" s="7"/>
      <c r="D166" s="7" t="s">
        <v>1615</v>
      </c>
      <c r="E166" s="7" t="s">
        <v>1824</v>
      </c>
      <c r="F166" s="7" t="s">
        <v>1682</v>
      </c>
      <c r="G166" s="7"/>
      <c r="H166" s="7" t="e">
        <f ca="1">[1]!t仕入先名(G166)</f>
        <v>#NAME?</v>
      </c>
      <c r="I166" s="7"/>
      <c r="J166" s="82"/>
      <c r="K166" s="82"/>
      <c r="L166" s="82"/>
    </row>
    <row r="167" spans="1:12" ht="13.5" customHeight="1">
      <c r="A167" s="7">
        <v>155</v>
      </c>
      <c r="B167" s="7"/>
      <c r="C167" s="7"/>
      <c r="D167" s="7" t="s">
        <v>1616</v>
      </c>
      <c r="E167" s="7" t="s">
        <v>1825</v>
      </c>
      <c r="F167" s="7" t="s">
        <v>1682</v>
      </c>
      <c r="G167" s="7"/>
      <c r="H167" s="7" t="e">
        <f ca="1">[1]!t仕入先名(G167)</f>
        <v>#NAME?</v>
      </c>
      <c r="I167" s="7"/>
      <c r="J167" s="82"/>
      <c r="K167" s="82"/>
      <c r="L167" s="82"/>
    </row>
    <row r="168" spans="1:12" ht="13.5" customHeight="1">
      <c r="A168" s="7">
        <v>156</v>
      </c>
      <c r="B168" s="7"/>
      <c r="C168" s="7"/>
      <c r="D168" s="7" t="s">
        <v>1617</v>
      </c>
      <c r="E168" s="7" t="s">
        <v>1826</v>
      </c>
      <c r="F168" s="7" t="s">
        <v>1682</v>
      </c>
      <c r="G168" s="7"/>
      <c r="H168" s="7" t="e">
        <f ca="1">[1]!t仕入先名(G168)</f>
        <v>#NAME?</v>
      </c>
      <c r="I168" s="7"/>
      <c r="J168" s="82"/>
      <c r="K168" s="82"/>
      <c r="L168" s="82"/>
    </row>
    <row r="169" spans="1:12" ht="13.5" customHeight="1">
      <c r="A169" s="7">
        <v>157</v>
      </c>
      <c r="B169" s="7"/>
      <c r="C169" s="7"/>
      <c r="D169" s="7" t="s">
        <v>1618</v>
      </c>
      <c r="E169" s="7" t="s">
        <v>1827</v>
      </c>
      <c r="F169" s="7" t="s">
        <v>1682</v>
      </c>
      <c r="G169" s="7"/>
      <c r="H169" s="7" t="e">
        <f ca="1">[1]!t仕入先名(G169)</f>
        <v>#NAME?</v>
      </c>
      <c r="I169" s="7"/>
      <c r="J169" s="82"/>
      <c r="K169" s="82"/>
      <c r="L169" s="82"/>
    </row>
    <row r="170" spans="1:12" ht="13.5" customHeight="1">
      <c r="A170" s="7">
        <v>158</v>
      </c>
      <c r="B170" s="7"/>
      <c r="C170" s="7"/>
      <c r="D170" s="7" t="s">
        <v>1619</v>
      </c>
      <c r="E170" s="7" t="s">
        <v>1828</v>
      </c>
      <c r="F170" s="7" t="s">
        <v>1682</v>
      </c>
      <c r="G170" s="7"/>
      <c r="H170" s="7" t="e">
        <f ca="1">[1]!t仕入先名(G170)</f>
        <v>#NAME?</v>
      </c>
      <c r="I170" s="7"/>
      <c r="J170" s="82"/>
      <c r="K170" s="82"/>
      <c r="L170" s="82"/>
    </row>
    <row r="171" spans="1:12" ht="13.5" customHeight="1">
      <c r="A171" s="7">
        <v>159</v>
      </c>
      <c r="B171" s="7"/>
      <c r="C171" s="7"/>
      <c r="D171" s="7" t="s">
        <v>1620</v>
      </c>
      <c r="E171" s="7" t="s">
        <v>1829</v>
      </c>
      <c r="F171" s="7" t="s">
        <v>1682</v>
      </c>
      <c r="G171" s="7"/>
      <c r="H171" s="7" t="e">
        <f ca="1">[1]!t仕入先名(G171)</f>
        <v>#NAME?</v>
      </c>
      <c r="I171" s="7"/>
      <c r="J171" s="82"/>
      <c r="K171" s="82"/>
      <c r="L171" s="82"/>
    </row>
    <row r="172" spans="1:12" ht="13.5" customHeight="1">
      <c r="A172" s="7">
        <v>160</v>
      </c>
      <c r="B172" s="7"/>
      <c r="C172" s="7"/>
      <c r="D172" s="7" t="s">
        <v>1621</v>
      </c>
      <c r="E172" s="7" t="s">
        <v>1830</v>
      </c>
      <c r="F172" s="7" t="s">
        <v>1682</v>
      </c>
      <c r="G172" s="7"/>
      <c r="H172" s="7" t="e">
        <f ca="1">[1]!t仕入先名(G172)</f>
        <v>#NAME?</v>
      </c>
      <c r="I172" s="7"/>
      <c r="J172" s="82"/>
      <c r="K172" s="82"/>
      <c r="L172" s="82"/>
    </row>
    <row r="173" spans="1:12" ht="13.5" customHeight="1">
      <c r="A173" s="7">
        <v>161</v>
      </c>
      <c r="B173" s="7"/>
      <c r="C173" s="7"/>
      <c r="D173" s="7" t="s">
        <v>1622</v>
      </c>
      <c r="E173" s="7" t="s">
        <v>1831</v>
      </c>
      <c r="F173" s="7" t="s">
        <v>1682</v>
      </c>
      <c r="G173" s="7"/>
      <c r="H173" s="7" t="e">
        <f ca="1">[1]!t仕入先名(G173)</f>
        <v>#NAME?</v>
      </c>
      <c r="I173" s="7"/>
      <c r="J173" s="82"/>
      <c r="K173" s="82"/>
      <c r="L173" s="82"/>
    </row>
    <row r="174" spans="1:12" ht="13.5" customHeight="1">
      <c r="A174" s="7">
        <v>162</v>
      </c>
      <c r="B174" s="7"/>
      <c r="C174" s="7"/>
      <c r="D174" s="7" t="s">
        <v>1623</v>
      </c>
      <c r="E174" s="7" t="s">
        <v>1832</v>
      </c>
      <c r="F174" s="7" t="s">
        <v>1682</v>
      </c>
      <c r="G174" s="7"/>
      <c r="H174" s="7" t="e">
        <f ca="1">[1]!t仕入先名(G174)</f>
        <v>#NAME?</v>
      </c>
      <c r="I174" s="7"/>
      <c r="J174" s="82"/>
      <c r="K174" s="82"/>
      <c r="L174" s="82"/>
    </row>
    <row r="175" spans="1:12" ht="13.5" customHeight="1">
      <c r="A175" s="7">
        <v>163</v>
      </c>
      <c r="B175" s="7"/>
      <c r="C175" s="7"/>
      <c r="D175" s="7" t="s">
        <v>1624</v>
      </c>
      <c r="E175" s="7" t="s">
        <v>1833</v>
      </c>
      <c r="F175" s="7" t="s">
        <v>1682</v>
      </c>
      <c r="G175" s="7"/>
      <c r="H175" s="7" t="e">
        <f ca="1">[1]!t仕入先名(G175)</f>
        <v>#NAME?</v>
      </c>
      <c r="I175" s="7"/>
      <c r="J175" s="82"/>
      <c r="K175" s="82"/>
      <c r="L175" s="82"/>
    </row>
    <row r="176" spans="1:12" ht="13.5" customHeight="1">
      <c r="A176" s="7">
        <v>164</v>
      </c>
      <c r="B176" s="7"/>
      <c r="C176" s="7"/>
      <c r="D176" s="7" t="s">
        <v>1625</v>
      </c>
      <c r="E176" s="7" t="s">
        <v>1834</v>
      </c>
      <c r="F176" s="7" t="s">
        <v>1682</v>
      </c>
      <c r="G176" s="7"/>
      <c r="H176" s="7" t="e">
        <f ca="1">[1]!t仕入先名(G176)</f>
        <v>#NAME?</v>
      </c>
      <c r="I176" s="7"/>
      <c r="J176" s="82"/>
      <c r="K176" s="82"/>
      <c r="L176" s="82"/>
    </row>
    <row r="177" spans="1:12" ht="13.5" customHeight="1">
      <c r="A177" s="7">
        <v>165</v>
      </c>
      <c r="B177" s="7"/>
      <c r="C177" s="7"/>
      <c r="D177" s="7" t="s">
        <v>1626</v>
      </c>
      <c r="E177" s="7" t="s">
        <v>1835</v>
      </c>
      <c r="F177" s="7" t="s">
        <v>1682</v>
      </c>
      <c r="G177" s="7"/>
      <c r="H177" s="7" t="e">
        <f ca="1">[1]!t仕入先名(G177)</f>
        <v>#NAME?</v>
      </c>
      <c r="I177" s="7"/>
      <c r="J177" s="82"/>
      <c r="K177" s="82"/>
      <c r="L177" s="82"/>
    </row>
    <row r="178" spans="1:12" ht="13.5" customHeight="1">
      <c r="A178" s="7">
        <v>166</v>
      </c>
      <c r="B178" s="7"/>
      <c r="C178" s="7"/>
      <c r="D178" s="7" t="s">
        <v>1627</v>
      </c>
      <c r="E178" s="7" t="s">
        <v>1836</v>
      </c>
      <c r="F178" s="7" t="s">
        <v>1682</v>
      </c>
      <c r="G178" s="7"/>
      <c r="H178" s="7" t="e">
        <f ca="1">[1]!t仕入先名(G178)</f>
        <v>#NAME?</v>
      </c>
      <c r="I178" s="7"/>
      <c r="J178" s="82"/>
      <c r="K178" s="82"/>
      <c r="L178" s="82"/>
    </row>
    <row r="179" spans="1:12" ht="13.5" customHeight="1">
      <c r="A179" s="7">
        <v>167</v>
      </c>
      <c r="B179" s="7"/>
      <c r="C179" s="7"/>
      <c r="D179" s="7" t="s">
        <v>1628</v>
      </c>
      <c r="E179" s="7" t="s">
        <v>1837</v>
      </c>
      <c r="F179" s="7" t="s">
        <v>1682</v>
      </c>
      <c r="G179" s="7"/>
      <c r="H179" s="7" t="e">
        <f ca="1">[1]!t仕入先名(G179)</f>
        <v>#NAME?</v>
      </c>
      <c r="I179" s="7"/>
      <c r="J179" s="82"/>
      <c r="K179" s="82"/>
      <c r="L179" s="82"/>
    </row>
    <row r="180" spans="1:12" ht="13.5" customHeight="1">
      <c r="A180" s="7">
        <v>168</v>
      </c>
      <c r="B180" s="7"/>
      <c r="C180" s="7"/>
      <c r="D180" s="7" t="s">
        <v>1629</v>
      </c>
      <c r="E180" s="7" t="s">
        <v>1838</v>
      </c>
      <c r="F180" s="7" t="s">
        <v>1682</v>
      </c>
      <c r="G180" s="7"/>
      <c r="H180" s="7" t="e">
        <f ca="1">[1]!t仕入先名(G180)</f>
        <v>#NAME?</v>
      </c>
      <c r="I180" s="7"/>
      <c r="J180" s="82"/>
      <c r="K180" s="82"/>
      <c r="L180" s="82"/>
    </row>
    <row r="181" spans="1:12" ht="13.5" customHeight="1">
      <c r="A181" s="7">
        <v>169</v>
      </c>
      <c r="B181" s="7"/>
      <c r="C181" s="7"/>
      <c r="D181" s="7" t="s">
        <v>1630</v>
      </c>
      <c r="E181" s="7" t="s">
        <v>1839</v>
      </c>
      <c r="F181" s="7">
        <v>7</v>
      </c>
      <c r="G181" s="7"/>
      <c r="H181" s="7" t="e">
        <f ca="1">[1]!t仕入先名(G181)</f>
        <v>#NAME?</v>
      </c>
      <c r="I181" s="7"/>
      <c r="J181" s="82"/>
      <c r="K181" s="82"/>
      <c r="L181" s="82"/>
    </row>
    <row r="182" spans="1:12" ht="13.5" customHeight="1">
      <c r="A182" s="7">
        <v>170</v>
      </c>
      <c r="B182" s="7"/>
      <c r="C182" s="7"/>
      <c r="D182" s="7" t="s">
        <v>1631</v>
      </c>
      <c r="E182" s="7" t="s">
        <v>1840</v>
      </c>
      <c r="F182" s="7">
        <v>5</v>
      </c>
      <c r="G182" s="7"/>
      <c r="H182" s="7" t="e">
        <f ca="1">[1]!t仕入先名(G182)</f>
        <v>#NAME?</v>
      </c>
      <c r="I182" s="7"/>
      <c r="J182" s="82"/>
      <c r="K182" s="82"/>
      <c r="L182" s="82"/>
    </row>
    <row r="183" spans="1:12" ht="13.5" customHeight="1">
      <c r="A183" s="7">
        <v>171</v>
      </c>
      <c r="B183" s="7"/>
      <c r="C183" s="7"/>
      <c r="D183" s="7" t="s">
        <v>1632</v>
      </c>
      <c r="E183" s="7" t="s">
        <v>1841</v>
      </c>
      <c r="F183" s="7">
        <v>4</v>
      </c>
      <c r="G183" s="7"/>
      <c r="H183" s="7" t="e">
        <f ca="1">[1]!t仕入先名(G183)</f>
        <v>#NAME?</v>
      </c>
      <c r="I183" s="7"/>
      <c r="J183" s="82"/>
      <c r="K183" s="82"/>
      <c r="L183" s="82"/>
    </row>
    <row r="184" spans="1:12" ht="13.5" customHeight="1">
      <c r="A184" s="7">
        <v>172</v>
      </c>
      <c r="B184" s="7"/>
      <c r="C184" s="7"/>
      <c r="D184" s="7" t="s">
        <v>1633</v>
      </c>
      <c r="E184" s="7" t="s">
        <v>1842</v>
      </c>
      <c r="F184" s="7">
        <v>6</v>
      </c>
      <c r="G184" s="7"/>
      <c r="H184" s="7" t="e">
        <f ca="1">[1]!t仕入先名(G184)</f>
        <v>#NAME?</v>
      </c>
      <c r="I184" s="7"/>
      <c r="J184" s="82"/>
      <c r="K184" s="82"/>
      <c r="L184" s="82"/>
    </row>
    <row r="185" spans="1:12" ht="13.5" customHeight="1">
      <c r="A185" s="7">
        <v>173</v>
      </c>
      <c r="B185" s="7"/>
      <c r="C185" s="7"/>
      <c r="D185" s="7" t="s">
        <v>1634</v>
      </c>
      <c r="E185" s="7" t="s">
        <v>1843</v>
      </c>
      <c r="F185" s="7">
        <v>7</v>
      </c>
      <c r="G185" s="7"/>
      <c r="H185" s="7" t="e">
        <f ca="1">[1]!t仕入先名(G185)</f>
        <v>#NAME?</v>
      </c>
      <c r="I185" s="7"/>
      <c r="J185" s="82"/>
      <c r="K185" s="82"/>
      <c r="L185" s="82"/>
    </row>
    <row r="186" spans="1:12" ht="13.5" customHeight="1">
      <c r="A186" s="7">
        <v>174</v>
      </c>
      <c r="B186" s="7"/>
      <c r="C186" s="7"/>
      <c r="D186" s="7" t="s">
        <v>1635</v>
      </c>
      <c r="E186" s="7" t="s">
        <v>1844</v>
      </c>
      <c r="F186" s="7">
        <v>4</v>
      </c>
      <c r="G186" s="7"/>
      <c r="H186" s="7" t="e">
        <f ca="1">[1]!t仕入先名(G186)</f>
        <v>#NAME?</v>
      </c>
      <c r="I186" s="7"/>
      <c r="J186" s="82"/>
      <c r="K186" s="82"/>
      <c r="L186" s="82"/>
    </row>
    <row r="187" spans="1:12" ht="13.5" customHeight="1">
      <c r="A187" s="7">
        <v>175</v>
      </c>
      <c r="B187" s="7"/>
      <c r="C187" s="7"/>
      <c r="D187" s="7" t="s">
        <v>1636</v>
      </c>
      <c r="E187" s="7" t="s">
        <v>1845</v>
      </c>
      <c r="F187" s="7">
        <v>8</v>
      </c>
      <c r="G187" s="7"/>
      <c r="H187" s="7" t="e">
        <f ca="1">[1]!t仕入先名(G187)</f>
        <v>#NAME?</v>
      </c>
      <c r="I187" s="7"/>
      <c r="J187" s="82"/>
      <c r="K187" s="82"/>
      <c r="L187" s="82"/>
    </row>
    <row r="188" spans="1:12" ht="13.5" customHeight="1">
      <c r="A188" s="7">
        <v>176</v>
      </c>
      <c r="B188" s="7"/>
      <c r="C188" s="7"/>
      <c r="D188" s="7" t="s">
        <v>1637</v>
      </c>
      <c r="E188" s="7" t="s">
        <v>1846</v>
      </c>
      <c r="F188" s="7">
        <v>6</v>
      </c>
      <c r="G188" s="7"/>
      <c r="H188" s="7" t="e">
        <f ca="1">[1]!t仕入先名(G188)</f>
        <v>#NAME?</v>
      </c>
      <c r="I188" s="7"/>
      <c r="J188" s="82"/>
      <c r="K188" s="82"/>
      <c r="L188" s="82"/>
    </row>
    <row r="189" spans="1:12" ht="13.5" customHeight="1">
      <c r="A189" s="7">
        <v>177</v>
      </c>
      <c r="B189" s="7"/>
      <c r="C189" s="7"/>
      <c r="D189" s="7" t="s">
        <v>1638</v>
      </c>
      <c r="E189" s="7" t="s">
        <v>1847</v>
      </c>
      <c r="F189" s="7">
        <v>6</v>
      </c>
      <c r="G189" s="7"/>
      <c r="H189" s="7" t="e">
        <f ca="1">[1]!t仕入先名(G189)</f>
        <v>#NAME?</v>
      </c>
      <c r="I189" s="7"/>
      <c r="J189" s="82"/>
      <c r="K189" s="82"/>
      <c r="L189" s="82"/>
    </row>
    <row r="190" spans="1:12" ht="13.5" customHeight="1">
      <c r="A190" s="7">
        <v>178</v>
      </c>
      <c r="B190" s="7"/>
      <c r="C190" s="7"/>
      <c r="D190" s="7" t="s">
        <v>1639</v>
      </c>
      <c r="E190" s="7" t="s">
        <v>1848</v>
      </c>
      <c r="F190" s="7">
        <v>3</v>
      </c>
      <c r="G190" s="7"/>
      <c r="H190" s="7" t="e">
        <f ca="1">[1]!t仕入先名(G190)</f>
        <v>#NAME?</v>
      </c>
      <c r="I190" s="7"/>
      <c r="J190" s="82"/>
      <c r="K190" s="82"/>
      <c r="L190" s="82"/>
    </row>
    <row r="191" spans="1:12" ht="13.5" customHeight="1">
      <c r="A191" s="7">
        <v>179</v>
      </c>
      <c r="B191" s="7"/>
      <c r="C191" s="7"/>
      <c r="D191" s="7" t="s">
        <v>1640</v>
      </c>
      <c r="E191" s="7" t="s">
        <v>1849</v>
      </c>
      <c r="F191" s="7">
        <v>10</v>
      </c>
      <c r="G191" s="7"/>
      <c r="H191" s="7" t="e">
        <f ca="1">[1]!t仕入先名(G191)</f>
        <v>#NAME?</v>
      </c>
      <c r="I191" s="7"/>
      <c r="J191" s="82"/>
      <c r="K191" s="82"/>
      <c r="L191" s="82"/>
    </row>
    <row r="192" spans="1:12" ht="13.5" customHeight="1">
      <c r="A192" s="7">
        <v>180</v>
      </c>
      <c r="B192" s="7"/>
      <c r="C192" s="7"/>
      <c r="D192" s="7" t="s">
        <v>1641</v>
      </c>
      <c r="E192" s="7" t="s">
        <v>1850</v>
      </c>
      <c r="F192" s="7">
        <v>8</v>
      </c>
      <c r="G192" s="7"/>
      <c r="H192" s="7" t="e">
        <f ca="1">[1]!t仕入先名(G192)</f>
        <v>#NAME?</v>
      </c>
      <c r="I192" s="7"/>
      <c r="J192" s="82"/>
      <c r="K192" s="82"/>
      <c r="L192" s="82"/>
    </row>
    <row r="193" spans="1:12" ht="13.5" customHeight="1">
      <c r="A193" s="7">
        <v>181</v>
      </c>
      <c r="B193" s="7"/>
      <c r="C193" s="7"/>
      <c r="D193" s="7" t="s">
        <v>1642</v>
      </c>
      <c r="E193" s="7" t="s">
        <v>1851</v>
      </c>
      <c r="F193" s="7">
        <v>14</v>
      </c>
      <c r="G193" s="7"/>
      <c r="H193" s="7" t="e">
        <f ca="1">[1]!t仕入先名(G193)</f>
        <v>#NAME?</v>
      </c>
      <c r="I193" s="7"/>
      <c r="J193" s="82"/>
      <c r="K193" s="82"/>
      <c r="L193" s="82"/>
    </row>
    <row r="194" spans="1:12" ht="13.5" customHeight="1">
      <c r="A194" s="7">
        <v>182</v>
      </c>
      <c r="B194" s="7"/>
      <c r="C194" s="7"/>
      <c r="D194" s="7" t="s">
        <v>1643</v>
      </c>
      <c r="E194" s="7" t="s">
        <v>1852</v>
      </c>
      <c r="F194" s="7">
        <v>8</v>
      </c>
      <c r="G194" s="7"/>
      <c r="H194" s="7" t="e">
        <f ca="1">[1]!t仕入先名(G194)</f>
        <v>#NAME?</v>
      </c>
      <c r="I194" s="7"/>
      <c r="J194" s="82"/>
      <c r="K194" s="82"/>
      <c r="L194" s="82"/>
    </row>
    <row r="195" spans="1:12" ht="13.5" customHeight="1">
      <c r="A195" s="7">
        <v>183</v>
      </c>
      <c r="B195" s="7"/>
      <c r="C195" s="7"/>
      <c r="D195" s="7" t="s">
        <v>1644</v>
      </c>
      <c r="E195" s="7" t="s">
        <v>1853</v>
      </c>
      <c r="F195" s="7">
        <v>8</v>
      </c>
      <c r="G195" s="7"/>
      <c r="H195" s="7" t="e">
        <f ca="1">[1]!t仕入先名(G195)</f>
        <v>#NAME?</v>
      </c>
      <c r="I195" s="7"/>
      <c r="J195" s="82"/>
      <c r="K195" s="82"/>
      <c r="L195" s="82"/>
    </row>
    <row r="196" spans="1:12" ht="13.5" customHeight="1">
      <c r="A196" s="7">
        <v>184</v>
      </c>
      <c r="B196" s="7"/>
      <c r="C196" s="7"/>
      <c r="D196" s="7" t="s">
        <v>1645</v>
      </c>
      <c r="E196" s="7" t="s">
        <v>1854</v>
      </c>
      <c r="F196" s="7">
        <v>10</v>
      </c>
      <c r="G196" s="7"/>
      <c r="H196" s="7" t="e">
        <f ca="1">[1]!t仕入先名(G196)</f>
        <v>#NAME?</v>
      </c>
      <c r="I196" s="7"/>
      <c r="J196" s="82"/>
      <c r="K196" s="82"/>
      <c r="L196" s="82"/>
    </row>
    <row r="197" spans="1:12" ht="13.5" customHeight="1">
      <c r="A197" s="7">
        <v>185</v>
      </c>
      <c r="B197" s="7"/>
      <c r="C197" s="7"/>
      <c r="D197" s="7" t="s">
        <v>1646</v>
      </c>
      <c r="E197" s="7" t="s">
        <v>1855</v>
      </c>
      <c r="F197" s="7">
        <v>7</v>
      </c>
      <c r="G197" s="7"/>
      <c r="H197" s="7" t="e">
        <f ca="1">[1]!t仕入先名(G197)</f>
        <v>#NAME?</v>
      </c>
      <c r="I197" s="7"/>
      <c r="J197" s="82"/>
      <c r="K197" s="82"/>
      <c r="L197" s="82"/>
    </row>
    <row r="198" spans="1:12" ht="13.5" customHeight="1">
      <c r="A198" s="7">
        <v>186</v>
      </c>
      <c r="B198" s="7"/>
      <c r="C198" s="7"/>
      <c r="D198" s="7" t="s">
        <v>1647</v>
      </c>
      <c r="E198" s="7" t="s">
        <v>1856</v>
      </c>
      <c r="F198" s="7">
        <v>5</v>
      </c>
      <c r="G198" s="7"/>
      <c r="H198" s="7" t="e">
        <f ca="1">[1]!t仕入先名(G198)</f>
        <v>#NAME?</v>
      </c>
      <c r="I198" s="7"/>
      <c r="J198" s="82"/>
      <c r="K198" s="82"/>
      <c r="L198" s="82"/>
    </row>
    <row r="199" spans="1:12" ht="13.5" customHeight="1">
      <c r="A199" s="7">
        <v>187</v>
      </c>
      <c r="B199" s="7"/>
      <c r="C199" s="7"/>
      <c r="D199" s="7" t="s">
        <v>1648</v>
      </c>
      <c r="E199" s="7" t="s">
        <v>1857</v>
      </c>
      <c r="F199" s="7">
        <v>7</v>
      </c>
      <c r="G199" s="7"/>
      <c r="H199" s="7" t="e">
        <f ca="1">[1]!t仕入先名(G199)</f>
        <v>#NAME?</v>
      </c>
      <c r="I199" s="7"/>
      <c r="J199" s="82"/>
      <c r="K199" s="82"/>
      <c r="L199" s="82"/>
    </row>
    <row r="200" spans="1:12" ht="13.5" customHeight="1">
      <c r="A200" s="7">
        <v>188</v>
      </c>
      <c r="B200" s="7"/>
      <c r="C200" s="7"/>
      <c r="D200" s="7" t="s">
        <v>1649</v>
      </c>
      <c r="E200" s="7" t="s">
        <v>1858</v>
      </c>
      <c r="F200" s="7">
        <v>6</v>
      </c>
      <c r="G200" s="7"/>
      <c r="H200" s="7" t="e">
        <f ca="1">[1]!t仕入先名(G200)</f>
        <v>#NAME?</v>
      </c>
      <c r="I200" s="7"/>
      <c r="J200" s="82"/>
      <c r="K200" s="82"/>
      <c r="L200" s="82"/>
    </row>
    <row r="201" spans="1:12" ht="13.5" customHeight="1">
      <c r="A201" s="7">
        <v>189</v>
      </c>
      <c r="B201" s="7"/>
      <c r="C201" s="7"/>
      <c r="D201" s="7" t="s">
        <v>1650</v>
      </c>
      <c r="E201" s="7" t="s">
        <v>1859</v>
      </c>
      <c r="F201" s="7">
        <v>6</v>
      </c>
      <c r="G201" s="7"/>
      <c r="H201" s="7" t="e">
        <f ca="1">[1]!t仕入先名(G201)</f>
        <v>#NAME?</v>
      </c>
      <c r="I201" s="7"/>
      <c r="J201" s="82"/>
      <c r="K201" s="82"/>
      <c r="L201" s="82"/>
    </row>
    <row r="202" spans="1:12" ht="13.5" customHeight="1">
      <c r="A202" s="7">
        <v>190</v>
      </c>
      <c r="B202" s="7"/>
      <c r="C202" s="7"/>
      <c r="D202" s="7" t="s">
        <v>1651</v>
      </c>
      <c r="E202" s="7" t="s">
        <v>1860</v>
      </c>
      <c r="F202" s="7">
        <v>4</v>
      </c>
      <c r="G202" s="7"/>
      <c r="H202" s="7" t="e">
        <f ca="1">[1]!t仕入先名(G202)</f>
        <v>#NAME?</v>
      </c>
      <c r="I202" s="7"/>
      <c r="J202" s="82"/>
      <c r="K202" s="82"/>
      <c r="L202" s="82"/>
    </row>
    <row r="203" spans="1:12" ht="13.5" customHeight="1">
      <c r="A203" s="7">
        <v>191</v>
      </c>
      <c r="B203" s="7"/>
      <c r="C203" s="7"/>
      <c r="D203" s="7" t="s">
        <v>1652</v>
      </c>
      <c r="E203" s="7" t="s">
        <v>1861</v>
      </c>
      <c r="F203" s="7" t="s">
        <v>1682</v>
      </c>
      <c r="G203" s="7"/>
      <c r="H203" s="7" t="e">
        <f ca="1">[1]!t仕入先名(G203)</f>
        <v>#NAME?</v>
      </c>
      <c r="I203" s="7"/>
      <c r="J203" s="82"/>
      <c r="K203" s="82"/>
      <c r="L203" s="82"/>
    </row>
    <row r="204" spans="1:12" ht="13.5" customHeight="1">
      <c r="A204" s="7">
        <v>192</v>
      </c>
      <c r="B204" s="7"/>
      <c r="C204" s="7"/>
      <c r="D204" s="7" t="s">
        <v>1653</v>
      </c>
      <c r="E204" s="7" t="s">
        <v>1862</v>
      </c>
      <c r="F204" s="7" t="s">
        <v>1682</v>
      </c>
      <c r="G204" s="7"/>
      <c r="H204" s="7" t="e">
        <f ca="1">[1]!t仕入先名(G204)</f>
        <v>#NAME?</v>
      </c>
      <c r="I204" s="7"/>
      <c r="J204" s="82"/>
      <c r="K204" s="82"/>
      <c r="L204" s="82"/>
    </row>
    <row r="205" spans="1:12" ht="13.5" customHeight="1">
      <c r="A205" s="7">
        <v>193</v>
      </c>
      <c r="B205" s="7"/>
      <c r="C205" s="7"/>
      <c r="D205" s="7" t="s">
        <v>1654</v>
      </c>
      <c r="E205" s="7" t="s">
        <v>1863</v>
      </c>
      <c r="F205" s="7" t="s">
        <v>1682</v>
      </c>
      <c r="G205" s="7"/>
      <c r="H205" s="7" t="e">
        <f ca="1">[1]!t仕入先名(G205)</f>
        <v>#NAME?</v>
      </c>
      <c r="I205" s="7"/>
      <c r="J205" s="82"/>
      <c r="K205" s="82"/>
      <c r="L205" s="82"/>
    </row>
    <row r="206" spans="1:12" ht="13.5" customHeight="1">
      <c r="A206" s="7">
        <v>194</v>
      </c>
      <c r="B206" s="7"/>
      <c r="C206" s="7"/>
      <c r="D206" s="7" t="s">
        <v>1655</v>
      </c>
      <c r="E206" s="7" t="s">
        <v>1864</v>
      </c>
      <c r="F206" s="7" t="s">
        <v>1682</v>
      </c>
      <c r="G206" s="7"/>
      <c r="H206" s="7" t="e">
        <f ca="1">[1]!t仕入先名(G206)</f>
        <v>#NAME?</v>
      </c>
      <c r="I206" s="7"/>
      <c r="J206" s="82"/>
      <c r="K206" s="82"/>
      <c r="L206" s="82"/>
    </row>
    <row r="207" spans="1:12" ht="13.5" customHeight="1">
      <c r="A207" s="7">
        <v>195</v>
      </c>
      <c r="B207" s="7"/>
      <c r="C207" s="7"/>
      <c r="D207" s="7" t="s">
        <v>1656</v>
      </c>
      <c r="E207" s="7" t="s">
        <v>1865</v>
      </c>
      <c r="F207" s="7" t="s">
        <v>1682</v>
      </c>
      <c r="G207" s="7"/>
      <c r="H207" s="7" t="e">
        <f ca="1">[1]!t仕入先名(G207)</f>
        <v>#NAME?</v>
      </c>
      <c r="I207" s="7"/>
      <c r="J207" s="82"/>
      <c r="K207" s="82"/>
      <c r="L207" s="82"/>
    </row>
    <row r="208" spans="1:12" ht="13.5" customHeight="1">
      <c r="A208" s="7">
        <v>196</v>
      </c>
      <c r="B208" s="7"/>
      <c r="C208" s="7"/>
      <c r="D208" s="7" t="s">
        <v>1657</v>
      </c>
      <c r="E208" s="7" t="s">
        <v>1866</v>
      </c>
      <c r="F208" s="7" t="s">
        <v>1682</v>
      </c>
      <c r="G208" s="7"/>
      <c r="H208" s="7" t="e">
        <f ca="1">[1]!t仕入先名(G208)</f>
        <v>#NAME?</v>
      </c>
      <c r="I208" s="7"/>
      <c r="J208" s="82"/>
      <c r="K208" s="82"/>
      <c r="L208" s="82"/>
    </row>
    <row r="209" spans="1:12" ht="13.5" customHeight="1">
      <c r="A209" s="7">
        <v>197</v>
      </c>
      <c r="B209" s="7"/>
      <c r="C209" s="7"/>
      <c r="D209" s="7" t="s">
        <v>1658</v>
      </c>
      <c r="E209" s="7" t="s">
        <v>1867</v>
      </c>
      <c r="F209" s="7" t="s">
        <v>1682</v>
      </c>
      <c r="G209" s="7"/>
      <c r="H209" s="7" t="e">
        <f ca="1">[1]!t仕入先名(G209)</f>
        <v>#NAME?</v>
      </c>
      <c r="I209" s="7"/>
      <c r="J209" s="82"/>
      <c r="K209" s="82"/>
      <c r="L209" s="82"/>
    </row>
    <row r="210" spans="1:12" ht="13.5" customHeight="1">
      <c r="A210" s="7">
        <v>198</v>
      </c>
      <c r="B210" s="7"/>
      <c r="C210" s="7"/>
      <c r="D210" s="7" t="s">
        <v>1659</v>
      </c>
      <c r="E210" s="7" t="s">
        <v>1868</v>
      </c>
      <c r="F210" s="7" t="s">
        <v>1682</v>
      </c>
      <c r="G210" s="7"/>
      <c r="H210" s="7" t="e">
        <f ca="1">[1]!t仕入先名(G210)</f>
        <v>#NAME?</v>
      </c>
      <c r="I210" s="7"/>
      <c r="J210" s="82"/>
      <c r="K210" s="82"/>
      <c r="L210" s="82"/>
    </row>
    <row r="211" spans="1:12" ht="13.5" customHeight="1">
      <c r="A211" s="7">
        <v>199</v>
      </c>
      <c r="B211" s="7"/>
      <c r="C211" s="7"/>
      <c r="D211" s="7" t="s">
        <v>1660</v>
      </c>
      <c r="E211" s="7" t="s">
        <v>1869</v>
      </c>
      <c r="F211" s="7" t="s">
        <v>1682</v>
      </c>
      <c r="G211" s="7"/>
      <c r="H211" s="7" t="e">
        <f ca="1">[1]!t仕入先名(G211)</f>
        <v>#NAME?</v>
      </c>
      <c r="I211" s="7"/>
      <c r="J211" s="82"/>
      <c r="K211" s="82"/>
      <c r="L211" s="82"/>
    </row>
    <row r="212" spans="1:12" ht="13.5" customHeight="1">
      <c r="A212" s="7">
        <v>200</v>
      </c>
      <c r="B212" s="7"/>
      <c r="C212" s="7"/>
      <c r="D212" s="7" t="s">
        <v>1661</v>
      </c>
      <c r="E212" s="7" t="s">
        <v>1870</v>
      </c>
      <c r="F212" s="7" t="s">
        <v>1682</v>
      </c>
      <c r="G212" s="7"/>
      <c r="H212" s="7" t="e">
        <f ca="1">[1]!t仕入先名(G212)</f>
        <v>#NAME?</v>
      </c>
      <c r="I212" s="7"/>
      <c r="J212" s="82"/>
      <c r="K212" s="82"/>
      <c r="L212" s="82"/>
    </row>
    <row r="213" spans="1:12" ht="13.5" customHeight="1">
      <c r="A213" s="7">
        <v>201</v>
      </c>
      <c r="B213" s="7"/>
      <c r="C213" s="7"/>
      <c r="D213" s="7" t="s">
        <v>1662</v>
      </c>
      <c r="E213" s="7" t="s">
        <v>1871</v>
      </c>
      <c r="F213" s="7" t="s">
        <v>1682</v>
      </c>
      <c r="G213" s="7"/>
      <c r="H213" s="7" t="e">
        <f ca="1">[1]!t仕入先名(G213)</f>
        <v>#NAME?</v>
      </c>
      <c r="I213" s="7"/>
      <c r="J213" s="82"/>
      <c r="K213" s="82"/>
      <c r="L213" s="82"/>
    </row>
    <row r="214" spans="1:12" ht="13.5" customHeight="1">
      <c r="A214" s="7">
        <v>202</v>
      </c>
      <c r="B214" s="7"/>
      <c r="C214" s="7"/>
      <c r="D214" s="7" t="s">
        <v>1663</v>
      </c>
      <c r="E214" s="7" t="s">
        <v>1872</v>
      </c>
      <c r="F214" s="7" t="s">
        <v>1682</v>
      </c>
      <c r="G214" s="7"/>
      <c r="H214" s="7" t="e">
        <f ca="1">[1]!t仕入先名(G214)</f>
        <v>#NAME?</v>
      </c>
      <c r="I214" s="7"/>
      <c r="J214" s="82"/>
      <c r="K214" s="82"/>
      <c r="L214" s="82"/>
    </row>
    <row r="215" spans="1:12" ht="13.5" customHeight="1">
      <c r="A215" s="7">
        <v>203</v>
      </c>
      <c r="B215" s="7"/>
      <c r="C215" s="7"/>
      <c r="D215" s="7" t="s">
        <v>1664</v>
      </c>
      <c r="E215" s="7" t="s">
        <v>1873</v>
      </c>
      <c r="F215" s="7" t="s">
        <v>1682</v>
      </c>
      <c r="G215" s="7"/>
      <c r="H215" s="7" t="e">
        <f ca="1">[1]!t仕入先名(G215)</f>
        <v>#NAME?</v>
      </c>
      <c r="I215" s="7"/>
      <c r="J215" s="82"/>
      <c r="K215" s="82"/>
      <c r="L215" s="82"/>
    </row>
    <row r="216" spans="1:12" ht="13.5" customHeight="1">
      <c r="A216" s="7">
        <v>204</v>
      </c>
      <c r="B216" s="7"/>
      <c r="C216" s="7"/>
      <c r="D216" s="7" t="s">
        <v>1665</v>
      </c>
      <c r="E216" s="7" t="s">
        <v>1874</v>
      </c>
      <c r="F216" s="7" t="s">
        <v>1682</v>
      </c>
      <c r="G216" s="7"/>
      <c r="H216" s="7" t="e">
        <f ca="1">[1]!t仕入先名(G216)</f>
        <v>#NAME?</v>
      </c>
      <c r="I216" s="7"/>
      <c r="J216" s="82"/>
      <c r="K216" s="82"/>
      <c r="L216" s="82"/>
    </row>
    <row r="217" spans="1:12" ht="13.5" customHeight="1">
      <c r="A217" s="7">
        <v>205</v>
      </c>
      <c r="B217" s="7"/>
      <c r="C217" s="7"/>
      <c r="D217" s="7" t="s">
        <v>1666</v>
      </c>
      <c r="E217" s="7" t="s">
        <v>1875</v>
      </c>
      <c r="F217" s="7" t="s">
        <v>1682</v>
      </c>
      <c r="G217" s="7"/>
      <c r="H217" s="7" t="e">
        <f ca="1">[1]!t仕入先名(G217)</f>
        <v>#NAME?</v>
      </c>
      <c r="I217" s="7"/>
      <c r="J217" s="82"/>
      <c r="K217" s="82"/>
      <c r="L217" s="82"/>
    </row>
    <row r="218" spans="1:12" ht="13.5" customHeight="1">
      <c r="A218" s="7">
        <v>206</v>
      </c>
      <c r="B218" s="7"/>
      <c r="C218" s="7"/>
      <c r="D218" s="7" t="s">
        <v>1667</v>
      </c>
      <c r="E218" s="7" t="s">
        <v>1876</v>
      </c>
      <c r="F218" s="7" t="s">
        <v>1682</v>
      </c>
      <c r="G218" s="7"/>
      <c r="H218" s="7" t="e">
        <f ca="1">[1]!t仕入先名(G218)</f>
        <v>#NAME?</v>
      </c>
      <c r="I218" s="7"/>
      <c r="J218" s="82"/>
      <c r="K218" s="82"/>
      <c r="L218" s="82"/>
    </row>
    <row r="219" spans="1:12" ht="13.5" customHeight="1">
      <c r="A219" s="7">
        <v>207</v>
      </c>
      <c r="B219" s="7"/>
      <c r="C219" s="7"/>
      <c r="D219" s="7" t="s">
        <v>1668</v>
      </c>
      <c r="E219" s="7" t="s">
        <v>1877</v>
      </c>
      <c r="F219" s="7" t="s">
        <v>1682</v>
      </c>
      <c r="G219" s="7"/>
      <c r="H219" s="7" t="e">
        <f ca="1">[1]!t仕入先名(G219)</f>
        <v>#NAME?</v>
      </c>
      <c r="I219" s="7"/>
      <c r="J219" s="82"/>
      <c r="K219" s="82"/>
      <c r="L219" s="82"/>
    </row>
    <row r="220" spans="1:12" ht="13.5" customHeight="1">
      <c r="A220" s="7">
        <v>208</v>
      </c>
      <c r="B220" s="7"/>
      <c r="C220" s="7"/>
      <c r="D220" s="7" t="s">
        <v>1669</v>
      </c>
      <c r="E220" s="7" t="s">
        <v>1878</v>
      </c>
      <c r="F220" s="7" t="s">
        <v>1682</v>
      </c>
      <c r="G220" s="7"/>
      <c r="H220" s="7" t="e">
        <f ca="1">[1]!t仕入先名(G220)</f>
        <v>#NAME?</v>
      </c>
      <c r="I220" s="7"/>
      <c r="J220" s="82"/>
      <c r="K220" s="82"/>
      <c r="L220" s="82"/>
    </row>
    <row r="221" spans="1:12" ht="13.5" customHeight="1">
      <c r="A221" s="7">
        <v>209</v>
      </c>
      <c r="B221" s="7"/>
      <c r="C221" s="7"/>
      <c r="D221" s="7" t="s">
        <v>1670</v>
      </c>
      <c r="E221" s="7" t="s">
        <v>1879</v>
      </c>
      <c r="F221" s="7">
        <v>10</v>
      </c>
      <c r="G221" s="7"/>
      <c r="H221" s="7" t="e">
        <f ca="1">[1]!t仕入先名(G221)</f>
        <v>#NAME?</v>
      </c>
      <c r="I221" s="7"/>
      <c r="J221" s="82"/>
      <c r="K221" s="82"/>
      <c r="L221" s="82"/>
    </row>
    <row r="222" spans="1:12" ht="13.5" customHeight="1">
      <c r="A222" s="7">
        <v>210</v>
      </c>
      <c r="B222" s="7"/>
      <c r="C222" s="7"/>
      <c r="D222" s="7" t="s">
        <v>1671</v>
      </c>
      <c r="E222" s="7" t="s">
        <v>1880</v>
      </c>
      <c r="F222" s="7">
        <v>8</v>
      </c>
      <c r="G222" s="7"/>
      <c r="H222" s="7" t="e">
        <f ca="1">[1]!t仕入先名(G222)</f>
        <v>#NAME?</v>
      </c>
      <c r="I222" s="7"/>
      <c r="J222" s="82"/>
      <c r="K222" s="82"/>
      <c r="L222" s="82"/>
    </row>
    <row r="223" spans="1:12" ht="13.5" customHeight="1">
      <c r="A223" s="7">
        <v>211</v>
      </c>
      <c r="B223" s="7"/>
      <c r="C223" s="7"/>
      <c r="D223" s="7" t="s">
        <v>1672</v>
      </c>
      <c r="E223" s="7" t="s">
        <v>1881</v>
      </c>
      <c r="F223" s="7">
        <v>5</v>
      </c>
      <c r="G223" s="7"/>
      <c r="H223" s="7" t="e">
        <f ca="1">[1]!t仕入先名(G223)</f>
        <v>#NAME?</v>
      </c>
      <c r="I223" s="7"/>
      <c r="J223" s="82"/>
      <c r="K223" s="82"/>
      <c r="L223" s="82"/>
    </row>
    <row r="224" spans="1:12" ht="13.5" customHeight="1">
      <c r="A224" s="7">
        <v>212</v>
      </c>
      <c r="B224" s="7"/>
      <c r="C224" s="7"/>
      <c r="D224" s="7" t="s">
        <v>1673</v>
      </c>
      <c r="E224" s="7" t="s">
        <v>1882</v>
      </c>
      <c r="F224" s="7">
        <v>4</v>
      </c>
      <c r="G224" s="7"/>
      <c r="H224" s="7" t="e">
        <f ca="1">[1]!t仕入先名(G224)</f>
        <v>#NAME?</v>
      </c>
      <c r="I224" s="7"/>
      <c r="J224" s="82"/>
      <c r="K224" s="82"/>
      <c r="L224" s="82"/>
    </row>
    <row r="225" spans="1:12" ht="13.5" customHeight="1">
      <c r="A225" s="7">
        <v>213</v>
      </c>
      <c r="B225" s="7"/>
      <c r="C225" s="7"/>
      <c r="D225" s="7" t="s">
        <v>1674</v>
      </c>
      <c r="E225" s="7" t="s">
        <v>1883</v>
      </c>
      <c r="F225" s="7">
        <v>6</v>
      </c>
      <c r="G225" s="7"/>
      <c r="H225" s="7" t="e">
        <f ca="1">[1]!t仕入先名(G225)</f>
        <v>#NAME?</v>
      </c>
      <c r="I225" s="7"/>
      <c r="J225" s="82"/>
      <c r="K225" s="82"/>
      <c r="L225" s="82"/>
    </row>
    <row r="226" spans="1:12" ht="13.5" customHeight="1">
      <c r="A226" s="7">
        <v>214</v>
      </c>
      <c r="B226" s="7"/>
      <c r="C226" s="7"/>
      <c r="D226" s="7" t="s">
        <v>1675</v>
      </c>
      <c r="E226" s="7" t="s">
        <v>1884</v>
      </c>
      <c r="F226" s="7">
        <v>5</v>
      </c>
      <c r="G226" s="7"/>
      <c r="H226" s="7" t="e">
        <f ca="1">[1]!t仕入先名(G226)</f>
        <v>#NAME?</v>
      </c>
      <c r="I226" s="7"/>
      <c r="J226" s="82"/>
      <c r="K226" s="82"/>
      <c r="L226" s="82"/>
    </row>
    <row r="227" spans="1:12" ht="13.5" customHeight="1">
      <c r="A227" s="7">
        <v>215</v>
      </c>
      <c r="B227" s="7"/>
      <c r="C227" s="7"/>
      <c r="D227" s="7" t="s">
        <v>1676</v>
      </c>
      <c r="E227" s="7" t="s">
        <v>1885</v>
      </c>
      <c r="F227" s="7">
        <v>4</v>
      </c>
      <c r="G227" s="7"/>
      <c r="H227" s="7" t="e">
        <f ca="1">[1]!t仕入先名(G227)</f>
        <v>#NAME?</v>
      </c>
      <c r="I227" s="7"/>
      <c r="J227" s="82"/>
      <c r="K227" s="82"/>
      <c r="L227" s="82"/>
    </row>
    <row r="228" spans="1:12" ht="13.5" customHeight="1">
      <c r="A228" s="7">
        <v>216</v>
      </c>
      <c r="B228" s="7"/>
      <c r="C228" s="7"/>
      <c r="D228" s="7" t="s">
        <v>1677</v>
      </c>
      <c r="E228" s="7" t="s">
        <v>1886</v>
      </c>
      <c r="F228" s="7">
        <v>4</v>
      </c>
      <c r="G228" s="7"/>
      <c r="H228" s="7" t="e">
        <f ca="1">[1]!t仕入先名(G228)</f>
        <v>#NAME?</v>
      </c>
      <c r="I228" s="7"/>
      <c r="J228" s="82"/>
      <c r="K228" s="82"/>
      <c r="L228" s="82"/>
    </row>
    <row r="229" spans="1:12" ht="13.5" customHeight="1">
      <c r="A229" s="7">
        <v>217</v>
      </c>
      <c r="B229" s="7"/>
      <c r="C229" s="7"/>
      <c r="D229" s="7" t="s">
        <v>1678</v>
      </c>
      <c r="E229" s="7" t="s">
        <v>1887</v>
      </c>
      <c r="F229" s="7">
        <v>2</v>
      </c>
      <c r="G229" s="7"/>
      <c r="H229" s="7" t="e">
        <f ca="1">[1]!t仕入先名(G229)</f>
        <v>#NAME?</v>
      </c>
      <c r="I229" s="7"/>
      <c r="J229" s="82"/>
      <c r="K229" s="82"/>
      <c r="L229" s="82"/>
    </row>
    <row r="230" spans="1:12" ht="13.5" customHeight="1">
      <c r="A230" s="7">
        <v>218</v>
      </c>
      <c r="B230" s="7"/>
      <c r="C230" s="7"/>
      <c r="D230" s="7" t="s">
        <v>1679</v>
      </c>
      <c r="E230" s="7" t="s">
        <v>1888</v>
      </c>
      <c r="F230" s="7">
        <v>4</v>
      </c>
      <c r="G230" s="7"/>
      <c r="H230" s="7" t="e">
        <f ca="1">[1]!t仕入先名(G230)</f>
        <v>#NAME?</v>
      </c>
      <c r="I230" s="7"/>
      <c r="J230" s="82"/>
      <c r="K230" s="82"/>
      <c r="L230" s="82"/>
    </row>
    <row r="231" spans="1:12" ht="13.5" customHeight="1">
      <c r="A231" s="7">
        <v>219</v>
      </c>
      <c r="B231" s="7"/>
      <c r="C231" s="7"/>
      <c r="D231" s="7" t="s">
        <v>1680</v>
      </c>
      <c r="E231" s="7" t="s">
        <v>1889</v>
      </c>
      <c r="F231" s="7">
        <v>2</v>
      </c>
      <c r="G231" s="7"/>
      <c r="H231" s="7" t="e">
        <f ca="1">[1]!t仕入先名(G231)</f>
        <v>#NAME?</v>
      </c>
      <c r="I231" s="7"/>
      <c r="J231" s="82"/>
      <c r="K231" s="82"/>
      <c r="L231" s="82"/>
    </row>
  </sheetData>
  <autoFilter ref="A12:AG231" xr:uid="{00000000-0009-0000-0000-00000F000000}"/>
  <customSheetViews>
    <customSheetView guid="{4A49014B-6EB8-41BC-821C-AA758C89CB00}" scale="80" showPageBreaks="1" showAutoFilter="1" state="hidden">
      <pane xSplit="4" ySplit="12" topLeftCell="E13" activePane="bottomRight" state="frozen"/>
      <selection pane="bottomRight" activeCell="D5" sqref="D5"/>
      <pageMargins left="0" right="0" top="0.39370078740157483" bottom="0.39370078740157483" header="0.19685039370078741" footer="0.19685039370078741"/>
      <pageSetup paperSize="8" orientation="landscape" verticalDpi="0" r:id="rId1"/>
      <headerFooter>
        <oddHeader>&amp;A</oddHeader>
        <oddFooter>&amp;P / &amp;N ページ</oddFooter>
      </headerFooter>
      <autoFilter ref="A12:AG231" xr:uid="{03F779F1-B4FF-4339-B181-08EE88FB43D5}"/>
    </customSheetView>
  </customSheetViews>
  <mergeCells count="4">
    <mergeCell ref="I1:J1"/>
    <mergeCell ref="I2:J2"/>
    <mergeCell ref="I3:J3"/>
    <mergeCell ref="I4:J4"/>
  </mergeCells>
  <phoneticPr fontId="3"/>
  <conditionalFormatting sqref="A10:B10">
    <cfRule type="expression" dxfId="1" priority="15" stopIfTrue="1">
      <formula>"51＜"</formula>
    </cfRule>
    <cfRule type="expression" priority="16" stopIfTrue="1">
      <formula>"51＜"</formula>
    </cfRule>
  </conditionalFormatting>
  <conditionalFormatting sqref="C4:C6">
    <cfRule type="expression" dxfId="0" priority="1" stopIfTrue="1">
      <formula>"51＜"</formula>
    </cfRule>
    <cfRule type="expression" priority="2" stopIfTrue="1">
      <formula>"51＜"</formula>
    </cfRule>
  </conditionalFormatting>
  <pageMargins left="0" right="0" top="0.39370078740157483" bottom="0.39370078740157483" header="0.19685039370078741" footer="0.19685039370078741"/>
  <pageSetup paperSize="8" orientation="landscape" verticalDpi="0" r:id="rId2"/>
  <headerFooter>
    <oddHeader>&amp;A</oddHeader>
    <oddFooter>&amp;P / &amp;N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C114"/>
  <sheetViews>
    <sheetView zoomScale="80" zoomScaleNormal="80" workbookViewId="0"/>
  </sheetViews>
  <sheetFormatPr defaultColWidth="9" defaultRowHeight="13.2"/>
  <cols>
    <col min="1" max="1" width="9.6640625" style="5" customWidth="1"/>
    <col min="2" max="16384" width="9" style="2"/>
  </cols>
  <sheetData>
    <row r="1" spans="1:3">
      <c r="A1" s="141" t="s">
        <v>2242</v>
      </c>
      <c r="B1" s="141" t="s">
        <v>2215</v>
      </c>
      <c r="C1" s="141" t="s">
        <v>1938</v>
      </c>
    </row>
    <row r="2" spans="1:3" ht="13.5" customHeight="1">
      <c r="A2" s="140">
        <v>416237</v>
      </c>
      <c r="B2" s="140">
        <v>3700</v>
      </c>
      <c r="C2" s="140">
        <v>3</v>
      </c>
    </row>
    <row r="3" spans="1:3" ht="13.5" customHeight="1">
      <c r="A3" s="140">
        <v>416238</v>
      </c>
      <c r="B3" s="140">
        <v>5700</v>
      </c>
      <c r="C3" s="140">
        <v>3</v>
      </c>
    </row>
    <row r="4" spans="1:3" ht="13.5" customHeight="1">
      <c r="A4" s="140">
        <v>416239</v>
      </c>
      <c r="B4" s="140">
        <v>3700</v>
      </c>
      <c r="C4" s="140">
        <v>3</v>
      </c>
    </row>
    <row r="5" spans="1:3" ht="13.5" customHeight="1">
      <c r="A5" s="140">
        <v>416240</v>
      </c>
      <c r="B5" s="140">
        <v>5200</v>
      </c>
      <c r="C5" s="140">
        <v>3</v>
      </c>
    </row>
    <row r="6" spans="1:3" ht="13.5" customHeight="1">
      <c r="A6" s="140">
        <v>416103</v>
      </c>
      <c r="B6" s="140">
        <v>4000</v>
      </c>
      <c r="C6" s="140">
        <v>3</v>
      </c>
    </row>
    <row r="7" spans="1:3" ht="13.5" customHeight="1">
      <c r="A7" s="140">
        <v>416104</v>
      </c>
      <c r="B7" s="140">
        <v>5000</v>
      </c>
      <c r="C7" s="140">
        <v>3</v>
      </c>
    </row>
    <row r="8" spans="1:3" ht="13.5" customHeight="1">
      <c r="A8" s="140">
        <v>416105</v>
      </c>
      <c r="B8" s="140">
        <v>5000</v>
      </c>
      <c r="C8" s="140">
        <v>3</v>
      </c>
    </row>
    <row r="9" spans="1:3" ht="13.5" customHeight="1">
      <c r="A9" s="140">
        <v>416106</v>
      </c>
      <c r="B9" s="140">
        <v>5000</v>
      </c>
      <c r="C9" s="140">
        <v>3</v>
      </c>
    </row>
    <row r="10" spans="1:3" ht="13.5" customHeight="1">
      <c r="A10" s="140">
        <v>416107</v>
      </c>
      <c r="B10" s="140">
        <v>3700</v>
      </c>
      <c r="C10" s="140">
        <v>3</v>
      </c>
    </row>
    <row r="11" spans="1:3" ht="13.5" customHeight="1">
      <c r="A11" s="140">
        <v>416108</v>
      </c>
      <c r="B11" s="140">
        <v>3700</v>
      </c>
      <c r="C11" s="140">
        <v>3</v>
      </c>
    </row>
    <row r="12" spans="1:3" ht="13.5" customHeight="1">
      <c r="A12" s="140">
        <v>416109</v>
      </c>
      <c r="B12" s="140">
        <v>3700</v>
      </c>
      <c r="C12" s="140">
        <v>3</v>
      </c>
    </row>
    <row r="13" spans="1:3" ht="13.5" customHeight="1">
      <c r="A13" s="140">
        <v>416110</v>
      </c>
      <c r="B13" s="140">
        <v>3300</v>
      </c>
      <c r="C13" s="140">
        <v>3</v>
      </c>
    </row>
    <row r="14" spans="1:3" ht="13.5" customHeight="1">
      <c r="A14" s="140">
        <v>416111</v>
      </c>
      <c r="B14" s="140">
        <v>3200</v>
      </c>
      <c r="C14" s="140">
        <v>3</v>
      </c>
    </row>
    <row r="15" spans="1:3" ht="13.5" customHeight="1">
      <c r="A15" s="140">
        <v>416112</v>
      </c>
      <c r="B15" s="140">
        <v>6000</v>
      </c>
      <c r="C15" s="140">
        <v>3</v>
      </c>
    </row>
    <row r="16" spans="1:3" ht="13.5" customHeight="1">
      <c r="A16" s="140">
        <v>416113</v>
      </c>
      <c r="B16" s="140">
        <v>4800</v>
      </c>
      <c r="C16" s="140">
        <v>3</v>
      </c>
    </row>
    <row r="17" spans="1:3" ht="13.5" customHeight="1">
      <c r="A17" s="140">
        <v>416114</v>
      </c>
      <c r="B17" s="140">
        <v>3700</v>
      </c>
      <c r="C17" s="140">
        <v>3</v>
      </c>
    </row>
    <row r="18" spans="1:3" ht="13.5" customHeight="1">
      <c r="A18" s="140">
        <v>416115</v>
      </c>
      <c r="B18" s="140">
        <v>3900</v>
      </c>
      <c r="C18" s="140">
        <v>3</v>
      </c>
    </row>
    <row r="19" spans="1:3" ht="13.5" customHeight="1">
      <c r="A19" s="140">
        <v>416116</v>
      </c>
      <c r="B19" s="140">
        <v>3800</v>
      </c>
      <c r="C19" s="140">
        <v>3</v>
      </c>
    </row>
    <row r="20" spans="1:3" ht="13.5" customHeight="1">
      <c r="A20" s="140">
        <v>416117</v>
      </c>
      <c r="B20" s="140">
        <v>5000</v>
      </c>
      <c r="C20" s="140">
        <v>3</v>
      </c>
    </row>
    <row r="21" spans="1:3" ht="13.5" customHeight="1">
      <c r="A21" s="140">
        <v>416118</v>
      </c>
      <c r="B21" s="140">
        <v>5800</v>
      </c>
      <c r="C21" s="140">
        <v>3</v>
      </c>
    </row>
    <row r="22" spans="1:3" ht="13.5" customHeight="1">
      <c r="A22" s="140">
        <v>416119</v>
      </c>
      <c r="B22" s="140">
        <v>5000</v>
      </c>
      <c r="C22" s="140">
        <v>3</v>
      </c>
    </row>
    <row r="23" spans="1:3" ht="13.5" customHeight="1">
      <c r="A23" s="140">
        <v>416145</v>
      </c>
      <c r="B23" s="140">
        <v>3500</v>
      </c>
      <c r="C23" s="140">
        <v>3</v>
      </c>
    </row>
    <row r="24" spans="1:3" ht="13.5" customHeight="1">
      <c r="A24" s="140">
        <v>416146</v>
      </c>
      <c r="B24" s="140">
        <v>7000</v>
      </c>
      <c r="C24" s="140">
        <v>3</v>
      </c>
    </row>
    <row r="25" spans="1:3" ht="13.5" customHeight="1">
      <c r="A25" s="140">
        <v>416147</v>
      </c>
      <c r="B25" s="140">
        <v>6600</v>
      </c>
      <c r="C25" s="140">
        <v>3</v>
      </c>
    </row>
    <row r="26" spans="1:3" ht="13.5" customHeight="1">
      <c r="A26" s="140">
        <v>416148</v>
      </c>
      <c r="B26" s="140">
        <v>4400</v>
      </c>
      <c r="C26" s="140">
        <v>3</v>
      </c>
    </row>
    <row r="27" spans="1:3" ht="13.5" customHeight="1">
      <c r="A27" s="140">
        <v>416149</v>
      </c>
      <c r="B27" s="140">
        <v>5400</v>
      </c>
      <c r="C27" s="140">
        <v>3</v>
      </c>
    </row>
    <row r="28" spans="1:3" ht="13.5" customHeight="1">
      <c r="A28" s="140">
        <v>416150</v>
      </c>
      <c r="B28" s="140">
        <v>5000</v>
      </c>
      <c r="C28" s="140">
        <v>3</v>
      </c>
    </row>
    <row r="29" spans="1:3" ht="13.5" customHeight="1">
      <c r="A29" s="140">
        <v>416151</v>
      </c>
      <c r="B29" s="140">
        <v>4000</v>
      </c>
      <c r="C29" s="140">
        <v>3</v>
      </c>
    </row>
    <row r="30" spans="1:3" ht="13.5" customHeight="1">
      <c r="A30" s="140">
        <v>416152</v>
      </c>
      <c r="B30" s="140">
        <v>4800</v>
      </c>
      <c r="C30" s="140">
        <v>3</v>
      </c>
    </row>
    <row r="31" spans="1:3" ht="13.5" customHeight="1">
      <c r="A31" s="140">
        <v>416153</v>
      </c>
      <c r="B31" s="140">
        <v>3500</v>
      </c>
      <c r="C31" s="140">
        <v>3</v>
      </c>
    </row>
    <row r="32" spans="1:3" ht="13.5" customHeight="1">
      <c r="A32" s="140">
        <v>416154</v>
      </c>
      <c r="B32" s="140">
        <v>5000</v>
      </c>
      <c r="C32" s="140">
        <v>3</v>
      </c>
    </row>
    <row r="33" spans="1:3" ht="13.5" customHeight="1">
      <c r="A33" s="140">
        <v>416155</v>
      </c>
      <c r="B33" s="140">
        <v>3150</v>
      </c>
      <c r="C33" s="140">
        <v>3</v>
      </c>
    </row>
    <row r="34" spans="1:3" ht="13.5" customHeight="1">
      <c r="A34" s="140">
        <v>416156</v>
      </c>
      <c r="B34" s="140">
        <v>3800</v>
      </c>
      <c r="C34" s="140">
        <v>3</v>
      </c>
    </row>
    <row r="35" spans="1:3" ht="13.5" customHeight="1">
      <c r="A35" s="140">
        <v>416157</v>
      </c>
      <c r="B35" s="140">
        <v>3200</v>
      </c>
      <c r="C35" s="140">
        <v>3</v>
      </c>
    </row>
    <row r="36" spans="1:3" ht="13.5" customHeight="1">
      <c r="A36" s="140">
        <v>416158</v>
      </c>
      <c r="B36" s="140">
        <v>3700</v>
      </c>
      <c r="C36" s="140">
        <v>3</v>
      </c>
    </row>
    <row r="37" spans="1:3" ht="13.5" customHeight="1">
      <c r="A37" s="140">
        <v>416159</v>
      </c>
      <c r="B37" s="140">
        <v>5700</v>
      </c>
      <c r="C37" s="140">
        <v>3</v>
      </c>
    </row>
    <row r="38" spans="1:3" ht="13.5" customHeight="1">
      <c r="A38" s="140">
        <v>416160</v>
      </c>
      <c r="B38" s="140">
        <v>3700</v>
      </c>
      <c r="C38" s="140">
        <v>3</v>
      </c>
    </row>
    <row r="39" spans="1:3" ht="13.5" customHeight="1">
      <c r="A39" s="140">
        <v>416161</v>
      </c>
      <c r="B39" s="140">
        <v>5700</v>
      </c>
      <c r="C39" s="140">
        <v>3</v>
      </c>
    </row>
    <row r="40" spans="1:3" ht="13.5" customHeight="1">
      <c r="A40" s="140">
        <v>416162</v>
      </c>
      <c r="B40" s="140">
        <v>3700</v>
      </c>
      <c r="C40" s="140">
        <v>3</v>
      </c>
    </row>
    <row r="41" spans="1:3" ht="13.5" customHeight="1">
      <c r="A41" s="140">
        <v>416163</v>
      </c>
      <c r="B41" s="140">
        <v>4000</v>
      </c>
      <c r="C41" s="140">
        <v>3</v>
      </c>
    </row>
    <row r="42" spans="1:3" ht="13.5" customHeight="1">
      <c r="A42" s="140">
        <v>416164</v>
      </c>
      <c r="B42" s="140">
        <v>3400</v>
      </c>
      <c r="C42" s="140">
        <v>3</v>
      </c>
    </row>
    <row r="43" spans="1:3" ht="13.5" customHeight="1">
      <c r="A43" s="140">
        <v>416165</v>
      </c>
      <c r="B43" s="140">
        <v>3600</v>
      </c>
      <c r="C43" s="140">
        <v>3</v>
      </c>
    </row>
    <row r="44" spans="1:3" ht="13.5" customHeight="1">
      <c r="A44" s="140">
        <v>416166</v>
      </c>
      <c r="B44" s="140">
        <v>3800</v>
      </c>
      <c r="C44" s="140">
        <v>3</v>
      </c>
    </row>
    <row r="45" spans="1:3" ht="13.5" customHeight="1">
      <c r="A45" s="140">
        <v>416167</v>
      </c>
      <c r="B45" s="140">
        <v>3800</v>
      </c>
      <c r="C45" s="140">
        <v>3</v>
      </c>
    </row>
    <row r="46" spans="1:3" ht="13.5" customHeight="1">
      <c r="A46" s="140">
        <v>416168</v>
      </c>
      <c r="B46" s="140">
        <v>3200</v>
      </c>
      <c r="C46" s="140">
        <v>3</v>
      </c>
    </row>
    <row r="47" spans="1:3" ht="13.5" customHeight="1">
      <c r="A47" s="140">
        <v>416169</v>
      </c>
      <c r="B47" s="140">
        <v>3800</v>
      </c>
      <c r="C47" s="140">
        <v>3</v>
      </c>
    </row>
    <row r="48" spans="1:3" ht="13.5" customHeight="1">
      <c r="A48" s="140">
        <v>416170</v>
      </c>
      <c r="B48" s="140">
        <v>4400</v>
      </c>
      <c r="C48" s="140">
        <v>3</v>
      </c>
    </row>
    <row r="49" spans="1:3" ht="13.5" customHeight="1">
      <c r="A49" s="140">
        <v>416171</v>
      </c>
      <c r="B49" s="140">
        <v>5200</v>
      </c>
      <c r="C49" s="140">
        <v>3</v>
      </c>
    </row>
    <row r="50" spans="1:3" ht="13.5" customHeight="1">
      <c r="A50" s="140">
        <v>416172</v>
      </c>
      <c r="B50" s="140">
        <v>3000</v>
      </c>
      <c r="C50" s="140">
        <v>3</v>
      </c>
    </row>
    <row r="51" spans="1:3" ht="13.5" customHeight="1">
      <c r="A51" s="140">
        <v>416173</v>
      </c>
      <c r="B51" s="140">
        <v>4500</v>
      </c>
      <c r="C51" s="140">
        <v>3</v>
      </c>
    </row>
    <row r="52" spans="1:3" ht="13.5" customHeight="1">
      <c r="A52" s="140">
        <v>416174</v>
      </c>
      <c r="B52" s="140">
        <v>5200</v>
      </c>
      <c r="C52" s="140">
        <v>3</v>
      </c>
    </row>
    <row r="53" spans="1:3" ht="13.5" customHeight="1">
      <c r="A53" s="140">
        <v>416175</v>
      </c>
      <c r="B53" s="140">
        <v>3000</v>
      </c>
      <c r="C53" s="140">
        <v>3</v>
      </c>
    </row>
    <row r="54" spans="1:3" ht="13.5" customHeight="1">
      <c r="A54" s="140">
        <v>416176</v>
      </c>
      <c r="B54" s="140">
        <v>3700</v>
      </c>
      <c r="C54" s="140">
        <v>3</v>
      </c>
    </row>
    <row r="55" spans="1:3" ht="13.5" customHeight="1">
      <c r="A55" s="140">
        <v>416177</v>
      </c>
      <c r="B55" s="140">
        <v>3900</v>
      </c>
      <c r="C55" s="140">
        <v>3</v>
      </c>
    </row>
    <row r="56" spans="1:3" ht="13.5" customHeight="1">
      <c r="A56" s="140">
        <v>416178</v>
      </c>
      <c r="B56" s="140">
        <v>3250</v>
      </c>
      <c r="C56" s="140">
        <v>3</v>
      </c>
    </row>
    <row r="57" spans="1:3" ht="13.5" customHeight="1">
      <c r="A57" s="140">
        <v>416179</v>
      </c>
      <c r="B57" s="140">
        <v>8000</v>
      </c>
      <c r="C57" s="140">
        <v>3</v>
      </c>
    </row>
    <row r="58" spans="1:3" ht="13.5" customHeight="1">
      <c r="A58" s="140">
        <v>416180</v>
      </c>
      <c r="B58" s="140">
        <v>9000</v>
      </c>
      <c r="C58" s="140">
        <v>3</v>
      </c>
    </row>
    <row r="59" spans="1:3" ht="13.5" customHeight="1">
      <c r="A59" s="140">
        <v>416181</v>
      </c>
      <c r="B59" s="140">
        <v>5400</v>
      </c>
      <c r="C59" s="140">
        <v>3</v>
      </c>
    </row>
    <row r="60" spans="1:3" ht="13.5" customHeight="1">
      <c r="A60" s="140">
        <v>416182</v>
      </c>
      <c r="B60" s="140">
        <v>4300</v>
      </c>
      <c r="C60" s="140">
        <v>3</v>
      </c>
    </row>
    <row r="61" spans="1:3" s="10" customFormat="1" ht="13.5" customHeight="1">
      <c r="A61" s="140">
        <v>416183</v>
      </c>
      <c r="B61" s="140">
        <v>5000</v>
      </c>
      <c r="C61" s="140">
        <v>3</v>
      </c>
    </row>
    <row r="62" spans="1:3" ht="13.5" customHeight="1">
      <c r="A62" s="140">
        <v>416184</v>
      </c>
      <c r="B62" s="140">
        <v>5000</v>
      </c>
      <c r="C62" s="140">
        <v>3</v>
      </c>
    </row>
    <row r="63" spans="1:3" ht="13.5" customHeight="1">
      <c r="A63" s="140">
        <v>416185</v>
      </c>
      <c r="B63" s="140">
        <v>4000</v>
      </c>
      <c r="C63" s="140">
        <v>3</v>
      </c>
    </row>
    <row r="64" spans="1:3" ht="13.5" customHeight="1">
      <c r="A64" s="140">
        <v>416186</v>
      </c>
      <c r="B64" s="140">
        <v>3000</v>
      </c>
      <c r="C64" s="140">
        <v>3</v>
      </c>
    </row>
    <row r="65" spans="1:3" ht="13.5" customHeight="1">
      <c r="A65" s="140">
        <v>416187</v>
      </c>
      <c r="B65" s="140">
        <v>4500</v>
      </c>
      <c r="C65" s="140">
        <v>3</v>
      </c>
    </row>
    <row r="66" spans="1:3" ht="13.5" customHeight="1">
      <c r="A66" s="140">
        <v>416188</v>
      </c>
      <c r="B66" s="140">
        <v>5000</v>
      </c>
      <c r="C66" s="140">
        <v>3</v>
      </c>
    </row>
    <row r="67" spans="1:3" ht="13.5" customHeight="1">
      <c r="A67" s="140">
        <v>416189</v>
      </c>
      <c r="B67" s="140">
        <v>3200</v>
      </c>
      <c r="C67" s="140">
        <v>3</v>
      </c>
    </row>
    <row r="68" spans="1:3" ht="13.5" customHeight="1">
      <c r="A68" s="140">
        <v>416190</v>
      </c>
      <c r="B68" s="140">
        <v>4000</v>
      </c>
      <c r="C68" s="140">
        <v>3</v>
      </c>
    </row>
    <row r="69" spans="1:3" ht="13.5" customHeight="1">
      <c r="A69" s="140">
        <v>416191</v>
      </c>
      <c r="B69" s="140">
        <v>5000</v>
      </c>
      <c r="C69" s="140">
        <v>3</v>
      </c>
    </row>
    <row r="70" spans="1:3" ht="13.5" customHeight="1">
      <c r="A70" s="140">
        <v>416192</v>
      </c>
      <c r="B70" s="140">
        <v>3300</v>
      </c>
      <c r="C70" s="140">
        <v>3</v>
      </c>
    </row>
    <row r="71" spans="1:3" ht="13.5" customHeight="1">
      <c r="A71" s="140">
        <v>416193</v>
      </c>
      <c r="B71" s="140">
        <v>4500</v>
      </c>
      <c r="C71" s="140">
        <v>3</v>
      </c>
    </row>
    <row r="72" spans="1:3" ht="13.5" customHeight="1">
      <c r="A72" s="140">
        <v>416194</v>
      </c>
      <c r="B72" s="140">
        <v>5000</v>
      </c>
      <c r="C72" s="140">
        <v>3</v>
      </c>
    </row>
    <row r="73" spans="1:3" ht="13.5" customHeight="1">
      <c r="A73" s="140">
        <v>416195</v>
      </c>
      <c r="B73" s="140">
        <v>3300</v>
      </c>
      <c r="C73" s="140">
        <v>3</v>
      </c>
    </row>
    <row r="74" spans="1:3" ht="13.5" customHeight="1">
      <c r="A74" s="140">
        <v>416196</v>
      </c>
      <c r="B74" s="140">
        <v>4000</v>
      </c>
      <c r="C74" s="140">
        <v>3</v>
      </c>
    </row>
    <row r="75" spans="1:3" ht="13.5" customHeight="1">
      <c r="A75" s="140">
        <v>416197</v>
      </c>
      <c r="B75" s="140">
        <v>5000</v>
      </c>
      <c r="C75" s="140">
        <v>3</v>
      </c>
    </row>
    <row r="76" spans="1:3" ht="13.5" customHeight="1">
      <c r="A76" s="140">
        <v>416198</v>
      </c>
      <c r="B76" s="140">
        <v>4600</v>
      </c>
      <c r="C76" s="140">
        <v>3</v>
      </c>
    </row>
    <row r="77" spans="1:3" ht="13.5" customHeight="1">
      <c r="A77" s="140">
        <v>416199</v>
      </c>
      <c r="B77" s="140">
        <v>6000</v>
      </c>
      <c r="C77" s="140">
        <v>3</v>
      </c>
    </row>
    <row r="78" spans="1:3" ht="13.5" customHeight="1">
      <c r="A78" s="140">
        <v>416200</v>
      </c>
      <c r="B78" s="140">
        <v>7200</v>
      </c>
      <c r="C78" s="140">
        <v>3</v>
      </c>
    </row>
    <row r="79" spans="1:3" ht="13.5" customHeight="1">
      <c r="A79" s="140">
        <v>416201</v>
      </c>
      <c r="B79" s="140">
        <v>4600</v>
      </c>
      <c r="C79" s="140">
        <v>3</v>
      </c>
    </row>
    <row r="80" spans="1:3" ht="13.5" customHeight="1">
      <c r="A80" s="140">
        <v>416202</v>
      </c>
      <c r="B80" s="140">
        <v>5000</v>
      </c>
      <c r="C80" s="140">
        <v>3</v>
      </c>
    </row>
    <row r="81" spans="1:3" ht="13.5" customHeight="1">
      <c r="A81" s="140">
        <v>416203</v>
      </c>
      <c r="B81" s="140">
        <v>5000</v>
      </c>
      <c r="C81" s="140">
        <v>3</v>
      </c>
    </row>
    <row r="82" spans="1:3" ht="13.5" customHeight="1">
      <c r="A82" s="140">
        <v>416204</v>
      </c>
      <c r="B82" s="140">
        <v>3000</v>
      </c>
      <c r="C82" s="140">
        <v>3</v>
      </c>
    </row>
    <row r="83" spans="1:3" ht="13.5" customHeight="1">
      <c r="A83" s="140">
        <v>416205</v>
      </c>
      <c r="B83" s="140">
        <v>7500</v>
      </c>
      <c r="C83" s="140">
        <v>3</v>
      </c>
    </row>
    <row r="84" spans="1:3" ht="13.5" customHeight="1">
      <c r="A84" s="140">
        <v>416206</v>
      </c>
      <c r="B84" s="140">
        <v>4500</v>
      </c>
      <c r="C84" s="140">
        <v>3</v>
      </c>
    </row>
    <row r="85" spans="1:3" ht="13.5" customHeight="1">
      <c r="A85" s="140">
        <v>416207</v>
      </c>
      <c r="B85" s="140">
        <v>4300</v>
      </c>
      <c r="C85" s="140">
        <v>3</v>
      </c>
    </row>
    <row r="86" spans="1:3" ht="13.5" customHeight="1">
      <c r="A86" s="140">
        <v>416208</v>
      </c>
      <c r="B86" s="140">
        <v>5000</v>
      </c>
      <c r="C86" s="140">
        <v>3</v>
      </c>
    </row>
    <row r="87" spans="1:3" ht="13.5" customHeight="1">
      <c r="A87" s="140">
        <v>416209</v>
      </c>
      <c r="B87" s="140">
        <v>3400</v>
      </c>
      <c r="C87" s="140">
        <v>3</v>
      </c>
    </row>
    <row r="88" spans="1:3" ht="13.5" customHeight="1">
      <c r="A88" s="140">
        <v>416210</v>
      </c>
      <c r="B88" s="140">
        <v>3000</v>
      </c>
      <c r="C88" s="140">
        <v>3</v>
      </c>
    </row>
    <row r="89" spans="1:3" ht="13.5" customHeight="1">
      <c r="A89" s="140">
        <v>416211</v>
      </c>
      <c r="B89" s="140">
        <v>3100</v>
      </c>
      <c r="C89" s="140">
        <v>3</v>
      </c>
    </row>
    <row r="90" spans="1:3" ht="13.5" customHeight="1">
      <c r="A90" s="140">
        <v>416212</v>
      </c>
      <c r="B90" s="140">
        <v>4700</v>
      </c>
      <c r="C90" s="140">
        <v>3</v>
      </c>
    </row>
    <row r="91" spans="1:3" ht="13.5" customHeight="1">
      <c r="A91" s="140">
        <v>416213</v>
      </c>
      <c r="B91" s="140">
        <v>4200</v>
      </c>
      <c r="C91" s="140">
        <v>3</v>
      </c>
    </row>
    <row r="92" spans="1:3" ht="13.5" customHeight="1">
      <c r="A92" s="140">
        <v>416214</v>
      </c>
      <c r="B92" s="140">
        <v>3000</v>
      </c>
      <c r="C92" s="140">
        <v>3</v>
      </c>
    </row>
    <row r="93" spans="1:3" ht="13.5" customHeight="1">
      <c r="A93" s="140">
        <v>416215</v>
      </c>
      <c r="B93" s="140">
        <v>3980</v>
      </c>
      <c r="C93" s="140">
        <v>3</v>
      </c>
    </row>
    <row r="94" spans="1:3" ht="13.5" customHeight="1">
      <c r="A94" s="140">
        <v>416216</v>
      </c>
      <c r="B94" s="140">
        <v>3240</v>
      </c>
      <c r="C94" s="140">
        <v>3</v>
      </c>
    </row>
    <row r="95" spans="1:3" ht="13.5" customHeight="1">
      <c r="A95" s="140">
        <v>416217</v>
      </c>
      <c r="B95" s="140">
        <v>3700</v>
      </c>
      <c r="C95" s="140">
        <v>3</v>
      </c>
    </row>
    <row r="96" spans="1:3" ht="13.5" customHeight="1">
      <c r="A96" s="140">
        <v>416218</v>
      </c>
      <c r="B96" s="140">
        <v>3400</v>
      </c>
      <c r="C96" s="140">
        <v>3</v>
      </c>
    </row>
    <row r="97" spans="1:3" ht="13.5" customHeight="1">
      <c r="A97" s="140">
        <v>416219</v>
      </c>
      <c r="B97" s="140">
        <v>3700</v>
      </c>
      <c r="C97" s="140">
        <v>3</v>
      </c>
    </row>
    <row r="98" spans="1:3" ht="13.5" customHeight="1">
      <c r="A98" s="140">
        <v>416220</v>
      </c>
      <c r="B98" s="140">
        <v>3400</v>
      </c>
      <c r="C98" s="140">
        <v>3</v>
      </c>
    </row>
    <row r="99" spans="1:3" ht="13.5" customHeight="1">
      <c r="A99" s="140">
        <v>416221</v>
      </c>
      <c r="B99" s="140">
        <v>3700</v>
      </c>
      <c r="C99" s="140">
        <v>3</v>
      </c>
    </row>
    <row r="100" spans="1:3" ht="13.5" customHeight="1">
      <c r="A100" s="140">
        <v>416222</v>
      </c>
      <c r="B100" s="140">
        <v>4450</v>
      </c>
      <c r="C100" s="140">
        <v>3</v>
      </c>
    </row>
    <row r="101" spans="1:3" ht="13.5" customHeight="1">
      <c r="A101" s="140">
        <v>416223</v>
      </c>
      <c r="B101" s="140">
        <v>5200</v>
      </c>
      <c r="C101" s="140">
        <v>3</v>
      </c>
    </row>
    <row r="102" spans="1:3" ht="13.5" customHeight="1">
      <c r="A102" s="140">
        <v>416224</v>
      </c>
      <c r="B102" s="140">
        <v>5700</v>
      </c>
      <c r="C102" s="140">
        <v>3</v>
      </c>
    </row>
    <row r="103" spans="1:3" ht="13.5" customHeight="1">
      <c r="A103" s="140">
        <v>416225</v>
      </c>
      <c r="B103" s="140">
        <v>4200</v>
      </c>
      <c r="C103" s="140">
        <v>3</v>
      </c>
    </row>
    <row r="104" spans="1:3" ht="13.5" customHeight="1">
      <c r="A104" s="140">
        <v>416226</v>
      </c>
      <c r="B104" s="140">
        <v>5200</v>
      </c>
      <c r="C104" s="140">
        <v>3</v>
      </c>
    </row>
    <row r="105" spans="1:3" ht="13.5" customHeight="1">
      <c r="A105" s="140">
        <v>416227</v>
      </c>
      <c r="B105" s="140">
        <v>3700</v>
      </c>
      <c r="C105" s="140">
        <v>3</v>
      </c>
    </row>
    <row r="106" spans="1:3" ht="13.5" customHeight="1">
      <c r="A106" s="140">
        <v>416228</v>
      </c>
      <c r="B106" s="140">
        <v>3700</v>
      </c>
      <c r="C106" s="140">
        <v>3</v>
      </c>
    </row>
    <row r="107" spans="1:3" ht="13.5" customHeight="1">
      <c r="A107" s="140">
        <v>416229</v>
      </c>
      <c r="B107" s="140">
        <v>3700</v>
      </c>
      <c r="C107" s="140">
        <v>3</v>
      </c>
    </row>
    <row r="108" spans="1:3" ht="13.5" customHeight="1">
      <c r="A108" s="140">
        <v>416230</v>
      </c>
      <c r="B108" s="140">
        <v>3700</v>
      </c>
      <c r="C108" s="140">
        <v>3</v>
      </c>
    </row>
    <row r="109" spans="1:3" ht="13.5" customHeight="1">
      <c r="A109" s="140">
        <v>416231</v>
      </c>
      <c r="B109" s="140">
        <v>3700</v>
      </c>
      <c r="C109" s="140">
        <v>3</v>
      </c>
    </row>
    <row r="110" spans="1:3" ht="13.5" customHeight="1">
      <c r="A110" s="140">
        <v>416232</v>
      </c>
      <c r="B110" s="140">
        <v>3700</v>
      </c>
      <c r="C110" s="140">
        <v>3</v>
      </c>
    </row>
    <row r="111" spans="1:3" ht="13.5" customHeight="1">
      <c r="A111" s="140">
        <v>416233</v>
      </c>
      <c r="B111" s="140">
        <v>3700</v>
      </c>
      <c r="C111" s="140">
        <v>3</v>
      </c>
    </row>
    <row r="112" spans="1:3" ht="13.5" customHeight="1">
      <c r="A112" s="140">
        <v>416234</v>
      </c>
      <c r="B112" s="140">
        <v>5660</v>
      </c>
      <c r="C112" s="140">
        <v>3</v>
      </c>
    </row>
    <row r="113" spans="1:3" ht="13.5" customHeight="1">
      <c r="A113" s="140">
        <v>416235</v>
      </c>
      <c r="B113" s="140">
        <v>3700</v>
      </c>
      <c r="C113" s="140">
        <v>3</v>
      </c>
    </row>
    <row r="114" spans="1:3" ht="13.5" customHeight="1">
      <c r="A114" s="140">
        <v>416236</v>
      </c>
      <c r="B114" s="140">
        <v>3700</v>
      </c>
      <c r="C114" s="140">
        <v>3</v>
      </c>
    </row>
  </sheetData>
  <phoneticPr fontId="3"/>
  <pageMargins left="0" right="0" top="0.39370078740157483" bottom="0.39370078740157483" header="0.19685039370078741" footer="0.19685039370078741"/>
  <pageSetup paperSize="8" orientation="landscape" verticalDpi="0" r:id="rId1"/>
  <headerFooter>
    <oddHeader>&amp;A</oddHeader>
    <oddFooter>&amp;P / &amp;N ページ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H589"/>
  <sheetViews>
    <sheetView topLeftCell="AI1" zoomScaleNormal="100" workbookViewId="0">
      <pane ySplit="1" topLeftCell="A2" activePane="bottomLeft" state="frozen"/>
      <selection activeCell="AI1" sqref="AI1"/>
      <selection pane="bottomLeft" activeCell="AW46" sqref="AW46"/>
    </sheetView>
  </sheetViews>
  <sheetFormatPr defaultColWidth="9" defaultRowHeight="10.8"/>
  <cols>
    <col min="1" max="1" width="7.6640625" style="108" customWidth="1"/>
    <col min="2" max="2" width="9.109375" style="108" customWidth="1"/>
    <col min="3" max="3" width="7.6640625" style="108" customWidth="1"/>
    <col min="4" max="4" width="9.33203125" style="108" customWidth="1"/>
    <col min="5" max="5" width="7.6640625" style="108" customWidth="1"/>
    <col min="6" max="6" width="9" style="108"/>
    <col min="7" max="7" width="7.6640625" style="108" customWidth="1"/>
    <col min="8" max="8" width="9" style="108"/>
    <col min="9" max="9" width="7.6640625" style="108" customWidth="1"/>
    <col min="10" max="10" width="12.44140625" style="108" customWidth="1"/>
    <col min="11" max="11" width="7.6640625" style="108" customWidth="1"/>
    <col min="12" max="12" width="8.77734375" style="108" customWidth="1"/>
    <col min="13" max="13" width="7.6640625" style="108" customWidth="1"/>
    <col min="14" max="14" width="9.109375" style="108" customWidth="1"/>
    <col min="15" max="15" width="7.6640625" style="108" customWidth="1"/>
    <col min="16" max="16" width="12" style="108" customWidth="1"/>
    <col min="17" max="17" width="7.6640625" style="108" customWidth="1"/>
    <col min="18" max="18" width="35.109375" style="108" bestFit="1" customWidth="1"/>
    <col min="19" max="19" width="7.6640625" style="108" customWidth="1"/>
    <col min="20" max="20" width="19.6640625" style="108" customWidth="1"/>
    <col min="21" max="21" width="7.6640625" style="108" customWidth="1"/>
    <col min="22" max="22" width="31.77734375" style="108" customWidth="1"/>
    <col min="23" max="23" width="7.6640625" style="108" customWidth="1"/>
    <col min="24" max="24" width="19.6640625" style="108" customWidth="1"/>
    <col min="25" max="25" width="7.6640625" style="108" customWidth="1"/>
    <col min="26" max="26" width="15.109375" style="108" customWidth="1"/>
    <col min="27" max="28" width="9" style="108" customWidth="1"/>
    <col min="29" max="29" width="7.6640625" style="108" customWidth="1"/>
    <col min="30" max="30" width="13.21875" style="108" customWidth="1"/>
    <col min="31" max="31" width="7.6640625" style="108" customWidth="1"/>
    <col min="32" max="32" width="11.44140625" style="108" customWidth="1"/>
    <col min="33" max="33" width="7.6640625" style="108" customWidth="1"/>
    <col min="34" max="34" width="9.33203125" style="108" customWidth="1"/>
    <col min="35" max="35" width="7.6640625" style="108" customWidth="1"/>
    <col min="36" max="36" width="9.44140625" style="108" customWidth="1"/>
    <col min="37" max="37" width="7.6640625" style="108" customWidth="1"/>
    <col min="38" max="38" width="8.77734375" style="108" customWidth="1"/>
    <col min="39" max="39" width="7.6640625" style="109" customWidth="1"/>
    <col min="40" max="40" width="9" style="109" customWidth="1"/>
    <col min="41" max="41" width="7.6640625" style="109" customWidth="1"/>
    <col min="42" max="42" width="9" style="109" customWidth="1"/>
    <col min="43" max="43" width="7.6640625" style="108" customWidth="1"/>
    <col min="44" max="44" width="9" style="108" customWidth="1"/>
    <col min="45" max="45" width="7.6640625" style="108" customWidth="1"/>
    <col min="46" max="46" width="9" style="108" customWidth="1"/>
    <col min="47" max="47" width="7.6640625" style="108" customWidth="1"/>
    <col min="48" max="48" width="11.44140625" style="108" customWidth="1"/>
    <col min="49" max="49" width="7.6640625" style="108" customWidth="1"/>
    <col min="50" max="59" width="9" style="108" customWidth="1"/>
    <col min="60" max="16384" width="9" style="108"/>
  </cols>
  <sheetData>
    <row r="1" spans="1:60" s="106" customFormat="1" ht="32.25" customHeight="1">
      <c r="A1" s="106" t="s">
        <v>2037</v>
      </c>
      <c r="B1" s="120" t="s">
        <v>2169</v>
      </c>
      <c r="C1" s="106" t="s">
        <v>2038</v>
      </c>
      <c r="D1" s="120" t="s">
        <v>2170</v>
      </c>
      <c r="E1" s="106" t="s">
        <v>2043</v>
      </c>
      <c r="F1" s="120" t="s">
        <v>2198</v>
      </c>
      <c r="G1" s="106" t="s">
        <v>2044</v>
      </c>
      <c r="H1" s="120" t="s">
        <v>2197</v>
      </c>
      <c r="I1" s="106" t="s">
        <v>2172</v>
      </c>
      <c r="J1" s="120" t="s">
        <v>2171</v>
      </c>
      <c r="K1" s="106" t="s">
        <v>2192</v>
      </c>
      <c r="L1" s="120" t="s">
        <v>2191</v>
      </c>
      <c r="M1" s="106" t="s">
        <v>2039</v>
      </c>
      <c r="N1" s="120" t="s">
        <v>2193</v>
      </c>
      <c r="O1" s="106" t="s">
        <v>2040</v>
      </c>
      <c r="P1" s="120" t="s">
        <v>2194</v>
      </c>
      <c r="Q1" s="106" t="s">
        <v>2177</v>
      </c>
      <c r="R1" s="120" t="s">
        <v>2168</v>
      </c>
      <c r="S1" s="106" t="s">
        <v>2173</v>
      </c>
      <c r="T1" s="120" t="s">
        <v>2176</v>
      </c>
      <c r="U1" s="106" t="s">
        <v>2195</v>
      </c>
      <c r="V1" s="106" t="s">
        <v>2196</v>
      </c>
      <c r="W1" s="106" t="s">
        <v>2174</v>
      </c>
      <c r="X1" s="120" t="s">
        <v>2175</v>
      </c>
      <c r="Y1" s="106" t="s">
        <v>2179</v>
      </c>
      <c r="Z1" s="120" t="s">
        <v>2180</v>
      </c>
      <c r="AA1" s="106" t="s">
        <v>2045</v>
      </c>
      <c r="AB1" s="120" t="s">
        <v>2485</v>
      </c>
      <c r="AC1" s="106" t="s">
        <v>2183</v>
      </c>
      <c r="AD1" s="120" t="s">
        <v>2184</v>
      </c>
      <c r="AE1" s="106" t="s">
        <v>2185</v>
      </c>
      <c r="AF1" s="120" t="s">
        <v>2186</v>
      </c>
      <c r="AG1" s="106" t="s">
        <v>2181</v>
      </c>
      <c r="AH1" s="120" t="s">
        <v>2182</v>
      </c>
      <c r="AI1" s="106" t="s">
        <v>2188</v>
      </c>
      <c r="AJ1" s="120" t="s">
        <v>2187</v>
      </c>
      <c r="AK1" s="106" t="s">
        <v>2190</v>
      </c>
      <c r="AL1" s="120" t="s">
        <v>2189</v>
      </c>
      <c r="AM1" s="107" t="s">
        <v>2218</v>
      </c>
      <c r="AN1" s="107"/>
      <c r="AO1" s="107" t="s">
        <v>2219</v>
      </c>
      <c r="AP1" s="107"/>
      <c r="AQ1" s="107" t="s">
        <v>2041</v>
      </c>
      <c r="AR1" s="107"/>
      <c r="AS1" s="106" t="s">
        <v>2042</v>
      </c>
      <c r="AU1" s="106" t="s">
        <v>2048</v>
      </c>
      <c r="AV1" s="120" t="s">
        <v>2199</v>
      </c>
      <c r="AW1" s="106" t="s">
        <v>2049</v>
      </c>
      <c r="AX1" s="106" t="s">
        <v>2672</v>
      </c>
      <c r="AY1" s="106" t="s">
        <v>2050</v>
      </c>
      <c r="AZ1" s="106" t="s">
        <v>2046</v>
      </c>
      <c r="BA1" s="106" t="s">
        <v>2047</v>
      </c>
      <c r="BB1" s="106" t="s">
        <v>2788</v>
      </c>
      <c r="BC1" s="106" t="s">
        <v>2809</v>
      </c>
      <c r="BD1" s="120" t="s">
        <v>2807</v>
      </c>
      <c r="BE1" s="106" t="s">
        <v>2810</v>
      </c>
      <c r="BF1" s="120" t="s">
        <v>2808</v>
      </c>
      <c r="BG1" s="106" t="s">
        <v>2820</v>
      </c>
      <c r="BH1" s="106" t="s">
        <v>2819</v>
      </c>
    </row>
    <row r="2" spans="1:60">
      <c r="A2" s="108">
        <v>0</v>
      </c>
      <c r="B2" s="108" t="s">
        <v>2256</v>
      </c>
      <c r="C2" s="108">
        <v>1</v>
      </c>
      <c r="D2" s="108" t="s">
        <v>2263</v>
      </c>
      <c r="E2" s="108">
        <v>0</v>
      </c>
      <c r="F2" s="108" t="s">
        <v>2279</v>
      </c>
      <c r="G2" s="108">
        <v>0</v>
      </c>
      <c r="H2" s="108" t="s">
        <v>2281</v>
      </c>
      <c r="I2" s="108">
        <v>1</v>
      </c>
      <c r="J2" s="108" t="s">
        <v>2284</v>
      </c>
      <c r="K2" s="108">
        <v>1</v>
      </c>
      <c r="L2" s="108" t="s">
        <v>2294</v>
      </c>
      <c r="M2" s="108">
        <v>0</v>
      </c>
      <c r="N2" s="108" t="s">
        <v>2297</v>
      </c>
      <c r="O2" s="108">
        <v>1</v>
      </c>
      <c r="P2" s="108" t="s">
        <v>2300</v>
      </c>
      <c r="Q2" s="108">
        <v>1001</v>
      </c>
      <c r="R2" s="108" t="s">
        <v>2860</v>
      </c>
      <c r="S2" s="108">
        <v>1</v>
      </c>
      <c r="T2" s="108" t="s">
        <v>2303</v>
      </c>
      <c r="U2" s="108">
        <v>10000001</v>
      </c>
      <c r="V2" s="108" t="s">
        <v>2051</v>
      </c>
      <c r="W2" s="108">
        <v>0</v>
      </c>
      <c r="X2" s="108" t="s">
        <v>2464</v>
      </c>
      <c r="Y2" s="108">
        <v>100</v>
      </c>
      <c r="Z2" s="108" t="s">
        <v>2467</v>
      </c>
      <c r="AA2" s="108">
        <v>0</v>
      </c>
      <c r="AB2" s="108" t="s">
        <v>2486</v>
      </c>
      <c r="AC2" s="108">
        <v>10001</v>
      </c>
      <c r="AD2" s="108" t="s">
        <v>2489</v>
      </c>
      <c r="AE2" s="108">
        <v>1</v>
      </c>
      <c r="AF2" s="108" t="s">
        <v>2543</v>
      </c>
      <c r="AG2" s="108">
        <v>0</v>
      </c>
      <c r="AH2" s="108" t="s">
        <v>2625</v>
      </c>
      <c r="AI2" s="108">
        <v>0</v>
      </c>
      <c r="AJ2" s="108" t="s">
        <v>2642</v>
      </c>
      <c r="AK2" s="108">
        <v>0</v>
      </c>
      <c r="AM2" s="109">
        <v>0</v>
      </c>
      <c r="AN2" s="109" t="s">
        <v>2052</v>
      </c>
      <c r="AO2" s="109">
        <v>0</v>
      </c>
      <c r="AP2" s="109" t="s">
        <v>2053</v>
      </c>
      <c r="AQ2" s="109">
        <v>0</v>
      </c>
      <c r="AR2" s="109" t="s">
        <v>2054</v>
      </c>
      <c r="AS2" s="109">
        <v>0</v>
      </c>
      <c r="AT2" s="108" t="s">
        <v>2055</v>
      </c>
      <c r="AU2" s="108">
        <v>0</v>
      </c>
      <c r="AW2" s="108">
        <v>0</v>
      </c>
      <c r="AY2" s="108" t="s">
        <v>2057</v>
      </c>
      <c r="AZ2" s="108" t="s">
        <v>2062</v>
      </c>
      <c r="BA2" s="108" t="s">
        <v>2056</v>
      </c>
      <c r="BB2" s="127"/>
      <c r="BD2" s="106"/>
      <c r="BF2" s="106"/>
      <c r="BH2" s="127"/>
    </row>
    <row r="3" spans="1:60">
      <c r="A3" s="108">
        <v>1</v>
      </c>
      <c r="B3" s="108" t="s">
        <v>2257</v>
      </c>
      <c r="C3" s="108">
        <v>2</v>
      </c>
      <c r="D3" s="108" t="s">
        <v>2264</v>
      </c>
      <c r="E3" s="108">
        <v>1</v>
      </c>
      <c r="F3" s="108" t="s">
        <v>2280</v>
      </c>
      <c r="G3" s="108">
        <v>1</v>
      </c>
      <c r="H3" s="108" t="s">
        <v>2282</v>
      </c>
      <c r="I3" s="108">
        <v>2</v>
      </c>
      <c r="J3" s="108" t="s">
        <v>2285</v>
      </c>
      <c r="K3" s="108">
        <v>2</v>
      </c>
      <c r="L3" s="108" t="s">
        <v>2295</v>
      </c>
      <c r="M3" s="108">
        <v>1</v>
      </c>
      <c r="N3" s="108" t="s">
        <v>2298</v>
      </c>
      <c r="O3" s="108">
        <v>2</v>
      </c>
      <c r="P3" s="108" t="s">
        <v>2301</v>
      </c>
      <c r="Q3" s="108">
        <v>1002</v>
      </c>
      <c r="R3" s="108" t="s">
        <v>2861</v>
      </c>
      <c r="S3" s="108">
        <v>2</v>
      </c>
      <c r="T3" s="108" t="s">
        <v>2304</v>
      </c>
      <c r="U3" s="108">
        <v>10000002</v>
      </c>
      <c r="V3" s="108" t="s">
        <v>2058</v>
      </c>
      <c r="W3" s="108">
        <v>1</v>
      </c>
      <c r="X3" s="108" t="s">
        <v>2443</v>
      </c>
      <c r="Y3" s="108">
        <v>200</v>
      </c>
      <c r="Z3" s="108" t="s">
        <v>2468</v>
      </c>
      <c r="AA3" s="108">
        <v>1</v>
      </c>
      <c r="AB3" s="108" t="s">
        <v>2487</v>
      </c>
      <c r="AC3" s="108">
        <v>10002</v>
      </c>
      <c r="AD3" s="108" t="s">
        <v>2490</v>
      </c>
      <c r="AE3" s="108">
        <v>2</v>
      </c>
      <c r="AF3" s="108" t="s">
        <v>2544</v>
      </c>
      <c r="AG3" s="108">
        <v>1</v>
      </c>
      <c r="AH3" s="108" t="s">
        <v>2626</v>
      </c>
      <c r="AI3" s="108">
        <v>1</v>
      </c>
      <c r="AJ3" s="108" t="s">
        <v>2643</v>
      </c>
      <c r="AK3" s="108">
        <v>1</v>
      </c>
      <c r="AL3" s="108" t="s">
        <v>2649</v>
      </c>
      <c r="AM3" s="109">
        <v>100</v>
      </c>
      <c r="AN3" s="109" t="s">
        <v>2059</v>
      </c>
      <c r="AO3" s="109">
        <v>100</v>
      </c>
      <c r="AP3" s="109" t="s">
        <v>2059</v>
      </c>
      <c r="AQ3" s="109">
        <v>1</v>
      </c>
      <c r="AR3" s="109" t="s">
        <v>2060</v>
      </c>
      <c r="AS3" s="109">
        <v>1</v>
      </c>
      <c r="AT3" s="108" t="s">
        <v>2061</v>
      </c>
      <c r="AU3" s="108">
        <v>1</v>
      </c>
      <c r="AV3" s="108" t="s">
        <v>2671</v>
      </c>
      <c r="AW3" s="108">
        <v>1</v>
      </c>
      <c r="AY3" s="108" t="s">
        <v>2063</v>
      </c>
      <c r="AZ3" s="108" t="s">
        <v>2066</v>
      </c>
      <c r="BB3" s="127" t="s">
        <v>2789</v>
      </c>
      <c r="BC3" s="108">
        <v>0</v>
      </c>
      <c r="BD3" s="127" t="s">
        <v>2790</v>
      </c>
      <c r="BE3" s="108">
        <v>0</v>
      </c>
      <c r="BF3" s="127" t="s">
        <v>2790</v>
      </c>
      <c r="BG3" s="108">
        <v>0</v>
      </c>
      <c r="BH3" s="127"/>
    </row>
    <row r="4" spans="1:60">
      <c r="A4" s="108">
        <v>2</v>
      </c>
      <c r="B4" s="108" t="s">
        <v>2258</v>
      </c>
      <c r="C4" s="108">
        <v>3</v>
      </c>
      <c r="D4" s="108" t="s">
        <v>2265</v>
      </c>
      <c r="G4" s="108">
        <v>2</v>
      </c>
      <c r="H4" s="108" t="s">
        <v>2283</v>
      </c>
      <c r="I4" s="108">
        <v>3</v>
      </c>
      <c r="J4" s="108" t="s">
        <v>2286</v>
      </c>
      <c r="K4" s="108">
        <v>3</v>
      </c>
      <c r="L4" s="108" t="s">
        <v>2296</v>
      </c>
      <c r="M4" s="108">
        <v>2</v>
      </c>
      <c r="N4" s="108" t="s">
        <v>2299</v>
      </c>
      <c r="Q4" s="108">
        <v>1003</v>
      </c>
      <c r="R4" s="108" t="s">
        <v>2862</v>
      </c>
      <c r="S4" s="108">
        <v>3</v>
      </c>
      <c r="T4" s="108" t="s">
        <v>2305</v>
      </c>
      <c r="U4" s="108">
        <v>10000003</v>
      </c>
      <c r="V4" s="108" t="s">
        <v>2064</v>
      </c>
      <c r="W4" s="108">
        <v>4</v>
      </c>
      <c r="X4" s="108" t="s">
        <v>2444</v>
      </c>
      <c r="Y4" s="108">
        <v>301</v>
      </c>
      <c r="Z4" s="108" t="s">
        <v>2469</v>
      </c>
      <c r="AC4" s="108">
        <v>10003</v>
      </c>
      <c r="AD4" s="108" t="s">
        <v>2491</v>
      </c>
      <c r="AE4" s="108">
        <v>3</v>
      </c>
      <c r="AF4" s="108" t="s">
        <v>2545</v>
      </c>
      <c r="AG4" s="108">
        <v>2</v>
      </c>
      <c r="AH4" s="108" t="s">
        <v>2627</v>
      </c>
      <c r="AI4" s="108">
        <v>2</v>
      </c>
      <c r="AJ4" s="108" t="s">
        <v>2644</v>
      </c>
      <c r="AK4" s="108">
        <v>2</v>
      </c>
      <c r="AL4" s="108" t="s">
        <v>2651</v>
      </c>
      <c r="AM4" s="109">
        <v>112</v>
      </c>
      <c r="AN4" s="109" t="s">
        <v>2065</v>
      </c>
      <c r="AO4" s="109">
        <v>112</v>
      </c>
      <c r="AP4" s="109" t="s">
        <v>2065</v>
      </c>
      <c r="AU4" s="108">
        <v>2</v>
      </c>
      <c r="AW4" s="108">
        <v>2</v>
      </c>
      <c r="AX4" s="108" t="s">
        <v>3395</v>
      </c>
      <c r="BC4" s="108">
        <v>1</v>
      </c>
      <c r="BD4" s="127" t="s">
        <v>2791</v>
      </c>
      <c r="BE4" s="108">
        <v>1</v>
      </c>
      <c r="BF4" s="127" t="s">
        <v>2792</v>
      </c>
      <c r="BG4" s="108">
        <v>1</v>
      </c>
      <c r="BH4" s="127" t="s">
        <v>2813</v>
      </c>
    </row>
    <row r="5" spans="1:60">
      <c r="A5" s="108">
        <v>3</v>
      </c>
      <c r="B5" s="108" t="s">
        <v>2259</v>
      </c>
      <c r="C5" s="108">
        <v>4</v>
      </c>
      <c r="D5" s="108" t="s">
        <v>2266</v>
      </c>
      <c r="I5" s="108">
        <v>4</v>
      </c>
      <c r="J5" s="108" t="s">
        <v>2287</v>
      </c>
      <c r="Q5" s="108">
        <v>1101</v>
      </c>
      <c r="R5" s="108" t="s">
        <v>2863</v>
      </c>
      <c r="S5" s="108">
        <v>4</v>
      </c>
      <c r="T5" s="108" t="s">
        <v>2306</v>
      </c>
      <c r="U5" s="108">
        <v>10000005</v>
      </c>
      <c r="V5" s="108" t="s">
        <v>2067</v>
      </c>
      <c r="W5" s="108">
        <v>5</v>
      </c>
      <c r="X5" s="108" t="s">
        <v>2445</v>
      </c>
      <c r="Y5" s="108">
        <v>302</v>
      </c>
      <c r="Z5" s="108" t="s">
        <v>2470</v>
      </c>
      <c r="AC5" s="108">
        <v>10004</v>
      </c>
      <c r="AD5" s="108" t="s">
        <v>2492</v>
      </c>
      <c r="AE5" s="108">
        <v>4</v>
      </c>
      <c r="AF5" s="108" t="s">
        <v>2546</v>
      </c>
      <c r="AG5" s="108">
        <v>3</v>
      </c>
      <c r="AH5" s="108" t="s">
        <v>2629</v>
      </c>
      <c r="AI5" s="108">
        <v>3</v>
      </c>
      <c r="AJ5" s="108" t="s">
        <v>2645</v>
      </c>
      <c r="AK5" s="108">
        <v>3</v>
      </c>
      <c r="AL5" s="108" t="s">
        <v>2650</v>
      </c>
      <c r="AM5" s="109">
        <v>115</v>
      </c>
      <c r="AN5" s="109" t="s">
        <v>2068</v>
      </c>
      <c r="AO5" s="109">
        <v>115</v>
      </c>
      <c r="AP5" s="109" t="s">
        <v>2068</v>
      </c>
      <c r="AU5" s="108">
        <v>3</v>
      </c>
      <c r="AW5" s="108">
        <v>3</v>
      </c>
      <c r="AX5" s="108" t="s">
        <v>3396</v>
      </c>
      <c r="BC5" s="108">
        <v>2</v>
      </c>
      <c r="BD5" s="127" t="s">
        <v>2793</v>
      </c>
      <c r="BE5" s="108">
        <v>2</v>
      </c>
      <c r="BF5" s="127" t="s">
        <v>2794</v>
      </c>
      <c r="BG5" s="108">
        <v>2</v>
      </c>
      <c r="BH5" s="127" t="s">
        <v>2814</v>
      </c>
    </row>
    <row r="6" spans="1:60">
      <c r="A6" s="108">
        <v>5</v>
      </c>
      <c r="B6" s="108" t="s">
        <v>2260</v>
      </c>
      <c r="C6" s="108">
        <v>5</v>
      </c>
      <c r="D6" s="108" t="s">
        <v>2267</v>
      </c>
      <c r="I6" s="108">
        <v>5</v>
      </c>
      <c r="J6" s="108" t="s">
        <v>2288</v>
      </c>
      <c r="Q6" s="108">
        <v>1102</v>
      </c>
      <c r="R6" s="108" t="s">
        <v>2864</v>
      </c>
      <c r="S6" s="108">
        <v>5</v>
      </c>
      <c r="T6" s="108" t="s">
        <v>2307</v>
      </c>
      <c r="U6" s="108">
        <v>10000010</v>
      </c>
      <c r="V6" s="108" t="s">
        <v>2069</v>
      </c>
      <c r="W6" s="108">
        <v>6</v>
      </c>
      <c r="X6" s="108" t="s">
        <v>2446</v>
      </c>
      <c r="Y6" s="108">
        <v>303</v>
      </c>
      <c r="Z6" s="108" t="s">
        <v>2471</v>
      </c>
      <c r="AC6" s="108">
        <v>10005</v>
      </c>
      <c r="AD6" s="108" t="s">
        <v>2493</v>
      </c>
      <c r="AE6" s="108">
        <v>5</v>
      </c>
      <c r="AF6" s="108" t="s">
        <v>2547</v>
      </c>
      <c r="AG6" s="108">
        <v>4</v>
      </c>
      <c r="AH6" s="108" t="s">
        <v>2630</v>
      </c>
      <c r="AI6" s="108">
        <v>4</v>
      </c>
      <c r="AJ6" s="108" t="s">
        <v>2646</v>
      </c>
      <c r="AK6" s="108">
        <v>4</v>
      </c>
      <c r="AL6" s="108" t="s">
        <v>2652</v>
      </c>
      <c r="AM6" s="109">
        <v>121</v>
      </c>
      <c r="AN6" s="109" t="s">
        <v>2070</v>
      </c>
      <c r="AO6" s="109">
        <v>121</v>
      </c>
      <c r="AP6" s="109" t="s">
        <v>2071</v>
      </c>
      <c r="AU6" s="108">
        <v>4</v>
      </c>
      <c r="AW6" s="108">
        <v>4</v>
      </c>
      <c r="BC6" s="108">
        <v>3</v>
      </c>
      <c r="BD6" s="127" t="s">
        <v>2795</v>
      </c>
      <c r="BE6" s="108">
        <v>3</v>
      </c>
      <c r="BF6" s="127" t="s">
        <v>2796</v>
      </c>
      <c r="BG6" s="108">
        <v>3</v>
      </c>
      <c r="BH6" s="127" t="s">
        <v>2815</v>
      </c>
    </row>
    <row r="7" spans="1:60">
      <c r="A7" s="108">
        <v>9</v>
      </c>
      <c r="B7" s="108" t="s">
        <v>2261</v>
      </c>
      <c r="C7" s="108">
        <v>6</v>
      </c>
      <c r="D7" s="108" t="s">
        <v>2268</v>
      </c>
      <c r="I7" s="108">
        <v>6</v>
      </c>
      <c r="J7" s="108" t="s">
        <v>2289</v>
      </c>
      <c r="Q7" s="108">
        <v>1103</v>
      </c>
      <c r="R7" s="108" t="s">
        <v>2865</v>
      </c>
      <c r="S7" s="108">
        <v>6</v>
      </c>
      <c r="T7" s="108" t="s">
        <v>2308</v>
      </c>
      <c r="U7" s="108">
        <v>10000011</v>
      </c>
      <c r="V7" s="108" t="s">
        <v>2072</v>
      </c>
      <c r="W7" s="108">
        <v>7</v>
      </c>
      <c r="X7" s="108" t="s">
        <v>2447</v>
      </c>
      <c r="Y7" s="108">
        <v>400</v>
      </c>
      <c r="Z7" s="108" t="s">
        <v>2472</v>
      </c>
      <c r="AC7" s="108">
        <v>10006</v>
      </c>
      <c r="AD7" s="108" t="s">
        <v>2494</v>
      </c>
      <c r="AE7" s="108">
        <v>6</v>
      </c>
      <c r="AF7" s="108" t="s">
        <v>2548</v>
      </c>
      <c r="AG7" s="108">
        <v>5</v>
      </c>
      <c r="AH7" s="108" t="s">
        <v>2631</v>
      </c>
      <c r="AI7" s="108">
        <v>5</v>
      </c>
      <c r="AJ7" s="108" t="s">
        <v>2647</v>
      </c>
      <c r="AK7" s="108">
        <v>5</v>
      </c>
      <c r="AO7" s="109">
        <v>193</v>
      </c>
      <c r="AP7" s="109" t="s">
        <v>2073</v>
      </c>
      <c r="AU7" s="108">
        <v>5</v>
      </c>
      <c r="AW7" s="108">
        <v>5</v>
      </c>
      <c r="BC7" s="108">
        <v>4</v>
      </c>
      <c r="BD7" s="127" t="s">
        <v>2797</v>
      </c>
      <c r="BE7" s="108">
        <v>4</v>
      </c>
      <c r="BF7" s="127" t="s">
        <v>2798</v>
      </c>
      <c r="BG7" s="108">
        <v>4</v>
      </c>
      <c r="BH7" s="127"/>
    </row>
    <row r="8" spans="1:60">
      <c r="C8" s="108">
        <v>7</v>
      </c>
      <c r="D8" s="108" t="s">
        <v>2269</v>
      </c>
      <c r="I8" s="108">
        <v>7</v>
      </c>
      <c r="J8" s="108" t="s">
        <v>2290</v>
      </c>
      <c r="Q8" s="108">
        <v>1201</v>
      </c>
      <c r="R8" s="108" t="s">
        <v>2866</v>
      </c>
      <c r="S8" s="108">
        <v>7</v>
      </c>
      <c r="T8" s="108" t="s">
        <v>2309</v>
      </c>
      <c r="U8" s="108">
        <v>10000012</v>
      </c>
      <c r="V8" s="108" t="s">
        <v>2074</v>
      </c>
      <c r="W8" s="108">
        <v>8</v>
      </c>
      <c r="X8" s="108" t="s">
        <v>2448</v>
      </c>
      <c r="Y8" s="108">
        <v>500</v>
      </c>
      <c r="Z8" s="108" t="s">
        <v>2473</v>
      </c>
      <c r="AC8" s="108">
        <v>10007</v>
      </c>
      <c r="AD8" s="108" t="s">
        <v>2495</v>
      </c>
      <c r="AE8" s="108">
        <v>7</v>
      </c>
      <c r="AF8" s="108" t="s">
        <v>2549</v>
      </c>
      <c r="AG8" s="108">
        <v>6</v>
      </c>
      <c r="AH8" s="108" t="s">
        <v>2632</v>
      </c>
      <c r="AI8" s="108">
        <v>6</v>
      </c>
      <c r="AJ8" s="108" t="s">
        <v>2648</v>
      </c>
      <c r="AK8" s="108">
        <v>6</v>
      </c>
      <c r="AO8" s="109">
        <v>10121</v>
      </c>
      <c r="AP8" s="109" t="s">
        <v>2075</v>
      </c>
      <c r="AU8" s="108">
        <v>6</v>
      </c>
      <c r="AW8" s="108">
        <v>6</v>
      </c>
      <c r="BC8" s="108">
        <v>5</v>
      </c>
      <c r="BD8" s="127" t="s">
        <v>2799</v>
      </c>
      <c r="BE8" s="108">
        <v>5</v>
      </c>
      <c r="BF8" s="127" t="s">
        <v>2800</v>
      </c>
      <c r="BG8" s="108">
        <v>5</v>
      </c>
      <c r="BH8" s="127"/>
    </row>
    <row r="9" spans="1:60">
      <c r="C9" s="108">
        <v>8</v>
      </c>
      <c r="D9" s="108" t="s">
        <v>2270</v>
      </c>
      <c r="I9" s="122">
        <v>8</v>
      </c>
      <c r="J9" s="122" t="s">
        <v>2291</v>
      </c>
      <c r="Q9" s="108">
        <v>1202</v>
      </c>
      <c r="R9" s="108" t="s">
        <v>2867</v>
      </c>
      <c r="S9" s="108">
        <v>8</v>
      </c>
      <c r="T9" s="108" t="s">
        <v>2310</v>
      </c>
      <c r="U9" s="108">
        <v>10000014</v>
      </c>
      <c r="V9" s="108" t="s">
        <v>2076</v>
      </c>
      <c r="W9" s="108">
        <v>9</v>
      </c>
      <c r="X9" s="108" t="s">
        <v>2449</v>
      </c>
      <c r="Y9" s="108">
        <v>601</v>
      </c>
      <c r="Z9" s="108" t="s">
        <v>2474</v>
      </c>
      <c r="AC9" s="108">
        <v>10008</v>
      </c>
      <c r="AD9" s="108" t="s">
        <v>2496</v>
      </c>
      <c r="AE9" s="108">
        <v>8</v>
      </c>
      <c r="AF9" s="108" t="s">
        <v>2550</v>
      </c>
      <c r="AG9" s="108">
        <v>7</v>
      </c>
      <c r="AH9" s="108" t="s">
        <v>2633</v>
      </c>
      <c r="AI9" s="108">
        <v>7</v>
      </c>
      <c r="AK9" s="108">
        <v>7</v>
      </c>
      <c r="AM9" s="109">
        <v>200</v>
      </c>
      <c r="AN9" s="109" t="s">
        <v>2077</v>
      </c>
      <c r="AO9" s="109">
        <v>200</v>
      </c>
      <c r="AP9" s="109" t="s">
        <v>2077</v>
      </c>
      <c r="AU9" s="108">
        <v>7</v>
      </c>
      <c r="AW9" s="108">
        <v>7</v>
      </c>
      <c r="AX9" s="108" t="s">
        <v>3397</v>
      </c>
      <c r="BC9" s="108">
        <v>6</v>
      </c>
      <c r="BD9" s="127" t="s">
        <v>2801</v>
      </c>
      <c r="BE9" s="108">
        <v>6</v>
      </c>
      <c r="BF9" s="127" t="s">
        <v>2802</v>
      </c>
      <c r="BG9" s="108">
        <v>6</v>
      </c>
      <c r="BH9" s="127"/>
    </row>
    <row r="10" spans="1:60">
      <c r="C10" s="108">
        <v>9</v>
      </c>
      <c r="D10" s="108" t="s">
        <v>2271</v>
      </c>
      <c r="I10" s="122">
        <v>9</v>
      </c>
      <c r="J10" s="122" t="s">
        <v>2292</v>
      </c>
      <c r="Q10" s="108">
        <v>1203</v>
      </c>
      <c r="R10" s="108" t="s">
        <v>2868</v>
      </c>
      <c r="S10" s="108">
        <v>9</v>
      </c>
      <c r="T10" s="108" t="s">
        <v>2311</v>
      </c>
      <c r="U10" s="108">
        <v>10000016</v>
      </c>
      <c r="V10" s="108" t="s">
        <v>2078</v>
      </c>
      <c r="W10" s="108">
        <v>10</v>
      </c>
      <c r="X10" s="108" t="s">
        <v>2450</v>
      </c>
      <c r="Y10" s="108">
        <v>602</v>
      </c>
      <c r="Z10" s="108" t="s">
        <v>2475</v>
      </c>
      <c r="AC10" s="108">
        <v>10009</v>
      </c>
      <c r="AD10" s="108" t="s">
        <v>2497</v>
      </c>
      <c r="AE10" s="108">
        <v>9</v>
      </c>
      <c r="AF10" s="108" t="s">
        <v>2551</v>
      </c>
      <c r="AG10" s="108">
        <v>8</v>
      </c>
      <c r="AH10" s="108" t="s">
        <v>2634</v>
      </c>
      <c r="AI10" s="108">
        <v>8</v>
      </c>
      <c r="AK10" s="108">
        <v>8</v>
      </c>
      <c r="AL10" s="108" t="s">
        <v>2653</v>
      </c>
      <c r="AM10" s="109">
        <v>400</v>
      </c>
      <c r="AN10" s="109" t="s">
        <v>2079</v>
      </c>
      <c r="AO10" s="109">
        <v>400</v>
      </c>
      <c r="AP10" s="109" t="s">
        <v>2079</v>
      </c>
      <c r="AU10" s="108">
        <v>8</v>
      </c>
      <c r="AW10" s="108">
        <v>8</v>
      </c>
      <c r="AX10" s="108" t="s">
        <v>3398</v>
      </c>
      <c r="BC10" s="108">
        <v>7</v>
      </c>
      <c r="BD10" s="127" t="s">
        <v>2803</v>
      </c>
      <c r="BE10" s="108">
        <v>7</v>
      </c>
      <c r="BF10" s="127" t="s">
        <v>2804</v>
      </c>
      <c r="BG10" s="108">
        <v>7</v>
      </c>
      <c r="BH10" s="127" t="s">
        <v>2816</v>
      </c>
    </row>
    <row r="11" spans="1:60">
      <c r="C11" s="108">
        <v>10</v>
      </c>
      <c r="D11" s="108" t="s">
        <v>2272</v>
      </c>
      <c r="Q11" s="108">
        <v>1905</v>
      </c>
      <c r="R11" s="108" t="s">
        <v>2869</v>
      </c>
      <c r="S11" s="108">
        <v>10</v>
      </c>
      <c r="T11" s="108" t="s">
        <v>2312</v>
      </c>
      <c r="U11" s="108">
        <v>10000017</v>
      </c>
      <c r="V11" s="108" t="s">
        <v>2080</v>
      </c>
      <c r="W11" s="108">
        <v>11</v>
      </c>
      <c r="X11" s="108" t="s">
        <v>2451</v>
      </c>
      <c r="Y11" s="108">
        <v>701</v>
      </c>
      <c r="Z11" s="108" t="s">
        <v>2476</v>
      </c>
      <c r="AC11" s="108">
        <v>10010</v>
      </c>
      <c r="AD11" s="108" t="s">
        <v>2498</v>
      </c>
      <c r="AE11" s="108">
        <v>10</v>
      </c>
      <c r="AF11" s="108" t="s">
        <v>2552</v>
      </c>
      <c r="AG11" s="108">
        <v>9</v>
      </c>
      <c r="AH11" s="108" t="s">
        <v>2635</v>
      </c>
      <c r="AI11" s="108">
        <v>9</v>
      </c>
      <c r="AK11" s="108">
        <v>9</v>
      </c>
      <c r="AL11" s="108" t="s">
        <v>2654</v>
      </c>
      <c r="AM11" s="109">
        <v>600</v>
      </c>
      <c r="AN11" s="109" t="s">
        <v>2081</v>
      </c>
      <c r="AO11" s="109">
        <v>600</v>
      </c>
      <c r="AP11" s="109" t="s">
        <v>2081</v>
      </c>
      <c r="AU11" s="108">
        <v>9</v>
      </c>
      <c r="AW11" s="108">
        <v>9</v>
      </c>
      <c r="AX11" s="108" t="s">
        <v>3399</v>
      </c>
      <c r="BC11" s="108">
        <v>8</v>
      </c>
      <c r="BD11" s="127" t="s">
        <v>2805</v>
      </c>
      <c r="BE11" s="108">
        <v>8</v>
      </c>
      <c r="BF11" s="127" t="s">
        <v>2805</v>
      </c>
      <c r="BG11" s="108">
        <v>8</v>
      </c>
      <c r="BH11" s="127" t="s">
        <v>2817</v>
      </c>
    </row>
    <row r="12" spans="1:60">
      <c r="C12" s="108">
        <v>11</v>
      </c>
      <c r="D12" s="108" t="s">
        <v>2273</v>
      </c>
      <c r="Q12" s="122">
        <v>1908</v>
      </c>
      <c r="R12" s="122" t="s">
        <v>2870</v>
      </c>
      <c r="S12" s="108">
        <v>11</v>
      </c>
      <c r="T12" s="108" t="s">
        <v>2313</v>
      </c>
      <c r="U12" s="108">
        <v>10000018</v>
      </c>
      <c r="V12" s="108" t="s">
        <v>2082</v>
      </c>
      <c r="W12" s="108">
        <v>12</v>
      </c>
      <c r="X12" s="109" t="s">
        <v>2452</v>
      </c>
      <c r="Y12" s="108">
        <v>702</v>
      </c>
      <c r="Z12" s="108" t="s">
        <v>2477</v>
      </c>
      <c r="AC12" s="108">
        <v>10011</v>
      </c>
      <c r="AD12" s="108" t="s">
        <v>2499</v>
      </c>
      <c r="AE12" s="108">
        <v>11</v>
      </c>
      <c r="AF12" s="108" t="s">
        <v>2553</v>
      </c>
      <c r="AG12" s="108">
        <v>10</v>
      </c>
      <c r="AH12" s="108" t="s">
        <v>2636</v>
      </c>
      <c r="AM12" s="109">
        <v>799</v>
      </c>
      <c r="AN12" s="109" t="s">
        <v>2083</v>
      </c>
      <c r="AO12" s="109">
        <v>799</v>
      </c>
      <c r="AP12" s="109" t="s">
        <v>2083</v>
      </c>
      <c r="BC12" s="108">
        <v>9</v>
      </c>
      <c r="BD12" s="127" t="s">
        <v>2806</v>
      </c>
      <c r="BE12" s="108">
        <v>9</v>
      </c>
      <c r="BF12" s="127" t="s">
        <v>2806</v>
      </c>
      <c r="BG12" s="108">
        <v>9</v>
      </c>
      <c r="BH12" s="127" t="s">
        <v>2818</v>
      </c>
    </row>
    <row r="13" spans="1:60">
      <c r="C13" s="108">
        <v>12</v>
      </c>
      <c r="D13" s="108" t="s">
        <v>2274</v>
      </c>
      <c r="Q13" s="122">
        <v>1909</v>
      </c>
      <c r="R13" s="122" t="s">
        <v>2871</v>
      </c>
      <c r="S13" s="108">
        <v>12</v>
      </c>
      <c r="T13" s="108" t="s">
        <v>2314</v>
      </c>
      <c r="U13" s="108">
        <v>10000019</v>
      </c>
      <c r="V13" s="108" t="s">
        <v>2084</v>
      </c>
      <c r="W13" s="108">
        <v>15</v>
      </c>
      <c r="X13" s="109" t="s">
        <v>2453</v>
      </c>
      <c r="Y13" s="108">
        <v>800</v>
      </c>
      <c r="Z13" s="108" t="s">
        <v>2478</v>
      </c>
      <c r="AC13" s="108">
        <v>10012</v>
      </c>
      <c r="AD13" s="108" t="s">
        <v>2500</v>
      </c>
      <c r="AE13" s="108">
        <v>12</v>
      </c>
      <c r="AF13" s="108" t="s">
        <v>2554</v>
      </c>
      <c r="AG13" s="108">
        <v>11</v>
      </c>
      <c r="AH13" s="108" t="s">
        <v>2637</v>
      </c>
      <c r="AM13" s="109">
        <v>860</v>
      </c>
      <c r="AN13" s="109" t="s">
        <v>2085</v>
      </c>
      <c r="AO13" s="109">
        <v>860</v>
      </c>
      <c r="AP13" s="109" t="s">
        <v>2085</v>
      </c>
    </row>
    <row r="14" spans="1:60">
      <c r="C14" s="108">
        <v>13</v>
      </c>
      <c r="D14" s="108" t="s">
        <v>2275</v>
      </c>
      <c r="Q14" s="108">
        <v>1901</v>
      </c>
      <c r="R14" s="108" t="s">
        <v>2872</v>
      </c>
      <c r="S14" s="108">
        <v>101</v>
      </c>
      <c r="T14" s="108" t="s">
        <v>2315</v>
      </c>
      <c r="U14" s="108">
        <v>10000021</v>
      </c>
      <c r="V14" s="108" t="s">
        <v>2086</v>
      </c>
      <c r="W14" s="108">
        <v>18</v>
      </c>
      <c r="X14" s="108" t="s">
        <v>2454</v>
      </c>
      <c r="Y14" s="108">
        <v>900</v>
      </c>
      <c r="Z14" s="108" t="s">
        <v>2479</v>
      </c>
      <c r="AC14" s="108">
        <v>10099</v>
      </c>
      <c r="AD14" s="108" t="s">
        <v>2501</v>
      </c>
      <c r="AE14" s="108">
        <v>13</v>
      </c>
      <c r="AF14" s="108" t="s">
        <v>2555</v>
      </c>
      <c r="AG14" s="108">
        <v>12</v>
      </c>
      <c r="AH14" s="108" t="s">
        <v>2638</v>
      </c>
      <c r="AM14" s="109">
        <v>896</v>
      </c>
      <c r="AN14" s="109" t="s">
        <v>2087</v>
      </c>
      <c r="AO14" s="109">
        <v>896</v>
      </c>
      <c r="AP14" s="109" t="s">
        <v>2087</v>
      </c>
    </row>
    <row r="15" spans="1:60">
      <c r="C15" s="108">
        <v>14</v>
      </c>
      <c r="D15" s="108" t="s">
        <v>2276</v>
      </c>
      <c r="Q15" s="108">
        <v>1902</v>
      </c>
      <c r="R15" s="108" t="s">
        <v>2873</v>
      </c>
      <c r="S15" s="108">
        <v>102</v>
      </c>
      <c r="T15" s="108" t="s">
        <v>2316</v>
      </c>
      <c r="U15" s="108">
        <v>10000022</v>
      </c>
      <c r="V15" s="108" t="s">
        <v>2088</v>
      </c>
      <c r="W15" s="108">
        <v>19</v>
      </c>
      <c r="X15" s="108" t="s">
        <v>2178</v>
      </c>
      <c r="Y15" s="108">
        <v>1000</v>
      </c>
      <c r="Z15" s="108" t="s">
        <v>2480</v>
      </c>
      <c r="AC15" s="108">
        <v>10101</v>
      </c>
      <c r="AD15" s="108" t="s">
        <v>2502</v>
      </c>
      <c r="AE15" s="108">
        <v>14</v>
      </c>
      <c r="AF15" s="108" t="s">
        <v>2556</v>
      </c>
      <c r="AG15" s="108">
        <v>13</v>
      </c>
      <c r="AH15" s="108" t="s">
        <v>2639</v>
      </c>
      <c r="AM15" s="109">
        <v>1510</v>
      </c>
      <c r="AN15" s="109" t="s">
        <v>2089</v>
      </c>
      <c r="AO15" s="109">
        <v>1510</v>
      </c>
      <c r="AP15" s="109" t="s">
        <v>2089</v>
      </c>
    </row>
    <row r="16" spans="1:60">
      <c r="C16" s="108">
        <v>15</v>
      </c>
      <c r="D16" s="108" t="s">
        <v>2277</v>
      </c>
      <c r="Q16" s="108">
        <v>1903</v>
      </c>
      <c r="R16" s="108" t="s">
        <v>2874</v>
      </c>
      <c r="S16" s="108">
        <v>103</v>
      </c>
      <c r="T16" s="108" t="s">
        <v>2317</v>
      </c>
      <c r="U16" s="108">
        <v>10000023</v>
      </c>
      <c r="V16" s="108" t="s">
        <v>2090</v>
      </c>
      <c r="W16" s="108">
        <v>20</v>
      </c>
      <c r="X16" s="108" t="s">
        <v>2455</v>
      </c>
      <c r="Y16" s="108">
        <v>1001</v>
      </c>
      <c r="Z16" s="108" t="s">
        <v>2481</v>
      </c>
      <c r="AC16" s="108">
        <v>10102</v>
      </c>
      <c r="AD16" s="108" t="s">
        <v>2503</v>
      </c>
      <c r="AE16" s="108">
        <v>15</v>
      </c>
      <c r="AF16" s="108" t="s">
        <v>2557</v>
      </c>
      <c r="AM16" s="109">
        <v>1570</v>
      </c>
      <c r="AN16" s="109" t="s">
        <v>2091</v>
      </c>
      <c r="AO16" s="109">
        <v>1570</v>
      </c>
      <c r="AP16" s="109" t="s">
        <v>2091</v>
      </c>
    </row>
    <row r="17" spans="3:42">
      <c r="C17" s="108">
        <v>16</v>
      </c>
      <c r="D17" s="108" t="s">
        <v>2278</v>
      </c>
      <c r="Q17" s="108">
        <v>1904</v>
      </c>
      <c r="R17" s="108" t="s">
        <v>2875</v>
      </c>
      <c r="S17" s="108">
        <v>104</v>
      </c>
      <c r="T17" s="108" t="s">
        <v>2318</v>
      </c>
      <c r="U17" s="108">
        <v>10000025</v>
      </c>
      <c r="V17" s="108" t="s">
        <v>2092</v>
      </c>
      <c r="W17" s="108">
        <v>21</v>
      </c>
      <c r="X17" s="108" t="s">
        <v>2457</v>
      </c>
      <c r="Y17" s="108">
        <v>1002</v>
      </c>
      <c r="Z17" s="108" t="s">
        <v>2482</v>
      </c>
      <c r="AC17" s="108">
        <v>10103</v>
      </c>
      <c r="AD17" s="108" t="s">
        <v>2504</v>
      </c>
      <c r="AE17" s="108">
        <v>16</v>
      </c>
      <c r="AF17" s="108" t="s">
        <v>2558</v>
      </c>
      <c r="AM17" s="109">
        <v>2000</v>
      </c>
      <c r="AN17" s="109" t="s">
        <v>2093</v>
      </c>
      <c r="AO17" s="109">
        <v>2000</v>
      </c>
      <c r="AP17" s="109" t="s">
        <v>2093</v>
      </c>
    </row>
    <row r="18" spans="3:42">
      <c r="Q18" s="108">
        <v>1906</v>
      </c>
      <c r="R18" s="108" t="s">
        <v>2876</v>
      </c>
      <c r="S18" s="108">
        <v>105</v>
      </c>
      <c r="T18" s="108" t="s">
        <v>2319</v>
      </c>
      <c r="U18" s="108">
        <v>10000026</v>
      </c>
      <c r="V18" s="108" t="s">
        <v>2094</v>
      </c>
      <c r="W18" s="108">
        <v>22</v>
      </c>
      <c r="X18" s="108" t="s">
        <v>2456</v>
      </c>
      <c r="Y18" s="108">
        <v>1003</v>
      </c>
      <c r="Z18" s="108" t="s">
        <v>2483</v>
      </c>
      <c r="AC18" s="108">
        <v>10104</v>
      </c>
      <c r="AD18" s="108" t="s">
        <v>2505</v>
      </c>
      <c r="AE18" s="108">
        <v>17</v>
      </c>
      <c r="AF18" s="108" t="s">
        <v>2559</v>
      </c>
      <c r="AM18" s="109">
        <v>300</v>
      </c>
      <c r="AN18" s="109" t="s">
        <v>2095</v>
      </c>
      <c r="AO18" s="109">
        <v>300</v>
      </c>
      <c r="AP18" s="109" t="s">
        <v>2095</v>
      </c>
    </row>
    <row r="19" spans="3:42">
      <c r="Q19" s="108">
        <v>1907</v>
      </c>
      <c r="R19" s="108" t="s">
        <v>2877</v>
      </c>
      <c r="S19" s="108">
        <v>106</v>
      </c>
      <c r="T19" s="108" t="s">
        <v>2320</v>
      </c>
      <c r="U19" s="108">
        <v>10000027</v>
      </c>
      <c r="V19" s="108" t="s">
        <v>2096</v>
      </c>
      <c r="W19" s="122">
        <v>31</v>
      </c>
      <c r="X19" s="122" t="s">
        <v>2458</v>
      </c>
      <c r="Y19" s="108">
        <v>1100</v>
      </c>
      <c r="Z19" s="108" t="s">
        <v>2484</v>
      </c>
      <c r="AC19" s="108">
        <v>10105</v>
      </c>
      <c r="AD19" s="108" t="s">
        <v>2506</v>
      </c>
      <c r="AE19" s="108">
        <v>18</v>
      </c>
      <c r="AF19" s="108" t="s">
        <v>2560</v>
      </c>
      <c r="AM19" s="109">
        <v>500</v>
      </c>
      <c r="AN19" s="109" t="s">
        <v>2097</v>
      </c>
      <c r="AO19" s="109">
        <v>500</v>
      </c>
      <c r="AP19" s="109" t="s">
        <v>2097</v>
      </c>
    </row>
    <row r="20" spans="3:42">
      <c r="Q20" s="108">
        <v>1999</v>
      </c>
      <c r="R20" s="108" t="s">
        <v>2878</v>
      </c>
      <c r="S20" s="108">
        <v>107</v>
      </c>
      <c r="T20" s="108" t="s">
        <v>2321</v>
      </c>
      <c r="U20" s="108">
        <v>10000071</v>
      </c>
      <c r="V20" s="108" t="s">
        <v>2098</v>
      </c>
      <c r="W20" s="122">
        <v>32</v>
      </c>
      <c r="X20" s="122" t="s">
        <v>2459</v>
      </c>
      <c r="AC20" s="108">
        <v>10106</v>
      </c>
      <c r="AD20" s="108" t="s">
        <v>2507</v>
      </c>
      <c r="AE20" s="108">
        <v>19</v>
      </c>
      <c r="AF20" s="108" t="s">
        <v>2561</v>
      </c>
      <c r="AM20" s="109">
        <v>153</v>
      </c>
      <c r="AN20" s="109" t="s">
        <v>2099</v>
      </c>
      <c r="AO20" s="109">
        <v>153</v>
      </c>
      <c r="AP20" s="109" t="s">
        <v>2099</v>
      </c>
    </row>
    <row r="21" spans="3:42">
      <c r="Q21" s="122">
        <v>800001</v>
      </c>
      <c r="R21" s="122" t="s">
        <v>2879</v>
      </c>
      <c r="S21" s="108">
        <v>108</v>
      </c>
      <c r="T21" s="108" t="s">
        <v>2322</v>
      </c>
      <c r="U21" s="108">
        <v>10000074</v>
      </c>
      <c r="V21" s="108" t="s">
        <v>2100</v>
      </c>
      <c r="W21" s="122">
        <v>33</v>
      </c>
      <c r="X21" s="122" t="s">
        <v>2460</v>
      </c>
      <c r="AC21" s="108">
        <v>10108</v>
      </c>
      <c r="AD21" s="108" t="s">
        <v>2508</v>
      </c>
      <c r="AE21" s="108">
        <v>20</v>
      </c>
      <c r="AF21" s="108" t="s">
        <v>2562</v>
      </c>
      <c r="AO21" s="109">
        <v>99998</v>
      </c>
      <c r="AP21" s="109" t="s">
        <v>2101</v>
      </c>
    </row>
    <row r="22" spans="3:42">
      <c r="Q22" s="108">
        <v>2001</v>
      </c>
      <c r="R22" s="108" t="s">
        <v>2880</v>
      </c>
      <c r="S22" s="108">
        <v>109</v>
      </c>
      <c r="T22" s="108" t="s">
        <v>2323</v>
      </c>
      <c r="U22" s="108">
        <v>10000078</v>
      </c>
      <c r="V22" s="108" t="s">
        <v>2102</v>
      </c>
      <c r="W22" s="122">
        <v>49</v>
      </c>
      <c r="X22" s="122" t="s">
        <v>2461</v>
      </c>
      <c r="AC22" s="108">
        <v>10109</v>
      </c>
      <c r="AD22" s="108" t="s">
        <v>2509</v>
      </c>
      <c r="AE22" s="108">
        <v>21</v>
      </c>
      <c r="AF22" s="108" t="s">
        <v>2563</v>
      </c>
    </row>
    <row r="23" spans="3:42">
      <c r="Q23" s="108">
        <v>2002</v>
      </c>
      <c r="R23" s="108" t="s">
        <v>2881</v>
      </c>
      <c r="S23" s="108">
        <v>110</v>
      </c>
      <c r="T23" s="108" t="s">
        <v>2324</v>
      </c>
      <c r="U23" s="108">
        <v>10000082</v>
      </c>
      <c r="V23" s="108" t="s">
        <v>2103</v>
      </c>
      <c r="W23" s="122">
        <v>50</v>
      </c>
      <c r="X23" s="122" t="s">
        <v>2462</v>
      </c>
      <c r="AC23" s="108">
        <v>10199</v>
      </c>
      <c r="AD23" s="108" t="s">
        <v>2510</v>
      </c>
      <c r="AE23" s="108">
        <v>22</v>
      </c>
      <c r="AF23" s="108" t="s">
        <v>2564</v>
      </c>
    </row>
    <row r="24" spans="3:42">
      <c r="Q24" s="108">
        <v>2003</v>
      </c>
      <c r="R24" s="108" t="s">
        <v>2882</v>
      </c>
      <c r="S24" s="108">
        <v>111</v>
      </c>
      <c r="T24" s="108" t="s">
        <v>2325</v>
      </c>
      <c r="U24" s="108">
        <v>10000083</v>
      </c>
      <c r="V24" s="108" t="s">
        <v>2104</v>
      </c>
      <c r="W24" s="122">
        <v>99</v>
      </c>
      <c r="X24" s="122" t="s">
        <v>2463</v>
      </c>
      <c r="AC24" s="108">
        <v>10201</v>
      </c>
      <c r="AD24" s="108" t="s">
        <v>2511</v>
      </c>
      <c r="AE24" s="108">
        <v>23</v>
      </c>
      <c r="AF24" s="108" t="s">
        <v>2565</v>
      </c>
    </row>
    <row r="25" spans="3:42">
      <c r="Q25" s="108">
        <v>2004</v>
      </c>
      <c r="R25" s="108" t="s">
        <v>2883</v>
      </c>
      <c r="S25" s="108">
        <v>112</v>
      </c>
      <c r="T25" s="108" t="s">
        <v>2326</v>
      </c>
      <c r="U25" s="108">
        <v>10000084</v>
      </c>
      <c r="V25" s="108" t="s">
        <v>2105</v>
      </c>
      <c r="W25" s="122">
        <v>380</v>
      </c>
      <c r="X25" s="122" t="s">
        <v>2465</v>
      </c>
      <c r="AC25" s="108">
        <v>10202</v>
      </c>
      <c r="AD25" s="108" t="s">
        <v>2512</v>
      </c>
      <c r="AE25" s="108">
        <v>24</v>
      </c>
      <c r="AF25" s="108" t="s">
        <v>2566</v>
      </c>
      <c r="AM25" s="110"/>
    </row>
    <row r="26" spans="3:42">
      <c r="Q26" s="108">
        <v>2101</v>
      </c>
      <c r="R26" s="108" t="s">
        <v>2884</v>
      </c>
      <c r="S26" s="108">
        <v>201</v>
      </c>
      <c r="T26" s="108" t="s">
        <v>2327</v>
      </c>
      <c r="U26" s="108">
        <v>10000085</v>
      </c>
      <c r="V26" s="108" t="s">
        <v>2106</v>
      </c>
      <c r="AC26" s="108">
        <v>10203</v>
      </c>
      <c r="AD26" s="108" t="s">
        <v>2513</v>
      </c>
      <c r="AE26" s="108">
        <v>25</v>
      </c>
      <c r="AF26" s="108" t="s">
        <v>2567</v>
      </c>
      <c r="AO26" s="110"/>
    </row>
    <row r="27" spans="3:42">
      <c r="Q27" s="108">
        <v>2102</v>
      </c>
      <c r="R27" s="108" t="s">
        <v>2885</v>
      </c>
      <c r="S27" s="108">
        <v>301</v>
      </c>
      <c r="T27" s="108" t="s">
        <v>2328</v>
      </c>
      <c r="U27" s="108">
        <v>10000086</v>
      </c>
      <c r="V27" s="108" t="s">
        <v>2107</v>
      </c>
      <c r="AC27" s="108">
        <v>10204</v>
      </c>
      <c r="AD27" s="108" t="s">
        <v>2514</v>
      </c>
      <c r="AE27" s="108">
        <v>26</v>
      </c>
      <c r="AF27" s="108" t="s">
        <v>2568</v>
      </c>
    </row>
    <row r="28" spans="3:42">
      <c r="Q28" s="108">
        <v>2103</v>
      </c>
      <c r="R28" s="108" t="s">
        <v>2886</v>
      </c>
      <c r="S28" s="108">
        <v>401</v>
      </c>
      <c r="T28" s="108" t="s">
        <v>2329</v>
      </c>
      <c r="U28" s="108">
        <v>10000087</v>
      </c>
      <c r="V28" s="108" t="s">
        <v>2108</v>
      </c>
      <c r="AC28" s="108">
        <v>10205</v>
      </c>
      <c r="AD28" s="108" t="s">
        <v>2515</v>
      </c>
      <c r="AE28" s="108">
        <v>27</v>
      </c>
      <c r="AF28" s="108" t="s">
        <v>2569</v>
      </c>
    </row>
    <row r="29" spans="3:42">
      <c r="Q29" s="108">
        <v>2104</v>
      </c>
      <c r="R29" s="108" t="s">
        <v>2887</v>
      </c>
      <c r="S29" s="108">
        <v>402</v>
      </c>
      <c r="T29" s="108" t="s">
        <v>2330</v>
      </c>
      <c r="U29" s="108">
        <v>10000091</v>
      </c>
      <c r="V29" s="108" t="s">
        <v>2109</v>
      </c>
      <c r="AC29" s="108">
        <v>10206</v>
      </c>
      <c r="AD29" s="108" t="s">
        <v>2516</v>
      </c>
      <c r="AE29" s="108">
        <v>28</v>
      </c>
      <c r="AF29" s="108" t="s">
        <v>2570</v>
      </c>
    </row>
    <row r="30" spans="3:42">
      <c r="Q30" s="108">
        <v>2201</v>
      </c>
      <c r="R30" s="108" t="s">
        <v>2888</v>
      </c>
      <c r="S30" s="108">
        <v>403</v>
      </c>
      <c r="T30" s="108" t="s">
        <v>2331</v>
      </c>
      <c r="U30" s="108">
        <v>10000097</v>
      </c>
      <c r="V30" s="108" t="s">
        <v>2110</v>
      </c>
      <c r="AC30" s="108">
        <v>10207</v>
      </c>
      <c r="AD30" s="108" t="s">
        <v>2517</v>
      </c>
      <c r="AE30" s="108">
        <v>29</v>
      </c>
      <c r="AF30" s="108" t="s">
        <v>2571</v>
      </c>
    </row>
    <row r="31" spans="3:42">
      <c r="Q31" s="108">
        <v>2202</v>
      </c>
      <c r="R31" s="108" t="s">
        <v>2889</v>
      </c>
      <c r="S31" s="108">
        <v>404</v>
      </c>
      <c r="T31" s="108" t="s">
        <v>2332</v>
      </c>
      <c r="U31" s="108">
        <v>10000139</v>
      </c>
      <c r="V31" s="108" t="s">
        <v>2111</v>
      </c>
      <c r="AC31" s="108">
        <v>10208</v>
      </c>
      <c r="AD31" s="108" t="s">
        <v>2518</v>
      </c>
      <c r="AE31" s="108">
        <v>30</v>
      </c>
      <c r="AF31" s="108" t="s">
        <v>2572</v>
      </c>
      <c r="AM31" s="110"/>
    </row>
    <row r="32" spans="3:42">
      <c r="Q32" s="108">
        <v>2203</v>
      </c>
      <c r="R32" s="108" t="s">
        <v>2890</v>
      </c>
      <c r="S32" s="108">
        <v>405</v>
      </c>
      <c r="T32" s="108" t="s">
        <v>2333</v>
      </c>
      <c r="U32" s="108">
        <v>10000157</v>
      </c>
      <c r="V32" s="108" t="s">
        <v>2112</v>
      </c>
      <c r="AC32" s="108">
        <v>10209</v>
      </c>
      <c r="AD32" s="108" t="s">
        <v>2519</v>
      </c>
      <c r="AE32" s="108">
        <v>31</v>
      </c>
      <c r="AF32" s="108" t="s">
        <v>2573</v>
      </c>
      <c r="AO32" s="110"/>
    </row>
    <row r="33" spans="17:41">
      <c r="Q33" s="108">
        <v>2204</v>
      </c>
      <c r="R33" s="108" t="s">
        <v>2891</v>
      </c>
      <c r="S33" s="108">
        <v>406</v>
      </c>
      <c r="T33" s="108" t="s">
        <v>2334</v>
      </c>
      <c r="U33" s="108">
        <v>10000158</v>
      </c>
      <c r="V33" s="108" t="s">
        <v>2113</v>
      </c>
      <c r="AC33" s="108">
        <v>10210</v>
      </c>
      <c r="AD33" s="108" t="s">
        <v>2520</v>
      </c>
      <c r="AE33" s="108">
        <v>32</v>
      </c>
      <c r="AF33" s="108" t="s">
        <v>2574</v>
      </c>
    </row>
    <row r="34" spans="17:41">
      <c r="Q34" s="108">
        <v>2301</v>
      </c>
      <c r="R34" s="108" t="s">
        <v>2892</v>
      </c>
      <c r="S34" s="108">
        <v>501</v>
      </c>
      <c r="T34" s="108" t="s">
        <v>2335</v>
      </c>
      <c r="U34" s="108">
        <v>10000164</v>
      </c>
      <c r="V34" s="108" t="s">
        <v>2114</v>
      </c>
      <c r="AC34" s="108">
        <v>10211</v>
      </c>
      <c r="AD34" s="108" t="s">
        <v>2521</v>
      </c>
      <c r="AE34" s="108">
        <v>33</v>
      </c>
      <c r="AF34" s="108" t="s">
        <v>2575</v>
      </c>
    </row>
    <row r="35" spans="17:41">
      <c r="Q35" s="108">
        <v>2302</v>
      </c>
      <c r="R35" s="108" t="s">
        <v>2893</v>
      </c>
      <c r="S35" s="108">
        <v>502</v>
      </c>
      <c r="T35" s="108" t="s">
        <v>2336</v>
      </c>
      <c r="U35" s="108">
        <v>10000165</v>
      </c>
      <c r="V35" s="108" t="s">
        <v>2115</v>
      </c>
      <c r="AC35" s="108">
        <v>10212</v>
      </c>
      <c r="AD35" s="108" t="s">
        <v>2522</v>
      </c>
      <c r="AE35" s="108">
        <v>34</v>
      </c>
      <c r="AF35" s="108" t="s">
        <v>2576</v>
      </c>
    </row>
    <row r="36" spans="17:41">
      <c r="Q36" s="108">
        <v>2303</v>
      </c>
      <c r="R36" s="108" t="s">
        <v>2894</v>
      </c>
      <c r="S36" s="108">
        <v>503</v>
      </c>
      <c r="T36" s="108" t="s">
        <v>2337</v>
      </c>
      <c r="U36" s="108">
        <v>10000173</v>
      </c>
      <c r="V36" s="108" t="s">
        <v>2116</v>
      </c>
      <c r="AC36" s="108">
        <v>10213</v>
      </c>
      <c r="AD36" s="108" t="s">
        <v>2523</v>
      </c>
      <c r="AE36" s="108">
        <v>35</v>
      </c>
      <c r="AF36" s="108" t="s">
        <v>2577</v>
      </c>
    </row>
    <row r="37" spans="17:41">
      <c r="Q37" s="108">
        <v>2304</v>
      </c>
      <c r="R37" s="108" t="s">
        <v>2895</v>
      </c>
      <c r="S37" s="108">
        <v>504</v>
      </c>
      <c r="T37" s="108" t="s">
        <v>2338</v>
      </c>
      <c r="U37" s="108">
        <v>10000197</v>
      </c>
      <c r="V37" s="108" t="s">
        <v>2117</v>
      </c>
      <c r="AC37" s="108">
        <v>10214</v>
      </c>
      <c r="AD37" s="108" t="s">
        <v>2524</v>
      </c>
      <c r="AE37" s="108">
        <v>36</v>
      </c>
      <c r="AF37" s="108" t="s">
        <v>2578</v>
      </c>
    </row>
    <row r="38" spans="17:41">
      <c r="Q38" s="108">
        <v>2305</v>
      </c>
      <c r="R38" s="108" t="s">
        <v>2896</v>
      </c>
      <c r="S38" s="108">
        <v>505</v>
      </c>
      <c r="T38" s="108" t="s">
        <v>2339</v>
      </c>
      <c r="U38" s="108">
        <v>10000202</v>
      </c>
      <c r="V38" s="108" t="s">
        <v>2118</v>
      </c>
      <c r="AC38" s="108">
        <v>10215</v>
      </c>
      <c r="AD38" s="108" t="s">
        <v>2525</v>
      </c>
      <c r="AE38" s="108">
        <v>37</v>
      </c>
      <c r="AF38" s="108" t="s">
        <v>2579</v>
      </c>
    </row>
    <row r="39" spans="17:41">
      <c r="Q39" s="108">
        <v>2306</v>
      </c>
      <c r="R39" s="108" t="s">
        <v>2897</v>
      </c>
      <c r="S39" s="108">
        <v>506</v>
      </c>
      <c r="T39" s="108" t="s">
        <v>2340</v>
      </c>
      <c r="U39" s="108">
        <v>10000205</v>
      </c>
      <c r="V39" s="108" t="s">
        <v>2119</v>
      </c>
      <c r="AC39" s="108">
        <v>10216</v>
      </c>
      <c r="AD39" s="108" t="s">
        <v>2526</v>
      </c>
      <c r="AE39" s="108">
        <v>38</v>
      </c>
      <c r="AF39" s="108" t="s">
        <v>2580</v>
      </c>
    </row>
    <row r="40" spans="17:41">
      <c r="Q40" s="108">
        <v>2307</v>
      </c>
      <c r="R40" s="108" t="s">
        <v>2898</v>
      </c>
      <c r="S40" s="108">
        <v>507</v>
      </c>
      <c r="T40" s="108" t="s">
        <v>2341</v>
      </c>
      <c r="U40" s="108">
        <v>10000206</v>
      </c>
      <c r="V40" s="108" t="s">
        <v>2120</v>
      </c>
      <c r="AC40" s="108">
        <v>10217</v>
      </c>
      <c r="AD40" s="108" t="s">
        <v>2527</v>
      </c>
      <c r="AE40" s="108">
        <v>39</v>
      </c>
      <c r="AF40" s="108" t="s">
        <v>2581</v>
      </c>
    </row>
    <row r="41" spans="17:41">
      <c r="Q41" s="108">
        <v>2308</v>
      </c>
      <c r="R41" s="108" t="s">
        <v>2899</v>
      </c>
      <c r="S41" s="108">
        <v>508</v>
      </c>
      <c r="T41" s="108" t="s">
        <v>2342</v>
      </c>
      <c r="U41" s="108">
        <v>10000210</v>
      </c>
      <c r="V41" s="108" t="s">
        <v>2121</v>
      </c>
      <c r="AC41" s="108">
        <v>10218</v>
      </c>
      <c r="AD41" s="108" t="s">
        <v>2528</v>
      </c>
      <c r="AE41" s="108">
        <v>40</v>
      </c>
      <c r="AF41" s="108" t="s">
        <v>2582</v>
      </c>
    </row>
    <row r="42" spans="17:41">
      <c r="Q42" s="108">
        <v>2401</v>
      </c>
      <c r="R42" s="108" t="s">
        <v>2900</v>
      </c>
      <c r="S42" s="108">
        <v>509</v>
      </c>
      <c r="T42" s="108" t="s">
        <v>2343</v>
      </c>
      <c r="U42" s="108">
        <v>10000212</v>
      </c>
      <c r="V42" s="108" t="s">
        <v>2122</v>
      </c>
      <c r="AC42" s="108">
        <v>10219</v>
      </c>
      <c r="AD42" s="108" t="s">
        <v>2529</v>
      </c>
      <c r="AE42" s="108">
        <v>41</v>
      </c>
      <c r="AF42" s="108" t="s">
        <v>2583</v>
      </c>
    </row>
    <row r="43" spans="17:41">
      <c r="Q43" s="108">
        <v>2402</v>
      </c>
      <c r="R43" s="108" t="s">
        <v>2901</v>
      </c>
      <c r="S43" s="108">
        <v>510</v>
      </c>
      <c r="T43" s="108" t="s">
        <v>2344</v>
      </c>
      <c r="U43" s="108">
        <v>10000224</v>
      </c>
      <c r="V43" s="108" t="s">
        <v>2123</v>
      </c>
      <c r="AC43" s="108">
        <v>10220</v>
      </c>
      <c r="AD43" s="108" t="s">
        <v>2530</v>
      </c>
      <c r="AE43" s="108">
        <v>42</v>
      </c>
      <c r="AF43" s="108" t="s">
        <v>2584</v>
      </c>
    </row>
    <row r="44" spans="17:41">
      <c r="Q44" s="108">
        <v>2499</v>
      </c>
      <c r="R44" s="108" t="s">
        <v>2902</v>
      </c>
      <c r="S44" s="108">
        <v>511</v>
      </c>
      <c r="T44" s="108" t="s">
        <v>2345</v>
      </c>
      <c r="U44" s="108">
        <v>10000243</v>
      </c>
      <c r="V44" s="108" t="s">
        <v>2124</v>
      </c>
      <c r="AC44" s="108">
        <v>10221</v>
      </c>
      <c r="AD44" s="108" t="s">
        <v>2531</v>
      </c>
      <c r="AE44" s="108">
        <v>43</v>
      </c>
      <c r="AF44" s="108" t="s">
        <v>2585</v>
      </c>
      <c r="AM44" s="110"/>
    </row>
    <row r="45" spans="17:41">
      <c r="Q45" s="108">
        <v>2901</v>
      </c>
      <c r="R45" s="108" t="s">
        <v>2903</v>
      </c>
      <c r="S45" s="108">
        <v>512</v>
      </c>
      <c r="T45" s="108" t="s">
        <v>2346</v>
      </c>
      <c r="U45" s="108">
        <v>10000248</v>
      </c>
      <c r="V45" s="108" t="s">
        <v>2125</v>
      </c>
      <c r="AC45" s="108">
        <v>10222</v>
      </c>
      <c r="AD45" s="111" t="s">
        <v>2532</v>
      </c>
      <c r="AE45" s="108">
        <v>44</v>
      </c>
      <c r="AF45" s="108" t="s">
        <v>2586</v>
      </c>
      <c r="AO45" s="110"/>
    </row>
    <row r="46" spans="17:41">
      <c r="Q46" s="122">
        <v>2979</v>
      </c>
      <c r="R46" s="122" t="s">
        <v>2904</v>
      </c>
      <c r="S46" s="108">
        <v>513</v>
      </c>
      <c r="T46" s="108" t="s">
        <v>2347</v>
      </c>
      <c r="U46" s="108">
        <v>10000289</v>
      </c>
      <c r="V46" s="108" t="s">
        <v>2126</v>
      </c>
      <c r="AC46" s="108">
        <v>10223</v>
      </c>
      <c r="AD46" s="111" t="s">
        <v>2533</v>
      </c>
      <c r="AE46" s="108">
        <v>45</v>
      </c>
      <c r="AF46" s="108" t="s">
        <v>2587</v>
      </c>
    </row>
    <row r="47" spans="17:41">
      <c r="Q47" s="122">
        <v>2980</v>
      </c>
      <c r="R47" s="122" t="s">
        <v>2905</v>
      </c>
      <c r="S47" s="108">
        <v>514</v>
      </c>
      <c r="T47" s="108" t="s">
        <v>2348</v>
      </c>
      <c r="U47" s="108">
        <v>10000292</v>
      </c>
      <c r="V47" s="108" t="s">
        <v>2127</v>
      </c>
      <c r="AC47" s="108">
        <v>10224</v>
      </c>
      <c r="AD47" s="111" t="s">
        <v>2534</v>
      </c>
      <c r="AE47" s="108">
        <v>46</v>
      </c>
      <c r="AF47" s="108" t="s">
        <v>2588</v>
      </c>
    </row>
    <row r="48" spans="17:41">
      <c r="Q48" s="122">
        <v>800002</v>
      </c>
      <c r="R48" s="122" t="s">
        <v>2906</v>
      </c>
      <c r="S48" s="108">
        <v>515</v>
      </c>
      <c r="T48" s="108" t="s">
        <v>2349</v>
      </c>
      <c r="U48" s="108">
        <v>10000304</v>
      </c>
      <c r="V48" s="108" t="s">
        <v>2128</v>
      </c>
      <c r="AC48" s="108">
        <v>10225</v>
      </c>
      <c r="AD48" s="111" t="s">
        <v>2535</v>
      </c>
      <c r="AE48" s="108">
        <v>47</v>
      </c>
      <c r="AF48" s="108" t="s">
        <v>2589</v>
      </c>
    </row>
    <row r="49" spans="17:32">
      <c r="Q49" s="108">
        <v>3001</v>
      </c>
      <c r="R49" s="108" t="s">
        <v>2907</v>
      </c>
      <c r="S49" s="108">
        <v>516</v>
      </c>
      <c r="T49" s="108" t="s">
        <v>2350</v>
      </c>
      <c r="U49" s="108">
        <v>10000307</v>
      </c>
      <c r="V49" s="108" t="s">
        <v>2129</v>
      </c>
      <c r="AC49" s="108">
        <v>10226</v>
      </c>
      <c r="AD49" s="111" t="s">
        <v>2536</v>
      </c>
      <c r="AE49" s="108">
        <v>20101</v>
      </c>
      <c r="AF49" s="108" t="s">
        <v>2590</v>
      </c>
    </row>
    <row r="50" spans="17:32">
      <c r="Q50" s="108">
        <v>3002</v>
      </c>
      <c r="R50" s="108" t="s">
        <v>2908</v>
      </c>
      <c r="S50" s="108">
        <v>517</v>
      </c>
      <c r="T50" s="108" t="s">
        <v>2351</v>
      </c>
      <c r="U50" s="108">
        <v>10000308</v>
      </c>
      <c r="V50" s="108" t="s">
        <v>2130</v>
      </c>
      <c r="AC50" s="108">
        <v>10299</v>
      </c>
      <c r="AD50" s="108" t="s">
        <v>2537</v>
      </c>
      <c r="AE50" s="108">
        <v>20102</v>
      </c>
      <c r="AF50" s="108" t="s">
        <v>2591</v>
      </c>
    </row>
    <row r="51" spans="17:32">
      <c r="Q51" s="108">
        <v>3003</v>
      </c>
      <c r="R51" s="108" t="s">
        <v>2909</v>
      </c>
      <c r="S51" s="108">
        <v>518</v>
      </c>
      <c r="T51" s="108" t="s">
        <v>2352</v>
      </c>
      <c r="U51" s="108">
        <v>10000309</v>
      </c>
      <c r="V51" s="108" t="s">
        <v>2131</v>
      </c>
      <c r="AC51" s="108">
        <v>10301</v>
      </c>
      <c r="AD51" s="108" t="s">
        <v>2538</v>
      </c>
      <c r="AE51" s="108">
        <v>20103</v>
      </c>
      <c r="AF51" s="108" t="s">
        <v>2592</v>
      </c>
    </row>
    <row r="52" spans="17:32">
      <c r="Q52" s="108">
        <v>3099</v>
      </c>
      <c r="R52" s="108" t="s">
        <v>2910</v>
      </c>
      <c r="S52" s="108">
        <v>519</v>
      </c>
      <c r="T52" s="108" t="s">
        <v>2353</v>
      </c>
      <c r="U52" s="108">
        <v>10000313</v>
      </c>
      <c r="V52" s="108" t="s">
        <v>2132</v>
      </c>
      <c r="AC52" s="108">
        <v>10302</v>
      </c>
      <c r="AD52" s="108" t="s">
        <v>2539</v>
      </c>
      <c r="AE52" s="108">
        <v>20104</v>
      </c>
      <c r="AF52" s="108" t="s">
        <v>2593</v>
      </c>
    </row>
    <row r="53" spans="17:32">
      <c r="Q53" s="108">
        <v>3101</v>
      </c>
      <c r="R53" s="108" t="s">
        <v>2911</v>
      </c>
      <c r="S53" s="108">
        <v>520</v>
      </c>
      <c r="T53" s="108" t="s">
        <v>2354</v>
      </c>
      <c r="U53" s="108">
        <v>10000316</v>
      </c>
      <c r="V53" s="108" t="s">
        <v>2133</v>
      </c>
      <c r="AC53" s="108">
        <v>10399</v>
      </c>
      <c r="AD53" s="108" t="s">
        <v>2540</v>
      </c>
      <c r="AE53" s="108">
        <v>20105</v>
      </c>
      <c r="AF53" s="108" t="s">
        <v>2594</v>
      </c>
    </row>
    <row r="54" spans="17:32">
      <c r="Q54" s="108">
        <v>3102</v>
      </c>
      <c r="R54" s="108" t="s">
        <v>2912</v>
      </c>
      <c r="S54" s="108">
        <v>521</v>
      </c>
      <c r="T54" s="108" t="s">
        <v>2355</v>
      </c>
      <c r="U54" s="108">
        <v>10000317</v>
      </c>
      <c r="V54" s="108" t="s">
        <v>2134</v>
      </c>
      <c r="AC54" s="108">
        <v>10499</v>
      </c>
      <c r="AD54" s="108" t="s">
        <v>2541</v>
      </c>
      <c r="AE54" s="108">
        <v>20106</v>
      </c>
      <c r="AF54" s="108" t="s">
        <v>2595</v>
      </c>
    </row>
    <row r="55" spans="17:32">
      <c r="Q55" s="108">
        <v>3103</v>
      </c>
      <c r="R55" s="108" t="s">
        <v>2913</v>
      </c>
      <c r="S55" s="108">
        <v>522</v>
      </c>
      <c r="T55" s="108" t="s">
        <v>2356</v>
      </c>
      <c r="U55" s="108">
        <v>10000329</v>
      </c>
      <c r="V55" s="108" t="s">
        <v>2135</v>
      </c>
      <c r="AE55" s="108">
        <v>20107</v>
      </c>
      <c r="AF55" s="108" t="s">
        <v>2596</v>
      </c>
    </row>
    <row r="56" spans="17:32">
      <c r="Q56" s="108">
        <v>3199</v>
      </c>
      <c r="R56" s="108" t="s">
        <v>2914</v>
      </c>
      <c r="S56" s="108">
        <v>523</v>
      </c>
      <c r="T56" s="108" t="s">
        <v>2357</v>
      </c>
      <c r="U56" s="108">
        <v>10000330</v>
      </c>
      <c r="V56" s="108" t="s">
        <v>2136</v>
      </c>
      <c r="AE56" s="108">
        <v>20108</v>
      </c>
      <c r="AF56" s="108" t="s">
        <v>2597</v>
      </c>
    </row>
    <row r="57" spans="17:32">
      <c r="Q57" s="108">
        <v>3201</v>
      </c>
      <c r="R57" s="108" t="s">
        <v>2915</v>
      </c>
      <c r="S57" s="108">
        <v>524</v>
      </c>
      <c r="T57" s="108" t="s">
        <v>2358</v>
      </c>
      <c r="U57" s="108">
        <v>10000331</v>
      </c>
      <c r="V57" s="108" t="s">
        <v>2137</v>
      </c>
      <c r="AE57" s="108">
        <v>20109</v>
      </c>
      <c r="AF57" s="108" t="s">
        <v>2598</v>
      </c>
    </row>
    <row r="58" spans="17:32">
      <c r="Q58" s="108">
        <v>3202</v>
      </c>
      <c r="R58" s="108" t="s">
        <v>2916</v>
      </c>
      <c r="S58" s="108">
        <v>525</v>
      </c>
      <c r="T58" s="108" t="s">
        <v>2359</v>
      </c>
      <c r="U58" s="108">
        <v>10000332</v>
      </c>
      <c r="V58" s="108" t="s">
        <v>2138</v>
      </c>
      <c r="AE58" s="108">
        <v>20110</v>
      </c>
      <c r="AF58" s="108" t="s">
        <v>2599</v>
      </c>
    </row>
    <row r="59" spans="17:32">
      <c r="Q59" s="108">
        <v>3299</v>
      </c>
      <c r="R59" s="108" t="s">
        <v>2917</v>
      </c>
      <c r="S59" s="108">
        <v>526</v>
      </c>
      <c r="T59" s="108" t="s">
        <v>2360</v>
      </c>
      <c r="U59" s="108">
        <v>10000339</v>
      </c>
      <c r="V59" s="108" t="s">
        <v>2139</v>
      </c>
      <c r="AE59" s="108">
        <v>20111</v>
      </c>
      <c r="AF59" s="108" t="s">
        <v>2600</v>
      </c>
    </row>
    <row r="60" spans="17:32">
      <c r="Q60" s="108">
        <v>3301</v>
      </c>
      <c r="R60" s="108" t="s">
        <v>2918</v>
      </c>
      <c r="S60" s="108">
        <v>527</v>
      </c>
      <c r="T60" s="108" t="s">
        <v>2361</v>
      </c>
      <c r="U60" s="108">
        <v>10000340</v>
      </c>
      <c r="V60" s="108" t="s">
        <v>2140</v>
      </c>
      <c r="AE60" s="108">
        <v>20112</v>
      </c>
      <c r="AF60" s="108" t="s">
        <v>2601</v>
      </c>
    </row>
    <row r="61" spans="17:32">
      <c r="Q61" s="108">
        <v>3302</v>
      </c>
      <c r="R61" s="108" t="s">
        <v>2919</v>
      </c>
      <c r="S61" s="108">
        <v>528</v>
      </c>
      <c r="T61" s="108" t="s">
        <v>2362</v>
      </c>
      <c r="U61" s="108">
        <v>10000344</v>
      </c>
      <c r="V61" s="108" t="s">
        <v>2141</v>
      </c>
      <c r="AE61" s="108">
        <v>20113</v>
      </c>
      <c r="AF61" s="108" t="s">
        <v>2602</v>
      </c>
    </row>
    <row r="62" spans="17:32">
      <c r="Q62" s="108">
        <v>3303</v>
      </c>
      <c r="R62" s="108" t="s">
        <v>2920</v>
      </c>
      <c r="S62" s="108">
        <v>529</v>
      </c>
      <c r="T62" s="108" t="s">
        <v>2363</v>
      </c>
      <c r="U62" s="108">
        <v>10000345</v>
      </c>
      <c r="V62" s="108" t="s">
        <v>2142</v>
      </c>
      <c r="AE62" s="108">
        <v>20201</v>
      </c>
      <c r="AF62" s="108" t="s">
        <v>2603</v>
      </c>
    </row>
    <row r="63" spans="17:32">
      <c r="Q63" s="108">
        <v>3901</v>
      </c>
      <c r="R63" s="108" t="s">
        <v>2921</v>
      </c>
      <c r="S63" s="108">
        <v>530</v>
      </c>
      <c r="T63" s="108" t="s">
        <v>2364</v>
      </c>
      <c r="U63" s="108">
        <v>10000346</v>
      </c>
      <c r="V63" s="108" t="s">
        <v>2143</v>
      </c>
      <c r="AE63" s="108">
        <v>20202</v>
      </c>
      <c r="AF63" s="108" t="s">
        <v>2604</v>
      </c>
    </row>
    <row r="64" spans="17:32">
      <c r="Q64" s="108">
        <v>3903</v>
      </c>
      <c r="R64" s="108" t="s">
        <v>2922</v>
      </c>
      <c r="S64" s="108">
        <v>531</v>
      </c>
      <c r="T64" s="108" t="s">
        <v>2365</v>
      </c>
      <c r="U64" s="108">
        <v>10000349</v>
      </c>
      <c r="V64" s="108" t="s">
        <v>2144</v>
      </c>
      <c r="AE64" s="108">
        <v>20203</v>
      </c>
      <c r="AF64" s="108" t="s">
        <v>2605</v>
      </c>
    </row>
    <row r="65" spans="17:32">
      <c r="Q65" s="122">
        <v>8900</v>
      </c>
      <c r="R65" s="122" t="s">
        <v>2923</v>
      </c>
      <c r="S65" s="108">
        <v>532</v>
      </c>
      <c r="T65" s="108" t="s">
        <v>2366</v>
      </c>
      <c r="U65" s="108">
        <v>10000350</v>
      </c>
      <c r="V65" s="108" t="s">
        <v>2145</v>
      </c>
      <c r="AE65" s="108">
        <v>20204</v>
      </c>
      <c r="AF65" s="108" t="s">
        <v>2606</v>
      </c>
    </row>
    <row r="66" spans="17:32">
      <c r="Q66" s="122">
        <v>8901</v>
      </c>
      <c r="R66" s="122" t="s">
        <v>2924</v>
      </c>
      <c r="S66" s="108">
        <v>533</v>
      </c>
      <c r="T66" s="108" t="s">
        <v>2367</v>
      </c>
      <c r="U66" s="108">
        <v>10000351</v>
      </c>
      <c r="V66" s="108" t="s">
        <v>2146</v>
      </c>
      <c r="AE66" s="108">
        <v>20205</v>
      </c>
      <c r="AF66" s="108" t="s">
        <v>2607</v>
      </c>
    </row>
    <row r="67" spans="17:32">
      <c r="Q67" s="108">
        <v>3902</v>
      </c>
      <c r="R67" s="108" t="s">
        <v>2925</v>
      </c>
      <c r="S67" s="108">
        <v>534</v>
      </c>
      <c r="T67" s="108" t="s">
        <v>2368</v>
      </c>
      <c r="U67" s="108">
        <v>10000354</v>
      </c>
      <c r="V67" s="108" t="s">
        <v>2147</v>
      </c>
      <c r="AE67" s="108">
        <v>20206</v>
      </c>
      <c r="AF67" s="108" t="s">
        <v>2608</v>
      </c>
    </row>
    <row r="68" spans="17:32">
      <c r="Q68" s="108">
        <v>3999</v>
      </c>
      <c r="R68" s="108" t="s">
        <v>2926</v>
      </c>
      <c r="S68" s="108">
        <v>601</v>
      </c>
      <c r="T68" s="108" t="s">
        <v>2369</v>
      </c>
      <c r="U68" s="108">
        <v>10000355</v>
      </c>
      <c r="V68" s="108" t="s">
        <v>2148</v>
      </c>
      <c r="AE68" s="108">
        <v>20207</v>
      </c>
      <c r="AF68" s="108" t="s">
        <v>2609</v>
      </c>
    </row>
    <row r="69" spans="17:32">
      <c r="Q69" s="122">
        <v>800003</v>
      </c>
      <c r="R69" s="122" t="s">
        <v>2927</v>
      </c>
      <c r="S69" s="108">
        <v>602</v>
      </c>
      <c r="T69" s="108" t="s">
        <v>2370</v>
      </c>
      <c r="U69" s="108">
        <v>10000356</v>
      </c>
      <c r="V69" s="108" t="s">
        <v>2149</v>
      </c>
      <c r="AE69" s="108">
        <v>20208</v>
      </c>
      <c r="AF69" s="108" t="s">
        <v>2610</v>
      </c>
    </row>
    <row r="70" spans="17:32">
      <c r="Q70" s="108">
        <v>4001</v>
      </c>
      <c r="R70" s="108" t="s">
        <v>2928</v>
      </c>
      <c r="S70" s="108">
        <v>603</v>
      </c>
      <c r="T70" s="108" t="s">
        <v>2371</v>
      </c>
      <c r="U70" s="108">
        <v>10000357</v>
      </c>
      <c r="V70" s="108" t="s">
        <v>2150</v>
      </c>
      <c r="AE70" s="108">
        <v>20209</v>
      </c>
      <c r="AF70" s="108" t="s">
        <v>2611</v>
      </c>
    </row>
    <row r="71" spans="17:32">
      <c r="Q71" s="108">
        <v>4002</v>
      </c>
      <c r="R71" s="108" t="s">
        <v>2929</v>
      </c>
      <c r="S71" s="108">
        <v>604</v>
      </c>
      <c r="T71" s="108" t="s">
        <v>2372</v>
      </c>
      <c r="U71" s="108">
        <v>10000358</v>
      </c>
      <c r="V71" s="108" t="s">
        <v>2151</v>
      </c>
      <c r="AE71" s="108">
        <v>20210</v>
      </c>
      <c r="AF71" s="108" t="s">
        <v>2612</v>
      </c>
    </row>
    <row r="72" spans="17:32">
      <c r="Q72" s="108">
        <v>4003</v>
      </c>
      <c r="R72" s="108" t="s">
        <v>2930</v>
      </c>
      <c r="S72" s="108">
        <v>605</v>
      </c>
      <c r="T72" s="108" t="s">
        <v>2373</v>
      </c>
      <c r="U72" s="108">
        <v>10000360</v>
      </c>
      <c r="V72" s="108" t="s">
        <v>2152</v>
      </c>
      <c r="AE72" s="108">
        <v>20211</v>
      </c>
      <c r="AF72" s="108" t="s">
        <v>2613</v>
      </c>
    </row>
    <row r="73" spans="17:32">
      <c r="Q73" s="108">
        <v>4004</v>
      </c>
      <c r="R73" s="108" t="s">
        <v>2931</v>
      </c>
      <c r="S73" s="108">
        <v>606</v>
      </c>
      <c r="T73" s="108" t="s">
        <v>2374</v>
      </c>
      <c r="U73" s="108">
        <v>10000361</v>
      </c>
      <c r="V73" s="108" t="s">
        <v>2153</v>
      </c>
      <c r="AE73" s="108">
        <v>20212</v>
      </c>
      <c r="AF73" s="108" t="s">
        <v>2614</v>
      </c>
    </row>
    <row r="74" spans="17:32">
      <c r="Q74" s="108">
        <v>4005</v>
      </c>
      <c r="R74" s="108" t="s">
        <v>2932</v>
      </c>
      <c r="S74" s="108">
        <v>607</v>
      </c>
      <c r="T74" s="108" t="s">
        <v>2375</v>
      </c>
      <c r="U74" s="108">
        <v>10000362</v>
      </c>
      <c r="V74" s="108" t="s">
        <v>2154</v>
      </c>
      <c r="AE74" s="108">
        <v>20213</v>
      </c>
      <c r="AF74" s="108" t="s">
        <v>2615</v>
      </c>
    </row>
    <row r="75" spans="17:32">
      <c r="Q75" s="108">
        <v>4101</v>
      </c>
      <c r="R75" s="108" t="s">
        <v>2933</v>
      </c>
      <c r="S75" s="108">
        <v>608</v>
      </c>
      <c r="T75" s="108" t="s">
        <v>2376</v>
      </c>
      <c r="U75" s="108">
        <v>10000363</v>
      </c>
      <c r="V75" s="108" t="s">
        <v>2155</v>
      </c>
      <c r="AE75" s="108">
        <v>20214</v>
      </c>
      <c r="AF75" s="108" t="s">
        <v>2616</v>
      </c>
    </row>
    <row r="76" spans="17:32">
      <c r="Q76" s="108">
        <v>4102</v>
      </c>
      <c r="R76" s="108" t="s">
        <v>2934</v>
      </c>
      <c r="S76" s="108">
        <v>609</v>
      </c>
      <c r="T76" s="108" t="s">
        <v>2377</v>
      </c>
      <c r="U76" s="108">
        <v>10000366</v>
      </c>
      <c r="V76" s="108" t="s">
        <v>2156</v>
      </c>
      <c r="AE76" s="108">
        <v>20215</v>
      </c>
      <c r="AF76" s="108" t="s">
        <v>2617</v>
      </c>
    </row>
    <row r="77" spans="17:32">
      <c r="Q77" s="108">
        <v>4103</v>
      </c>
      <c r="R77" s="108" t="s">
        <v>2935</v>
      </c>
      <c r="S77" s="108">
        <v>610</v>
      </c>
      <c r="T77" s="108" t="s">
        <v>2378</v>
      </c>
      <c r="U77" s="108">
        <v>10000367</v>
      </c>
      <c r="V77" s="108" t="s">
        <v>2157</v>
      </c>
      <c r="AE77" s="108">
        <v>20216</v>
      </c>
      <c r="AF77" s="108" t="s">
        <v>2618</v>
      </c>
    </row>
    <row r="78" spans="17:32">
      <c r="Q78" s="108">
        <v>4104</v>
      </c>
      <c r="R78" s="108" t="s">
        <v>2936</v>
      </c>
      <c r="S78" s="108">
        <v>611</v>
      </c>
      <c r="T78" s="108" t="s">
        <v>2379</v>
      </c>
      <c r="U78" s="108">
        <v>10000368</v>
      </c>
      <c r="V78" s="108" t="s">
        <v>2158</v>
      </c>
      <c r="AE78" s="108">
        <v>20217</v>
      </c>
      <c r="AF78" s="108" t="s">
        <v>2619</v>
      </c>
    </row>
    <row r="79" spans="17:32">
      <c r="Q79" s="108">
        <v>4105</v>
      </c>
      <c r="R79" s="108" t="s">
        <v>2937</v>
      </c>
      <c r="S79" s="108">
        <v>612</v>
      </c>
      <c r="T79" s="108" t="s">
        <v>2380</v>
      </c>
      <c r="U79" s="108">
        <v>10000401</v>
      </c>
      <c r="V79" s="108" t="s">
        <v>2159</v>
      </c>
      <c r="AE79" s="108">
        <v>20218</v>
      </c>
      <c r="AF79" s="108" t="s">
        <v>2620</v>
      </c>
    </row>
    <row r="80" spans="17:32">
      <c r="Q80" s="108">
        <v>4106</v>
      </c>
      <c r="R80" s="108" t="s">
        <v>2938</v>
      </c>
      <c r="S80" s="108">
        <v>701</v>
      </c>
      <c r="T80" s="108" t="s">
        <v>2381</v>
      </c>
      <c r="U80" s="108">
        <v>10000402</v>
      </c>
      <c r="V80" s="108" t="s">
        <v>2160</v>
      </c>
      <c r="AE80" s="108">
        <v>20219</v>
      </c>
      <c r="AF80" s="108" t="s">
        <v>2621</v>
      </c>
    </row>
    <row r="81" spans="17:32">
      <c r="Q81" s="108">
        <v>4107</v>
      </c>
      <c r="R81" s="108" t="s">
        <v>2939</v>
      </c>
      <c r="S81" s="108">
        <v>702</v>
      </c>
      <c r="T81" s="108" t="s">
        <v>2382</v>
      </c>
      <c r="U81" s="108">
        <v>10000403</v>
      </c>
      <c r="V81" s="108" t="s">
        <v>2161</v>
      </c>
      <c r="AE81" s="108">
        <v>20220</v>
      </c>
      <c r="AF81" s="108" t="s">
        <v>2622</v>
      </c>
    </row>
    <row r="82" spans="17:32">
      <c r="Q82" s="108">
        <v>4108</v>
      </c>
      <c r="R82" s="108" t="s">
        <v>2940</v>
      </c>
      <c r="S82" s="108">
        <v>703</v>
      </c>
      <c r="T82" s="108" t="s">
        <v>2383</v>
      </c>
      <c r="U82" s="108">
        <v>10000404</v>
      </c>
      <c r="V82" s="108" t="s">
        <v>2162</v>
      </c>
      <c r="AE82" s="108">
        <v>20221</v>
      </c>
      <c r="AF82" s="108" t="s">
        <v>2623</v>
      </c>
    </row>
    <row r="83" spans="17:32">
      <c r="Q83" s="108">
        <v>4120</v>
      </c>
      <c r="R83" s="108" t="s">
        <v>2941</v>
      </c>
      <c r="S83" s="108">
        <v>704</v>
      </c>
      <c r="T83" s="108" t="s">
        <v>2384</v>
      </c>
      <c r="U83" s="108">
        <v>10000406</v>
      </c>
      <c r="V83" s="108" t="s">
        <v>2163</v>
      </c>
      <c r="AE83" s="108">
        <v>20301</v>
      </c>
      <c r="AF83" s="108" t="s">
        <v>3381</v>
      </c>
    </row>
    <row r="84" spans="17:32">
      <c r="Q84" s="108">
        <v>4121</v>
      </c>
      <c r="R84" s="108" t="s">
        <v>2942</v>
      </c>
      <c r="S84" s="108">
        <v>705</v>
      </c>
      <c r="T84" s="108" t="s">
        <v>2385</v>
      </c>
      <c r="U84" s="108">
        <v>10000407</v>
      </c>
      <c r="V84" s="108" t="s">
        <v>2164</v>
      </c>
      <c r="AE84" s="108">
        <v>20302</v>
      </c>
      <c r="AF84" s="108" t="s">
        <v>3382</v>
      </c>
    </row>
    <row r="85" spans="17:32">
      <c r="Q85" s="108">
        <v>4122</v>
      </c>
      <c r="R85" s="108" t="s">
        <v>2943</v>
      </c>
      <c r="S85" s="108">
        <v>706</v>
      </c>
      <c r="T85" s="108" t="s">
        <v>2386</v>
      </c>
      <c r="U85" s="108">
        <v>10000409</v>
      </c>
      <c r="V85" s="108" t="s">
        <v>2165</v>
      </c>
      <c r="AE85" s="108">
        <v>20303</v>
      </c>
      <c r="AF85" s="108" t="s">
        <v>3383</v>
      </c>
    </row>
    <row r="86" spans="17:32">
      <c r="Q86" s="108">
        <v>4123</v>
      </c>
      <c r="R86" s="108" t="s">
        <v>2944</v>
      </c>
      <c r="S86" s="108">
        <v>707</v>
      </c>
      <c r="T86" s="108" t="s">
        <v>2387</v>
      </c>
      <c r="U86" s="108">
        <v>10000410</v>
      </c>
      <c r="V86" s="108" t="s">
        <v>2166</v>
      </c>
      <c r="AE86" s="108">
        <v>20304</v>
      </c>
      <c r="AF86" s="108" t="s">
        <v>3384</v>
      </c>
    </row>
    <row r="87" spans="17:32">
      <c r="Q87" s="108">
        <v>4124</v>
      </c>
      <c r="R87" s="108" t="s">
        <v>2945</v>
      </c>
      <c r="S87" s="108">
        <v>801</v>
      </c>
      <c r="T87" s="108" t="s">
        <v>2388</v>
      </c>
      <c r="U87" s="108">
        <v>10000411</v>
      </c>
      <c r="V87" s="108" t="s">
        <v>2167</v>
      </c>
      <c r="AE87" s="108">
        <v>20305</v>
      </c>
      <c r="AF87" s="108" t="s">
        <v>3385</v>
      </c>
    </row>
    <row r="88" spans="17:32">
      <c r="Q88" s="108">
        <v>4125</v>
      </c>
      <c r="R88" s="108" t="s">
        <v>2946</v>
      </c>
      <c r="S88" s="108">
        <v>802</v>
      </c>
      <c r="T88" s="108" t="s">
        <v>2389</v>
      </c>
      <c r="AE88" s="108">
        <v>20306</v>
      </c>
      <c r="AF88" s="108" t="s">
        <v>3386</v>
      </c>
    </row>
    <row r="89" spans="17:32">
      <c r="Q89" s="108">
        <v>4126</v>
      </c>
      <c r="R89" s="108" t="s">
        <v>2947</v>
      </c>
      <c r="S89" s="108">
        <v>803</v>
      </c>
      <c r="T89" s="108" t="s">
        <v>2390</v>
      </c>
      <c r="AE89" s="108">
        <v>20307</v>
      </c>
      <c r="AF89" s="108" t="s">
        <v>3387</v>
      </c>
    </row>
    <row r="90" spans="17:32">
      <c r="Q90" s="108">
        <v>4127</v>
      </c>
      <c r="R90" s="108" t="s">
        <v>2948</v>
      </c>
      <c r="S90" s="108">
        <v>804</v>
      </c>
      <c r="T90" s="108" t="s">
        <v>2391</v>
      </c>
    </row>
    <row r="91" spans="17:32">
      <c r="Q91" s="108">
        <v>4128</v>
      </c>
      <c r="R91" s="108" t="s">
        <v>2949</v>
      </c>
      <c r="S91" s="108">
        <v>805</v>
      </c>
      <c r="T91" s="108" t="s">
        <v>2392</v>
      </c>
    </row>
    <row r="92" spans="17:32">
      <c r="Q92" s="108">
        <v>4110</v>
      </c>
      <c r="R92" s="108" t="s">
        <v>2950</v>
      </c>
      <c r="S92" s="108">
        <v>806</v>
      </c>
      <c r="T92" s="108" t="s">
        <v>2393</v>
      </c>
    </row>
    <row r="93" spans="17:32">
      <c r="Q93" s="108">
        <v>4129</v>
      </c>
      <c r="R93" s="108" t="s">
        <v>2951</v>
      </c>
      <c r="S93" s="108">
        <v>901</v>
      </c>
      <c r="T93" s="108" t="s">
        <v>2394</v>
      </c>
    </row>
    <row r="94" spans="17:32">
      <c r="Q94" s="108">
        <v>4111</v>
      </c>
      <c r="R94" s="108" t="s">
        <v>2952</v>
      </c>
      <c r="S94" s="108">
        <v>902</v>
      </c>
      <c r="T94" s="108" t="s">
        <v>2395</v>
      </c>
    </row>
    <row r="95" spans="17:32">
      <c r="Q95" s="108">
        <v>4112</v>
      </c>
      <c r="R95" s="108" t="s">
        <v>2953</v>
      </c>
      <c r="S95" s="108">
        <v>903</v>
      </c>
      <c r="T95" s="108" t="s">
        <v>2396</v>
      </c>
    </row>
    <row r="96" spans="17:32">
      <c r="Q96" s="108">
        <v>4114</v>
      </c>
      <c r="R96" s="108" t="s">
        <v>2954</v>
      </c>
      <c r="S96" s="108">
        <v>904</v>
      </c>
      <c r="T96" s="108" t="s">
        <v>2397</v>
      </c>
    </row>
    <row r="97" spans="17:20">
      <c r="Q97" s="108">
        <v>4116</v>
      </c>
      <c r="R97" s="108" t="s">
        <v>2955</v>
      </c>
      <c r="S97" s="108">
        <v>905</v>
      </c>
      <c r="T97" s="108" t="s">
        <v>2398</v>
      </c>
    </row>
    <row r="98" spans="17:20">
      <c r="Q98" s="108">
        <v>4117</v>
      </c>
      <c r="R98" s="108" t="s">
        <v>2956</v>
      </c>
      <c r="S98" s="108">
        <v>906</v>
      </c>
      <c r="T98" s="108" t="s">
        <v>2399</v>
      </c>
    </row>
    <row r="99" spans="17:20">
      <c r="Q99" s="108">
        <v>4130</v>
      </c>
      <c r="R99" s="108" t="s">
        <v>2957</v>
      </c>
      <c r="S99" s="108">
        <v>907</v>
      </c>
      <c r="T99" s="108" t="s">
        <v>2400</v>
      </c>
    </row>
    <row r="100" spans="17:20">
      <c r="Q100" s="108">
        <v>4131</v>
      </c>
      <c r="R100" s="108" t="s">
        <v>2958</v>
      </c>
      <c r="S100" s="108">
        <v>1001</v>
      </c>
      <c r="T100" s="108" t="s">
        <v>2401</v>
      </c>
    </row>
    <row r="101" spans="17:20">
      <c r="Q101" s="108">
        <v>4199</v>
      </c>
      <c r="R101" s="108" t="s">
        <v>2959</v>
      </c>
      <c r="S101" s="108">
        <v>1002</v>
      </c>
      <c r="T101" s="108" t="s">
        <v>2402</v>
      </c>
    </row>
    <row r="102" spans="17:20">
      <c r="Q102" s="108">
        <v>4201</v>
      </c>
      <c r="R102" s="108" t="s">
        <v>2960</v>
      </c>
      <c r="S102" s="108">
        <v>1003</v>
      </c>
      <c r="T102" s="108" t="s">
        <v>2403</v>
      </c>
    </row>
    <row r="103" spans="17:20">
      <c r="Q103" s="108">
        <v>4202</v>
      </c>
      <c r="R103" s="108" t="s">
        <v>2961</v>
      </c>
      <c r="S103" s="108">
        <v>1004</v>
      </c>
      <c r="T103" s="108" t="s">
        <v>2404</v>
      </c>
    </row>
    <row r="104" spans="17:20">
      <c r="Q104" s="108">
        <v>4203</v>
      </c>
      <c r="R104" s="108" t="s">
        <v>2962</v>
      </c>
      <c r="S104" s="108">
        <v>1005</v>
      </c>
      <c r="T104" s="108" t="s">
        <v>2405</v>
      </c>
    </row>
    <row r="105" spans="17:20">
      <c r="Q105" s="108">
        <v>4204</v>
      </c>
      <c r="R105" s="108" t="s">
        <v>2963</v>
      </c>
      <c r="S105" s="108">
        <v>1006</v>
      </c>
      <c r="T105" s="108" t="s">
        <v>2406</v>
      </c>
    </row>
    <row r="106" spans="17:20">
      <c r="Q106" s="108">
        <v>4205</v>
      </c>
      <c r="R106" s="108" t="s">
        <v>2964</v>
      </c>
      <c r="S106" s="108">
        <v>1100</v>
      </c>
      <c r="T106" s="108" t="s">
        <v>2407</v>
      </c>
    </row>
    <row r="107" spans="17:20">
      <c r="Q107" s="108">
        <v>4206</v>
      </c>
      <c r="R107" s="108" t="s">
        <v>2965</v>
      </c>
      <c r="S107" s="108">
        <v>1101</v>
      </c>
      <c r="T107" s="108" t="s">
        <v>2408</v>
      </c>
    </row>
    <row r="108" spans="17:20">
      <c r="Q108" s="108">
        <v>4207</v>
      </c>
      <c r="R108" s="108" t="s">
        <v>2966</v>
      </c>
      <c r="S108" s="108">
        <v>1102</v>
      </c>
      <c r="T108" s="108" t="s">
        <v>2409</v>
      </c>
    </row>
    <row r="109" spans="17:20">
      <c r="Q109" s="108">
        <v>4208</v>
      </c>
      <c r="R109" s="108" t="s">
        <v>2967</v>
      </c>
      <c r="S109" s="108">
        <v>1103</v>
      </c>
      <c r="T109" s="108" t="s">
        <v>2410</v>
      </c>
    </row>
    <row r="110" spans="17:20">
      <c r="Q110" s="108">
        <v>4220</v>
      </c>
      <c r="R110" s="108" t="s">
        <v>2968</v>
      </c>
      <c r="S110" s="108">
        <v>1104</v>
      </c>
      <c r="T110" s="108" t="s">
        <v>2411</v>
      </c>
    </row>
    <row r="111" spans="17:20">
      <c r="Q111" s="108">
        <v>4221</v>
      </c>
      <c r="R111" s="108" t="s">
        <v>2969</v>
      </c>
      <c r="S111" s="108">
        <v>1107</v>
      </c>
      <c r="T111" s="108" t="s">
        <v>2414</v>
      </c>
    </row>
    <row r="112" spans="17:20">
      <c r="Q112" s="108">
        <v>4222</v>
      </c>
      <c r="R112" s="108" t="s">
        <v>2970</v>
      </c>
      <c r="S112" s="122">
        <v>1105</v>
      </c>
      <c r="T112" s="122" t="s">
        <v>2412</v>
      </c>
    </row>
    <row r="113" spans="17:20">
      <c r="Q113" s="108">
        <v>4223</v>
      </c>
      <c r="R113" s="108" t="s">
        <v>2971</v>
      </c>
      <c r="S113" s="122">
        <v>1106</v>
      </c>
      <c r="T113" s="122" t="s">
        <v>2413</v>
      </c>
    </row>
    <row r="114" spans="17:20">
      <c r="Q114" s="108">
        <v>4224</v>
      </c>
      <c r="R114" s="108" t="s">
        <v>2972</v>
      </c>
      <c r="S114" s="122">
        <v>1200</v>
      </c>
      <c r="T114" s="122" t="s">
        <v>2415</v>
      </c>
    </row>
    <row r="115" spans="17:20">
      <c r="Q115" s="108">
        <v>4225</v>
      </c>
      <c r="R115" s="108" t="s">
        <v>2973</v>
      </c>
      <c r="S115" s="122">
        <v>1201</v>
      </c>
      <c r="T115" s="122" t="s">
        <v>2416</v>
      </c>
    </row>
    <row r="116" spans="17:20">
      <c r="Q116" s="108">
        <v>4226</v>
      </c>
      <c r="R116" s="108" t="s">
        <v>2974</v>
      </c>
      <c r="S116" s="122">
        <v>1202</v>
      </c>
      <c r="T116" s="122" t="s">
        <v>2417</v>
      </c>
    </row>
    <row r="117" spans="17:20">
      <c r="Q117" s="108">
        <v>4227</v>
      </c>
      <c r="R117" s="108" t="s">
        <v>2975</v>
      </c>
      <c r="S117" s="122">
        <v>1203</v>
      </c>
      <c r="T117" s="122" t="s">
        <v>2418</v>
      </c>
    </row>
    <row r="118" spans="17:20">
      <c r="Q118" s="108">
        <v>4228</v>
      </c>
      <c r="R118" s="108" t="s">
        <v>2976</v>
      </c>
      <c r="S118" s="122">
        <v>1204</v>
      </c>
      <c r="T118" s="122" t="s">
        <v>2419</v>
      </c>
    </row>
    <row r="119" spans="17:20">
      <c r="Q119" s="108">
        <v>4210</v>
      </c>
      <c r="R119" s="108" t="s">
        <v>2977</v>
      </c>
      <c r="S119" s="122">
        <v>1205</v>
      </c>
      <c r="T119" s="122" t="s">
        <v>2420</v>
      </c>
    </row>
    <row r="120" spans="17:20">
      <c r="Q120" s="108">
        <v>4229</v>
      </c>
      <c r="R120" s="108" t="s">
        <v>2978</v>
      </c>
      <c r="S120" s="122">
        <v>1206</v>
      </c>
      <c r="T120" s="122" t="s">
        <v>2421</v>
      </c>
    </row>
    <row r="121" spans="17:20">
      <c r="Q121" s="108">
        <v>4211</v>
      </c>
      <c r="R121" s="108" t="s">
        <v>2979</v>
      </c>
      <c r="S121" s="122">
        <v>1207</v>
      </c>
      <c r="T121" s="122" t="s">
        <v>2422</v>
      </c>
    </row>
    <row r="122" spans="17:20">
      <c r="Q122" s="108">
        <v>4212</v>
      </c>
      <c r="R122" s="108" t="s">
        <v>2980</v>
      </c>
      <c r="S122" s="122">
        <v>1208</v>
      </c>
      <c r="T122" s="122" t="s">
        <v>2423</v>
      </c>
    </row>
    <row r="123" spans="17:20">
      <c r="Q123" s="108">
        <v>4214</v>
      </c>
      <c r="R123" s="108" t="s">
        <v>2981</v>
      </c>
      <c r="S123" s="122">
        <v>1209</v>
      </c>
      <c r="T123" s="122" t="s">
        <v>2424</v>
      </c>
    </row>
    <row r="124" spans="17:20">
      <c r="Q124" s="108">
        <v>4216</v>
      </c>
      <c r="R124" s="108" t="s">
        <v>2982</v>
      </c>
      <c r="S124" s="122">
        <v>1210</v>
      </c>
      <c r="T124" s="122" t="s">
        <v>2425</v>
      </c>
    </row>
    <row r="125" spans="17:20">
      <c r="Q125" s="108">
        <v>4217</v>
      </c>
      <c r="R125" s="108" t="s">
        <v>2983</v>
      </c>
      <c r="S125" s="122">
        <v>1211</v>
      </c>
      <c r="T125" s="122" t="s">
        <v>2426</v>
      </c>
    </row>
    <row r="126" spans="17:20">
      <c r="Q126" s="108">
        <v>4230</v>
      </c>
      <c r="R126" s="108" t="s">
        <v>2984</v>
      </c>
      <c r="S126" s="122">
        <v>1212</v>
      </c>
      <c r="T126" s="122" t="s">
        <v>2427</v>
      </c>
    </row>
    <row r="127" spans="17:20">
      <c r="Q127" s="108">
        <v>4231</v>
      </c>
      <c r="R127" s="108" t="s">
        <v>2985</v>
      </c>
      <c r="S127" s="122">
        <v>1213</v>
      </c>
      <c r="T127" s="122" t="s">
        <v>2428</v>
      </c>
    </row>
    <row r="128" spans="17:20">
      <c r="Q128" s="108">
        <v>4299</v>
      </c>
      <c r="R128" s="108" t="s">
        <v>2986</v>
      </c>
      <c r="S128" s="122">
        <v>1214</v>
      </c>
      <c r="T128" s="122" t="s">
        <v>2429</v>
      </c>
    </row>
    <row r="129" spans="17:20">
      <c r="Q129" s="108">
        <v>4301</v>
      </c>
      <c r="R129" s="108" t="s">
        <v>2987</v>
      </c>
      <c r="S129" s="122">
        <v>1215</v>
      </c>
      <c r="T129" s="122" t="s">
        <v>2430</v>
      </c>
    </row>
    <row r="130" spans="17:20">
      <c r="Q130" s="108">
        <v>4302</v>
      </c>
      <c r="R130" s="108" t="s">
        <v>2988</v>
      </c>
      <c r="S130" s="122">
        <v>1216</v>
      </c>
      <c r="T130" s="122" t="s">
        <v>2431</v>
      </c>
    </row>
    <row r="131" spans="17:20">
      <c r="Q131" s="108">
        <v>4303</v>
      </c>
      <c r="R131" s="108" t="s">
        <v>2989</v>
      </c>
      <c r="S131" s="122">
        <v>1217</v>
      </c>
      <c r="T131" s="122" t="s">
        <v>2432</v>
      </c>
    </row>
    <row r="132" spans="17:20">
      <c r="Q132" s="108">
        <v>4304</v>
      </c>
      <c r="R132" s="108" t="s">
        <v>2990</v>
      </c>
      <c r="S132" s="122">
        <v>1218</v>
      </c>
      <c r="T132" s="122" t="s">
        <v>2433</v>
      </c>
    </row>
    <row r="133" spans="17:20">
      <c r="Q133" s="108">
        <v>4305</v>
      </c>
      <c r="R133" s="108" t="s">
        <v>2991</v>
      </c>
      <c r="S133" s="122">
        <v>1301</v>
      </c>
      <c r="T133" s="122" t="s">
        <v>2434</v>
      </c>
    </row>
    <row r="134" spans="17:20">
      <c r="Q134" s="108">
        <v>4306</v>
      </c>
      <c r="R134" s="108" t="s">
        <v>2992</v>
      </c>
      <c r="S134" s="122">
        <v>1302</v>
      </c>
      <c r="T134" s="122" t="s">
        <v>2435</v>
      </c>
    </row>
    <row r="135" spans="17:20">
      <c r="Q135" s="108">
        <v>4307</v>
      </c>
      <c r="R135" s="108" t="s">
        <v>2993</v>
      </c>
      <c r="S135" s="122">
        <v>1401</v>
      </c>
      <c r="T135" s="122" t="s">
        <v>2436</v>
      </c>
    </row>
    <row r="136" spans="17:20">
      <c r="Q136" s="108">
        <v>4308</v>
      </c>
      <c r="R136" s="108" t="s">
        <v>2994</v>
      </c>
      <c r="S136" s="122">
        <v>1402</v>
      </c>
      <c r="T136" s="122" t="s">
        <v>2437</v>
      </c>
    </row>
    <row r="137" spans="17:20">
      <c r="Q137" s="108">
        <v>4320</v>
      </c>
      <c r="R137" s="108" t="s">
        <v>2995</v>
      </c>
      <c r="S137" s="122">
        <v>1403</v>
      </c>
      <c r="T137" s="122" t="s">
        <v>2438</v>
      </c>
    </row>
    <row r="138" spans="17:20">
      <c r="Q138" s="108">
        <v>4321</v>
      </c>
      <c r="R138" s="108" t="s">
        <v>2996</v>
      </c>
      <c r="S138" s="122">
        <v>5000</v>
      </c>
      <c r="T138" s="122" t="s">
        <v>2439</v>
      </c>
    </row>
    <row r="139" spans="17:20">
      <c r="Q139" s="108">
        <v>4322</v>
      </c>
      <c r="R139" s="108" t="s">
        <v>2997</v>
      </c>
      <c r="S139" s="122">
        <v>8000</v>
      </c>
      <c r="T139" s="122" t="s">
        <v>2440</v>
      </c>
    </row>
    <row r="140" spans="17:20">
      <c r="Q140" s="108">
        <v>4323</v>
      </c>
      <c r="R140" s="108" t="s">
        <v>2998</v>
      </c>
      <c r="S140" s="122">
        <v>9999</v>
      </c>
      <c r="T140" s="122" t="s">
        <v>2441</v>
      </c>
    </row>
    <row r="141" spans="17:20">
      <c r="Q141" s="108">
        <v>4324</v>
      </c>
      <c r="R141" s="108" t="s">
        <v>2999</v>
      </c>
    </row>
    <row r="142" spans="17:20">
      <c r="Q142" s="108">
        <v>4325</v>
      </c>
      <c r="R142" s="108" t="s">
        <v>3000</v>
      </c>
    </row>
    <row r="143" spans="17:20">
      <c r="Q143" s="108">
        <v>4326</v>
      </c>
      <c r="R143" s="108" t="s">
        <v>3001</v>
      </c>
    </row>
    <row r="144" spans="17:20">
      <c r="Q144" s="108">
        <v>4327</v>
      </c>
      <c r="R144" s="108" t="s">
        <v>3002</v>
      </c>
    </row>
    <row r="145" spans="17:18">
      <c r="Q145" s="108">
        <v>4328</v>
      </c>
      <c r="R145" s="108" t="s">
        <v>3003</v>
      </c>
    </row>
    <row r="146" spans="17:18">
      <c r="Q146" s="108">
        <v>4310</v>
      </c>
      <c r="R146" s="108" t="s">
        <v>3004</v>
      </c>
    </row>
    <row r="147" spans="17:18">
      <c r="Q147" s="108">
        <v>4329</v>
      </c>
      <c r="R147" s="108" t="s">
        <v>3005</v>
      </c>
    </row>
    <row r="148" spans="17:18">
      <c r="Q148" s="108">
        <v>4311</v>
      </c>
      <c r="R148" s="108" t="s">
        <v>3006</v>
      </c>
    </row>
    <row r="149" spans="17:18">
      <c r="Q149" s="108">
        <v>4312</v>
      </c>
      <c r="R149" s="108" t="s">
        <v>3007</v>
      </c>
    </row>
    <row r="150" spans="17:18">
      <c r="Q150" s="108">
        <v>4314</v>
      </c>
      <c r="R150" s="108" t="s">
        <v>3008</v>
      </c>
    </row>
    <row r="151" spans="17:18">
      <c r="Q151" s="108">
        <v>4316</v>
      </c>
      <c r="R151" s="108" t="s">
        <v>3009</v>
      </c>
    </row>
    <row r="152" spans="17:18">
      <c r="Q152" s="108">
        <v>4317</v>
      </c>
      <c r="R152" s="108" t="s">
        <v>3010</v>
      </c>
    </row>
    <row r="153" spans="17:18">
      <c r="Q153" s="108">
        <v>4330</v>
      </c>
      <c r="R153" s="108" t="s">
        <v>3011</v>
      </c>
    </row>
    <row r="154" spans="17:18">
      <c r="Q154" s="108">
        <v>4331</v>
      </c>
      <c r="R154" s="108" t="s">
        <v>3012</v>
      </c>
    </row>
    <row r="155" spans="17:18">
      <c r="Q155" s="108">
        <v>4399</v>
      </c>
      <c r="R155" s="108" t="s">
        <v>3013</v>
      </c>
    </row>
    <row r="156" spans="17:18">
      <c r="Q156" s="108">
        <v>4401</v>
      </c>
      <c r="R156" s="108" t="s">
        <v>3014</v>
      </c>
    </row>
    <row r="157" spans="17:18">
      <c r="Q157" s="108">
        <v>4402</v>
      </c>
      <c r="R157" s="108" t="s">
        <v>3015</v>
      </c>
    </row>
    <row r="158" spans="17:18">
      <c r="Q158" s="108">
        <v>4403</v>
      </c>
      <c r="R158" s="108" t="s">
        <v>3016</v>
      </c>
    </row>
    <row r="159" spans="17:18">
      <c r="Q159" s="108">
        <v>4404</v>
      </c>
      <c r="R159" s="108" t="s">
        <v>3017</v>
      </c>
    </row>
    <row r="160" spans="17:18">
      <c r="Q160" s="108">
        <v>4405</v>
      </c>
      <c r="R160" s="108" t="s">
        <v>3018</v>
      </c>
    </row>
    <row r="161" spans="17:18">
      <c r="Q161" s="108">
        <v>4499</v>
      </c>
      <c r="R161" s="108" t="s">
        <v>3019</v>
      </c>
    </row>
    <row r="162" spans="17:18">
      <c r="Q162" s="108">
        <v>4501</v>
      </c>
      <c r="R162" s="108" t="s">
        <v>3020</v>
      </c>
    </row>
    <row r="163" spans="17:18">
      <c r="Q163" s="108">
        <v>4502</v>
      </c>
      <c r="R163" s="108" t="s">
        <v>3021</v>
      </c>
    </row>
    <row r="164" spans="17:18">
      <c r="Q164" s="108">
        <v>4503</v>
      </c>
      <c r="R164" s="108" t="s">
        <v>3022</v>
      </c>
    </row>
    <row r="165" spans="17:18">
      <c r="Q165" s="108">
        <v>4504</v>
      </c>
      <c r="R165" s="108" t="s">
        <v>3023</v>
      </c>
    </row>
    <row r="166" spans="17:18">
      <c r="Q166" s="108">
        <v>4505</v>
      </c>
      <c r="R166" s="108" t="s">
        <v>3024</v>
      </c>
    </row>
    <row r="167" spans="17:18">
      <c r="Q167" s="108">
        <v>4599</v>
      </c>
      <c r="R167" s="108" t="s">
        <v>3025</v>
      </c>
    </row>
    <row r="168" spans="17:18">
      <c r="Q168" s="108">
        <v>4608</v>
      </c>
      <c r="R168" s="108" t="s">
        <v>3026</v>
      </c>
    </row>
    <row r="169" spans="17:18">
      <c r="Q169" s="108">
        <v>4609</v>
      </c>
      <c r="R169" s="108" t="s">
        <v>3027</v>
      </c>
    </row>
    <row r="170" spans="17:18">
      <c r="Q170" s="108">
        <v>4610</v>
      </c>
      <c r="R170" s="108" t="s">
        <v>3028</v>
      </c>
    </row>
    <row r="171" spans="17:18">
      <c r="Q171" s="108">
        <v>4611</v>
      </c>
      <c r="R171" s="108" t="s">
        <v>3029</v>
      </c>
    </row>
    <row r="172" spans="17:18">
      <c r="Q172" s="108">
        <v>4612</v>
      </c>
      <c r="R172" s="108" t="s">
        <v>3030</v>
      </c>
    </row>
    <row r="173" spans="17:18">
      <c r="Q173" s="108">
        <v>4613</v>
      </c>
      <c r="R173" s="108" t="s">
        <v>3031</v>
      </c>
    </row>
    <row r="174" spans="17:18">
      <c r="Q174" s="108">
        <v>4614</v>
      </c>
      <c r="R174" s="108" t="s">
        <v>3032</v>
      </c>
    </row>
    <row r="175" spans="17:18">
      <c r="Q175" s="108">
        <v>4615</v>
      </c>
      <c r="R175" s="108" t="s">
        <v>3033</v>
      </c>
    </row>
    <row r="176" spans="17:18">
      <c r="Q176" s="108">
        <v>4616</v>
      </c>
      <c r="R176" s="108" t="s">
        <v>3034</v>
      </c>
    </row>
    <row r="177" spans="17:18">
      <c r="Q177" s="108">
        <v>4617</v>
      </c>
      <c r="R177" s="108" t="s">
        <v>3035</v>
      </c>
    </row>
    <row r="178" spans="17:18">
      <c r="Q178" s="108">
        <v>4618</v>
      </c>
      <c r="R178" s="108" t="s">
        <v>3036</v>
      </c>
    </row>
    <row r="179" spans="17:18">
      <c r="Q179" s="108">
        <v>4619</v>
      </c>
      <c r="R179" s="108" t="s">
        <v>3037</v>
      </c>
    </row>
    <row r="180" spans="17:18">
      <c r="Q180" s="108">
        <v>4620</v>
      </c>
      <c r="R180" s="108" t="s">
        <v>3038</v>
      </c>
    </row>
    <row r="181" spans="17:18">
      <c r="Q181" s="108">
        <v>4621</v>
      </c>
      <c r="R181" s="108" t="s">
        <v>3039</v>
      </c>
    </row>
    <row r="182" spans="17:18">
      <c r="Q182" s="108">
        <v>4622</v>
      </c>
      <c r="R182" s="108" t="s">
        <v>3040</v>
      </c>
    </row>
    <row r="183" spans="17:18">
      <c r="Q183" s="108">
        <v>4623</v>
      </c>
      <c r="R183" s="108" t="s">
        <v>3041</v>
      </c>
    </row>
    <row r="184" spans="17:18">
      <c r="Q184" s="108">
        <v>4624</v>
      </c>
      <c r="R184" s="108" t="s">
        <v>3042</v>
      </c>
    </row>
    <row r="185" spans="17:18">
      <c r="Q185" s="108">
        <v>4625</v>
      </c>
      <c r="R185" s="108" t="s">
        <v>3043</v>
      </c>
    </row>
    <row r="186" spans="17:18">
      <c r="Q186" s="108">
        <v>4626</v>
      </c>
      <c r="R186" s="108" t="s">
        <v>3044</v>
      </c>
    </row>
    <row r="187" spans="17:18">
      <c r="Q187" s="108">
        <v>4627</v>
      </c>
      <c r="R187" s="108" t="s">
        <v>3045</v>
      </c>
    </row>
    <row r="188" spans="17:18">
      <c r="Q188" s="108">
        <v>4701</v>
      </c>
      <c r="R188" s="108" t="s">
        <v>3046</v>
      </c>
    </row>
    <row r="189" spans="17:18">
      <c r="Q189" s="108">
        <v>4702</v>
      </c>
      <c r="R189" s="108" t="s">
        <v>3047</v>
      </c>
    </row>
    <row r="190" spans="17:18">
      <c r="Q190" s="108">
        <v>4703</v>
      </c>
      <c r="R190" s="108" t="s">
        <v>3048</v>
      </c>
    </row>
    <row r="191" spans="17:18">
      <c r="Q191" s="108">
        <v>4704</v>
      </c>
      <c r="R191" s="108" t="s">
        <v>3049</v>
      </c>
    </row>
    <row r="192" spans="17:18">
      <c r="Q192" s="108">
        <v>4899</v>
      </c>
      <c r="R192" s="108" t="s">
        <v>3050</v>
      </c>
    </row>
    <row r="193" spans="17:18">
      <c r="Q193" s="108">
        <v>4902</v>
      </c>
      <c r="R193" s="108" t="s">
        <v>3051</v>
      </c>
    </row>
    <row r="194" spans="17:18">
      <c r="Q194" s="108">
        <v>5701</v>
      </c>
      <c r="R194" s="108" t="s">
        <v>3052</v>
      </c>
    </row>
    <row r="195" spans="17:18">
      <c r="Q195" s="108">
        <v>5702</v>
      </c>
      <c r="R195" s="108" t="s">
        <v>3053</v>
      </c>
    </row>
    <row r="196" spans="17:18">
      <c r="Q196" s="108">
        <v>5703</v>
      </c>
      <c r="R196" s="108" t="s">
        <v>3054</v>
      </c>
    </row>
    <row r="197" spans="17:18">
      <c r="Q197" s="122">
        <v>5800</v>
      </c>
      <c r="R197" s="122" t="s">
        <v>3055</v>
      </c>
    </row>
    <row r="198" spans="17:18">
      <c r="Q198" s="122">
        <v>5801</v>
      </c>
      <c r="R198" s="122" t="s">
        <v>3056</v>
      </c>
    </row>
    <row r="199" spans="17:18">
      <c r="Q199" s="122">
        <v>5802</v>
      </c>
      <c r="R199" s="122" t="s">
        <v>3057</v>
      </c>
    </row>
    <row r="200" spans="17:18">
      <c r="Q200" s="122">
        <v>5803</v>
      </c>
      <c r="R200" s="122" t="s">
        <v>3058</v>
      </c>
    </row>
    <row r="201" spans="17:18">
      <c r="Q201" s="122">
        <v>5804</v>
      </c>
      <c r="R201" s="122" t="s">
        <v>3059</v>
      </c>
    </row>
    <row r="202" spans="17:18">
      <c r="Q202" s="122">
        <v>5805</v>
      </c>
      <c r="R202" s="122" t="s">
        <v>3060</v>
      </c>
    </row>
    <row r="203" spans="17:18">
      <c r="Q203" s="108">
        <v>6501</v>
      </c>
      <c r="R203" s="108" t="s">
        <v>3061</v>
      </c>
    </row>
    <row r="204" spans="17:18">
      <c r="Q204" s="108">
        <v>6502</v>
      </c>
      <c r="R204" s="108" t="s">
        <v>3062</v>
      </c>
    </row>
    <row r="205" spans="17:18">
      <c r="Q205" s="108">
        <v>6503</v>
      </c>
      <c r="R205" s="108" t="s">
        <v>3063</v>
      </c>
    </row>
    <row r="206" spans="17:18">
      <c r="Q206" s="108">
        <v>6504</v>
      </c>
      <c r="R206" s="108" t="s">
        <v>3064</v>
      </c>
    </row>
    <row r="207" spans="17:18">
      <c r="Q207" s="108">
        <v>6505</v>
      </c>
      <c r="R207" s="108" t="s">
        <v>3065</v>
      </c>
    </row>
    <row r="208" spans="17:18">
      <c r="Q208" s="108">
        <v>6506</v>
      </c>
      <c r="R208" s="108" t="s">
        <v>3066</v>
      </c>
    </row>
    <row r="209" spans="17:18">
      <c r="Q209" s="108">
        <v>6507</v>
      </c>
      <c r="R209" s="108" t="s">
        <v>3067</v>
      </c>
    </row>
    <row r="210" spans="17:18">
      <c r="Q210" s="108">
        <v>6508</v>
      </c>
      <c r="R210" s="108" t="s">
        <v>3068</v>
      </c>
    </row>
    <row r="211" spans="17:18">
      <c r="Q211" s="108">
        <v>6510</v>
      </c>
      <c r="R211" s="108" t="s">
        <v>3069</v>
      </c>
    </row>
    <row r="212" spans="17:18">
      <c r="Q212" s="108">
        <v>6511</v>
      </c>
      <c r="R212" s="108" t="s">
        <v>3070</v>
      </c>
    </row>
    <row r="213" spans="17:18">
      <c r="Q213" s="108">
        <v>6512</v>
      </c>
      <c r="R213" s="108" t="s">
        <v>3071</v>
      </c>
    </row>
    <row r="214" spans="17:18">
      <c r="Q214" s="108">
        <v>6514</v>
      </c>
      <c r="R214" s="108" t="s">
        <v>3072</v>
      </c>
    </row>
    <row r="215" spans="17:18">
      <c r="Q215" s="108">
        <v>6516</v>
      </c>
      <c r="R215" s="108" t="s">
        <v>3073</v>
      </c>
    </row>
    <row r="216" spans="17:18">
      <c r="Q216" s="108">
        <v>6517</v>
      </c>
      <c r="R216" s="108" t="s">
        <v>3074</v>
      </c>
    </row>
    <row r="217" spans="17:18">
      <c r="Q217" s="108">
        <v>6520</v>
      </c>
      <c r="R217" s="108" t="s">
        <v>3075</v>
      </c>
    </row>
    <row r="218" spans="17:18">
      <c r="Q218" s="108">
        <v>6521</v>
      </c>
      <c r="R218" s="108" t="s">
        <v>3076</v>
      </c>
    </row>
    <row r="219" spans="17:18">
      <c r="Q219" s="108">
        <v>6522</v>
      </c>
      <c r="R219" s="108" t="s">
        <v>3077</v>
      </c>
    </row>
    <row r="220" spans="17:18">
      <c r="Q220" s="108">
        <v>6523</v>
      </c>
      <c r="R220" s="108" t="s">
        <v>3078</v>
      </c>
    </row>
    <row r="221" spans="17:18">
      <c r="Q221" s="108">
        <v>6524</v>
      </c>
      <c r="R221" s="108" t="s">
        <v>3079</v>
      </c>
    </row>
    <row r="222" spans="17:18">
      <c r="Q222" s="108">
        <v>6525</v>
      </c>
      <c r="R222" s="108" t="s">
        <v>3080</v>
      </c>
    </row>
    <row r="223" spans="17:18">
      <c r="Q223" s="108">
        <v>6526</v>
      </c>
      <c r="R223" s="108" t="s">
        <v>3081</v>
      </c>
    </row>
    <row r="224" spans="17:18">
      <c r="Q224" s="108">
        <v>6527</v>
      </c>
      <c r="R224" s="108" t="s">
        <v>3082</v>
      </c>
    </row>
    <row r="225" spans="17:18">
      <c r="Q225" s="108">
        <v>6528</v>
      </c>
      <c r="R225" s="108" t="s">
        <v>3083</v>
      </c>
    </row>
    <row r="226" spans="17:18">
      <c r="Q226" s="108">
        <v>6529</v>
      </c>
      <c r="R226" s="108" t="s">
        <v>3084</v>
      </c>
    </row>
    <row r="227" spans="17:18">
      <c r="Q227" s="108">
        <v>6530</v>
      </c>
      <c r="R227" s="108" t="s">
        <v>3085</v>
      </c>
    </row>
    <row r="228" spans="17:18">
      <c r="Q228" s="108">
        <v>6531</v>
      </c>
      <c r="R228" s="108" t="s">
        <v>3086</v>
      </c>
    </row>
    <row r="229" spans="17:18">
      <c r="Q229" s="108">
        <v>6599</v>
      </c>
      <c r="R229" s="108" t="s">
        <v>3087</v>
      </c>
    </row>
    <row r="230" spans="17:18">
      <c r="Q230" s="108">
        <v>800004</v>
      </c>
      <c r="R230" s="108" t="s">
        <v>3088</v>
      </c>
    </row>
    <row r="231" spans="17:18">
      <c r="Q231" s="108">
        <v>5001</v>
      </c>
      <c r="R231" s="108" t="s">
        <v>3089</v>
      </c>
    </row>
    <row r="232" spans="17:18">
      <c r="Q232" s="108">
        <v>5002</v>
      </c>
      <c r="R232" s="108" t="s">
        <v>3090</v>
      </c>
    </row>
    <row r="233" spans="17:18">
      <c r="Q233" s="108">
        <v>5003</v>
      </c>
      <c r="R233" s="108" t="s">
        <v>3091</v>
      </c>
    </row>
    <row r="234" spans="17:18">
      <c r="Q234" s="108">
        <v>5101</v>
      </c>
      <c r="R234" s="108" t="s">
        <v>3092</v>
      </c>
    </row>
    <row r="235" spans="17:18">
      <c r="Q235" s="108">
        <v>5102</v>
      </c>
      <c r="R235" s="108" t="s">
        <v>3093</v>
      </c>
    </row>
    <row r="236" spans="17:18">
      <c r="Q236" s="108">
        <v>5103</v>
      </c>
      <c r="R236" s="108" t="s">
        <v>3094</v>
      </c>
    </row>
    <row r="237" spans="17:18">
      <c r="Q237" s="108">
        <v>5104</v>
      </c>
      <c r="R237" s="108" t="s">
        <v>3095</v>
      </c>
    </row>
    <row r="238" spans="17:18">
      <c r="Q238" s="108">
        <v>5105</v>
      </c>
      <c r="R238" s="108" t="s">
        <v>3096</v>
      </c>
    </row>
    <row r="239" spans="17:18">
      <c r="Q239" s="108">
        <v>5106</v>
      </c>
      <c r="R239" s="108" t="s">
        <v>3097</v>
      </c>
    </row>
    <row r="240" spans="17:18">
      <c r="Q240" s="108">
        <v>5107</v>
      </c>
      <c r="R240" s="108" t="s">
        <v>3098</v>
      </c>
    </row>
    <row r="241" spans="17:18">
      <c r="Q241" s="108">
        <v>5198</v>
      </c>
      <c r="R241" s="108" t="s">
        <v>3099</v>
      </c>
    </row>
    <row r="242" spans="17:18">
      <c r="Q242" s="108">
        <v>5199</v>
      </c>
      <c r="R242" s="108" t="s">
        <v>3100</v>
      </c>
    </row>
    <row r="243" spans="17:18">
      <c r="Q243" s="108">
        <v>5201</v>
      </c>
      <c r="R243" s="108" t="s">
        <v>3101</v>
      </c>
    </row>
    <row r="244" spans="17:18">
      <c r="Q244" s="108">
        <v>5301</v>
      </c>
      <c r="R244" s="108" t="s">
        <v>3102</v>
      </c>
    </row>
    <row r="245" spans="17:18">
      <c r="Q245" s="108">
        <v>5302</v>
      </c>
      <c r="R245" s="108" t="s">
        <v>3103</v>
      </c>
    </row>
    <row r="246" spans="17:18">
      <c r="Q246" s="108">
        <v>5303</v>
      </c>
      <c r="R246" s="108" t="s">
        <v>3104</v>
      </c>
    </row>
    <row r="247" spans="17:18">
      <c r="Q247" s="108">
        <v>5304</v>
      </c>
      <c r="R247" s="108" t="s">
        <v>3105</v>
      </c>
    </row>
    <row r="248" spans="17:18">
      <c r="Q248" s="108">
        <v>5305</v>
      </c>
      <c r="R248" s="108" t="s">
        <v>3106</v>
      </c>
    </row>
    <row r="249" spans="17:18">
      <c r="Q249" s="108">
        <v>5399</v>
      </c>
      <c r="R249" s="108" t="s">
        <v>3107</v>
      </c>
    </row>
    <row r="250" spans="17:18">
      <c r="Q250" s="108">
        <v>5901</v>
      </c>
      <c r="R250" s="108" t="s">
        <v>3108</v>
      </c>
    </row>
    <row r="251" spans="17:18">
      <c r="Q251" s="108">
        <v>5501</v>
      </c>
      <c r="R251" s="108" t="s">
        <v>3109</v>
      </c>
    </row>
    <row r="252" spans="17:18">
      <c r="Q252" s="108">
        <v>5502</v>
      </c>
      <c r="R252" s="108" t="s">
        <v>3110</v>
      </c>
    </row>
    <row r="253" spans="17:18">
      <c r="Q253" s="108">
        <v>5503</v>
      </c>
      <c r="R253" s="108" t="s">
        <v>3111</v>
      </c>
    </row>
    <row r="254" spans="17:18">
      <c r="Q254" s="128">
        <v>5600</v>
      </c>
      <c r="R254" s="122" t="s">
        <v>3112</v>
      </c>
    </row>
    <row r="255" spans="17:18">
      <c r="Q255" s="128">
        <v>5601</v>
      </c>
      <c r="R255" s="122" t="s">
        <v>3113</v>
      </c>
    </row>
    <row r="256" spans="17:18">
      <c r="Q256" s="128">
        <v>800005</v>
      </c>
      <c r="R256" s="122" t="s">
        <v>3114</v>
      </c>
    </row>
    <row r="257" spans="17:18">
      <c r="Q257" s="108">
        <v>6001</v>
      </c>
      <c r="R257" s="108" t="s">
        <v>3115</v>
      </c>
    </row>
    <row r="258" spans="17:18">
      <c r="Q258" s="108">
        <v>6002</v>
      </c>
      <c r="R258" s="108" t="s">
        <v>3116</v>
      </c>
    </row>
    <row r="259" spans="17:18">
      <c r="Q259" s="108">
        <v>6003</v>
      </c>
      <c r="R259" s="108" t="s">
        <v>3117</v>
      </c>
    </row>
    <row r="260" spans="17:18">
      <c r="Q260" s="108">
        <v>6004</v>
      </c>
      <c r="R260" s="108" t="s">
        <v>2824</v>
      </c>
    </row>
    <row r="261" spans="17:18">
      <c r="Q261" s="108">
        <v>6090</v>
      </c>
      <c r="R261" s="108" t="s">
        <v>2825</v>
      </c>
    </row>
    <row r="262" spans="17:18">
      <c r="Q262" s="108">
        <v>6103</v>
      </c>
      <c r="R262" s="108" t="s">
        <v>2826</v>
      </c>
    </row>
    <row r="263" spans="17:18">
      <c r="Q263" s="108">
        <v>6104</v>
      </c>
      <c r="R263" s="108" t="s">
        <v>2827</v>
      </c>
    </row>
    <row r="264" spans="17:18">
      <c r="Q264" s="108">
        <v>6105</v>
      </c>
      <c r="R264" s="108" t="s">
        <v>2828</v>
      </c>
    </row>
    <row r="265" spans="17:18">
      <c r="Q265" s="108">
        <v>6106</v>
      </c>
      <c r="R265" s="108" t="s">
        <v>2829</v>
      </c>
    </row>
    <row r="266" spans="17:18">
      <c r="Q266" s="108">
        <v>6107</v>
      </c>
      <c r="R266" s="108" t="s">
        <v>2830</v>
      </c>
    </row>
    <row r="267" spans="17:18">
      <c r="Q267" s="108">
        <v>6108</v>
      </c>
      <c r="R267" s="108" t="s">
        <v>2831</v>
      </c>
    </row>
    <row r="268" spans="17:18">
      <c r="Q268" s="108">
        <v>6109</v>
      </c>
      <c r="R268" s="108" t="s">
        <v>2832</v>
      </c>
    </row>
    <row r="269" spans="17:18">
      <c r="Q269" s="108">
        <v>6110</v>
      </c>
      <c r="R269" s="108" t="s">
        <v>2833</v>
      </c>
    </row>
    <row r="270" spans="17:18">
      <c r="Q270" s="108">
        <v>6111</v>
      </c>
      <c r="R270" s="108" t="s">
        <v>2834</v>
      </c>
    </row>
    <row r="271" spans="17:18">
      <c r="Q271" s="108">
        <v>6901</v>
      </c>
      <c r="R271" s="108" t="s">
        <v>2835</v>
      </c>
    </row>
    <row r="272" spans="17:18">
      <c r="Q272" s="122">
        <v>6400</v>
      </c>
      <c r="R272" s="122" t="s">
        <v>2836</v>
      </c>
    </row>
    <row r="273" spans="17:18">
      <c r="Q273" s="122">
        <v>6401</v>
      </c>
      <c r="R273" s="122" t="s">
        <v>2837</v>
      </c>
    </row>
    <row r="274" spans="17:18">
      <c r="Q274" s="122">
        <v>6999</v>
      </c>
      <c r="R274" s="122" t="s">
        <v>2838</v>
      </c>
    </row>
    <row r="275" spans="17:18">
      <c r="Q275" s="122">
        <v>800006</v>
      </c>
      <c r="R275" s="122" t="s">
        <v>2839</v>
      </c>
    </row>
    <row r="276" spans="17:18">
      <c r="Q276" s="108">
        <v>7001</v>
      </c>
      <c r="R276" s="108" t="s">
        <v>2840</v>
      </c>
    </row>
    <row r="277" spans="17:18">
      <c r="Q277" s="108">
        <v>7002</v>
      </c>
      <c r="R277" s="108" t="s">
        <v>2841</v>
      </c>
    </row>
    <row r="278" spans="17:18">
      <c r="Q278" s="108">
        <v>7003</v>
      </c>
      <c r="R278" s="108" t="s">
        <v>2842</v>
      </c>
    </row>
    <row r="279" spans="17:18">
      <c r="Q279" s="108">
        <v>7090</v>
      </c>
      <c r="R279" s="108" t="s">
        <v>2843</v>
      </c>
    </row>
    <row r="280" spans="17:18">
      <c r="Q280" s="122">
        <v>7700</v>
      </c>
      <c r="R280" s="122" t="s">
        <v>2844</v>
      </c>
    </row>
    <row r="281" spans="17:18">
      <c r="Q281" s="122">
        <v>7701</v>
      </c>
      <c r="R281" s="122" t="s">
        <v>2845</v>
      </c>
    </row>
    <row r="282" spans="17:18">
      <c r="Q282" s="122">
        <v>7800</v>
      </c>
      <c r="R282" s="122" t="s">
        <v>2846</v>
      </c>
    </row>
    <row r="283" spans="17:18">
      <c r="Q283" s="122">
        <v>7801</v>
      </c>
      <c r="R283" s="122" t="s">
        <v>2847</v>
      </c>
    </row>
    <row r="284" spans="17:18">
      <c r="Q284" s="108">
        <v>7901</v>
      </c>
      <c r="R284" s="108" t="s">
        <v>2848</v>
      </c>
    </row>
    <row r="285" spans="17:18">
      <c r="Q285" s="108">
        <v>7999</v>
      </c>
      <c r="R285" s="108" t="s">
        <v>2849</v>
      </c>
    </row>
    <row r="286" spans="17:18">
      <c r="Q286" s="122">
        <v>800007</v>
      </c>
      <c r="R286" s="122" t="s">
        <v>2850</v>
      </c>
    </row>
    <row r="287" spans="17:18">
      <c r="Q287" s="108">
        <v>6203</v>
      </c>
      <c r="R287" s="108" t="s">
        <v>2851</v>
      </c>
    </row>
    <row r="288" spans="17:18">
      <c r="Q288" s="108">
        <v>6204</v>
      </c>
      <c r="R288" s="108" t="s">
        <v>2852</v>
      </c>
    </row>
    <row r="289" spans="17:18">
      <c r="Q289" s="108">
        <v>6205</v>
      </c>
      <c r="R289" s="108" t="s">
        <v>2853</v>
      </c>
    </row>
    <row r="290" spans="17:18">
      <c r="Q290" s="108">
        <v>6206</v>
      </c>
      <c r="R290" s="108" t="s">
        <v>2854</v>
      </c>
    </row>
    <row r="291" spans="17:18">
      <c r="Q291" s="108">
        <v>6207</v>
      </c>
      <c r="R291" s="108" t="s">
        <v>2855</v>
      </c>
    </row>
    <row r="292" spans="17:18">
      <c r="Q292" s="108">
        <v>6701</v>
      </c>
      <c r="R292" s="108" t="s">
        <v>2856</v>
      </c>
    </row>
    <row r="293" spans="17:18">
      <c r="Q293" s="122">
        <v>6800</v>
      </c>
      <c r="R293" s="122" t="s">
        <v>2857</v>
      </c>
    </row>
    <row r="294" spans="17:18">
      <c r="Q294" s="122">
        <v>6801</v>
      </c>
      <c r="R294" s="122" t="s">
        <v>2858</v>
      </c>
    </row>
    <row r="295" spans="17:18">
      <c r="Q295" s="108">
        <v>8100</v>
      </c>
      <c r="R295" s="108" t="s">
        <v>2859</v>
      </c>
    </row>
    <row r="297" spans="17:18">
      <c r="Q297" s="122">
        <v>1908</v>
      </c>
      <c r="R297" s="122" t="s">
        <v>2870</v>
      </c>
    </row>
    <row r="298" spans="17:18">
      <c r="Q298" s="122">
        <v>1909</v>
      </c>
      <c r="R298" s="122" t="s">
        <v>2871</v>
      </c>
    </row>
    <row r="299" spans="17:18">
      <c r="Q299" s="122">
        <v>800001</v>
      </c>
      <c r="R299" s="122" t="s">
        <v>2879</v>
      </c>
    </row>
    <row r="300" spans="17:18">
      <c r="Q300" s="122">
        <v>2979</v>
      </c>
      <c r="R300" s="122" t="s">
        <v>2904</v>
      </c>
    </row>
    <row r="301" spans="17:18">
      <c r="Q301" s="122">
        <v>2980</v>
      </c>
      <c r="R301" s="122" t="s">
        <v>2905</v>
      </c>
    </row>
    <row r="302" spans="17:18">
      <c r="Q302" s="122">
        <v>800002</v>
      </c>
      <c r="R302" s="122" t="s">
        <v>2906</v>
      </c>
    </row>
    <row r="303" spans="17:18">
      <c r="Q303" s="122">
        <v>8900</v>
      </c>
      <c r="R303" s="122" t="s">
        <v>2923</v>
      </c>
    </row>
    <row r="304" spans="17:18">
      <c r="Q304" s="122">
        <v>8901</v>
      </c>
      <c r="R304" s="122" t="s">
        <v>2924</v>
      </c>
    </row>
    <row r="305" spans="17:18">
      <c r="Q305" s="122">
        <v>800003</v>
      </c>
      <c r="R305" s="122" t="s">
        <v>2927</v>
      </c>
    </row>
    <row r="306" spans="17:18">
      <c r="Q306" s="122">
        <v>5800</v>
      </c>
      <c r="R306" s="122" t="s">
        <v>3055</v>
      </c>
    </row>
    <row r="307" spans="17:18">
      <c r="Q307" s="122">
        <v>5801</v>
      </c>
      <c r="R307" s="122" t="s">
        <v>3056</v>
      </c>
    </row>
    <row r="308" spans="17:18">
      <c r="Q308" s="122">
        <v>5802</v>
      </c>
      <c r="R308" s="122" t="s">
        <v>3057</v>
      </c>
    </row>
    <row r="309" spans="17:18">
      <c r="Q309" s="122">
        <v>5803</v>
      </c>
      <c r="R309" s="122" t="s">
        <v>3058</v>
      </c>
    </row>
    <row r="310" spans="17:18">
      <c r="Q310" s="122">
        <v>5804</v>
      </c>
      <c r="R310" s="122" t="s">
        <v>3059</v>
      </c>
    </row>
    <row r="311" spans="17:18">
      <c r="Q311" s="122">
        <v>5805</v>
      </c>
      <c r="R311" s="122" t="s">
        <v>3060</v>
      </c>
    </row>
    <row r="312" spans="17:18">
      <c r="Q312" s="122">
        <v>800004</v>
      </c>
      <c r="R312" s="122" t="s">
        <v>3088</v>
      </c>
    </row>
    <row r="313" spans="17:18">
      <c r="Q313" s="122">
        <v>5600</v>
      </c>
      <c r="R313" s="122" t="s">
        <v>3112</v>
      </c>
    </row>
    <row r="314" spans="17:18">
      <c r="Q314" s="122">
        <v>5601</v>
      </c>
      <c r="R314" s="122" t="s">
        <v>3113</v>
      </c>
    </row>
    <row r="315" spans="17:18">
      <c r="Q315" s="122">
        <v>800005</v>
      </c>
      <c r="R315" s="122" t="s">
        <v>3114</v>
      </c>
    </row>
    <row r="316" spans="17:18">
      <c r="Q316" s="122">
        <v>6400</v>
      </c>
      <c r="R316" s="122" t="s">
        <v>2836</v>
      </c>
    </row>
    <row r="317" spans="17:18">
      <c r="Q317" s="122">
        <v>6401</v>
      </c>
      <c r="R317" s="122" t="s">
        <v>2837</v>
      </c>
    </row>
    <row r="318" spans="17:18">
      <c r="Q318" s="122">
        <v>800006</v>
      </c>
      <c r="R318" s="122" t="s">
        <v>2839</v>
      </c>
    </row>
    <row r="319" spans="17:18">
      <c r="Q319" s="122">
        <v>7700</v>
      </c>
      <c r="R319" s="122" t="s">
        <v>2844</v>
      </c>
    </row>
    <row r="320" spans="17:18">
      <c r="Q320" s="122">
        <v>7701</v>
      </c>
      <c r="R320" s="122" t="s">
        <v>2845</v>
      </c>
    </row>
    <row r="321" spans="17:18">
      <c r="Q321" s="122">
        <v>7800</v>
      </c>
      <c r="R321" s="122" t="s">
        <v>2846</v>
      </c>
    </row>
    <row r="322" spans="17:18">
      <c r="Q322" s="122">
        <v>7801</v>
      </c>
      <c r="R322" s="122" t="s">
        <v>2847</v>
      </c>
    </row>
    <row r="323" spans="17:18">
      <c r="Q323" s="122">
        <v>800007</v>
      </c>
      <c r="R323" s="122" t="s">
        <v>2850</v>
      </c>
    </row>
    <row r="324" spans="17:18">
      <c r="Q324" s="122">
        <v>6800</v>
      </c>
      <c r="R324" s="122" t="s">
        <v>2857</v>
      </c>
    </row>
    <row r="325" spans="17:18">
      <c r="Q325" s="122">
        <v>6801</v>
      </c>
      <c r="R325" s="122" t="s">
        <v>2858</v>
      </c>
    </row>
    <row r="326" spans="17:18">
      <c r="Q326" s="108">
        <v>8001</v>
      </c>
      <c r="R326" s="108" t="s">
        <v>3118</v>
      </c>
    </row>
    <row r="327" spans="17:18">
      <c r="Q327" s="108">
        <v>8101</v>
      </c>
      <c r="R327" s="108" t="s">
        <v>3119</v>
      </c>
    </row>
    <row r="328" spans="17:18">
      <c r="Q328" s="108">
        <v>8102</v>
      </c>
      <c r="R328" s="108" t="s">
        <v>3120</v>
      </c>
    </row>
    <row r="329" spans="17:18">
      <c r="Q329" s="108">
        <v>8201</v>
      </c>
      <c r="R329" s="108" t="s">
        <v>3121</v>
      </c>
    </row>
    <row r="330" spans="17:18">
      <c r="Q330" s="108">
        <v>8202</v>
      </c>
      <c r="R330" s="108" t="s">
        <v>3122</v>
      </c>
    </row>
    <row r="331" spans="17:18">
      <c r="Q331" s="108">
        <v>8203</v>
      </c>
      <c r="R331" s="108" t="s">
        <v>3123</v>
      </c>
    </row>
    <row r="332" spans="17:18">
      <c r="Q332" s="108">
        <v>8299</v>
      </c>
      <c r="R332" s="108" t="s">
        <v>3124</v>
      </c>
    </row>
    <row r="333" spans="17:18">
      <c r="Q333" s="108">
        <v>8301</v>
      </c>
      <c r="R333" s="108" t="s">
        <v>3125</v>
      </c>
    </row>
    <row r="334" spans="17:18">
      <c r="Q334" s="108">
        <v>8302</v>
      </c>
      <c r="R334" s="108" t="s">
        <v>3126</v>
      </c>
    </row>
    <row r="335" spans="17:18">
      <c r="Q335" s="108">
        <v>8399</v>
      </c>
      <c r="R335" s="108" t="s">
        <v>3127</v>
      </c>
    </row>
    <row r="336" spans="17:18">
      <c r="Q336" s="108">
        <v>8401</v>
      </c>
      <c r="R336" s="108" t="s">
        <v>3128</v>
      </c>
    </row>
    <row r="337" spans="17:18">
      <c r="Q337" s="108">
        <v>8499</v>
      </c>
      <c r="R337" s="108" t="s">
        <v>3129</v>
      </c>
    </row>
    <row r="338" spans="17:18">
      <c r="Q338" s="108">
        <v>8501</v>
      </c>
      <c r="R338" s="108" t="s">
        <v>3130</v>
      </c>
    </row>
    <row r="339" spans="17:18">
      <c r="Q339" s="108">
        <v>8502</v>
      </c>
      <c r="R339" s="108" t="s">
        <v>3131</v>
      </c>
    </row>
    <row r="340" spans="17:18">
      <c r="Q340" s="108">
        <v>8503</v>
      </c>
      <c r="R340" s="108" t="s">
        <v>3132</v>
      </c>
    </row>
    <row r="341" spans="17:18">
      <c r="Q341" s="108">
        <v>8599</v>
      </c>
      <c r="R341" s="108" t="s">
        <v>3133</v>
      </c>
    </row>
    <row r="342" spans="17:18">
      <c r="Q342" s="108">
        <v>8601</v>
      </c>
      <c r="R342" s="108" t="s">
        <v>3134</v>
      </c>
    </row>
    <row r="343" spans="17:18">
      <c r="Q343" s="108">
        <v>8602</v>
      </c>
      <c r="R343" s="108" t="s">
        <v>3135</v>
      </c>
    </row>
    <row r="344" spans="17:18">
      <c r="Q344" s="108">
        <v>8699</v>
      </c>
      <c r="R344" s="108" t="s">
        <v>3136</v>
      </c>
    </row>
    <row r="345" spans="17:18">
      <c r="Q345" s="108">
        <v>8701</v>
      </c>
      <c r="R345" s="108" t="s">
        <v>3137</v>
      </c>
    </row>
    <row r="346" spans="17:18">
      <c r="Q346" s="108">
        <v>8702</v>
      </c>
      <c r="R346" s="108" t="s">
        <v>3138</v>
      </c>
    </row>
    <row r="347" spans="17:18">
      <c r="Q347" s="108">
        <v>8799</v>
      </c>
      <c r="R347" s="108" t="s">
        <v>3139</v>
      </c>
    </row>
    <row r="348" spans="17:18">
      <c r="Q348" s="108">
        <v>8902</v>
      </c>
      <c r="R348" s="108" t="s">
        <v>3140</v>
      </c>
    </row>
    <row r="349" spans="17:18">
      <c r="Q349" s="108">
        <v>8999</v>
      </c>
      <c r="R349" s="108" t="s">
        <v>3141</v>
      </c>
    </row>
    <row r="350" spans="17:18">
      <c r="Q350" s="108">
        <v>800008</v>
      </c>
      <c r="R350" s="108" t="s">
        <v>3142</v>
      </c>
    </row>
    <row r="351" spans="17:18">
      <c r="Q351" s="108">
        <v>9001</v>
      </c>
      <c r="R351" s="108" t="s">
        <v>3143</v>
      </c>
    </row>
    <row r="352" spans="17:18">
      <c r="Q352" s="108">
        <v>9002</v>
      </c>
      <c r="R352" s="108" t="s">
        <v>3144</v>
      </c>
    </row>
    <row r="353" spans="17:18">
      <c r="Q353" s="108">
        <v>9003</v>
      </c>
      <c r="R353" s="108" t="s">
        <v>3145</v>
      </c>
    </row>
    <row r="354" spans="17:18">
      <c r="Q354" s="108">
        <v>9004</v>
      </c>
      <c r="R354" s="108" t="s">
        <v>3146</v>
      </c>
    </row>
    <row r="355" spans="17:18">
      <c r="Q355" s="108">
        <v>9005</v>
      </c>
      <c r="R355" s="108" t="s">
        <v>3147</v>
      </c>
    </row>
    <row r="356" spans="17:18">
      <c r="Q356" s="108">
        <v>9006</v>
      </c>
      <c r="R356" s="108" t="s">
        <v>3148</v>
      </c>
    </row>
    <row r="357" spans="17:18">
      <c r="Q357" s="108">
        <v>9007</v>
      </c>
      <c r="R357" s="108" t="s">
        <v>3149</v>
      </c>
    </row>
    <row r="358" spans="17:18">
      <c r="Q358" s="108">
        <v>9008</v>
      </c>
      <c r="R358" s="108" t="s">
        <v>3150</v>
      </c>
    </row>
    <row r="359" spans="17:18">
      <c r="Q359" s="108">
        <v>9009</v>
      </c>
      <c r="R359" s="108" t="s">
        <v>3151</v>
      </c>
    </row>
    <row r="360" spans="17:18">
      <c r="Q360" s="108">
        <v>9010</v>
      </c>
      <c r="R360" s="108" t="s">
        <v>3152</v>
      </c>
    </row>
    <row r="361" spans="17:18">
      <c r="Q361" s="108">
        <v>9011</v>
      </c>
      <c r="R361" s="108" t="s">
        <v>3153</v>
      </c>
    </row>
    <row r="362" spans="17:18">
      <c r="Q362" s="108">
        <v>9012</v>
      </c>
      <c r="R362" s="108" t="s">
        <v>3154</v>
      </c>
    </row>
    <row r="363" spans="17:18">
      <c r="Q363" s="108">
        <v>9013</v>
      </c>
      <c r="R363" s="108" t="s">
        <v>3155</v>
      </c>
    </row>
    <row r="364" spans="17:18">
      <c r="Q364" s="108">
        <v>9014</v>
      </c>
      <c r="R364" s="108" t="s">
        <v>3156</v>
      </c>
    </row>
    <row r="365" spans="17:18">
      <c r="Q365" s="108">
        <v>9015</v>
      </c>
      <c r="R365" s="108" t="s">
        <v>3157</v>
      </c>
    </row>
    <row r="366" spans="17:18">
      <c r="Q366" s="108">
        <v>9016</v>
      </c>
      <c r="R366" s="108" t="s">
        <v>3158</v>
      </c>
    </row>
    <row r="367" spans="17:18">
      <c r="Q367" s="108">
        <v>9017</v>
      </c>
      <c r="R367" s="108" t="s">
        <v>3159</v>
      </c>
    </row>
    <row r="368" spans="17:18">
      <c r="Q368" s="108">
        <v>9018</v>
      </c>
      <c r="R368" s="108" t="s">
        <v>3160</v>
      </c>
    </row>
    <row r="369" spans="17:18">
      <c r="Q369" s="108">
        <v>9019</v>
      </c>
      <c r="R369" s="108" t="s">
        <v>3161</v>
      </c>
    </row>
    <row r="370" spans="17:18">
      <c r="Q370" s="108">
        <v>9211</v>
      </c>
      <c r="R370" s="108" t="s">
        <v>3162</v>
      </c>
    </row>
    <row r="371" spans="17:18">
      <c r="Q371" s="108">
        <v>9212</v>
      </c>
      <c r="R371" s="108" t="s">
        <v>3163</v>
      </c>
    </row>
    <row r="372" spans="17:18">
      <c r="Q372" s="108">
        <v>9213</v>
      </c>
      <c r="R372" s="108" t="s">
        <v>3164</v>
      </c>
    </row>
    <row r="373" spans="17:18">
      <c r="Q373" s="108">
        <v>9214</v>
      </c>
      <c r="R373" s="108" t="s">
        <v>3165</v>
      </c>
    </row>
    <row r="374" spans="17:18">
      <c r="Q374" s="108">
        <v>9217</v>
      </c>
      <c r="R374" s="108" t="s">
        <v>3166</v>
      </c>
    </row>
    <row r="375" spans="17:18">
      <c r="Q375" s="108">
        <v>9218</v>
      </c>
      <c r="R375" s="108" t="s">
        <v>3167</v>
      </c>
    </row>
    <row r="376" spans="17:18">
      <c r="Q376" s="108">
        <v>9229</v>
      </c>
      <c r="R376" s="108" t="s">
        <v>3168</v>
      </c>
    </row>
    <row r="377" spans="17:18">
      <c r="Q377" s="108">
        <v>9231</v>
      </c>
      <c r="R377" s="108" t="s">
        <v>3169</v>
      </c>
    </row>
    <row r="378" spans="17:18">
      <c r="Q378" s="108">
        <v>9232</v>
      </c>
      <c r="R378" s="108" t="s">
        <v>3170</v>
      </c>
    </row>
    <row r="379" spans="17:18">
      <c r="Q379" s="108">
        <v>9233</v>
      </c>
      <c r="R379" s="108" t="s">
        <v>3171</v>
      </c>
    </row>
    <row r="380" spans="17:18">
      <c r="Q380" s="108">
        <v>9234</v>
      </c>
      <c r="R380" s="108" t="s">
        <v>3172</v>
      </c>
    </row>
    <row r="381" spans="17:18">
      <c r="Q381" s="108">
        <v>9235</v>
      </c>
      <c r="R381" s="108" t="s">
        <v>3173</v>
      </c>
    </row>
    <row r="382" spans="17:18">
      <c r="Q382" s="108">
        <v>9236</v>
      </c>
      <c r="R382" s="108" t="s">
        <v>3174</v>
      </c>
    </row>
    <row r="383" spans="17:18">
      <c r="Q383" s="108">
        <v>9237</v>
      </c>
      <c r="R383" s="108" t="s">
        <v>3175</v>
      </c>
    </row>
    <row r="384" spans="17:18">
      <c r="Q384" s="108">
        <v>9241</v>
      </c>
      <c r="R384" s="108" t="s">
        <v>3176</v>
      </c>
    </row>
    <row r="385" spans="17:18">
      <c r="Q385" s="108">
        <v>9251</v>
      </c>
      <c r="R385" s="108" t="s">
        <v>3177</v>
      </c>
    </row>
    <row r="386" spans="17:18">
      <c r="Q386" s="108">
        <v>9252</v>
      </c>
      <c r="R386" s="108" t="s">
        <v>3178</v>
      </c>
    </row>
    <row r="387" spans="17:18">
      <c r="Q387" s="108">
        <v>9254</v>
      </c>
      <c r="R387" s="108" t="s">
        <v>3179</v>
      </c>
    </row>
    <row r="388" spans="17:18">
      <c r="Q388" s="108">
        <v>9255</v>
      </c>
      <c r="R388" s="108" t="s">
        <v>3180</v>
      </c>
    </row>
    <row r="389" spans="17:18">
      <c r="Q389" s="108">
        <v>9256</v>
      </c>
      <c r="R389" s="108" t="s">
        <v>3181</v>
      </c>
    </row>
    <row r="390" spans="17:18">
      <c r="Q390" s="108">
        <v>9257</v>
      </c>
      <c r="R390" s="108" t="s">
        <v>3182</v>
      </c>
    </row>
    <row r="391" spans="17:18">
      <c r="Q391" s="108">
        <v>9258</v>
      </c>
      <c r="R391" s="108" t="s">
        <v>3183</v>
      </c>
    </row>
    <row r="392" spans="17:18">
      <c r="Q392" s="108">
        <v>9259</v>
      </c>
      <c r="R392" s="108" t="s">
        <v>3184</v>
      </c>
    </row>
    <row r="393" spans="17:18">
      <c r="Q393" s="108">
        <v>9260</v>
      </c>
      <c r="R393" s="108" t="s">
        <v>3185</v>
      </c>
    </row>
    <row r="394" spans="17:18">
      <c r="Q394" s="108">
        <v>9261</v>
      </c>
      <c r="R394" s="108" t="s">
        <v>3186</v>
      </c>
    </row>
    <row r="395" spans="17:18">
      <c r="Q395" s="108">
        <v>9262</v>
      </c>
      <c r="R395" s="108" t="s">
        <v>3187</v>
      </c>
    </row>
    <row r="396" spans="17:18">
      <c r="Q396" s="108">
        <v>9299</v>
      </c>
      <c r="R396" s="108" t="s">
        <v>3188</v>
      </c>
    </row>
    <row r="397" spans="17:18">
      <c r="Q397" s="108">
        <v>9300</v>
      </c>
      <c r="R397" s="108" t="s">
        <v>3189</v>
      </c>
    </row>
    <row r="398" spans="17:18">
      <c r="Q398" s="108">
        <v>9302</v>
      </c>
      <c r="R398" s="108" t="s">
        <v>3190</v>
      </c>
    </row>
    <row r="399" spans="17:18">
      <c r="Q399" s="108">
        <v>9311</v>
      </c>
      <c r="R399" s="108" t="s">
        <v>3191</v>
      </c>
    </row>
    <row r="400" spans="17:18">
      <c r="Q400" s="108">
        <v>9312</v>
      </c>
      <c r="R400" s="108" t="s">
        <v>3192</v>
      </c>
    </row>
    <row r="401" spans="17:18">
      <c r="Q401" s="108">
        <v>9313</v>
      </c>
      <c r="R401" s="108" t="s">
        <v>3193</v>
      </c>
    </row>
    <row r="402" spans="17:18">
      <c r="Q402" s="108">
        <v>9314</v>
      </c>
      <c r="R402" s="108" t="s">
        <v>3194</v>
      </c>
    </row>
    <row r="403" spans="17:18">
      <c r="Q403" s="108">
        <v>9315</v>
      </c>
      <c r="R403" s="108" t="s">
        <v>3195</v>
      </c>
    </row>
    <row r="404" spans="17:18">
      <c r="Q404" s="108">
        <v>9316</v>
      </c>
      <c r="R404" s="108" t="s">
        <v>3196</v>
      </c>
    </row>
    <row r="405" spans="17:18">
      <c r="Q405" s="108">
        <v>9317</v>
      </c>
      <c r="R405" s="108" t="s">
        <v>3197</v>
      </c>
    </row>
    <row r="406" spans="17:18">
      <c r="Q406" s="108">
        <v>9318</v>
      </c>
      <c r="R406" s="108" t="s">
        <v>3198</v>
      </c>
    </row>
    <row r="407" spans="17:18">
      <c r="Q407" s="108">
        <v>9319</v>
      </c>
      <c r="R407" s="108" t="s">
        <v>3199</v>
      </c>
    </row>
    <row r="408" spans="17:18">
      <c r="Q408" s="108">
        <v>9320</v>
      </c>
      <c r="R408" s="108" t="s">
        <v>3200</v>
      </c>
    </row>
    <row r="409" spans="17:18">
      <c r="Q409" s="108">
        <v>9321</v>
      </c>
      <c r="R409" s="108" t="s">
        <v>3201</v>
      </c>
    </row>
    <row r="410" spans="17:18">
      <c r="Q410" s="108">
        <v>9322</v>
      </c>
      <c r="R410" s="108" t="s">
        <v>3202</v>
      </c>
    </row>
    <row r="411" spans="17:18">
      <c r="Q411" s="108">
        <v>9323</v>
      </c>
      <c r="R411" s="108" t="s">
        <v>3203</v>
      </c>
    </row>
    <row r="412" spans="17:18">
      <c r="Q412" s="108">
        <v>9324</v>
      </c>
      <c r="R412" s="108" t="s">
        <v>3204</v>
      </c>
    </row>
    <row r="413" spans="17:18">
      <c r="Q413" s="108">
        <v>9329</v>
      </c>
      <c r="R413" s="108" t="s">
        <v>3205</v>
      </c>
    </row>
    <row r="414" spans="17:18">
      <c r="Q414" s="108">
        <v>9399</v>
      </c>
      <c r="R414" s="108" t="s">
        <v>3206</v>
      </c>
    </row>
    <row r="415" spans="17:18">
      <c r="Q415" s="108">
        <v>9106</v>
      </c>
      <c r="R415" s="108" t="s">
        <v>3207</v>
      </c>
    </row>
    <row r="416" spans="17:18">
      <c r="Q416" s="108">
        <v>9800</v>
      </c>
      <c r="R416" s="108" t="s">
        <v>3208</v>
      </c>
    </row>
    <row r="417" spans="17:18">
      <c r="Q417" s="108">
        <v>9801</v>
      </c>
      <c r="R417" s="108" t="s">
        <v>3209</v>
      </c>
    </row>
    <row r="418" spans="17:18">
      <c r="Q418" s="108">
        <v>9802</v>
      </c>
      <c r="R418" s="108" t="s">
        <v>3210</v>
      </c>
    </row>
    <row r="419" spans="17:18">
      <c r="Q419" s="108">
        <v>9803</v>
      </c>
      <c r="R419" s="108" t="s">
        <v>3211</v>
      </c>
    </row>
    <row r="420" spans="17:18">
      <c r="Q420" s="108">
        <v>9804</v>
      </c>
      <c r="R420" s="108" t="s">
        <v>3212</v>
      </c>
    </row>
    <row r="421" spans="17:18">
      <c r="Q421" s="108">
        <v>9805</v>
      </c>
      <c r="R421" s="108" t="s">
        <v>3213</v>
      </c>
    </row>
    <row r="422" spans="17:18">
      <c r="Q422" s="108">
        <v>9806</v>
      </c>
      <c r="R422" s="108" t="s">
        <v>3214</v>
      </c>
    </row>
    <row r="423" spans="17:18">
      <c r="Q423" s="108">
        <v>9807</v>
      </c>
      <c r="R423" s="108" t="s">
        <v>3215</v>
      </c>
    </row>
    <row r="424" spans="17:18">
      <c r="Q424" s="108">
        <v>9303</v>
      </c>
      <c r="R424" s="108" t="s">
        <v>3216</v>
      </c>
    </row>
    <row r="425" spans="17:18">
      <c r="Q425" s="108">
        <v>800009</v>
      </c>
      <c r="R425" s="108" t="s">
        <v>3217</v>
      </c>
    </row>
    <row r="426" spans="17:18">
      <c r="Q426" s="108">
        <v>8303</v>
      </c>
      <c r="R426" s="108" t="s">
        <v>3218</v>
      </c>
    </row>
    <row r="427" spans="17:18">
      <c r="Q427" s="108">
        <v>8304</v>
      </c>
      <c r="R427" s="108" t="s">
        <v>3219</v>
      </c>
    </row>
    <row r="428" spans="17:18">
      <c r="Q428" s="108">
        <v>8305</v>
      </c>
      <c r="R428" s="108" t="s">
        <v>3220</v>
      </c>
    </row>
    <row r="429" spans="17:18">
      <c r="Q429" s="108">
        <v>8306</v>
      </c>
      <c r="R429" s="108" t="s">
        <v>3221</v>
      </c>
    </row>
    <row r="430" spans="17:18">
      <c r="Q430" s="108">
        <v>8307</v>
      </c>
      <c r="R430" s="108" t="s">
        <v>3222</v>
      </c>
    </row>
    <row r="431" spans="17:18">
      <c r="Q431" s="108">
        <v>8308</v>
      </c>
      <c r="R431" s="108" t="s">
        <v>3223</v>
      </c>
    </row>
    <row r="432" spans="17:18">
      <c r="Q432" s="108">
        <v>8309</v>
      </c>
      <c r="R432" s="108" t="s">
        <v>3224</v>
      </c>
    </row>
    <row r="433" spans="17:18">
      <c r="Q433" s="108">
        <v>8310</v>
      </c>
      <c r="R433" s="108" t="s">
        <v>3225</v>
      </c>
    </row>
    <row r="434" spans="17:18">
      <c r="Q434" s="108">
        <v>8311</v>
      </c>
      <c r="R434" s="108" t="s">
        <v>3226</v>
      </c>
    </row>
    <row r="435" spans="17:18">
      <c r="Q435" s="108">
        <v>8314</v>
      </c>
      <c r="R435" s="108" t="s">
        <v>3227</v>
      </c>
    </row>
    <row r="436" spans="17:18">
      <c r="Q436" s="108">
        <v>8315</v>
      </c>
      <c r="R436" s="108" t="s">
        <v>3228</v>
      </c>
    </row>
    <row r="437" spans="17:18">
      <c r="Q437" s="108">
        <v>8316</v>
      </c>
      <c r="R437" s="108" t="s">
        <v>3229</v>
      </c>
    </row>
    <row r="438" spans="17:18">
      <c r="Q438" s="108">
        <v>8317</v>
      </c>
      <c r="R438" s="108" t="s">
        <v>3230</v>
      </c>
    </row>
    <row r="439" spans="17:18">
      <c r="Q439" s="108">
        <v>8318</v>
      </c>
      <c r="R439" s="108" t="s">
        <v>3231</v>
      </c>
    </row>
    <row r="440" spans="17:18">
      <c r="Q440" s="108">
        <v>8319</v>
      </c>
      <c r="R440" s="108" t="s">
        <v>3232</v>
      </c>
    </row>
    <row r="441" spans="17:18">
      <c r="Q441" s="108">
        <v>8320</v>
      </c>
      <c r="R441" s="108" t="s">
        <v>3233</v>
      </c>
    </row>
    <row r="442" spans="17:18">
      <c r="Q442" s="108">
        <v>8321</v>
      </c>
      <c r="R442" s="108" t="s">
        <v>3234</v>
      </c>
    </row>
    <row r="443" spans="17:18">
      <c r="Q443" s="108">
        <v>8322</v>
      </c>
      <c r="R443" s="108" t="s">
        <v>3235</v>
      </c>
    </row>
    <row r="444" spans="17:18">
      <c r="Q444" s="108">
        <v>8323</v>
      </c>
      <c r="R444" s="108" t="s">
        <v>3236</v>
      </c>
    </row>
    <row r="445" spans="17:18">
      <c r="Q445" s="108">
        <v>8324</v>
      </c>
      <c r="R445" s="108" t="s">
        <v>3237</v>
      </c>
    </row>
    <row r="446" spans="17:18">
      <c r="Q446" s="108">
        <v>8325</v>
      </c>
      <c r="R446" s="108" t="s">
        <v>3238</v>
      </c>
    </row>
    <row r="447" spans="17:18">
      <c r="Q447" s="108">
        <v>8326</v>
      </c>
      <c r="R447" s="108" t="s">
        <v>3239</v>
      </c>
    </row>
    <row r="448" spans="17:18">
      <c r="Q448" s="108">
        <v>8327</v>
      </c>
      <c r="R448" s="108" t="s">
        <v>3240</v>
      </c>
    </row>
    <row r="449" spans="17:18">
      <c r="Q449" s="108">
        <v>8328</v>
      </c>
      <c r="R449" s="108" t="s">
        <v>3241</v>
      </c>
    </row>
    <row r="450" spans="17:18">
      <c r="Q450" s="108">
        <v>8329</v>
      </c>
      <c r="R450" s="108" t="s">
        <v>3242</v>
      </c>
    </row>
    <row r="451" spans="17:18">
      <c r="Q451" s="108">
        <v>8330</v>
      </c>
      <c r="R451" s="108" t="s">
        <v>3243</v>
      </c>
    </row>
    <row r="452" spans="17:18">
      <c r="Q452" s="108">
        <v>8331</v>
      </c>
      <c r="R452" s="108" t="s">
        <v>3244</v>
      </c>
    </row>
    <row r="453" spans="17:18">
      <c r="Q453" s="108">
        <v>8340</v>
      </c>
      <c r="R453" s="108" t="s">
        <v>3245</v>
      </c>
    </row>
    <row r="454" spans="17:18">
      <c r="Q454" s="108">
        <v>8341</v>
      </c>
      <c r="R454" s="108" t="s">
        <v>3246</v>
      </c>
    </row>
    <row r="455" spans="17:18">
      <c r="Q455" s="108">
        <v>8342</v>
      </c>
      <c r="R455" s="108" t="s">
        <v>3247</v>
      </c>
    </row>
    <row r="456" spans="17:18">
      <c r="Q456" s="108">
        <v>8343</v>
      </c>
      <c r="R456" s="108" t="s">
        <v>3248</v>
      </c>
    </row>
    <row r="457" spans="17:18">
      <c r="Q457" s="108">
        <v>8344</v>
      </c>
      <c r="R457" s="108" t="s">
        <v>3249</v>
      </c>
    </row>
    <row r="458" spans="17:18">
      <c r="Q458" s="108">
        <v>8345</v>
      </c>
      <c r="R458" s="108" t="s">
        <v>3250</v>
      </c>
    </row>
    <row r="459" spans="17:18">
      <c r="Q459" s="108">
        <v>8346</v>
      </c>
      <c r="R459" s="108" t="s">
        <v>3251</v>
      </c>
    </row>
    <row r="460" spans="17:18">
      <c r="Q460" s="108">
        <v>8350</v>
      </c>
      <c r="R460" s="108" t="s">
        <v>3252</v>
      </c>
    </row>
    <row r="461" spans="17:18">
      <c r="Q461" s="108">
        <v>8351</v>
      </c>
      <c r="R461" s="108" t="s">
        <v>3253</v>
      </c>
    </row>
    <row r="462" spans="17:18">
      <c r="Q462" s="108">
        <v>8352</v>
      </c>
      <c r="R462" s="108" t="s">
        <v>3254</v>
      </c>
    </row>
    <row r="463" spans="17:18">
      <c r="Q463" s="108">
        <v>8360</v>
      </c>
      <c r="R463" s="108" t="s">
        <v>3255</v>
      </c>
    </row>
    <row r="464" spans="17:18">
      <c r="Q464" s="108">
        <v>8361</v>
      </c>
      <c r="R464" s="108" t="s">
        <v>3256</v>
      </c>
    </row>
    <row r="465" spans="17:18">
      <c r="Q465" s="108">
        <v>8362</v>
      </c>
      <c r="R465" s="108" t="s">
        <v>3257</v>
      </c>
    </row>
    <row r="466" spans="17:18">
      <c r="Q466" s="108">
        <v>8363</v>
      </c>
      <c r="R466" s="108" t="s">
        <v>3258</v>
      </c>
    </row>
    <row r="467" spans="17:18">
      <c r="Q467" s="108">
        <v>8364</v>
      </c>
      <c r="R467" s="108" t="s">
        <v>3259</v>
      </c>
    </row>
    <row r="468" spans="17:18">
      <c r="Q468" s="108">
        <v>8365</v>
      </c>
      <c r="R468" s="108" t="s">
        <v>3260</v>
      </c>
    </row>
    <row r="469" spans="17:18">
      <c r="Q469" s="108">
        <v>8370</v>
      </c>
      <c r="R469" s="108" t="s">
        <v>3261</v>
      </c>
    </row>
    <row r="470" spans="17:18">
      <c r="Q470" s="108">
        <v>8380</v>
      </c>
      <c r="R470" s="108" t="s">
        <v>3262</v>
      </c>
    </row>
    <row r="471" spans="17:18">
      <c r="Q471" s="108">
        <v>8390</v>
      </c>
      <c r="R471" s="108" t="s">
        <v>3263</v>
      </c>
    </row>
    <row r="472" spans="17:18">
      <c r="Q472" s="108">
        <v>8402</v>
      </c>
      <c r="R472" s="108" t="s">
        <v>3264</v>
      </c>
    </row>
    <row r="473" spans="17:18">
      <c r="Q473" s="108">
        <v>8403</v>
      </c>
      <c r="R473" s="108" t="s">
        <v>3265</v>
      </c>
    </row>
    <row r="474" spans="17:18">
      <c r="Q474" s="108">
        <v>8410</v>
      </c>
      <c r="R474" s="108" t="s">
        <v>3266</v>
      </c>
    </row>
    <row r="475" spans="17:18">
      <c r="Q475" s="108">
        <v>8411</v>
      </c>
      <c r="R475" s="108" t="s">
        <v>3267</v>
      </c>
    </row>
    <row r="476" spans="17:18">
      <c r="Q476" s="108">
        <v>8412</v>
      </c>
      <c r="R476" s="108" t="s">
        <v>3268</v>
      </c>
    </row>
    <row r="477" spans="17:18">
      <c r="Q477" s="108">
        <v>8413</v>
      </c>
      <c r="R477" s="108" t="s">
        <v>3269</v>
      </c>
    </row>
    <row r="478" spans="17:18">
      <c r="Q478" s="108">
        <v>8414</v>
      </c>
      <c r="R478" s="108" t="s">
        <v>3270</v>
      </c>
    </row>
    <row r="479" spans="17:18">
      <c r="Q479" s="108">
        <v>8420</v>
      </c>
      <c r="R479" s="108" t="s">
        <v>3271</v>
      </c>
    </row>
    <row r="480" spans="17:18">
      <c r="Q480" s="108">
        <v>8430</v>
      </c>
      <c r="R480" s="108" t="s">
        <v>3272</v>
      </c>
    </row>
    <row r="481" spans="17:18">
      <c r="Q481" s="108">
        <v>8431</v>
      </c>
      <c r="R481" s="108" t="s">
        <v>3273</v>
      </c>
    </row>
    <row r="482" spans="17:18">
      <c r="Q482" s="108">
        <v>8432</v>
      </c>
      <c r="R482" s="108" t="s">
        <v>3274</v>
      </c>
    </row>
    <row r="483" spans="17:18">
      <c r="Q483" s="108">
        <v>8440</v>
      </c>
      <c r="R483" s="108" t="s">
        <v>3275</v>
      </c>
    </row>
    <row r="484" spans="17:18">
      <c r="Q484" s="108">
        <v>8441</v>
      </c>
      <c r="R484" s="108" t="s">
        <v>3276</v>
      </c>
    </row>
    <row r="485" spans="17:18">
      <c r="Q485" s="108">
        <v>8442</v>
      </c>
      <c r="R485" s="108" t="s">
        <v>3277</v>
      </c>
    </row>
    <row r="486" spans="17:18">
      <c r="Q486" s="108">
        <v>8443</v>
      </c>
      <c r="R486" s="108" t="s">
        <v>3278</v>
      </c>
    </row>
    <row r="487" spans="17:18">
      <c r="Q487" s="108">
        <v>8444</v>
      </c>
      <c r="R487" s="108" t="s">
        <v>3279</v>
      </c>
    </row>
    <row r="488" spans="17:18">
      <c r="Q488" s="108">
        <v>8445</v>
      </c>
      <c r="R488" s="108" t="s">
        <v>3280</v>
      </c>
    </row>
    <row r="489" spans="17:18">
      <c r="Q489" s="108">
        <v>8450</v>
      </c>
      <c r="R489" s="108" t="s">
        <v>3281</v>
      </c>
    </row>
    <row r="490" spans="17:18">
      <c r="Q490" s="108">
        <v>8451</v>
      </c>
      <c r="R490" s="108" t="s">
        <v>3282</v>
      </c>
    </row>
    <row r="491" spans="17:18">
      <c r="Q491" s="108">
        <v>8460</v>
      </c>
      <c r="R491" s="108" t="s">
        <v>3283</v>
      </c>
    </row>
    <row r="492" spans="17:18">
      <c r="Q492" s="108">
        <v>8461</v>
      </c>
      <c r="R492" s="108" t="s">
        <v>3284</v>
      </c>
    </row>
    <row r="493" spans="17:18">
      <c r="Q493" s="108">
        <v>800090</v>
      </c>
      <c r="R493" s="108" t="s">
        <v>3285</v>
      </c>
    </row>
    <row r="494" spans="17:18">
      <c r="Q494" s="108">
        <v>90007</v>
      </c>
      <c r="R494" s="108" t="s">
        <v>3286</v>
      </c>
    </row>
    <row r="495" spans="17:18">
      <c r="Q495" s="108">
        <v>90101</v>
      </c>
      <c r="R495" s="108" t="s">
        <v>3287</v>
      </c>
    </row>
    <row r="496" spans="17:18">
      <c r="Q496" s="108">
        <v>90903</v>
      </c>
      <c r="R496" s="108" t="s">
        <v>3288</v>
      </c>
    </row>
    <row r="497" spans="17:18">
      <c r="Q497" s="108">
        <v>90801</v>
      </c>
      <c r="R497" s="108" t="s">
        <v>3289</v>
      </c>
    </row>
    <row r="498" spans="17:18">
      <c r="Q498" s="108">
        <v>90802</v>
      </c>
      <c r="R498" s="108" t="s">
        <v>3290</v>
      </c>
    </row>
    <row r="499" spans="17:18">
      <c r="Q499" s="108">
        <v>90803</v>
      </c>
      <c r="R499" s="108" t="s">
        <v>3291</v>
      </c>
    </row>
    <row r="500" spans="17:18">
      <c r="Q500" s="108">
        <v>90804</v>
      </c>
      <c r="R500" s="108" t="s">
        <v>3292</v>
      </c>
    </row>
    <row r="501" spans="17:18">
      <c r="Q501" s="108">
        <v>90904</v>
      </c>
      <c r="R501" s="108" t="s">
        <v>3293</v>
      </c>
    </row>
    <row r="502" spans="17:18">
      <c r="Q502" s="108">
        <v>90911</v>
      </c>
      <c r="R502" s="108" t="s">
        <v>3294</v>
      </c>
    </row>
    <row r="503" spans="17:18">
      <c r="Q503" s="108">
        <v>90912</v>
      </c>
      <c r="R503" s="108" t="s">
        <v>3295</v>
      </c>
    </row>
    <row r="504" spans="17:18">
      <c r="Q504" s="108">
        <v>90901</v>
      </c>
      <c r="R504" s="108" t="s">
        <v>3296</v>
      </c>
    </row>
    <row r="505" spans="17:18">
      <c r="Q505" s="108">
        <v>90902</v>
      </c>
      <c r="R505" s="108" t="s">
        <v>3297</v>
      </c>
    </row>
    <row r="506" spans="17:18">
      <c r="Q506" s="108">
        <v>90905</v>
      </c>
      <c r="R506" s="108" t="s">
        <v>3298</v>
      </c>
    </row>
    <row r="507" spans="17:18">
      <c r="Q507" s="108">
        <v>90906</v>
      </c>
      <c r="R507" s="108" t="s">
        <v>3299</v>
      </c>
    </row>
    <row r="508" spans="17:18">
      <c r="Q508" s="108">
        <v>90907</v>
      </c>
      <c r="R508" s="108" t="s">
        <v>3300</v>
      </c>
    </row>
    <row r="509" spans="17:18">
      <c r="Q509" s="108">
        <v>90910</v>
      </c>
      <c r="R509" s="108" t="s">
        <v>3301</v>
      </c>
    </row>
    <row r="510" spans="17:18">
      <c r="Q510" s="108">
        <v>90916</v>
      </c>
      <c r="R510" s="108" t="s">
        <v>3302</v>
      </c>
    </row>
    <row r="511" spans="17:18">
      <c r="Q511" s="108">
        <v>90999</v>
      </c>
      <c r="R511" s="108" t="s">
        <v>3303</v>
      </c>
    </row>
    <row r="512" spans="17:18">
      <c r="Q512" s="108">
        <v>91000</v>
      </c>
      <c r="R512" s="108" t="s">
        <v>3304</v>
      </c>
    </row>
    <row r="513" spans="17:18">
      <c r="Q513" s="108">
        <v>91001</v>
      </c>
      <c r="R513" s="108" t="s">
        <v>3305</v>
      </c>
    </row>
    <row r="514" spans="17:18">
      <c r="Q514" s="108">
        <v>91002</v>
      </c>
      <c r="R514" s="108" t="s">
        <v>3306</v>
      </c>
    </row>
    <row r="515" spans="17:18">
      <c r="Q515" s="108">
        <v>91003</v>
      </c>
      <c r="R515" s="108" t="s">
        <v>3307</v>
      </c>
    </row>
    <row r="516" spans="17:18">
      <c r="Q516" s="108">
        <v>91004</v>
      </c>
      <c r="R516" s="108" t="s">
        <v>3308</v>
      </c>
    </row>
    <row r="517" spans="17:18">
      <c r="Q517" s="108">
        <v>91019</v>
      </c>
      <c r="R517" s="108" t="s">
        <v>3309</v>
      </c>
    </row>
    <row r="518" spans="17:18">
      <c r="Q518" s="108">
        <v>91020</v>
      </c>
      <c r="R518" s="108" t="s">
        <v>3310</v>
      </c>
    </row>
    <row r="519" spans="17:18">
      <c r="Q519" s="108">
        <v>91021</v>
      </c>
      <c r="R519" s="108" t="s">
        <v>3311</v>
      </c>
    </row>
    <row r="520" spans="17:18">
      <c r="Q520" s="108">
        <v>91022</v>
      </c>
      <c r="R520" s="108" t="s">
        <v>3312</v>
      </c>
    </row>
    <row r="521" spans="17:18">
      <c r="Q521" s="108">
        <v>91023</v>
      </c>
      <c r="R521" s="108" t="s">
        <v>3313</v>
      </c>
    </row>
    <row r="522" spans="17:18">
      <c r="Q522" s="108">
        <v>91024</v>
      </c>
      <c r="R522" s="108" t="s">
        <v>3314</v>
      </c>
    </row>
    <row r="523" spans="17:18">
      <c r="Q523" s="108">
        <v>91039</v>
      </c>
      <c r="R523" s="108" t="s">
        <v>3315</v>
      </c>
    </row>
    <row r="524" spans="17:18">
      <c r="Q524" s="108">
        <v>91040</v>
      </c>
      <c r="R524" s="108" t="s">
        <v>3316</v>
      </c>
    </row>
    <row r="525" spans="17:18">
      <c r="Q525" s="108">
        <v>9203</v>
      </c>
      <c r="R525" s="108" t="s">
        <v>3317</v>
      </c>
    </row>
    <row r="526" spans="17:18">
      <c r="Q526" s="108">
        <v>9204</v>
      </c>
      <c r="R526" s="108" t="s">
        <v>3318</v>
      </c>
    </row>
    <row r="527" spans="17:18">
      <c r="Q527" s="108">
        <v>9210</v>
      </c>
      <c r="R527" s="108" t="s">
        <v>3319</v>
      </c>
    </row>
    <row r="528" spans="17:18">
      <c r="Q528" s="108">
        <v>9220</v>
      </c>
      <c r="R528" s="108" t="s">
        <v>3320</v>
      </c>
    </row>
    <row r="529" spans="17:18">
      <c r="Q529" s="108">
        <v>92300</v>
      </c>
      <c r="R529" s="122" t="s">
        <v>3321</v>
      </c>
    </row>
    <row r="530" spans="17:18">
      <c r="Q530" s="108">
        <v>92400</v>
      </c>
      <c r="R530" s="122" t="s">
        <v>3322</v>
      </c>
    </row>
    <row r="531" spans="17:18">
      <c r="Q531" s="108">
        <v>92500</v>
      </c>
      <c r="R531" s="122" t="s">
        <v>3323</v>
      </c>
    </row>
    <row r="532" spans="17:18">
      <c r="Q532" s="108">
        <v>9290</v>
      </c>
      <c r="R532" s="122" t="s">
        <v>3324</v>
      </c>
    </row>
    <row r="533" spans="17:18">
      <c r="Q533" s="108">
        <v>9291</v>
      </c>
      <c r="R533" s="122" t="s">
        <v>3325</v>
      </c>
    </row>
    <row r="534" spans="17:18">
      <c r="Q534" s="108">
        <v>9292</v>
      </c>
      <c r="R534" s="122" t="s">
        <v>3326</v>
      </c>
    </row>
    <row r="535" spans="17:18">
      <c r="Q535" s="108">
        <v>9293</v>
      </c>
      <c r="R535" s="122" t="s">
        <v>3327</v>
      </c>
    </row>
    <row r="536" spans="17:18">
      <c r="Q536" s="108">
        <v>9304</v>
      </c>
      <c r="R536" s="122" t="s">
        <v>3328</v>
      </c>
    </row>
    <row r="537" spans="17:18">
      <c r="Q537" s="108">
        <v>9305</v>
      </c>
      <c r="R537" s="122" t="s">
        <v>3329</v>
      </c>
    </row>
    <row r="538" spans="17:18">
      <c r="Q538" s="108">
        <v>9306</v>
      </c>
      <c r="R538" s="122" t="s">
        <v>3330</v>
      </c>
    </row>
    <row r="539" spans="17:18">
      <c r="Q539" s="108">
        <v>9307</v>
      </c>
      <c r="R539" s="122" t="s">
        <v>3331</v>
      </c>
    </row>
    <row r="540" spans="17:18">
      <c r="Q540" s="108">
        <v>9325</v>
      </c>
      <c r="R540" s="122" t="s">
        <v>3332</v>
      </c>
    </row>
    <row r="541" spans="17:18">
      <c r="Q541" s="108">
        <v>9326</v>
      </c>
      <c r="R541" s="122" t="s">
        <v>3333</v>
      </c>
    </row>
    <row r="542" spans="17:18">
      <c r="Q542" s="108">
        <v>9327</v>
      </c>
      <c r="R542" s="122" t="s">
        <v>3334</v>
      </c>
    </row>
    <row r="543" spans="17:18">
      <c r="Q543" s="108">
        <v>9328</v>
      </c>
      <c r="R543" s="122" t="s">
        <v>3335</v>
      </c>
    </row>
    <row r="544" spans="17:18">
      <c r="Q544" s="108">
        <v>9330</v>
      </c>
      <c r="R544" s="122" t="s">
        <v>3336</v>
      </c>
    </row>
    <row r="545" spans="17:18">
      <c r="Q545" s="108">
        <v>9331</v>
      </c>
      <c r="R545" s="122" t="s">
        <v>3337</v>
      </c>
    </row>
    <row r="546" spans="17:18">
      <c r="Q546" s="108">
        <v>9332</v>
      </c>
      <c r="R546" s="122" t="s">
        <v>3338</v>
      </c>
    </row>
    <row r="547" spans="17:18">
      <c r="Q547" s="108">
        <v>9333</v>
      </c>
      <c r="R547" s="122" t="s">
        <v>3339</v>
      </c>
    </row>
    <row r="548" spans="17:18">
      <c r="Q548" s="108">
        <v>9334</v>
      </c>
      <c r="R548" s="122" t="s">
        <v>3340</v>
      </c>
    </row>
    <row r="549" spans="17:18">
      <c r="Q549" s="108">
        <v>9335</v>
      </c>
      <c r="R549" s="122" t="s">
        <v>3341</v>
      </c>
    </row>
    <row r="550" spans="17:18">
      <c r="Q550" s="108">
        <v>9336</v>
      </c>
      <c r="R550" s="122" t="s">
        <v>3342</v>
      </c>
    </row>
    <row r="551" spans="17:18">
      <c r="Q551" s="108">
        <v>9337</v>
      </c>
      <c r="R551" s="122" t="s">
        <v>3343</v>
      </c>
    </row>
    <row r="552" spans="17:18">
      <c r="Q552" s="108">
        <v>9338</v>
      </c>
      <c r="R552" s="122" t="s">
        <v>3344</v>
      </c>
    </row>
    <row r="553" spans="17:18">
      <c r="Q553" s="108">
        <v>9339</v>
      </c>
      <c r="R553" s="122" t="s">
        <v>3345</v>
      </c>
    </row>
    <row r="554" spans="17:18">
      <c r="Q554" s="108">
        <v>9340</v>
      </c>
      <c r="R554" s="122" t="s">
        <v>3346</v>
      </c>
    </row>
    <row r="555" spans="17:18">
      <c r="Q555" s="108">
        <v>9341</v>
      </c>
      <c r="R555" s="122" t="s">
        <v>3347</v>
      </c>
    </row>
    <row r="556" spans="17:18">
      <c r="Q556" s="108">
        <v>9342</v>
      </c>
      <c r="R556" s="122" t="s">
        <v>3348</v>
      </c>
    </row>
    <row r="557" spans="17:18">
      <c r="Q557" s="108">
        <v>9343</v>
      </c>
      <c r="R557" s="122" t="s">
        <v>3349</v>
      </c>
    </row>
    <row r="558" spans="17:18">
      <c r="Q558" s="108">
        <v>9350</v>
      </c>
      <c r="R558" s="108" t="s">
        <v>3350</v>
      </c>
    </row>
    <row r="559" spans="17:18">
      <c r="Q559" s="108">
        <v>9351</v>
      </c>
      <c r="R559" s="108" t="s">
        <v>3351</v>
      </c>
    </row>
    <row r="560" spans="17:18">
      <c r="Q560" s="108">
        <v>9352</v>
      </c>
      <c r="R560" s="108" t="s">
        <v>3352</v>
      </c>
    </row>
    <row r="561" spans="17:18">
      <c r="Q561" s="108">
        <v>9353</v>
      </c>
      <c r="R561" s="108" t="s">
        <v>3353</v>
      </c>
    </row>
    <row r="562" spans="17:18">
      <c r="Q562" s="108">
        <v>9354</v>
      </c>
      <c r="R562" s="108" t="s">
        <v>3354</v>
      </c>
    </row>
    <row r="563" spans="17:18">
      <c r="Q563" s="108">
        <v>9360</v>
      </c>
      <c r="R563" s="108" t="s">
        <v>3355</v>
      </c>
    </row>
    <row r="564" spans="17:18">
      <c r="Q564" s="108">
        <v>9361</v>
      </c>
      <c r="R564" s="108" t="s">
        <v>3356</v>
      </c>
    </row>
    <row r="565" spans="17:18">
      <c r="Q565" s="108">
        <v>9362</v>
      </c>
      <c r="R565" s="108" t="s">
        <v>3357</v>
      </c>
    </row>
    <row r="566" spans="17:18">
      <c r="Q566" s="108">
        <v>9370</v>
      </c>
      <c r="R566" s="108" t="s">
        <v>3358</v>
      </c>
    </row>
    <row r="567" spans="17:18">
      <c r="Q567" s="108">
        <v>9371</v>
      </c>
      <c r="R567" s="108" t="s">
        <v>3359</v>
      </c>
    </row>
    <row r="568" spans="17:18">
      <c r="Q568" s="108">
        <v>9380</v>
      </c>
      <c r="R568" s="108" t="s">
        <v>3360</v>
      </c>
    </row>
    <row r="569" spans="17:18">
      <c r="Q569" s="108">
        <v>9381</v>
      </c>
      <c r="R569" s="108" t="s">
        <v>3361</v>
      </c>
    </row>
    <row r="570" spans="17:18">
      <c r="Q570" s="108">
        <v>9382</v>
      </c>
      <c r="R570" s="108" t="s">
        <v>3362</v>
      </c>
    </row>
    <row r="571" spans="17:18">
      <c r="Q571" s="108">
        <v>9383</v>
      </c>
      <c r="R571" s="108" t="s">
        <v>3363</v>
      </c>
    </row>
    <row r="572" spans="17:18">
      <c r="Q572" s="108">
        <v>9390</v>
      </c>
      <c r="R572" s="108" t="s">
        <v>3364</v>
      </c>
    </row>
    <row r="573" spans="17:18">
      <c r="Q573" s="108">
        <v>9391</v>
      </c>
      <c r="R573" s="108" t="s">
        <v>3365</v>
      </c>
    </row>
    <row r="574" spans="17:18">
      <c r="Q574" s="108">
        <v>9392</v>
      </c>
      <c r="R574" s="108" t="s">
        <v>3366</v>
      </c>
    </row>
    <row r="575" spans="17:18">
      <c r="Q575" s="108">
        <v>9400</v>
      </c>
      <c r="R575" s="108" t="s">
        <v>3367</v>
      </c>
    </row>
    <row r="576" spans="17:18">
      <c r="Q576" s="108">
        <v>9401</v>
      </c>
      <c r="R576" s="108" t="s">
        <v>3368</v>
      </c>
    </row>
    <row r="577" spans="17:18">
      <c r="Q577" s="108">
        <v>9402</v>
      </c>
      <c r="R577" s="108" t="s">
        <v>3369</v>
      </c>
    </row>
    <row r="578" spans="17:18">
      <c r="Q578" s="108">
        <v>9403</v>
      </c>
      <c r="R578" s="108" t="s">
        <v>3370</v>
      </c>
    </row>
    <row r="579" spans="17:18">
      <c r="Q579" s="108">
        <v>9404</v>
      </c>
      <c r="R579" s="108" t="s">
        <v>3371</v>
      </c>
    </row>
    <row r="580" spans="17:18">
      <c r="Q580" s="108">
        <v>9450</v>
      </c>
      <c r="R580" s="108" t="s">
        <v>3372</v>
      </c>
    </row>
    <row r="581" spans="17:18">
      <c r="Q581" s="108">
        <v>9451</v>
      </c>
      <c r="R581" s="108" t="s">
        <v>3373</v>
      </c>
    </row>
    <row r="582" spans="17:18">
      <c r="Q582" s="108">
        <v>9460</v>
      </c>
      <c r="R582" s="108" t="s">
        <v>3374</v>
      </c>
    </row>
    <row r="583" spans="17:18">
      <c r="Q583" s="108">
        <v>9461</v>
      </c>
      <c r="R583" s="108" t="s">
        <v>3375</v>
      </c>
    </row>
    <row r="584" spans="17:18">
      <c r="Q584" s="108">
        <v>9462</v>
      </c>
      <c r="R584" s="108" t="s">
        <v>3376</v>
      </c>
    </row>
    <row r="585" spans="17:18">
      <c r="Q585" s="108">
        <v>9470</v>
      </c>
      <c r="R585" s="108" t="s">
        <v>3377</v>
      </c>
    </row>
    <row r="586" spans="17:18">
      <c r="Q586" s="108">
        <v>9471</v>
      </c>
      <c r="R586" s="108" t="s">
        <v>3378</v>
      </c>
    </row>
    <row r="587" spans="17:18">
      <c r="Q587" s="108">
        <v>9472</v>
      </c>
      <c r="R587" s="108" t="s">
        <v>3379</v>
      </c>
    </row>
    <row r="588" spans="17:18">
      <c r="Q588" s="108">
        <v>9473</v>
      </c>
      <c r="R588" s="108" t="s">
        <v>3380</v>
      </c>
    </row>
    <row r="589" spans="17:18">
      <c r="Q589" s="108">
        <v>99999</v>
      </c>
      <c r="R589" s="108" t="s">
        <v>3393</v>
      </c>
    </row>
  </sheetData>
  <customSheetViews>
    <customSheetView guid="{4A49014B-6EB8-41BC-821C-AA758C89CB00}" showPageBreaks="1" topLeftCell="AI1">
      <pane ySplit="1" topLeftCell="A2" activePane="bottomLeft" state="frozen"/>
      <selection pane="bottomLeft" activeCell="AW46" sqref="AW46"/>
      <pageMargins left="0" right="0" top="0.39370078740157483" bottom="0.39370078740157483" header="0.19685039370078741" footer="0.19685039370078741"/>
      <pageSetup paperSize="8" scale="40" orientation="landscape" verticalDpi="0" r:id="rId1"/>
      <headerFooter alignWithMargins="0"/>
    </customSheetView>
  </customSheetViews>
  <phoneticPr fontId="3"/>
  <pageMargins left="0" right="0" top="0.39370078740157483" bottom="0.39370078740157483" header="0.19685039370078741" footer="0.19685039370078741"/>
  <pageSetup paperSize="8" scale="40" orientation="landscape" verticalDpi="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45</vt:i4>
      </vt:variant>
    </vt:vector>
  </HeadingPairs>
  <TitlesOfParts>
    <vt:vector size="63" baseType="lpstr">
      <vt:lpstr>新規登録申請 大量（サンプル）</vt:lpstr>
      <vt:lpstr>新規登録申請 大量（ブランク）原本</vt:lpstr>
      <vt:lpstr>①商品登録（酒）</vt:lpstr>
      <vt:lpstr>①商品登録（ワイン専用）</vt:lpstr>
      <vt:lpstr>①商品登録（酒以外）これのみ</vt:lpstr>
      <vt:lpstr>①酒以外RPA</vt:lpstr>
      <vt:lpstr>②仕入単価</vt:lpstr>
      <vt:lpstr>②仕入単価RPA</vt:lpstr>
      <vt:lpstr>③発注情報</vt:lpstr>
      <vt:lpstr>③発注情報RPA</vt:lpstr>
      <vt:lpstr>④N、R</vt:lpstr>
      <vt:lpstr>④N、R RPA</vt:lpstr>
      <vt:lpstr>⑤POS登録</vt:lpstr>
      <vt:lpstr>⑤POS登録RPA</vt:lpstr>
      <vt:lpstr>⑥部署別店頭単価</vt:lpstr>
      <vt:lpstr>⑦仕入先別期間単価設定</vt:lpstr>
      <vt:lpstr>⑥部署別店頭単価RPA</vt:lpstr>
      <vt:lpstr>MT商品ﾏｽﾀ参照シート</vt:lpstr>
      <vt:lpstr>HT容器回収</vt:lpstr>
      <vt:lpstr>①酒以外RPA!Print_Titles</vt:lpstr>
      <vt:lpstr>'①商品登録（ワイン専用）'!Print_Titles</vt:lpstr>
      <vt:lpstr>'①商品登録（酒）'!Print_Titles</vt:lpstr>
      <vt:lpstr>'①商品登録（酒以外）これのみ'!Print_Titles</vt:lpstr>
      <vt:lpstr>②仕入単価!Print_Titles</vt:lpstr>
      <vt:lpstr>②仕入単価RPA!Print_Titles</vt:lpstr>
      <vt:lpstr>③発注情報!Print_Titles</vt:lpstr>
      <vt:lpstr>③発注情報RPA!Print_Titles</vt:lpstr>
      <vt:lpstr>'④N、R'!Print_Titles</vt:lpstr>
      <vt:lpstr>'④N、R RPA'!Print_Titles</vt:lpstr>
      <vt:lpstr>⑤POS登録!Print_Titles</vt:lpstr>
      <vt:lpstr>⑤POS登録RPA!Print_Titles</vt:lpstr>
      <vt:lpstr>⑥部署別店頭単価!Print_Titles</vt:lpstr>
      <vt:lpstr>⑥部署別店頭単価RPA!Print_Titles</vt:lpstr>
      <vt:lpstr>⑦仕入先別期間単価設定!Print_Titles</vt:lpstr>
      <vt:lpstr>'新規登録申請 大量（サンプル）'!Print_Titles</vt:lpstr>
      <vt:lpstr>'新規登録申請 大量（ブランク）原本'!Print_Titles</vt:lpstr>
      <vt:lpstr>デポ当日発注</vt:lpstr>
      <vt:lpstr>飲み口</vt:lpstr>
      <vt:lpstr>横持ピック</vt:lpstr>
      <vt:lpstr>温度帯</vt:lpstr>
      <vt:lpstr>課税区分</vt:lpstr>
      <vt:lpstr>季節区分</vt:lpstr>
      <vt:lpstr>空容器商品CD</vt:lpstr>
      <vt:lpstr>国産輸入</vt:lpstr>
      <vt:lpstr>在庫管理</vt:lpstr>
      <vt:lpstr>産地_国</vt:lpstr>
      <vt:lpstr>産地_地域</vt:lpstr>
      <vt:lpstr>産地コード</vt:lpstr>
      <vt:lpstr>酒税分類</vt:lpstr>
      <vt:lpstr>酒類_酒税分類</vt:lpstr>
      <vt:lpstr>商品区分</vt:lpstr>
      <vt:lpstr>商品種別</vt:lpstr>
      <vt:lpstr>商品分類</vt:lpstr>
      <vt:lpstr>消費税率コード</vt:lpstr>
      <vt:lpstr>清酒POS分類</vt:lpstr>
      <vt:lpstr>単位</vt:lpstr>
      <vt:lpstr>直送物流区分</vt:lpstr>
      <vt:lpstr>伝発分類</vt:lpstr>
      <vt:lpstr>販売先区分</vt:lpstr>
      <vt:lpstr>部署コード</vt:lpstr>
      <vt:lpstr>物流区分</vt:lpstr>
      <vt:lpstr>予備区分3</vt:lpstr>
      <vt:lpstr>予備区分4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オガサワラ ヨシキヨ</cp:lastModifiedBy>
  <cp:lastPrinted>2022-08-24T07:23:54Z</cp:lastPrinted>
  <dcterms:created xsi:type="dcterms:W3CDTF">2021-10-28T03:20:02Z</dcterms:created>
  <dcterms:modified xsi:type="dcterms:W3CDTF">2024-12-12T08:28:48Z</dcterms:modified>
</cp:coreProperties>
</file>