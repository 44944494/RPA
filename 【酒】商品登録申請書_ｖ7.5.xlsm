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abl\Downloads\"/>
    </mc:Choice>
  </mc:AlternateContent>
  <xr:revisionPtr revIDLastSave="0" documentId="8_{16C12874-C94B-4E25-A6D1-EACE541192DE}" xr6:coauthVersionLast="47" xr6:coauthVersionMax="47" xr10:uidLastSave="{00000000-0000-0000-0000-000000000000}"/>
  <bookViews>
    <workbookView xWindow="4704" yWindow="1224" windowWidth="17532" windowHeight="9936" tabRatio="937" activeTab="3" xr2:uid="{00000000-000D-0000-FFFF-FFFF00000000}"/>
  </bookViews>
  <sheets>
    <sheet name="①商品マスタ 申請入力用" sheetId="2" r:id="rId1"/>
    <sheet name="リンク用シート" sheetId="7" state="hidden" r:id="rId2"/>
    <sheet name="①マッピング用" sheetId="34" r:id="rId3"/>
    <sheet name="登録データ" sheetId="32" r:id="rId4"/>
    <sheet name="②仕入単価・発注情報" sheetId="9" r:id="rId5"/>
    <sheet name="NEW③Ｎ単価・売価情報" sheetId="29" r:id="rId6"/>
    <sheet name="NEW③Ｎ単価・売価情報（関東以外）" sheetId="30" r:id="rId7"/>
    <sheet name="④ＰＯＰ情報" sheetId="10" r:id="rId8"/>
    <sheet name="⑤店舗商品導入書" sheetId="23" r:id="rId9"/>
    <sheet name="⑥セット商品登録申請書" sheetId="31" r:id="rId10"/>
    <sheet name="→参照" sheetId="12" r:id="rId11"/>
    <sheet name="管理課使用（申請書）" sheetId="1" state="hidden" r:id="rId12"/>
    <sheet name="MT商品ﾏｽﾀ参照シート" sheetId="3" r:id="rId13"/>
    <sheet name="参照_POP情報用" sheetId="14" r:id="rId14"/>
  </sheets>
  <functionGroups builtInGroupCount="19"/>
  <externalReferences>
    <externalReference r:id="rId15"/>
    <externalReference r:id="rId16"/>
    <externalReference r:id="rId17"/>
  </externalReferences>
  <definedNames>
    <definedName name="_xlnm._FilterDatabase" localSheetId="12" hidden="1">MT商品ﾏｽﾀ参照シート!$A$1:$AJ$290</definedName>
    <definedName name="HT容器回収" localSheetId="2">[1]MT商品ﾏｽﾀ参照シート!$AE$2:$AE$3</definedName>
    <definedName name="HT容器回収" localSheetId="3">[1]MT商品ﾏｽﾀ参照シート!$AE$2:$AE$3</definedName>
    <definedName name="HT容器回収">MT商品ﾏｽﾀ参照シート!$AE$2:$AE$3</definedName>
    <definedName name="_xlnm.Print_Area" localSheetId="0">'①商品マスタ 申請入力用'!$A$1:$K$94</definedName>
    <definedName name="_xlnm.Print_Area" localSheetId="4">②仕入単価・発注情報!$A$1:$L$38</definedName>
    <definedName name="_xlnm.Print_Area" localSheetId="8">⑤店舗商品導入書!$A$1:$S$82</definedName>
    <definedName name="_xlnm.Print_Area" localSheetId="5">NEW③Ｎ単価・売価情報!$A$1:$I$35</definedName>
    <definedName name="_xlnm.Print_Area" localSheetId="6">'NEW③Ｎ単価・売価情報（関東以外）'!$A$1:$I$28</definedName>
    <definedName name="_xlnm.Print_Titles" localSheetId="0">'①商品マスタ 申請入力用'!$20:$29</definedName>
    <definedName name="Z_E144E3A1_E29C_410D_8925_3F260910373E_.wvu.PrintArea" localSheetId="4" hidden="1">②仕入単価・発注情報!$A$2:$K$37</definedName>
    <definedName name="デポ当日発注" localSheetId="2">[1]MT商品ﾏｽﾀ参照シート!$P$2:$P$3</definedName>
    <definedName name="デポ当日発注" localSheetId="3">[1]MT商品ﾏｽﾀ参照シート!$P$2:$P$3</definedName>
    <definedName name="デポ当日発注">MT商品ﾏｽﾀ参照シート!$P$2:$P$3</definedName>
    <definedName name="飲み口" localSheetId="2">[1]MT商品ﾏｽﾀ参照シート!$H$2:$H$15</definedName>
    <definedName name="飲み口" localSheetId="3">[1]MT商品ﾏｽﾀ参照シート!$H$2:$H$15</definedName>
    <definedName name="飲み口">MT商品ﾏｽﾀ参照シート!$H$2:$H$15</definedName>
    <definedName name="横持ピック" localSheetId="2">[1]MT商品ﾏｽﾀ参照シート!$AD$2:$AD$4</definedName>
    <definedName name="横持ピック" localSheetId="3">[1]MT商品ﾏｽﾀ参照シート!$AD$2:$AD$4</definedName>
    <definedName name="横持ピック">MT商品ﾏｽﾀ参照シート!$AD$2:$AD$4</definedName>
    <definedName name="温度帯" localSheetId="2">[1]MT商品ﾏｽﾀ参照シート!$N$2:$N$4</definedName>
    <definedName name="温度帯" localSheetId="3">[1]MT商品ﾏｽﾀ参照シート!$N$2:$N$4</definedName>
    <definedName name="温度帯">MT商品ﾏｽﾀ参照シート!$N$2:$N$4</definedName>
    <definedName name="課税区分" localSheetId="2">[1]MT商品ﾏｽﾀ参照シート!$Z$2:$Z$4</definedName>
    <definedName name="課税区分" localSheetId="3">[1]MT商品ﾏｽﾀ参照シート!$Z$2:$Z$4</definedName>
    <definedName name="課税区分">MT商品ﾏｽﾀ参照シート!$Z$2:$Z$4</definedName>
    <definedName name="季節区分" localSheetId="2">[1]MT商品ﾏｽﾀ参照シート!$L$2:$L$8</definedName>
    <definedName name="季節区分" localSheetId="3">[1]MT商品ﾏｽﾀ参照シート!$L$2:$L$8</definedName>
    <definedName name="季節区分">MT商品ﾏｽﾀ参照シート!$L$2:$L$8</definedName>
    <definedName name="空容器商品CD">MT商品ﾏｽﾀ参照シート!$I$2:$I$87</definedName>
    <definedName name="国産輸入" localSheetId="2">[1]MT商品ﾏｽﾀ参照シート!$AB$2:$AB$3</definedName>
    <definedName name="国産輸入" localSheetId="3">[1]MT商品ﾏｽﾀ参照シート!$AB$2:$AB$3</definedName>
    <definedName name="国産輸入">MT商品ﾏｽﾀ参照シート!$AB$2:$AB$3</definedName>
    <definedName name="在庫管理" localSheetId="2">[1]MT商品ﾏｽﾀ参照シート!$Y$2:$Y$3</definedName>
    <definedName name="在庫管理" localSheetId="3">[1]MT商品ﾏｽﾀ参照シート!$Y$2:$Y$3</definedName>
    <definedName name="在庫管理">MT商品ﾏｽﾀ参照シート!$Y$2:$Y$3</definedName>
    <definedName name="産地_国" localSheetId="2">[1]MT商品ﾏｽﾀ参照シート!$J$2:$J$54</definedName>
    <definedName name="産地_国" localSheetId="3">[1]MT商品ﾏｽﾀ参照シート!$J$2:$J$54</definedName>
    <definedName name="産地_国">MT商品ﾏｽﾀ参照シート!$J$2:$J$54</definedName>
    <definedName name="産地_地域" localSheetId="2">[1]MT商品ﾏｽﾀ参照シート!$K$2:$K$89</definedName>
    <definedName name="産地_地域" localSheetId="3">[1]MT商品ﾏｽﾀ参照シート!$K$2:$K$89</definedName>
    <definedName name="産地_地域">MT商品ﾏｽﾀ参照シート!$K$2:$K$89</definedName>
    <definedName name="酒税分類">MT商品ﾏｽﾀ参照シート!$G$2:$G$19</definedName>
    <definedName name="酒類_酒税分類">MT商品ﾏｽﾀ参照シート!$G$2:$G$19</definedName>
    <definedName name="商品区分" localSheetId="2">[1]MT商品ﾏｽﾀ参照シート!$A$2:$A$7</definedName>
    <definedName name="商品区分" localSheetId="3">[1]MT商品ﾏｽﾀ参照シート!$A$2:$A$7</definedName>
    <definedName name="商品区分">MT商品ﾏｽﾀ参照シート!$A$2:$A$7</definedName>
    <definedName name="商品種別">MT商品ﾏｽﾀ参照シート!$C$2:$C$9</definedName>
    <definedName name="商品分類" localSheetId="2">[1]MT商品ﾏｽﾀ参照シート!$E$2:$E$48</definedName>
    <definedName name="商品分類" localSheetId="3">[1]MT商品ﾏｽﾀ参照シート!$E$2:$E$48</definedName>
    <definedName name="商品分類">MT商品ﾏｽﾀ参照シート!$E$2:$E$112</definedName>
    <definedName name="小分類" localSheetId="2">[1]MT商品ﾏｽﾀ参照シート!$D$2:$D$161</definedName>
    <definedName name="小分類" localSheetId="3">[1]MT商品ﾏｽﾀ参照シート!$D$2:$D$161</definedName>
    <definedName name="小分類">MT商品ﾏｽﾀ参照シート!$D$2:$D$288</definedName>
    <definedName name="消費税率コード" localSheetId="2">[1]MT商品ﾏｽﾀ参照シート!$AA$2:$AA$5</definedName>
    <definedName name="消費税率コード" localSheetId="3">[1]MT商品ﾏｽﾀ参照シート!$AA$2:$AA$5</definedName>
    <definedName name="消費税率コード">MT商品ﾏｽﾀ参照シート!$AA$2:$AA$5</definedName>
    <definedName name="単位" localSheetId="2">[1]MT商品ﾏｽﾀ参照シート!$B$2:$B$17</definedName>
    <definedName name="単位" localSheetId="3">[1]MT商品ﾏｽﾀ参照シート!$B$2:$B$17</definedName>
    <definedName name="単位">MT商品ﾏｽﾀ参照シート!$B$2:$B$17</definedName>
    <definedName name="直送物流区分">MT商品ﾏｽﾀ参照シート!$O$2:$O$3</definedName>
    <definedName name="店舗取扱区分" localSheetId="2">[1]MT商品ﾏｽﾀ参照シート!$M$2:$M$5</definedName>
    <definedName name="店舗取扱区分" localSheetId="3">[1]MT商品ﾏｽﾀ参照シート!$M$2:$M$5</definedName>
    <definedName name="店舗取扱区分">MT商品ﾏｽﾀ参照シート!$M$2:$M$5</definedName>
    <definedName name="伝発分類">MT商品ﾏｽﾀ参照シート!$F$2:$F$18</definedName>
    <definedName name="麦芽比率_微発泡清酒">MT商品ﾏｽﾀ参照シート!$AM$2:$AM$6</definedName>
    <definedName name="部署コード">MT商品ﾏｽﾀ参照シート!$R$2:$R$26</definedName>
    <definedName name="物流区分" localSheetId="2">[1]MT商品ﾏｽﾀ参照シート!$O$2:$O$4</definedName>
    <definedName name="物流区分" localSheetId="3">[1]MT商品ﾏｽﾀ参照シート!$O$2:$O$4</definedName>
    <definedName name="物流区分">MT商品ﾏｽﾀ参照シート!$O$2:$O$4</definedName>
    <definedName name="予備区分1" localSheetId="2">[1]MT商品ﾏｽﾀ参照シート!$AF$2:$AF$10</definedName>
    <definedName name="予備区分1" localSheetId="3">[1]MT商品ﾏｽﾀ参照シート!$AF$2:$AF$10</definedName>
    <definedName name="予備区分1">MT商品ﾏｽﾀ参照シート!$AF$2:$AF$10</definedName>
    <definedName name="予備区分2" localSheetId="2">[1]MT商品ﾏｽﾀ参照シート!$AG$2:$AG$6</definedName>
    <definedName name="予備区分2" localSheetId="3">[1]MT商品ﾏｽﾀ参照シート!$AG$2:$AG$6</definedName>
    <definedName name="予備区分2">MT商品ﾏｽﾀ参照シート!$AG$2:$AG$6</definedName>
    <definedName name="予備区分3" localSheetId="2">[1]MT商品ﾏｽﾀ参照シート!$AH$2:$AH$3</definedName>
    <definedName name="予備区分3" localSheetId="3">[1]MT商品ﾏｽﾀ参照シート!$AH$2:$AH$3</definedName>
    <definedName name="予備区分3">MT商品ﾏｽﾀ参照シート!$AH$2:$AH$3</definedName>
    <definedName name="予備区分4">MT商品ﾏｽﾀ参照シート!$AI$2:$AI$7</definedName>
    <definedName name="予備区分8" localSheetId="2">[1]MT商品ﾏｽﾀ参照シート!$AJ$2:$AJ$4</definedName>
    <definedName name="予備区分8" localSheetId="3">[1]MT商品ﾏｽﾀ参照シート!$AJ$2:$AJ$4</definedName>
    <definedName name="予備区分8">MT商品ﾏｽﾀ参照シート!$AJ$2:$AJ$4</definedName>
  </definedNames>
  <calcPr calcId="181029"/>
  <customWorkbookViews>
    <customWorkbookView name="Chizuru Takizawa - 個人用ビュー" guid="{E144E3A1-E29C-410D-8925-3F260910373E}" mergeInterval="0" personalView="1" maximized="1" windowWidth="1020" windowHeight="603" tabRatio="964" activeSheetId="8" showComments="commIndAndComment"/>
  </customWorkbookViews>
</workbook>
</file>

<file path=xl/calcChain.xml><?xml version="1.0" encoding="utf-8"?>
<calcChain xmlns="http://schemas.openxmlformats.org/spreadsheetml/2006/main">
  <c r="O21" i="2" l="1"/>
  <c r="D90" i="2"/>
  <c r="D86" i="2"/>
  <c r="J90" i="2"/>
  <c r="J86" i="2"/>
  <c r="J82" i="2"/>
  <c r="J80" i="2"/>
  <c r="H90" i="2"/>
  <c r="H86" i="2"/>
  <c r="H82" i="2"/>
  <c r="H80" i="2"/>
  <c r="F90" i="2"/>
  <c r="F86" i="2"/>
  <c r="F82" i="2"/>
  <c r="F80" i="2"/>
  <c r="D82" i="2"/>
  <c r="D80" i="2"/>
  <c r="G69" i="34" l="1"/>
  <c r="F69" i="34"/>
  <c r="E69" i="34"/>
  <c r="D69" i="34"/>
  <c r="G68" i="34"/>
  <c r="F68" i="34"/>
  <c r="E68" i="34"/>
  <c r="D68" i="34"/>
  <c r="G66" i="34"/>
  <c r="F66" i="34"/>
  <c r="E66" i="34"/>
  <c r="D66" i="34"/>
  <c r="G65" i="34"/>
  <c r="F65" i="34"/>
  <c r="E65" i="34"/>
  <c r="D65" i="34"/>
  <c r="G64" i="34"/>
  <c r="F64" i="34"/>
  <c r="E64" i="34"/>
  <c r="D64" i="34"/>
  <c r="G63" i="34"/>
  <c r="F63" i="34"/>
  <c r="E63" i="34"/>
  <c r="D63" i="34"/>
  <c r="G62" i="34"/>
  <c r="F62" i="34"/>
  <c r="E62" i="34"/>
  <c r="D62" i="34"/>
  <c r="G61" i="34"/>
  <c r="F61" i="34"/>
  <c r="E61" i="34"/>
  <c r="D61" i="34"/>
  <c r="G60" i="34"/>
  <c r="F60" i="34"/>
  <c r="E60" i="34"/>
  <c r="D60" i="34"/>
  <c r="G59" i="34"/>
  <c r="F59" i="34"/>
  <c r="E59" i="34"/>
  <c r="D59" i="34"/>
  <c r="G58" i="34"/>
  <c r="F58" i="34"/>
  <c r="E58" i="34"/>
  <c r="D58" i="34"/>
  <c r="G57" i="34"/>
  <c r="F57" i="34"/>
  <c r="E57" i="34"/>
  <c r="D57" i="34"/>
  <c r="G56" i="34"/>
  <c r="F56" i="34"/>
  <c r="E56" i="34"/>
  <c r="D56" i="34"/>
  <c r="G55" i="34"/>
  <c r="F55" i="34"/>
  <c r="E55" i="34"/>
  <c r="D55" i="34"/>
  <c r="G54" i="34"/>
  <c r="F54" i="34"/>
  <c r="E54" i="34"/>
  <c r="D54" i="34"/>
  <c r="G53" i="34"/>
  <c r="F53" i="34"/>
  <c r="E53" i="34"/>
  <c r="D53" i="34"/>
  <c r="G52" i="34"/>
  <c r="F52" i="34"/>
  <c r="E52" i="34"/>
  <c r="D52" i="34"/>
  <c r="G51" i="34"/>
  <c r="F51" i="34"/>
  <c r="E51" i="34"/>
  <c r="D51" i="34"/>
  <c r="G50" i="34"/>
  <c r="F50" i="34"/>
  <c r="E50" i="34"/>
  <c r="D50" i="34"/>
  <c r="G49" i="34"/>
  <c r="F49" i="34"/>
  <c r="E49" i="34"/>
  <c r="D49" i="34"/>
  <c r="G48" i="34"/>
  <c r="F48" i="34"/>
  <c r="E48" i="34"/>
  <c r="D48" i="34"/>
  <c r="G47" i="34"/>
  <c r="F47" i="34"/>
  <c r="E47" i="34"/>
  <c r="D47" i="34"/>
  <c r="G46" i="34"/>
  <c r="F46" i="34"/>
  <c r="E46" i="34"/>
  <c r="D46" i="34"/>
  <c r="G45" i="34"/>
  <c r="F45" i="34"/>
  <c r="E45" i="34"/>
  <c r="D45" i="34"/>
  <c r="G44" i="34"/>
  <c r="F44" i="34"/>
  <c r="E44" i="34"/>
  <c r="D44" i="34"/>
  <c r="G43" i="34"/>
  <c r="F43" i="34"/>
  <c r="E43" i="34"/>
  <c r="D43" i="34"/>
  <c r="G42" i="34"/>
  <c r="F42" i="34"/>
  <c r="E42" i="34"/>
  <c r="D42" i="34"/>
  <c r="G41" i="34"/>
  <c r="F41" i="34"/>
  <c r="E41" i="34"/>
  <c r="D41" i="34"/>
  <c r="G40" i="34"/>
  <c r="F40" i="34"/>
  <c r="E40" i="34"/>
  <c r="D40" i="34"/>
  <c r="G39" i="34"/>
  <c r="F39" i="34"/>
  <c r="E39" i="34"/>
  <c r="D39" i="34"/>
  <c r="G38" i="34"/>
  <c r="F38" i="34"/>
  <c r="E38" i="34"/>
  <c r="D38" i="34"/>
  <c r="G37" i="34"/>
  <c r="F37" i="34"/>
  <c r="E37" i="34"/>
  <c r="D37" i="34"/>
  <c r="G36" i="34"/>
  <c r="F36" i="34"/>
  <c r="E36" i="34"/>
  <c r="D36" i="34"/>
  <c r="G35" i="34"/>
  <c r="F35" i="34"/>
  <c r="E35" i="34"/>
  <c r="D35" i="34"/>
  <c r="G34" i="34"/>
  <c r="F34" i="34"/>
  <c r="E34" i="34"/>
  <c r="D34" i="34"/>
  <c r="G33" i="34"/>
  <c r="F33" i="34"/>
  <c r="E33" i="34"/>
  <c r="D33" i="34"/>
  <c r="G32" i="34"/>
  <c r="F32" i="34"/>
  <c r="E32" i="34"/>
  <c r="D32" i="34"/>
  <c r="G31" i="34"/>
  <c r="F31" i="34"/>
  <c r="E31" i="34"/>
  <c r="D31" i="34"/>
  <c r="G30" i="34"/>
  <c r="F30" i="34"/>
  <c r="E30" i="34"/>
  <c r="D30" i="34"/>
  <c r="G29" i="34"/>
  <c r="F29" i="34"/>
  <c r="E29" i="34"/>
  <c r="D29" i="34"/>
  <c r="G28" i="34"/>
  <c r="F28" i="34"/>
  <c r="E28" i="34"/>
  <c r="D28" i="34"/>
  <c r="G27" i="34"/>
  <c r="F27" i="34"/>
  <c r="E27" i="34"/>
  <c r="D27" i="34"/>
  <c r="G26" i="34"/>
  <c r="F26" i="34"/>
  <c r="E26" i="34"/>
  <c r="D26" i="34"/>
  <c r="G25" i="34"/>
  <c r="F25" i="34"/>
  <c r="E25" i="34"/>
  <c r="D25" i="34"/>
  <c r="G24" i="34"/>
  <c r="F24" i="34"/>
  <c r="E24" i="34"/>
  <c r="D24" i="34"/>
  <c r="G23" i="34"/>
  <c r="F23" i="34"/>
  <c r="E23" i="34"/>
  <c r="D23" i="34"/>
  <c r="G22" i="34"/>
  <c r="F22" i="34"/>
  <c r="E22" i="34"/>
  <c r="D22" i="34"/>
  <c r="G21" i="34"/>
  <c r="F21" i="34"/>
  <c r="E21" i="34"/>
  <c r="D21" i="34"/>
  <c r="G20" i="34"/>
  <c r="F20" i="34"/>
  <c r="E20" i="34"/>
  <c r="D20" i="34"/>
  <c r="G19" i="34"/>
  <c r="F19" i="34"/>
  <c r="E19" i="34"/>
  <c r="D19" i="34"/>
  <c r="G18" i="34"/>
  <c r="F18" i="34"/>
  <c r="E18" i="34"/>
  <c r="D18" i="34"/>
  <c r="G17" i="34"/>
  <c r="F17" i="34"/>
  <c r="E17" i="34"/>
  <c r="D17" i="34"/>
  <c r="G16" i="34"/>
  <c r="F16" i="34"/>
  <c r="E16" i="34"/>
  <c r="D16" i="34"/>
  <c r="G15" i="34"/>
  <c r="F15" i="34"/>
  <c r="E15" i="34"/>
  <c r="D15" i="34"/>
  <c r="G14" i="34"/>
  <c r="F14" i="34"/>
  <c r="E14" i="34"/>
  <c r="D14" i="34"/>
  <c r="G13" i="34"/>
  <c r="F13" i="34"/>
  <c r="E13" i="34"/>
  <c r="D13" i="34"/>
  <c r="G12" i="34"/>
  <c r="F12" i="34"/>
  <c r="E12" i="34"/>
  <c r="D12" i="34"/>
  <c r="G11" i="34"/>
  <c r="F11" i="34"/>
  <c r="E11" i="34"/>
  <c r="D11" i="34"/>
  <c r="G10" i="34"/>
  <c r="F10" i="34"/>
  <c r="E10" i="34"/>
  <c r="D10" i="34"/>
  <c r="G9" i="34"/>
  <c r="F9" i="34"/>
  <c r="E9" i="34"/>
  <c r="D9" i="34"/>
  <c r="G8" i="34"/>
  <c r="F8" i="34"/>
  <c r="E8" i="34"/>
  <c r="D8" i="34"/>
  <c r="G7" i="34"/>
  <c r="F7" i="34"/>
  <c r="E7" i="34"/>
  <c r="D7" i="34"/>
  <c r="G6" i="34"/>
  <c r="F6" i="34"/>
  <c r="E6" i="34"/>
  <c r="D6" i="34"/>
  <c r="G5" i="34"/>
  <c r="F5" i="34"/>
  <c r="E5" i="34"/>
  <c r="D5" i="34"/>
  <c r="G4" i="34"/>
  <c r="F4" i="34"/>
  <c r="E4" i="34"/>
  <c r="D4" i="34"/>
  <c r="O22" i="2"/>
  <c r="Q22" i="2"/>
  <c r="O23" i="2"/>
  <c r="P23" i="2" s="1"/>
  <c r="Q23" i="2"/>
  <c r="R23" i="2" s="1"/>
  <c r="O24" i="2"/>
  <c r="P24" i="2" s="1"/>
  <c r="Q24" i="2"/>
  <c r="R24" i="2" s="1"/>
  <c r="O25" i="2"/>
  <c r="P25" i="2" s="1"/>
  <c r="Q25" i="2"/>
  <c r="R25" i="2" s="1"/>
  <c r="O26" i="2"/>
  <c r="P26" i="2" s="1"/>
  <c r="Q26" i="2"/>
  <c r="R26" i="2" s="1"/>
  <c r="O27" i="2"/>
  <c r="Q27" i="2"/>
  <c r="O28" i="2"/>
  <c r="P28" i="2" s="1"/>
  <c r="Q28" i="2"/>
  <c r="R28" i="2" s="1"/>
  <c r="O29" i="2"/>
  <c r="Q29" i="2"/>
  <c r="O30" i="2"/>
  <c r="Q30" i="2"/>
  <c r="O31" i="2"/>
  <c r="Q31" i="2"/>
  <c r="O32" i="2"/>
  <c r="Q32" i="2"/>
  <c r="O33" i="2"/>
  <c r="Q33" i="2"/>
  <c r="O34" i="2"/>
  <c r="Q34" i="2"/>
  <c r="O35" i="2"/>
  <c r="Q35" i="2"/>
  <c r="O36" i="2"/>
  <c r="Q36" i="2"/>
  <c r="O37" i="2"/>
  <c r="Q37" i="2"/>
  <c r="O38" i="2"/>
  <c r="Q38" i="2"/>
  <c r="O39" i="2"/>
  <c r="Q39" i="2"/>
  <c r="O40" i="2"/>
  <c r="Q40" i="2"/>
  <c r="O41" i="2"/>
  <c r="Q41" i="2"/>
  <c r="O42" i="2"/>
  <c r="Q42" i="2"/>
  <c r="O43" i="2"/>
  <c r="Q43" i="2"/>
  <c r="O44" i="2"/>
  <c r="Q44" i="2"/>
  <c r="O45" i="2"/>
  <c r="Q45" i="2"/>
  <c r="O46" i="2"/>
  <c r="Q46" i="2"/>
  <c r="O47" i="2"/>
  <c r="Q47" i="2"/>
  <c r="O48" i="2"/>
  <c r="Q48" i="2"/>
  <c r="O49" i="2"/>
  <c r="Q49" i="2"/>
  <c r="O50" i="2"/>
  <c r="Q50" i="2"/>
  <c r="O51" i="2"/>
  <c r="Q51" i="2"/>
  <c r="O52" i="2"/>
  <c r="Q52" i="2"/>
  <c r="O53" i="2"/>
  <c r="Q53" i="2"/>
  <c r="O54" i="2"/>
  <c r="Q54" i="2"/>
  <c r="O55" i="2"/>
  <c r="Q55" i="2"/>
  <c r="O56" i="2"/>
  <c r="Q56" i="2"/>
  <c r="O57" i="2"/>
  <c r="Q57" i="2"/>
  <c r="O58" i="2"/>
  <c r="Q58" i="2"/>
  <c r="O59" i="2"/>
  <c r="Q59" i="2"/>
  <c r="O60" i="2"/>
  <c r="Q60" i="2"/>
  <c r="O61" i="2"/>
  <c r="Q61" i="2"/>
  <c r="O62" i="2"/>
  <c r="Q62" i="2"/>
  <c r="O63" i="2"/>
  <c r="Q63" i="2"/>
  <c r="O64" i="2"/>
  <c r="Q64" i="2"/>
  <c r="O65" i="2"/>
  <c r="Q65" i="2"/>
  <c r="O66" i="2"/>
  <c r="Q66" i="2"/>
  <c r="O67" i="2"/>
  <c r="Q67" i="2"/>
  <c r="O68" i="2"/>
  <c r="Q68" i="2"/>
  <c r="O69" i="2"/>
  <c r="P69" i="2" s="1"/>
  <c r="Q69" i="2"/>
  <c r="R69" i="2" s="1"/>
  <c r="O70" i="2"/>
  <c r="P70" i="2" s="1"/>
  <c r="Q70" i="2"/>
  <c r="R70" i="2" s="1"/>
  <c r="O71" i="2"/>
  <c r="O72" i="2"/>
  <c r="O73" i="2"/>
  <c r="Q73" i="2"/>
  <c r="O74" i="2"/>
  <c r="Q74" i="2"/>
  <c r="O75" i="2"/>
  <c r="Q75" i="2"/>
  <c r="O79" i="2"/>
  <c r="Q79" i="2"/>
  <c r="O80" i="2"/>
  <c r="Q80" i="2"/>
  <c r="O81" i="2"/>
  <c r="Q81" i="2"/>
  <c r="O82" i="2"/>
  <c r="Q82" i="2"/>
  <c r="O83" i="2"/>
  <c r="Q83" i="2"/>
  <c r="O85" i="2"/>
  <c r="Q85" i="2"/>
  <c r="O86" i="2"/>
  <c r="Q86" i="2"/>
  <c r="O87" i="2"/>
  <c r="P87" i="2" s="1"/>
  <c r="Q87" i="2"/>
  <c r="R87" i="2" s="1"/>
  <c r="O90" i="2"/>
  <c r="Q90" i="2"/>
  <c r="O91" i="2"/>
  <c r="Q91" i="2"/>
  <c r="O93" i="2"/>
  <c r="Q93" i="2"/>
  <c r="O94" i="2"/>
  <c r="Q94" i="2"/>
  <c r="O103" i="2"/>
  <c r="M72" i="23" l="1"/>
  <c r="C72" i="23"/>
  <c r="M31" i="23" l="1"/>
  <c r="C31" i="23"/>
  <c r="F20" i="10" l="1"/>
  <c r="F16" i="10"/>
  <c r="F12" i="10"/>
  <c r="F8" i="10"/>
  <c r="I20" i="10"/>
  <c r="I19" i="10"/>
  <c r="I16" i="10"/>
  <c r="I15" i="10"/>
  <c r="I12" i="10"/>
  <c r="I11" i="10"/>
  <c r="I8" i="10"/>
  <c r="I7" i="10"/>
  <c r="H2" i="10"/>
  <c r="G2" i="10"/>
  <c r="I23" i="29" l="1"/>
  <c r="G23" i="29"/>
  <c r="E23" i="29"/>
  <c r="C23" i="29"/>
  <c r="C26" i="29"/>
  <c r="M70" i="23" l="1"/>
  <c r="N70" i="23" s="1"/>
  <c r="M69" i="23"/>
  <c r="N69" i="23" s="1"/>
  <c r="C70" i="23"/>
  <c r="D70" i="23" s="1"/>
  <c r="C69" i="23"/>
  <c r="M29" i="23"/>
  <c r="N29" i="23" s="1"/>
  <c r="M28" i="23"/>
  <c r="N28" i="23" s="1"/>
  <c r="C29" i="23"/>
  <c r="D29" i="23" s="1"/>
  <c r="C28" i="23"/>
  <c r="D28" i="23" s="1"/>
  <c r="R81" i="23"/>
  <c r="H81" i="23"/>
  <c r="O72" i="23"/>
  <c r="E72" i="23"/>
  <c r="D69" i="23"/>
  <c r="S49" i="23"/>
  <c r="R49" i="23"/>
  <c r="O49" i="23"/>
  <c r="N49" i="23"/>
  <c r="M49" i="23"/>
  <c r="L49" i="23"/>
  <c r="R47" i="23"/>
  <c r="P47" i="23"/>
  <c r="N47" i="23"/>
  <c r="L47" i="23"/>
  <c r="I49" i="23"/>
  <c r="H49" i="23"/>
  <c r="E49" i="23"/>
  <c r="D49" i="23"/>
  <c r="C49" i="23"/>
  <c r="B49" i="23"/>
  <c r="H47" i="23"/>
  <c r="F47" i="23"/>
  <c r="D47" i="23"/>
  <c r="B47" i="23"/>
  <c r="S44" i="23"/>
  <c r="R44" i="23"/>
  <c r="Q44" i="23"/>
  <c r="M44" i="23"/>
  <c r="I44" i="23"/>
  <c r="H44" i="23"/>
  <c r="G44" i="23"/>
  <c r="C44" i="23"/>
  <c r="R40" i="23"/>
  <c r="H40" i="23"/>
  <c r="O31" i="23"/>
  <c r="E31" i="23"/>
  <c r="S8" i="23"/>
  <c r="R8" i="23"/>
  <c r="O8" i="23"/>
  <c r="N8" i="23"/>
  <c r="M8" i="23"/>
  <c r="L8" i="23"/>
  <c r="R6" i="23"/>
  <c r="P6" i="23"/>
  <c r="N6" i="23"/>
  <c r="L6" i="23"/>
  <c r="I8" i="23"/>
  <c r="H8" i="23"/>
  <c r="E8" i="23"/>
  <c r="D8" i="23"/>
  <c r="C8" i="23"/>
  <c r="B8" i="23"/>
  <c r="H6" i="23"/>
  <c r="F6" i="23"/>
  <c r="D6" i="23"/>
  <c r="B6" i="23"/>
  <c r="S3" i="23"/>
  <c r="R3" i="23"/>
  <c r="Q3" i="23"/>
  <c r="M3" i="23"/>
  <c r="I3" i="23"/>
  <c r="H3" i="23"/>
  <c r="G3" i="23"/>
  <c r="C3" i="23"/>
  <c r="I26" i="29" l="1"/>
  <c r="G26" i="29"/>
  <c r="G20" i="29" s="1"/>
  <c r="E26" i="29"/>
  <c r="C20" i="29"/>
  <c r="C22" i="29" s="1"/>
  <c r="E30" i="23" s="1"/>
  <c r="I30" i="23" s="1"/>
  <c r="I3" i="29"/>
  <c r="H3" i="29"/>
  <c r="H10" i="29"/>
  <c r="H24" i="29" s="1"/>
  <c r="F10" i="29"/>
  <c r="D10" i="29"/>
  <c r="D26" i="29" s="1"/>
  <c r="B10" i="29"/>
  <c r="H9" i="29"/>
  <c r="F9" i="29"/>
  <c r="D9" i="29"/>
  <c r="B9" i="29"/>
  <c r="H8" i="29"/>
  <c r="F8" i="29"/>
  <c r="D8" i="29"/>
  <c r="B8" i="29"/>
  <c r="H7" i="29"/>
  <c r="R7" i="29" s="1"/>
  <c r="F7" i="29"/>
  <c r="P7" i="29" s="1"/>
  <c r="D7" i="29"/>
  <c r="N7" i="29" s="1"/>
  <c r="B7" i="29"/>
  <c r="L7" i="29" s="1"/>
  <c r="C3" i="29"/>
  <c r="H26" i="29"/>
  <c r="I24" i="29"/>
  <c r="G24" i="29"/>
  <c r="E24" i="29"/>
  <c r="C24" i="29"/>
  <c r="I20" i="29"/>
  <c r="I15" i="29" s="1"/>
  <c r="E20" i="29"/>
  <c r="E22" i="29" s="1"/>
  <c r="O30" i="23" s="1"/>
  <c r="S30" i="23" s="1"/>
  <c r="I16" i="29"/>
  <c r="F34" i="29"/>
  <c r="S7" i="29"/>
  <c r="Q7" i="29"/>
  <c r="O7" i="29"/>
  <c r="M7" i="29"/>
  <c r="H15" i="29" l="1"/>
  <c r="D24" i="29"/>
  <c r="Q28" i="23"/>
  <c r="Q29" i="23"/>
  <c r="G28" i="23"/>
  <c r="G29" i="23"/>
  <c r="H16" i="29"/>
  <c r="H18" i="29"/>
  <c r="G16" i="29"/>
  <c r="F16" i="29" s="1"/>
  <c r="G15" i="29"/>
  <c r="F15" i="29" s="1"/>
  <c r="C15" i="29"/>
  <c r="B15" i="29" s="1"/>
  <c r="E15" i="29"/>
  <c r="D15" i="29" s="1"/>
  <c r="C16" i="29"/>
  <c r="B16" i="29" s="1"/>
  <c r="E16" i="29"/>
  <c r="D16" i="29" s="1"/>
  <c r="C17" i="29"/>
  <c r="B17" i="29" s="1"/>
  <c r="E17" i="29"/>
  <c r="D17" i="29" s="1"/>
  <c r="D18" i="29"/>
  <c r="B12" i="29"/>
  <c r="F12" i="29"/>
  <c r="B13" i="29"/>
  <c r="F13" i="29"/>
  <c r="B14" i="29"/>
  <c r="F14" i="29"/>
  <c r="B18" i="29"/>
  <c r="F18" i="29"/>
  <c r="B19" i="29"/>
  <c r="B20" i="29"/>
  <c r="F20" i="29"/>
  <c r="B21" i="29"/>
  <c r="B22" i="29"/>
  <c r="B23" i="29"/>
  <c r="B24" i="29"/>
  <c r="F24" i="29"/>
  <c r="B26" i="29"/>
  <c r="F26" i="29"/>
  <c r="B28" i="29"/>
  <c r="E28" i="23" s="1"/>
  <c r="B31" i="29"/>
  <c r="E29" i="23" s="1"/>
  <c r="B34" i="29"/>
  <c r="D34" i="29"/>
  <c r="D31" i="29"/>
  <c r="O29" i="23" s="1"/>
  <c r="D28" i="29"/>
  <c r="O28" i="23" s="1"/>
  <c r="D23" i="29"/>
  <c r="D21" i="29"/>
  <c r="D19" i="29"/>
  <c r="H34" i="29"/>
  <c r="H31" i="29"/>
  <c r="O70" i="23" s="1"/>
  <c r="H28" i="29"/>
  <c r="O69" i="23" s="1"/>
  <c r="H23" i="29"/>
  <c r="H21" i="29"/>
  <c r="H19" i="29"/>
  <c r="D12" i="29"/>
  <c r="H12" i="29"/>
  <c r="D13" i="29"/>
  <c r="H13" i="29"/>
  <c r="D14" i="29"/>
  <c r="H14" i="29"/>
  <c r="C37" i="29"/>
  <c r="B37" i="29" s="1"/>
  <c r="C35" i="29"/>
  <c r="C32" i="29"/>
  <c r="C29" i="29"/>
  <c r="E37" i="29"/>
  <c r="D37" i="29" s="1"/>
  <c r="E35" i="29"/>
  <c r="E32" i="29"/>
  <c r="E29" i="29"/>
  <c r="G22" i="29"/>
  <c r="E71" i="23" s="1"/>
  <c r="I71" i="23" s="1"/>
  <c r="G17" i="29"/>
  <c r="F17" i="29" s="1"/>
  <c r="I22" i="29"/>
  <c r="I17" i="29"/>
  <c r="H17" i="29" s="1"/>
  <c r="F19" i="29"/>
  <c r="D20" i="29"/>
  <c r="H20" i="29"/>
  <c r="F21" i="29"/>
  <c r="D22" i="29"/>
  <c r="F23" i="29"/>
  <c r="F28" i="29"/>
  <c r="E69" i="23" s="1"/>
  <c r="F31" i="29"/>
  <c r="E70" i="23" s="1"/>
  <c r="F70" i="23" l="1"/>
  <c r="I70" i="23"/>
  <c r="P29" i="23"/>
  <c r="S29" i="23"/>
  <c r="R29" i="23"/>
  <c r="F69" i="23"/>
  <c r="I69" i="23"/>
  <c r="P28" i="23"/>
  <c r="S28" i="23"/>
  <c r="R28" i="23"/>
  <c r="H22" i="29"/>
  <c r="H29" i="29" s="1"/>
  <c r="O71" i="23"/>
  <c r="S71" i="23" s="1"/>
  <c r="R70" i="23" s="1"/>
  <c r="H70" i="23"/>
  <c r="H69" i="23"/>
  <c r="G69" i="23"/>
  <c r="G70" i="23"/>
  <c r="P69" i="23"/>
  <c r="S69" i="23"/>
  <c r="P70" i="23"/>
  <c r="S70" i="23"/>
  <c r="F29" i="23"/>
  <c r="H29" i="23"/>
  <c r="I29" i="23"/>
  <c r="F28" i="23"/>
  <c r="I28" i="23"/>
  <c r="H28" i="23"/>
  <c r="D35" i="29"/>
  <c r="D32" i="29"/>
  <c r="D29" i="29"/>
  <c r="I37" i="29"/>
  <c r="H37" i="29" s="1"/>
  <c r="I35" i="29"/>
  <c r="I32" i="29"/>
  <c r="I29" i="29"/>
  <c r="G37" i="29"/>
  <c r="F37" i="29" s="1"/>
  <c r="G35" i="29"/>
  <c r="G32" i="29"/>
  <c r="G29" i="29"/>
  <c r="B35" i="29"/>
  <c r="B32" i="29"/>
  <c r="B29" i="29"/>
  <c r="F22" i="29"/>
  <c r="H32" i="29" l="1"/>
  <c r="H35" i="29"/>
  <c r="R69" i="23"/>
  <c r="Q69" i="23"/>
  <c r="Q70" i="23"/>
  <c r="F35" i="29"/>
  <c r="F32" i="29"/>
  <c r="F29" i="29"/>
  <c r="M23" i="29" l="1"/>
  <c r="N20" i="29"/>
  <c r="L37" i="29"/>
  <c r="P13" i="29"/>
  <c r="O24" i="29"/>
  <c r="R23" i="29"/>
  <c r="R9" i="29"/>
  <c r="R14" i="29"/>
  <c r="Q28" i="29"/>
  <c r="N31" i="29"/>
  <c r="Q12" i="29"/>
  <c r="L16" i="29"/>
  <c r="S31" i="29"/>
  <c r="R37" i="29"/>
  <c r="S13" i="29"/>
  <c r="P17" i="29"/>
  <c r="M37" i="29"/>
  <c r="M18" i="29"/>
  <c r="M15" i="29"/>
  <c r="L22" i="29"/>
  <c r="L8" i="29"/>
  <c r="O20" i="29"/>
  <c r="O16" i="29"/>
  <c r="P24" i="29"/>
  <c r="N13" i="29"/>
  <c r="Q22" i="29"/>
  <c r="N18" i="29"/>
  <c r="L34" i="29"/>
  <c r="L13" i="29"/>
  <c r="S23" i="29"/>
  <c r="R22" i="29"/>
  <c r="R8" i="29"/>
  <c r="P20" i="29"/>
  <c r="M20" i="29"/>
  <c r="M16" i="29"/>
  <c r="L24" i="29"/>
  <c r="L10" i="29"/>
  <c r="O22" i="29"/>
  <c r="R17" i="29"/>
  <c r="P31" i="29"/>
  <c r="P10" i="29"/>
  <c r="Q23" i="29"/>
  <c r="N22" i="29"/>
  <c r="N8" i="29"/>
  <c r="L14" i="29"/>
  <c r="S24" i="29"/>
  <c r="R24" i="29"/>
  <c r="R10" i="29"/>
  <c r="N15" i="29"/>
  <c r="M31" i="29"/>
  <c r="N34" i="29"/>
  <c r="M13" i="29"/>
  <c r="P16" i="29"/>
  <c r="O34" i="29"/>
  <c r="O17" i="29"/>
  <c r="O14" i="29"/>
  <c r="P18" i="29"/>
  <c r="Q37" i="29"/>
  <c r="Q18" i="29"/>
  <c r="Q15" i="29"/>
  <c r="L23" i="29"/>
  <c r="L9" i="29"/>
  <c r="S20" i="29"/>
  <c r="S12" i="29"/>
  <c r="S16" i="29"/>
  <c r="R12" i="29"/>
  <c r="M34" i="29"/>
  <c r="M17" i="29"/>
  <c r="M14" i="29"/>
  <c r="L18" i="29"/>
  <c r="O37" i="29"/>
  <c r="O18" i="29"/>
  <c r="O15" i="29"/>
  <c r="P22" i="29"/>
  <c r="P9" i="29"/>
  <c r="Q20" i="29"/>
  <c r="Q16" i="29"/>
  <c r="L28" i="29"/>
  <c r="L12" i="29"/>
  <c r="S22" i="29"/>
  <c r="R18" i="29"/>
  <c r="P34" i="29"/>
  <c r="N12" i="29"/>
  <c r="M24" i="29"/>
  <c r="N23" i="29"/>
  <c r="N9" i="29"/>
  <c r="P14" i="29"/>
  <c r="O28" i="29"/>
  <c r="R28" i="29"/>
  <c r="O12" i="29"/>
  <c r="R15" i="29"/>
  <c r="Q31" i="29"/>
  <c r="N37" i="29"/>
  <c r="Q13" i="29"/>
  <c r="L17" i="29"/>
  <c r="S34" i="29"/>
  <c r="S17" i="29"/>
  <c r="S14" i="29"/>
  <c r="N16" i="29"/>
  <c r="M28" i="29"/>
  <c r="N28" i="29"/>
  <c r="M12" i="29"/>
  <c r="P15" i="29"/>
  <c r="O31" i="29"/>
  <c r="R34" i="29"/>
  <c r="O13" i="29"/>
  <c r="R16" i="29"/>
  <c r="Q34" i="29"/>
  <c r="Q17" i="29"/>
  <c r="Q14" i="29"/>
  <c r="L20" i="29"/>
  <c r="S37" i="29"/>
  <c r="S18" i="29"/>
  <c r="S15" i="29"/>
  <c r="P23" i="29"/>
  <c r="P8" i="29"/>
  <c r="M22" i="29"/>
  <c r="N17" i="29"/>
  <c r="L31" i="29"/>
  <c r="P12" i="29"/>
  <c r="O23" i="29"/>
  <c r="R20" i="29"/>
  <c r="P37" i="29"/>
  <c r="R13" i="29"/>
  <c r="Q24" i="29"/>
  <c r="N24" i="29"/>
  <c r="N10" i="29"/>
  <c r="L15" i="29"/>
  <c r="R31" i="29"/>
  <c r="P28" i="29"/>
  <c r="S28" i="29"/>
  <c r="N14" i="29"/>
  <c r="D15" i="2"/>
  <c r="R21" i="29" l="1"/>
  <c r="M32" i="29"/>
  <c r="M29" i="29"/>
  <c r="M35" i="29"/>
  <c r="S19" i="29"/>
  <c r="L21" i="29"/>
  <c r="R19" i="29"/>
  <c r="S32" i="29"/>
  <c r="S29" i="29"/>
  <c r="S35" i="29"/>
  <c r="Q21" i="29"/>
  <c r="P32" i="29"/>
  <c r="P29" i="29"/>
  <c r="P35" i="29"/>
  <c r="O19" i="29"/>
  <c r="L19" i="29"/>
  <c r="S21" i="29"/>
  <c r="Q19" i="29"/>
  <c r="P19" i="29"/>
  <c r="N32" i="29"/>
  <c r="N29" i="29"/>
  <c r="N35" i="29"/>
  <c r="O32" i="29"/>
  <c r="O29" i="29"/>
  <c r="O35" i="29"/>
  <c r="M21" i="29"/>
  <c r="P21" i="29"/>
  <c r="R35" i="29"/>
  <c r="R32" i="29"/>
  <c r="R29" i="29"/>
  <c r="N19" i="29"/>
  <c r="Q35" i="29"/>
  <c r="Q32" i="29"/>
  <c r="Q29" i="29"/>
  <c r="O21" i="29"/>
  <c r="L35" i="29"/>
  <c r="L32" i="29"/>
  <c r="L29" i="29"/>
  <c r="M19" i="29"/>
  <c r="N21" i="29"/>
  <c r="I3" i="30"/>
  <c r="I4" i="31" l="1"/>
  <c r="I6" i="31"/>
  <c r="I5" i="31"/>
  <c r="H6" i="31"/>
  <c r="H5" i="31"/>
  <c r="A54" i="31"/>
  <c r="A39" i="31"/>
  <c r="A24" i="31"/>
  <c r="A9" i="31"/>
  <c r="I66" i="31"/>
  <c r="J65" i="31"/>
  <c r="J64" i="31"/>
  <c r="J63" i="31"/>
  <c r="J62" i="31"/>
  <c r="J61" i="31"/>
  <c r="J60" i="31"/>
  <c r="I51" i="31"/>
  <c r="J50" i="31"/>
  <c r="J49" i="31"/>
  <c r="J48" i="31"/>
  <c r="J47" i="31"/>
  <c r="J46" i="31"/>
  <c r="J45" i="31"/>
  <c r="I36" i="31"/>
  <c r="I21" i="31"/>
  <c r="G16" i="31"/>
  <c r="G56" i="31"/>
  <c r="H35" i="31"/>
  <c r="B54" i="31"/>
  <c r="C39" i="31"/>
  <c r="H10" i="31"/>
  <c r="G55" i="31"/>
  <c r="H29" i="31"/>
  <c r="H57" i="31"/>
  <c r="H42" i="31"/>
  <c r="G44" i="31"/>
  <c r="B39" i="31"/>
  <c r="G34" i="31"/>
  <c r="H12" i="31"/>
  <c r="H27" i="31"/>
  <c r="B24" i="31"/>
  <c r="H32" i="31"/>
  <c r="H55" i="31"/>
  <c r="C24" i="31"/>
  <c r="H17" i="31"/>
  <c r="B9" i="31"/>
  <c r="H24" i="31"/>
  <c r="G58" i="31"/>
  <c r="H31" i="31"/>
  <c r="H14" i="31"/>
  <c r="H44" i="31"/>
  <c r="G17" i="31"/>
  <c r="H26" i="31"/>
  <c r="G18" i="31"/>
  <c r="H13" i="31"/>
  <c r="G59" i="31"/>
  <c r="G57" i="31"/>
  <c r="G14" i="31"/>
  <c r="H20" i="31"/>
  <c r="H9" i="31"/>
  <c r="G27" i="31"/>
  <c r="G39" i="31"/>
  <c r="G33" i="31"/>
  <c r="H41" i="31"/>
  <c r="H54" i="31"/>
  <c r="H39" i="31"/>
  <c r="G11" i="31"/>
  <c r="G43" i="31"/>
  <c r="H43" i="31"/>
  <c r="H16" i="31"/>
  <c r="G10" i="31"/>
  <c r="G12" i="31"/>
  <c r="C54" i="31"/>
  <c r="G30" i="31"/>
  <c r="H11" i="31"/>
  <c r="G13" i="31"/>
  <c r="H56" i="31"/>
  <c r="G31" i="31"/>
  <c r="G24" i="31"/>
  <c r="H28" i="31"/>
  <c r="G15" i="31"/>
  <c r="G9" i="31"/>
  <c r="H33" i="31"/>
  <c r="H59" i="31"/>
  <c r="G25" i="31"/>
  <c r="G20" i="31"/>
  <c r="H34" i="31"/>
  <c r="G28" i="31"/>
  <c r="H15" i="31"/>
  <c r="G19" i="31"/>
  <c r="G42" i="31"/>
  <c r="H40" i="31"/>
  <c r="C9" i="31"/>
  <c r="H18" i="31"/>
  <c r="G41" i="31"/>
  <c r="G26" i="31"/>
  <c r="G40" i="31"/>
  <c r="G35" i="31"/>
  <c r="H19" i="31"/>
  <c r="G54" i="31"/>
  <c r="H30" i="31"/>
  <c r="H25" i="31"/>
  <c r="G32" i="31"/>
  <c r="G29" i="31"/>
  <c r="H58" i="31"/>
  <c r="J11" i="31" l="1"/>
  <c r="J15" i="31"/>
  <c r="J19" i="31"/>
  <c r="H21" i="31"/>
  <c r="J9" i="31"/>
  <c r="J13" i="31"/>
  <c r="J17" i="31"/>
  <c r="H36" i="31"/>
  <c r="J24" i="31"/>
  <c r="J26" i="31"/>
  <c r="J28" i="31"/>
  <c r="J30" i="31"/>
  <c r="J32" i="31"/>
  <c r="J34" i="31"/>
  <c r="H51" i="31"/>
  <c r="J39" i="31"/>
  <c r="J41" i="31"/>
  <c r="J43" i="31"/>
  <c r="H66" i="31"/>
  <c r="J54" i="31"/>
  <c r="J56" i="31"/>
  <c r="J58" i="31"/>
  <c r="J10" i="31"/>
  <c r="J12" i="31"/>
  <c r="J14" i="31"/>
  <c r="J16" i="31"/>
  <c r="J18" i="31"/>
  <c r="J20" i="31"/>
  <c r="J25" i="31"/>
  <c r="J27" i="31"/>
  <c r="J29" i="31"/>
  <c r="J31" i="31"/>
  <c r="J33" i="31"/>
  <c r="J35" i="31"/>
  <c r="J40" i="31"/>
  <c r="J42" i="31"/>
  <c r="J44" i="31"/>
  <c r="J55" i="31"/>
  <c r="J57" i="31"/>
  <c r="J59" i="31"/>
  <c r="F9" i="2"/>
  <c r="J9" i="2"/>
  <c r="H9" i="2"/>
  <c r="D9" i="2"/>
  <c r="J66" i="31" l="1"/>
  <c r="D54" i="31" s="1"/>
  <c r="J51" i="31"/>
  <c r="D39" i="31" s="1"/>
  <c r="J36" i="31"/>
  <c r="D24" i="31" s="1"/>
  <c r="J21" i="31"/>
  <c r="D9" i="31" s="1"/>
  <c r="J18" i="2" l="1"/>
  <c r="J85" i="2" s="1"/>
  <c r="G67" i="34" s="1"/>
  <c r="H18" i="2"/>
  <c r="H85" i="2" s="1"/>
  <c r="F67" i="34" s="1"/>
  <c r="F18" i="2"/>
  <c r="F85" i="2" s="1"/>
  <c r="E67" i="34" s="1"/>
  <c r="D18" i="2"/>
  <c r="D85" i="2" s="1"/>
  <c r="D67" i="34" s="1"/>
  <c r="F15" i="2"/>
  <c r="H17" i="2"/>
  <c r="J15" i="2"/>
  <c r="F17" i="2"/>
  <c r="J17" i="2"/>
  <c r="H15" i="2"/>
  <c r="D6" i="2" l="1"/>
  <c r="J6" i="2"/>
  <c r="H6" i="2"/>
  <c r="D10" i="2"/>
  <c r="F7" i="2"/>
  <c r="J10" i="2"/>
  <c r="J7" i="2"/>
  <c r="D7" i="2"/>
  <c r="F6" i="2"/>
  <c r="H10" i="2"/>
  <c r="H7" i="2"/>
  <c r="D17" i="2"/>
  <c r="F10" i="2"/>
  <c r="F8" i="23" l="1"/>
  <c r="P8" i="23"/>
  <c r="F49" i="23"/>
  <c r="P49" i="23"/>
  <c r="I20" i="30"/>
  <c r="I22" i="30" s="1"/>
  <c r="I27" i="30" s="1"/>
  <c r="G20" i="30"/>
  <c r="G22" i="30" s="1"/>
  <c r="G27" i="30" s="1"/>
  <c r="E20" i="30"/>
  <c r="E22" i="30" s="1"/>
  <c r="E27" i="30" s="1"/>
  <c r="C20" i="30"/>
  <c r="C22" i="30" s="1"/>
  <c r="C27" i="30" s="1"/>
  <c r="H10" i="30"/>
  <c r="F10" i="30"/>
  <c r="D10" i="30"/>
  <c r="B10" i="30"/>
  <c r="H9" i="30"/>
  <c r="F9" i="30"/>
  <c r="D9" i="30"/>
  <c r="B9" i="30"/>
  <c r="H8" i="30"/>
  <c r="F8" i="30"/>
  <c r="D8" i="30"/>
  <c r="B8" i="30"/>
  <c r="S7" i="30"/>
  <c r="Q7" i="30"/>
  <c r="O7" i="30"/>
  <c r="M7" i="30"/>
  <c r="H7" i="30"/>
  <c r="R7" i="30" s="1"/>
  <c r="F7" i="30"/>
  <c r="P7" i="30" s="1"/>
  <c r="D7" i="30"/>
  <c r="N7" i="30" s="1"/>
  <c r="B7" i="30"/>
  <c r="L7" i="30" s="1"/>
  <c r="H3" i="30"/>
  <c r="C3" i="30"/>
  <c r="H26" i="30" l="1"/>
  <c r="H21" i="30"/>
  <c r="H18" i="30"/>
  <c r="F21" i="30"/>
  <c r="F18" i="30"/>
  <c r="D26" i="30"/>
  <c r="D21" i="30"/>
  <c r="D18" i="30"/>
  <c r="B19" i="30"/>
  <c r="B21" i="30"/>
  <c r="F32" i="30"/>
  <c r="F26" i="30"/>
  <c r="H19" i="30"/>
  <c r="D19" i="30"/>
  <c r="B12" i="30"/>
  <c r="F12" i="30"/>
  <c r="B13" i="30"/>
  <c r="F13" i="30"/>
  <c r="F14" i="30"/>
  <c r="F15" i="30"/>
  <c r="F16" i="30"/>
  <c r="F17" i="30"/>
  <c r="F19" i="30"/>
  <c r="C30" i="30"/>
  <c r="B30" i="30" s="1"/>
  <c r="E30" i="30"/>
  <c r="D30" i="30" s="1"/>
  <c r="G30" i="30"/>
  <c r="F30" i="30" s="1"/>
  <c r="I30" i="30"/>
  <c r="H30" i="30" s="1"/>
  <c r="D22" i="30"/>
  <c r="D27" i="30" s="1"/>
  <c r="H22" i="30"/>
  <c r="H27" i="30" s="1"/>
  <c r="F23" i="30"/>
  <c r="F24" i="30"/>
  <c r="F29" i="30"/>
  <c r="B32" i="30"/>
  <c r="D32" i="30"/>
  <c r="D29" i="30"/>
  <c r="D24" i="30"/>
  <c r="D23" i="30"/>
  <c r="D17" i="30"/>
  <c r="D16" i="30"/>
  <c r="D15" i="30"/>
  <c r="D14" i="30"/>
  <c r="H32" i="30"/>
  <c r="H29" i="30"/>
  <c r="H24" i="30"/>
  <c r="H23" i="30"/>
  <c r="H17" i="30"/>
  <c r="H16" i="30"/>
  <c r="H15" i="30"/>
  <c r="H14" i="30"/>
  <c r="H13" i="30"/>
  <c r="D12" i="30"/>
  <c r="H12" i="30"/>
  <c r="D13" i="30"/>
  <c r="B14" i="30"/>
  <c r="B15" i="30"/>
  <c r="B16" i="30"/>
  <c r="B17" i="30"/>
  <c r="B18" i="30"/>
  <c r="B20" i="30"/>
  <c r="D20" i="30"/>
  <c r="F20" i="30"/>
  <c r="H20" i="30"/>
  <c r="B22" i="30"/>
  <c r="B27" i="30" s="1"/>
  <c r="F22" i="30"/>
  <c r="F27" i="30" s="1"/>
  <c r="B23" i="30"/>
  <c r="B24" i="30"/>
  <c r="B26" i="30"/>
  <c r="B29" i="30"/>
  <c r="I87" i="2" l="1"/>
  <c r="I70" i="2"/>
  <c r="I69" i="2"/>
  <c r="G87" i="2"/>
  <c r="G70" i="2"/>
  <c r="G69" i="2"/>
  <c r="E87" i="2"/>
  <c r="E70" i="2"/>
  <c r="E69" i="2"/>
  <c r="I26" i="2"/>
  <c r="I25" i="2"/>
  <c r="I24" i="2"/>
  <c r="I23" i="2"/>
  <c r="G26" i="2"/>
  <c r="G25" i="2"/>
  <c r="G24" i="2"/>
  <c r="G23" i="2"/>
  <c r="E26" i="2"/>
  <c r="E25" i="2"/>
  <c r="E24" i="2"/>
  <c r="E23" i="2"/>
  <c r="K87" i="2" l="1"/>
  <c r="K70" i="2"/>
  <c r="K69" i="2"/>
  <c r="K28" i="2"/>
  <c r="K26" i="2"/>
  <c r="K25" i="2"/>
  <c r="K24" i="2"/>
  <c r="K23" i="2"/>
  <c r="U21" i="2"/>
  <c r="S21" i="2"/>
  <c r="Q21" i="2"/>
  <c r="O19" i="2"/>
  <c r="S75" i="2"/>
  <c r="U86" i="2"/>
  <c r="U60" i="2"/>
  <c r="S81" i="2"/>
  <c r="U74" i="2"/>
  <c r="U85" i="2"/>
  <c r="U81" i="2"/>
  <c r="U82" i="2"/>
  <c r="S60" i="2"/>
  <c r="U59" i="2"/>
  <c r="S82" i="2"/>
  <c r="U46" i="2"/>
  <c r="S86" i="2"/>
  <c r="U83" i="2"/>
  <c r="S59" i="2"/>
  <c r="S63" i="2"/>
  <c r="S83" i="2"/>
  <c r="S85" i="2"/>
  <c r="U75" i="2"/>
  <c r="S74" i="2"/>
  <c r="U63" i="2"/>
  <c r="S46" i="2"/>
  <c r="G11" i="7" l="1"/>
  <c r="G9" i="7"/>
  <c r="G7" i="7"/>
  <c r="G5" i="7"/>
  <c r="A5" i="7"/>
  <c r="B7" i="10" s="1"/>
  <c r="AU11" i="7"/>
  <c r="AU9" i="7"/>
  <c r="AU7" i="7"/>
  <c r="AU5" i="7"/>
  <c r="M21" i="1"/>
  <c r="M17" i="1"/>
  <c r="M13" i="1"/>
  <c r="M20" i="1"/>
  <c r="M16" i="1"/>
  <c r="M12" i="1"/>
  <c r="M11" i="1"/>
  <c r="M9" i="1"/>
  <c r="M8" i="1"/>
  <c r="A7" i="7"/>
  <c r="B11" i="10" s="1"/>
  <c r="A9" i="7"/>
  <c r="B15" i="10" s="1"/>
  <c r="A11" i="7"/>
  <c r="B19" i="10" s="1"/>
  <c r="G7" i="9"/>
  <c r="D13" i="9"/>
  <c r="D37" i="9"/>
  <c r="D35" i="9"/>
  <c r="D33" i="9"/>
  <c r="D31" i="9"/>
  <c r="D29" i="9"/>
  <c r="D27" i="9"/>
  <c r="D25" i="9"/>
  <c r="D23" i="9"/>
  <c r="D21" i="9"/>
  <c r="D19" i="9"/>
  <c r="D17" i="9"/>
  <c r="D15" i="9"/>
  <c r="D11" i="9"/>
  <c r="D9" i="9"/>
  <c r="D7" i="9"/>
  <c r="L9" i="9"/>
  <c r="L37" i="9"/>
  <c r="L35" i="9"/>
  <c r="L33" i="9"/>
  <c r="L31" i="9"/>
  <c r="L29" i="9"/>
  <c r="L27" i="9"/>
  <c r="L25" i="9"/>
  <c r="L23" i="9"/>
  <c r="L21" i="9"/>
  <c r="L19" i="9"/>
  <c r="L17" i="9"/>
  <c r="L15" i="9"/>
  <c r="L13" i="9"/>
  <c r="L11" i="9"/>
  <c r="L7" i="9"/>
  <c r="K7" i="9"/>
  <c r="G2" i="9"/>
  <c r="K37" i="9"/>
  <c r="K35" i="9"/>
  <c r="K33" i="9"/>
  <c r="K31" i="9"/>
  <c r="K29" i="9"/>
  <c r="K27" i="9"/>
  <c r="K25" i="9"/>
  <c r="K23" i="9"/>
  <c r="K21" i="9"/>
  <c r="K19" i="9"/>
  <c r="K17" i="9"/>
  <c r="K15" i="9"/>
  <c r="K13" i="9"/>
  <c r="K11" i="9"/>
  <c r="K9" i="9"/>
  <c r="G11" i="9"/>
  <c r="G37" i="9"/>
  <c r="G35" i="9"/>
  <c r="G33" i="9"/>
  <c r="G31" i="9"/>
  <c r="G29" i="9"/>
  <c r="G27" i="9"/>
  <c r="G25" i="9"/>
  <c r="G23" i="9"/>
  <c r="G21" i="9"/>
  <c r="G19" i="9"/>
  <c r="G17" i="9"/>
  <c r="G15" i="9"/>
  <c r="G13" i="9"/>
  <c r="G9" i="9"/>
  <c r="C5" i="7"/>
  <c r="C10" i="10" s="1"/>
  <c r="C7" i="7"/>
  <c r="C14" i="10" s="1"/>
  <c r="F5" i="7"/>
  <c r="F11" i="7"/>
  <c r="F9" i="7"/>
  <c r="F7" i="7"/>
  <c r="C11" i="7"/>
  <c r="C22" i="10" s="1"/>
  <c r="C9" i="7"/>
  <c r="C18" i="10" s="1"/>
  <c r="O5" i="7"/>
  <c r="C9" i="10" s="1"/>
  <c r="O11" i="7"/>
  <c r="C21" i="10" s="1"/>
  <c r="O9" i="7"/>
  <c r="C17" i="10" s="1"/>
  <c r="O7" i="7"/>
  <c r="C13" i="10" s="1"/>
  <c r="S5" i="7"/>
  <c r="AT11" i="7"/>
  <c r="AT7" i="7"/>
  <c r="AT9" i="7"/>
  <c r="AT5" i="7"/>
  <c r="AN11" i="7"/>
  <c r="AJ11" i="7"/>
  <c r="AH11" i="7"/>
  <c r="AJ9" i="7"/>
  <c r="AH9" i="7"/>
  <c r="AJ7" i="7"/>
  <c r="AH7" i="7"/>
  <c r="AJ5" i="7"/>
  <c r="AH5" i="7"/>
  <c r="AF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N7" i="7"/>
  <c r="M7" i="7"/>
  <c r="L7" i="7"/>
  <c r="K7" i="7"/>
  <c r="J7" i="7"/>
  <c r="I7" i="7"/>
  <c r="H7" i="7"/>
  <c r="E7" i="7"/>
  <c r="D7" i="7"/>
  <c r="B7" i="7"/>
  <c r="AF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N9" i="7"/>
  <c r="M9" i="7"/>
  <c r="L9" i="7"/>
  <c r="K9" i="7"/>
  <c r="J9" i="7"/>
  <c r="I9" i="7"/>
  <c r="H9" i="7"/>
  <c r="E9" i="7"/>
  <c r="D9" i="7"/>
  <c r="B9" i="7"/>
  <c r="AF11" i="7"/>
  <c r="AD11" i="7"/>
  <c r="AC11" i="7"/>
  <c r="AB11" i="7"/>
  <c r="AA11" i="7"/>
  <c r="Z11" i="7"/>
  <c r="Y11" i="7"/>
  <c r="X11" i="7"/>
  <c r="W11" i="7"/>
  <c r="V11" i="7"/>
  <c r="U11" i="7"/>
  <c r="T11" i="7"/>
  <c r="S11" i="7"/>
  <c r="R11" i="7"/>
  <c r="Q11" i="7"/>
  <c r="P11" i="7"/>
  <c r="N11" i="7"/>
  <c r="M11" i="7"/>
  <c r="L11" i="7"/>
  <c r="K11" i="7"/>
  <c r="J11" i="7"/>
  <c r="I11" i="7"/>
  <c r="H11" i="7"/>
  <c r="E11" i="7"/>
  <c r="D11" i="7"/>
  <c r="B11" i="7"/>
  <c r="AF5" i="7"/>
  <c r="AD5" i="7"/>
  <c r="AC5" i="7"/>
  <c r="AB5" i="7"/>
  <c r="AA5" i="7"/>
  <c r="Z5" i="7"/>
  <c r="Y5" i="7"/>
  <c r="X5" i="7"/>
  <c r="W5" i="7"/>
  <c r="V5" i="7"/>
  <c r="U5" i="7"/>
  <c r="T5" i="7"/>
  <c r="R5" i="7"/>
  <c r="Q5" i="7"/>
  <c r="P5" i="7"/>
  <c r="N5" i="7"/>
  <c r="M5" i="7"/>
  <c r="L5" i="7"/>
  <c r="K5" i="7"/>
  <c r="J5" i="7"/>
  <c r="E5" i="7"/>
  <c r="D5" i="7"/>
  <c r="B5" i="7"/>
  <c r="I5" i="7"/>
  <c r="H5" i="7"/>
  <c r="L2" i="1"/>
  <c r="K2" i="1"/>
  <c r="E2" i="1"/>
  <c r="I14" i="1"/>
  <c r="I18" i="1"/>
  <c r="I22" i="1"/>
  <c r="M19" i="1"/>
  <c r="M15" i="1"/>
  <c r="M7" i="1"/>
  <c r="I10" i="1"/>
  <c r="I11" i="1"/>
  <c r="I12" i="1"/>
  <c r="I13" i="1"/>
  <c r="I15" i="1"/>
  <c r="I16" i="1"/>
  <c r="I17" i="1"/>
  <c r="I19" i="1"/>
  <c r="I20" i="1"/>
  <c r="I21" i="1"/>
  <c r="L22" i="1"/>
  <c r="L18" i="1"/>
  <c r="L14" i="1"/>
  <c r="L10" i="1"/>
  <c r="K20" i="1"/>
  <c r="K19" i="1"/>
  <c r="K16" i="1"/>
  <c r="K15" i="1"/>
  <c r="K12" i="1"/>
  <c r="K11" i="1"/>
  <c r="J21" i="1"/>
  <c r="J20" i="1"/>
  <c r="J19" i="1"/>
  <c r="H22" i="1"/>
  <c r="H21" i="1"/>
  <c r="H20" i="1"/>
  <c r="H19" i="1"/>
  <c r="G22" i="1"/>
  <c r="G21" i="1"/>
  <c r="G20" i="1"/>
  <c r="G19" i="1"/>
  <c r="K22" i="1"/>
  <c r="K21" i="1"/>
  <c r="L21" i="1"/>
  <c r="L20" i="1"/>
  <c r="L19" i="1"/>
  <c r="G15" i="1"/>
  <c r="K7" i="1"/>
  <c r="K8" i="1"/>
  <c r="F22" i="1"/>
  <c r="F21" i="1"/>
  <c r="F20" i="1"/>
  <c r="F19" i="1"/>
  <c r="E21" i="1"/>
  <c r="E20" i="1"/>
  <c r="E19" i="1"/>
  <c r="C22" i="1"/>
  <c r="D22" i="1" s="1"/>
  <c r="C21" i="1"/>
  <c r="D21" i="1" s="1"/>
  <c r="C20" i="1"/>
  <c r="D20" i="1" s="1"/>
  <c r="C19" i="1"/>
  <c r="D19" i="1" s="1"/>
  <c r="B20" i="1"/>
  <c r="B19" i="1"/>
  <c r="B12" i="1"/>
  <c r="B8" i="1"/>
  <c r="B7" i="1"/>
  <c r="B11" i="1"/>
  <c r="L17" i="1"/>
  <c r="L16" i="1"/>
  <c r="L15" i="1"/>
  <c r="K18" i="1"/>
  <c r="K17" i="1"/>
  <c r="J17" i="1"/>
  <c r="J16" i="1"/>
  <c r="J15" i="1"/>
  <c r="G11" i="1"/>
  <c r="G7" i="1"/>
  <c r="G12" i="1"/>
  <c r="H18" i="1"/>
  <c r="H17" i="1"/>
  <c r="H15" i="1"/>
  <c r="H16" i="1"/>
  <c r="G18" i="1"/>
  <c r="G17" i="1"/>
  <c r="G16" i="1"/>
  <c r="G14" i="1"/>
  <c r="G13" i="1"/>
  <c r="G8" i="1"/>
  <c r="F18" i="1"/>
  <c r="F17" i="1"/>
  <c r="F16" i="1"/>
  <c r="F15" i="1"/>
  <c r="E17" i="1"/>
  <c r="E16" i="1"/>
  <c r="E15" i="1"/>
  <c r="C18" i="1"/>
  <c r="D18" i="1" s="1"/>
  <c r="C17" i="1"/>
  <c r="D17" i="1" s="1"/>
  <c r="C16" i="1"/>
  <c r="D16" i="1" s="1"/>
  <c r="C15" i="1"/>
  <c r="D15" i="1" s="1"/>
  <c r="B16" i="1"/>
  <c r="B15" i="1"/>
  <c r="G10" i="1"/>
  <c r="G9" i="1"/>
  <c r="F10" i="1"/>
  <c r="F9" i="1"/>
  <c r="F8" i="1"/>
  <c r="F7" i="1"/>
  <c r="E9" i="1"/>
  <c r="E8" i="1"/>
  <c r="E7" i="1"/>
  <c r="C10" i="1"/>
  <c r="D10" i="1" s="1"/>
  <c r="C9" i="1"/>
  <c r="D9" i="1" s="1"/>
  <c r="C8" i="1"/>
  <c r="D8" i="1" s="1"/>
  <c r="C7" i="1"/>
  <c r="D7" i="1" s="1"/>
  <c r="L13" i="1"/>
  <c r="L12" i="1"/>
  <c r="L11" i="1"/>
  <c r="K14" i="1"/>
  <c r="K13" i="1"/>
  <c r="J13" i="1"/>
  <c r="J12" i="1"/>
  <c r="J11" i="1"/>
  <c r="H14" i="1"/>
  <c r="H13" i="1"/>
  <c r="H12" i="1"/>
  <c r="H11" i="1"/>
  <c r="L9" i="1"/>
  <c r="L8" i="1"/>
  <c r="L7" i="1"/>
  <c r="K10" i="1"/>
  <c r="K9" i="1"/>
  <c r="J9" i="1"/>
  <c r="J8" i="1"/>
  <c r="J7" i="1"/>
  <c r="I9" i="1"/>
  <c r="I8" i="1"/>
  <c r="I7" i="1"/>
  <c r="H10" i="1"/>
  <c r="H8" i="1"/>
  <c r="H9" i="1"/>
  <c r="H7" i="1"/>
  <c r="I2" i="1"/>
  <c r="J2" i="1"/>
  <c r="F14" i="1"/>
  <c r="F13" i="1"/>
  <c r="F12" i="1"/>
  <c r="F11" i="1"/>
  <c r="E13" i="1"/>
  <c r="E12" i="1"/>
  <c r="E11" i="1"/>
  <c r="C14" i="1"/>
  <c r="D14" i="1" s="1"/>
  <c r="C13" i="1"/>
  <c r="D13" i="1" s="1"/>
  <c r="C12" i="1"/>
  <c r="D12" i="1" s="1"/>
  <c r="C11" i="1"/>
  <c r="D11" i="1" s="1"/>
  <c r="AR11" i="7" l="1"/>
  <c r="AR7" i="7"/>
  <c r="AR9" i="7"/>
  <c r="AS7" i="7"/>
  <c r="B28" i="9"/>
  <c r="C20" i="9"/>
  <c r="F20" i="9" s="1"/>
  <c r="B8" i="9"/>
  <c r="B16" i="9"/>
  <c r="B24" i="9"/>
  <c r="C34" i="9"/>
  <c r="F34" i="9" s="1"/>
  <c r="C12" i="9"/>
  <c r="F12" i="9" s="1"/>
  <c r="C8" i="9"/>
  <c r="F8" i="9" s="1"/>
  <c r="C16" i="9"/>
  <c r="F16" i="9" s="1"/>
  <c r="C24" i="9"/>
  <c r="F24" i="9" s="1"/>
  <c r="B32" i="9"/>
  <c r="C28" i="9"/>
  <c r="F28" i="9" s="1"/>
  <c r="B12" i="9"/>
  <c r="B20" i="9"/>
  <c r="B6" i="9"/>
  <c r="B10" i="9"/>
  <c r="B14" i="9"/>
  <c r="B18" i="9"/>
  <c r="B22" i="9"/>
  <c r="B26" i="9"/>
  <c r="B30" i="9"/>
  <c r="C6" i="9"/>
  <c r="F6" i="9" s="1"/>
  <c r="C10" i="9"/>
  <c r="F10" i="9" s="1"/>
  <c r="C14" i="9"/>
  <c r="F14" i="9" s="1"/>
  <c r="C18" i="9"/>
  <c r="F18" i="9" s="1"/>
  <c r="C22" i="9"/>
  <c r="F22" i="9" s="1"/>
  <c r="C26" i="9"/>
  <c r="F26" i="9" s="1"/>
  <c r="C30" i="9"/>
  <c r="F30" i="9" s="1"/>
  <c r="B36" i="9"/>
  <c r="C32" i="9"/>
  <c r="F32" i="9" s="1"/>
  <c r="AM5" i="7"/>
  <c r="C36" i="9"/>
  <c r="F36" i="9" s="1"/>
  <c r="B34" i="9"/>
  <c r="AS9" i="7"/>
  <c r="AR5" i="7"/>
  <c r="AM9" i="7" l="1"/>
  <c r="AI11" i="7"/>
  <c r="AG5" i="7"/>
  <c r="AI5" i="7"/>
  <c r="AM7" i="7"/>
  <c r="AG11" i="7"/>
  <c r="AN9" i="7"/>
  <c r="AN7" i="7"/>
  <c r="AM11" i="7"/>
  <c r="AG9" i="7"/>
  <c r="AN5" i="7"/>
  <c r="AI7" i="7"/>
  <c r="AS5" i="7"/>
  <c r="AS11" i="7"/>
  <c r="AI9" i="7"/>
  <c r="AG7" i="7"/>
  <c r="R10" i="30" l="1"/>
  <c r="L29" i="30"/>
  <c r="P20" i="30"/>
  <c r="S18" i="30"/>
  <c r="U50" i="2"/>
  <c r="O10" i="9"/>
  <c r="L17" i="30"/>
  <c r="S41" i="2"/>
  <c r="U80" i="2"/>
  <c r="S25" i="2"/>
  <c r="Q16" i="30"/>
  <c r="S27" i="2"/>
  <c r="Q24" i="30"/>
  <c r="S48" i="2"/>
  <c r="Q37" i="9"/>
  <c r="S19" i="9"/>
  <c r="S36" i="2"/>
  <c r="N22" i="30"/>
  <c r="Q7" i="9"/>
  <c r="R24" i="30"/>
  <c r="S80" i="2"/>
  <c r="N18" i="30"/>
  <c r="P8" i="30"/>
  <c r="O20" i="9"/>
  <c r="P10" i="30"/>
  <c r="R9" i="30"/>
  <c r="O13" i="30"/>
  <c r="Q27" i="9"/>
  <c r="S24" i="30"/>
  <c r="M26" i="30"/>
  <c r="O15" i="9"/>
  <c r="S67" i="2"/>
  <c r="O29" i="30"/>
  <c r="N23" i="30"/>
  <c r="O36" i="9"/>
  <c r="S94" i="2"/>
  <c r="S57" i="2"/>
  <c r="U32" i="2"/>
  <c r="N16" i="30"/>
  <c r="P12" i="30"/>
  <c r="U61" i="2"/>
  <c r="U24" i="2"/>
  <c r="R12" i="30"/>
  <c r="U87" i="2"/>
  <c r="U28" i="2"/>
  <c r="R22" i="30"/>
  <c r="U73" i="2"/>
  <c r="U42" i="2"/>
  <c r="R32" i="30"/>
  <c r="L22" i="30"/>
  <c r="L23" i="30"/>
  <c r="Q23" i="9"/>
  <c r="S11" i="9"/>
  <c r="O12" i="9"/>
  <c r="S45" i="2"/>
  <c r="S54" i="2"/>
  <c r="O27" i="9"/>
  <c r="S9" i="9"/>
  <c r="I2" i="2"/>
  <c r="S7" i="9"/>
  <c r="S25" i="9"/>
  <c r="L16" i="30"/>
  <c r="S29" i="2"/>
  <c r="S61" i="2"/>
  <c r="P9" i="30"/>
  <c r="O7" i="9"/>
  <c r="L15" i="30"/>
  <c r="Q17" i="9"/>
  <c r="U43" i="2"/>
  <c r="O17" i="30"/>
  <c r="P29" i="30"/>
  <c r="L26" i="30"/>
  <c r="S39" i="2"/>
  <c r="O35" i="9"/>
  <c r="N9" i="30"/>
  <c r="O26" i="9"/>
  <c r="U31" i="2"/>
  <c r="N24" i="30"/>
  <c r="Q19" i="9"/>
  <c r="U51" i="2"/>
  <c r="U68" i="2"/>
  <c r="U64" i="2"/>
  <c r="S30" i="2"/>
  <c r="U70" i="2"/>
  <c r="N8" i="30"/>
  <c r="P24" i="30"/>
  <c r="U93" i="2"/>
  <c r="N20" i="30"/>
  <c r="R18" i="30"/>
  <c r="S40" i="2"/>
  <c r="N17" i="30"/>
  <c r="S17" i="30"/>
  <c r="U47" i="2"/>
  <c r="S70" i="2"/>
  <c r="U34" i="2"/>
  <c r="O12" i="30"/>
  <c r="P32" i="30"/>
  <c r="Q23" i="30"/>
  <c r="S62" i="2"/>
  <c r="N14" i="30"/>
  <c r="Q14" i="30"/>
  <c r="S22" i="30"/>
  <c r="O15" i="30"/>
  <c r="Q31" i="9"/>
  <c r="Q20" i="30"/>
  <c r="U49" i="2"/>
  <c r="O9" i="9"/>
  <c r="O34" i="9"/>
  <c r="M16" i="30"/>
  <c r="S26" i="2"/>
  <c r="U38" i="2"/>
  <c r="S52" i="2"/>
  <c r="U23" i="2"/>
  <c r="M15" i="30"/>
  <c r="U53" i="2"/>
  <c r="L8" i="30"/>
  <c r="S90" i="2"/>
  <c r="Q17" i="30"/>
  <c r="S51" i="2"/>
  <c r="O25" i="9"/>
  <c r="S13" i="9"/>
  <c r="N13" i="30"/>
  <c r="S66" i="2"/>
  <c r="U48" i="2"/>
  <c r="U22" i="2"/>
  <c r="R14" i="30"/>
  <c r="Q29" i="9"/>
  <c r="O18" i="9"/>
  <c r="S28" i="2"/>
  <c r="P22" i="30"/>
  <c r="L32" i="30"/>
  <c r="O26" i="30"/>
  <c r="U36" i="2"/>
  <c r="U94" i="2"/>
  <c r="Q9" i="9"/>
  <c r="N26" i="30"/>
  <c r="Q13" i="30"/>
  <c r="R26" i="30"/>
  <c r="S37" i="2"/>
  <c r="L12" i="30"/>
  <c r="P16" i="30"/>
  <c r="U35" i="2"/>
  <c r="S69" i="2"/>
  <c r="O22" i="9"/>
  <c r="R29" i="30"/>
  <c r="M29" i="30"/>
  <c r="S21" i="9"/>
  <c r="S23" i="9"/>
  <c r="R13" i="30"/>
  <c r="P23" i="30"/>
  <c r="S29" i="9"/>
  <c r="O19" i="9"/>
  <c r="S33" i="2"/>
  <c r="U55" i="2"/>
  <c r="S12" i="30"/>
  <c r="O33" i="9"/>
  <c r="L9" i="30"/>
  <c r="S65" i="2"/>
  <c r="P17" i="30"/>
  <c r="O30" i="9"/>
  <c r="U27" i="2"/>
  <c r="U37" i="2"/>
  <c r="S49" i="2"/>
  <c r="U56" i="2"/>
  <c r="U44" i="2"/>
  <c r="U65" i="2"/>
  <c r="M13" i="30"/>
  <c r="U30" i="2"/>
  <c r="Q21" i="9"/>
  <c r="U25" i="2"/>
  <c r="M24" i="30"/>
  <c r="S29" i="30"/>
  <c r="U67" i="2"/>
  <c r="S56" i="2"/>
  <c r="P26" i="30"/>
  <c r="U39" i="2"/>
  <c r="S24" i="2"/>
  <c r="M12" i="30"/>
  <c r="Q35" i="9"/>
  <c r="S79" i="2"/>
  <c r="U41" i="2"/>
  <c r="O14" i="30"/>
  <c r="S32" i="30"/>
  <c r="M22" i="30"/>
  <c r="Q29" i="30"/>
  <c r="U54" i="2"/>
  <c r="U45" i="2"/>
  <c r="O16" i="30"/>
  <c r="O28" i="9"/>
  <c r="S20" i="30"/>
  <c r="P18" i="30"/>
  <c r="L13" i="30"/>
  <c r="L14" i="30"/>
  <c r="O21" i="9"/>
  <c r="O23" i="30"/>
  <c r="O6" i="9"/>
  <c r="R15" i="30"/>
  <c r="R17" i="30"/>
  <c r="O32" i="30"/>
  <c r="Q15" i="9"/>
  <c r="S15" i="9"/>
  <c r="Q26" i="30"/>
  <c r="S68" i="2"/>
  <c r="M20" i="30"/>
  <c r="O20" i="30"/>
  <c r="S23" i="2"/>
  <c r="O31" i="9"/>
  <c r="S26" i="30"/>
  <c r="S15" i="30"/>
  <c r="S17" i="9"/>
  <c r="R16" i="30"/>
  <c r="N32" i="30"/>
  <c r="S35" i="2"/>
  <c r="L10" i="30"/>
  <c r="O18" i="30"/>
  <c r="U52" i="2"/>
  <c r="U90" i="2"/>
  <c r="R20" i="30"/>
  <c r="N15" i="30"/>
  <c r="S22" i="2"/>
  <c r="O16" i="9"/>
  <c r="O32" i="9"/>
  <c r="U66" i="2"/>
  <c r="O37" i="9"/>
  <c r="S55" i="2"/>
  <c r="S31" i="9"/>
  <c r="L20" i="30"/>
  <c r="N29" i="30"/>
  <c r="S50" i="2"/>
  <c r="O11" i="9"/>
  <c r="S14" i="30"/>
  <c r="S32" i="2"/>
  <c r="S23" i="30"/>
  <c r="Q15" i="30"/>
  <c r="U33" i="2"/>
  <c r="S27" i="9"/>
  <c r="O13" i="9"/>
  <c r="U62" i="2"/>
  <c r="O14" i="9"/>
  <c r="S58" i="2"/>
  <c r="L24" i="30"/>
  <c r="M14" i="30"/>
  <c r="S53" i="2"/>
  <c r="Q22" i="30"/>
  <c r="Q11" i="9"/>
  <c r="O17" i="9"/>
  <c r="S43" i="2"/>
  <c r="S34" i="2"/>
  <c r="S42" i="2"/>
  <c r="S35" i="9"/>
  <c r="S87" i="2"/>
  <c r="Q18" i="30"/>
  <c r="P14" i="30"/>
  <c r="U26" i="2"/>
  <c r="S91" i="2"/>
  <c r="S33" i="9"/>
  <c r="U91" i="2"/>
  <c r="L18" i="30"/>
  <c r="O24" i="30"/>
  <c r="Q33" i="9"/>
  <c r="S31" i="2"/>
  <c r="S37" i="9"/>
  <c r="O22" i="30"/>
  <c r="S47" i="2"/>
  <c r="P13" i="30"/>
  <c r="S38" i="2"/>
  <c r="R8" i="30"/>
  <c r="S64" i="2"/>
  <c r="U40" i="2"/>
  <c r="U69" i="2"/>
  <c r="U79" i="2"/>
  <c r="N12" i="30"/>
  <c r="M32" i="30"/>
  <c r="S93" i="2"/>
  <c r="U29" i="2"/>
  <c r="O23" i="9"/>
  <c r="O29" i="9"/>
  <c r="M23" i="30"/>
  <c r="Q12" i="30"/>
  <c r="O24" i="9"/>
  <c r="M18" i="30"/>
  <c r="M17" i="30"/>
  <c r="S44" i="2"/>
  <c r="S16" i="30"/>
  <c r="Q13" i="9"/>
  <c r="Q25" i="9"/>
  <c r="P15" i="30"/>
  <c r="S73" i="2"/>
  <c r="U57" i="2"/>
  <c r="Q32" i="30"/>
  <c r="N10" i="30"/>
  <c r="R23" i="30"/>
  <c r="U58" i="2"/>
  <c r="S13" i="30"/>
  <c r="O8" i="9"/>
  <c r="M19" i="30" l="1"/>
  <c r="V69" i="2"/>
  <c r="O27" i="30"/>
  <c r="L19" i="30"/>
  <c r="V26" i="2"/>
  <c r="Q19" i="30"/>
  <c r="T87" i="2"/>
  <c r="Q27" i="30"/>
  <c r="L21" i="30"/>
  <c r="R21" i="30"/>
  <c r="O19" i="30"/>
  <c r="T23" i="2"/>
  <c r="O21" i="30"/>
  <c r="M21" i="30"/>
  <c r="P19" i="30"/>
  <c r="S21" i="30"/>
  <c r="M30" i="30"/>
  <c r="M27" i="30"/>
  <c r="T24" i="2"/>
  <c r="V25" i="2"/>
  <c r="T69" i="2"/>
  <c r="P27" i="30"/>
  <c r="T28" i="2"/>
  <c r="V23" i="2"/>
  <c r="T26" i="2"/>
  <c r="Q21" i="30"/>
  <c r="S27" i="30"/>
  <c r="T70" i="2"/>
  <c r="R19" i="30"/>
  <c r="N21" i="30"/>
  <c r="V70" i="2"/>
  <c r="G3" i="30"/>
  <c r="H4" i="31"/>
  <c r="H2" i="9"/>
  <c r="G3" i="29"/>
  <c r="L27" i="30"/>
  <c r="L30" i="30"/>
  <c r="R27" i="30"/>
  <c r="V28" i="2"/>
  <c r="V87" i="2"/>
  <c r="V24" i="2"/>
  <c r="N19" i="30"/>
  <c r="N27" i="30"/>
  <c r="T25" i="2"/>
  <c r="S19" i="30"/>
  <c r="P21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KAKUYASU</author>
  </authors>
  <commentList>
    <comment ref="B19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備考には、以下の項目以外に入力に当たっての留意事項などがあれば、入れてください
</t>
        </r>
      </text>
    </comment>
  </commentList>
</comments>
</file>

<file path=xl/sharedStrings.xml><?xml version="1.0" encoding="utf-8"?>
<sst xmlns="http://schemas.openxmlformats.org/spreadsheetml/2006/main" count="3213" uniqueCount="1889">
  <si>
    <t>清酒甘辛①②</t>
    <rPh sb="0" eb="2">
      <t>セイシュ</t>
    </rPh>
    <rPh sb="2" eb="4">
      <t>アマカラ</t>
    </rPh>
    <phoneticPr fontId="3"/>
  </si>
  <si>
    <t>赤ワインのみ口</t>
    <rPh sb="0" eb="1">
      <t>アカ</t>
    </rPh>
    <rPh sb="6" eb="7">
      <t>クチ</t>
    </rPh>
    <phoneticPr fontId="3"/>
  </si>
  <si>
    <t>③</t>
    <phoneticPr fontId="3"/>
  </si>
  <si>
    <t>④</t>
    <phoneticPr fontId="3"/>
  </si>
  <si>
    <t>産地(地方）</t>
    <rPh sb="0" eb="2">
      <t>サンチ</t>
    </rPh>
    <rPh sb="3" eb="5">
      <t>チホウ</t>
    </rPh>
    <phoneticPr fontId="3"/>
  </si>
  <si>
    <t>ＳＤＰ(8桁）</t>
    <rPh sb="5" eb="6">
      <t>ケタ</t>
    </rPh>
    <phoneticPr fontId="3"/>
  </si>
  <si>
    <t>ｹｰｽ
ＪＡＮ</t>
    <phoneticPr fontId="3"/>
  </si>
  <si>
    <t>ﾊﾞﾗ
ＪＡＮ</t>
    <phoneticPr fontId="3"/>
  </si>
  <si>
    <t>仕入単価・発注情報 登録申請書</t>
    <rPh sb="0" eb="2">
      <t>シイレ</t>
    </rPh>
    <rPh sb="2" eb="4">
      <t>タンカ</t>
    </rPh>
    <rPh sb="5" eb="7">
      <t>ハッチュウ</t>
    </rPh>
    <rPh sb="7" eb="9">
      <t>ジョウホウ</t>
    </rPh>
    <rPh sb="10" eb="12">
      <t>トウロク</t>
    </rPh>
    <rPh sb="12" eb="15">
      <t>シンセイショ</t>
    </rPh>
    <phoneticPr fontId="3"/>
  </si>
  <si>
    <t>400</t>
    <phoneticPr fontId="9"/>
  </si>
  <si>
    <t>153</t>
    <phoneticPr fontId="9"/>
  </si>
  <si>
    <t>焼酎味わい</t>
    <rPh sb="0" eb="2">
      <t>ショウチュウ</t>
    </rPh>
    <rPh sb="2" eb="3">
      <t>アジ</t>
    </rPh>
    <phoneticPr fontId="3"/>
  </si>
  <si>
    <t>淡麗</t>
    <rPh sb="0" eb="2">
      <t>タンレイ</t>
    </rPh>
    <phoneticPr fontId="3"/>
  </si>
  <si>
    <t>やや淡麗</t>
    <rPh sb="2" eb="4">
      <t>タンレイ</t>
    </rPh>
    <phoneticPr fontId="3"/>
  </si>
  <si>
    <t>中間</t>
    <rPh sb="0" eb="2">
      <t>チュウカン</t>
    </rPh>
    <phoneticPr fontId="3"/>
  </si>
  <si>
    <t>ＰＫ６缶コード</t>
    <rPh sb="3" eb="4">
      <t>カン</t>
    </rPh>
    <phoneticPr fontId="3"/>
  </si>
  <si>
    <t>ＰＫケースコード</t>
    <phoneticPr fontId="3"/>
  </si>
  <si>
    <t>やや濃醇</t>
    <rPh sb="2" eb="3">
      <t>ノウ</t>
    </rPh>
    <rPh sb="3" eb="4">
      <t>ジュン</t>
    </rPh>
    <phoneticPr fontId="3"/>
  </si>
  <si>
    <t>濃醇</t>
    <rPh sb="0" eb="1">
      <t>ノウ</t>
    </rPh>
    <rPh sb="1" eb="2">
      <t>ジュン</t>
    </rPh>
    <phoneticPr fontId="3"/>
  </si>
  <si>
    <t>清酒味わい</t>
    <rPh sb="0" eb="2">
      <t>セイシュ</t>
    </rPh>
    <rPh sb="2" eb="3">
      <t>アジ</t>
    </rPh>
    <phoneticPr fontId="3"/>
  </si>
  <si>
    <t>ケースのみ</t>
    <phoneticPr fontId="3"/>
  </si>
  <si>
    <t>バラ</t>
    <phoneticPr fontId="3"/>
  </si>
  <si>
    <t>860</t>
    <phoneticPr fontId="9"/>
  </si>
  <si>
    <t>300</t>
    <phoneticPr fontId="9"/>
  </si>
  <si>
    <t>※ケース特価設定の場合は仕入ケース欄へ直接入力してください。</t>
    <rPh sb="4" eb="6">
      <t>トッカ</t>
    </rPh>
    <rPh sb="6" eb="8">
      <t>セッテイ</t>
    </rPh>
    <rPh sb="9" eb="11">
      <t>バアイ</t>
    </rPh>
    <rPh sb="12" eb="14">
      <t>シイレ</t>
    </rPh>
    <rPh sb="17" eb="18">
      <t>ラン</t>
    </rPh>
    <rPh sb="19" eb="21">
      <t>チョクセツ</t>
    </rPh>
    <rPh sb="21" eb="23">
      <t>ニュウリョク</t>
    </rPh>
    <phoneticPr fontId="3"/>
  </si>
  <si>
    <t>500</t>
    <phoneticPr fontId="9"/>
  </si>
  <si>
    <t>穏やか</t>
    <rPh sb="0" eb="1">
      <t>オダ</t>
    </rPh>
    <phoneticPr fontId="3"/>
  </si>
  <si>
    <t>やや濃醇穏やか</t>
    <rPh sb="2" eb="3">
      <t>ノウ</t>
    </rPh>
    <rPh sb="3" eb="4">
      <t>ジュン</t>
    </rPh>
    <rPh sb="4" eb="5">
      <t>オダ</t>
    </rPh>
    <phoneticPr fontId="3"/>
  </si>
  <si>
    <t>やや豊か</t>
    <rPh sb="2" eb="3">
      <t>ユタ</t>
    </rPh>
    <phoneticPr fontId="3"/>
  </si>
  <si>
    <t>豊か</t>
    <rPh sb="0" eb="1">
      <t>ユタ</t>
    </rPh>
    <phoneticPr fontId="3"/>
  </si>
  <si>
    <t>軽口</t>
    <rPh sb="0" eb="2">
      <t>カルクチ</t>
    </rPh>
    <phoneticPr fontId="3"/>
  </si>
  <si>
    <t>やや軽口</t>
    <rPh sb="2" eb="4">
      <t>カルクチ</t>
    </rPh>
    <phoneticPr fontId="3"/>
  </si>
  <si>
    <t>やや重口</t>
    <rPh sb="2" eb="3">
      <t>オモ</t>
    </rPh>
    <rPh sb="3" eb="4">
      <t>クチ</t>
    </rPh>
    <phoneticPr fontId="3"/>
  </si>
  <si>
    <t>重口</t>
    <rPh sb="0" eb="1">
      <t>オモ</t>
    </rPh>
    <rPh sb="1" eb="2">
      <t>クチ</t>
    </rPh>
    <phoneticPr fontId="3"/>
  </si>
  <si>
    <t>大吟醸</t>
    <rPh sb="0" eb="3">
      <t>ダイギンジョウ</t>
    </rPh>
    <phoneticPr fontId="3"/>
  </si>
  <si>
    <t>吟醸</t>
    <rPh sb="0" eb="2">
      <t>ギンジョウ</t>
    </rPh>
    <phoneticPr fontId="3"/>
  </si>
  <si>
    <t>純米</t>
    <rPh sb="0" eb="2">
      <t>ジュンマイ</t>
    </rPh>
    <phoneticPr fontId="3"/>
  </si>
  <si>
    <t>本醸造</t>
    <rPh sb="0" eb="3">
      <t>ホンジョウゾウ</t>
    </rPh>
    <phoneticPr fontId="3"/>
  </si>
  <si>
    <t>冷</t>
    <rPh sb="0" eb="1">
      <t>ヒヤ</t>
    </rPh>
    <phoneticPr fontId="3"/>
  </si>
  <si>
    <t>常温</t>
    <rPh sb="0" eb="2">
      <t>ジョウオン</t>
    </rPh>
    <phoneticPr fontId="3"/>
  </si>
  <si>
    <t>燗</t>
    <rPh sb="0" eb="1">
      <t>カン</t>
    </rPh>
    <phoneticPr fontId="3"/>
  </si>
  <si>
    <t>冷・常温</t>
    <rPh sb="0" eb="1">
      <t>ヒヤ</t>
    </rPh>
    <rPh sb="2" eb="4">
      <t>ジョウオン</t>
    </rPh>
    <phoneticPr fontId="3"/>
  </si>
  <si>
    <t>冷・燗</t>
    <rPh sb="0" eb="1">
      <t>ヒヤ</t>
    </rPh>
    <rPh sb="2" eb="3">
      <t>カン</t>
    </rPh>
    <phoneticPr fontId="3"/>
  </si>
  <si>
    <t>常温・燗</t>
    <rPh sb="0" eb="2">
      <t>ジョウオン</t>
    </rPh>
    <rPh sb="3" eb="4">
      <t>カン</t>
    </rPh>
    <phoneticPr fontId="3"/>
  </si>
  <si>
    <t>冷・常温・燗</t>
    <rPh sb="0" eb="1">
      <t>ヒヤ</t>
    </rPh>
    <rPh sb="2" eb="4">
      <t>ジョウオン</t>
    </rPh>
    <rPh sb="5" eb="6">
      <t>カン</t>
    </rPh>
    <phoneticPr fontId="3"/>
  </si>
  <si>
    <t>甘口</t>
    <rPh sb="0" eb="2">
      <t>アマクチ</t>
    </rPh>
    <phoneticPr fontId="3"/>
  </si>
  <si>
    <t>やや甘口</t>
    <rPh sb="2" eb="4">
      <t>アマクチ</t>
    </rPh>
    <phoneticPr fontId="3"/>
  </si>
  <si>
    <t>旨口</t>
    <rPh sb="0" eb="2">
      <t>ウマクチ</t>
    </rPh>
    <phoneticPr fontId="3"/>
  </si>
  <si>
    <t>辛口</t>
    <rPh sb="0" eb="2">
      <t>カラクチ</t>
    </rPh>
    <phoneticPr fontId="3"/>
  </si>
  <si>
    <t>麦</t>
    <rPh sb="0" eb="1">
      <t>ムギ</t>
    </rPh>
    <phoneticPr fontId="3"/>
  </si>
  <si>
    <t>米</t>
    <rPh sb="0" eb="1">
      <t>コメ</t>
    </rPh>
    <phoneticPr fontId="3"/>
  </si>
  <si>
    <t>芋</t>
    <rPh sb="0" eb="1">
      <t>イモ</t>
    </rPh>
    <phoneticPr fontId="3"/>
  </si>
  <si>
    <t>胡麻</t>
    <rPh sb="0" eb="2">
      <t>ゴマ</t>
    </rPh>
    <phoneticPr fontId="3"/>
  </si>
  <si>
    <t>泡盛</t>
    <rPh sb="0" eb="2">
      <t>アワモリ</t>
    </rPh>
    <phoneticPr fontId="3"/>
  </si>
  <si>
    <t>黒糖</t>
    <rPh sb="0" eb="2">
      <t>コクトウ</t>
    </rPh>
    <phoneticPr fontId="3"/>
  </si>
  <si>
    <t>※POS商品分類</t>
    <rPh sb="4" eb="6">
      <t>ショウヒン</t>
    </rPh>
    <rPh sb="6" eb="8">
      <t>ブンルイ</t>
    </rPh>
    <phoneticPr fontId="3"/>
  </si>
  <si>
    <t>季節限定区分</t>
    <rPh sb="2" eb="4">
      <t>ゲンテイ</t>
    </rPh>
    <phoneticPr fontId="3"/>
  </si>
  <si>
    <t>店舗取扱区分</t>
    <rPh sb="0" eb="2">
      <t>テンポ</t>
    </rPh>
    <rPh sb="2" eb="4">
      <t>トリアツカ</t>
    </rPh>
    <phoneticPr fontId="3"/>
  </si>
  <si>
    <t>取扱開始日</t>
    <rPh sb="0" eb="2">
      <t>トリアツカ</t>
    </rPh>
    <rPh sb="2" eb="5">
      <t>カイシビ</t>
    </rPh>
    <phoneticPr fontId="3"/>
  </si>
  <si>
    <t>N3</t>
    <phoneticPr fontId="3"/>
  </si>
  <si>
    <t>水割り</t>
    <rPh sb="0" eb="2">
      <t>ミズワ</t>
    </rPh>
    <phoneticPr fontId="3"/>
  </si>
  <si>
    <t>お湯割り</t>
    <rPh sb="1" eb="2">
      <t>ユ</t>
    </rPh>
    <rPh sb="2" eb="3">
      <t>ワ</t>
    </rPh>
    <phoneticPr fontId="3"/>
  </si>
  <si>
    <t>ロック・水割り</t>
    <rPh sb="4" eb="6">
      <t>ミズワ</t>
    </rPh>
    <phoneticPr fontId="3"/>
  </si>
  <si>
    <t>ロック・お湯割り</t>
    <rPh sb="5" eb="6">
      <t>ユ</t>
    </rPh>
    <rPh sb="6" eb="7">
      <t>ワ</t>
    </rPh>
    <phoneticPr fontId="3"/>
  </si>
  <si>
    <t>水割り・お湯割り</t>
    <rPh sb="0" eb="2">
      <t>ミズワ</t>
    </rPh>
    <rPh sb="5" eb="6">
      <t>ユ</t>
    </rPh>
    <rPh sb="6" eb="7">
      <t>ワ</t>
    </rPh>
    <phoneticPr fontId="3"/>
  </si>
  <si>
    <t>ロック・水割り・お湯割り</t>
    <rPh sb="4" eb="6">
      <t>ミズワ</t>
    </rPh>
    <rPh sb="9" eb="10">
      <t>ユ</t>
    </rPh>
    <rPh sb="10" eb="11">
      <t>ワ</t>
    </rPh>
    <phoneticPr fontId="3"/>
  </si>
  <si>
    <t>ＳＤＰ(8桁）</t>
  </si>
  <si>
    <t>商品種別</t>
  </si>
  <si>
    <t>商品分類</t>
  </si>
  <si>
    <t>飲み口</t>
  </si>
  <si>
    <t>産地（国）</t>
  </si>
  <si>
    <t>産地(地方）</t>
  </si>
  <si>
    <t>賞味日数</t>
  </si>
  <si>
    <t>商品区分</t>
  </si>
  <si>
    <t>酒類（酒税分類）</t>
  </si>
  <si>
    <t>伝発分類</t>
  </si>
  <si>
    <t>季節区分</t>
  </si>
  <si>
    <t>商品区分</t>
    <rPh sb="0" eb="2">
      <t>ショウヒン</t>
    </rPh>
    <rPh sb="2" eb="4">
      <t>クブン</t>
    </rPh>
    <phoneticPr fontId="3"/>
  </si>
  <si>
    <t>酒類</t>
    <rPh sb="0" eb="2">
      <t>シュルイ</t>
    </rPh>
    <phoneticPr fontId="3"/>
  </si>
  <si>
    <t>商品名</t>
    <rPh sb="0" eb="3">
      <t>ショウヒンメイ</t>
    </rPh>
    <phoneticPr fontId="3"/>
  </si>
  <si>
    <t>入数</t>
    <rPh sb="0" eb="2">
      <t>イリスウ</t>
    </rPh>
    <phoneticPr fontId="3"/>
  </si>
  <si>
    <t>バラ重量（ｇ）</t>
    <rPh sb="2" eb="4">
      <t>ジュウリョウ</t>
    </rPh>
    <phoneticPr fontId="3"/>
  </si>
  <si>
    <t>ｹｰｽ単位</t>
    <rPh sb="3" eb="5">
      <t>タンイ</t>
    </rPh>
    <phoneticPr fontId="3"/>
  </si>
  <si>
    <t>物流区分</t>
    <rPh sb="0" eb="2">
      <t>ブツリュウ</t>
    </rPh>
    <rPh sb="2" eb="4">
      <t>クブン</t>
    </rPh>
    <phoneticPr fontId="3"/>
  </si>
  <si>
    <t>デポ当日発注区分</t>
    <rPh sb="2" eb="4">
      <t>トウジツ</t>
    </rPh>
    <rPh sb="4" eb="6">
      <t>ハッチュウ</t>
    </rPh>
    <rPh sb="6" eb="8">
      <t>クブン</t>
    </rPh>
    <phoneticPr fontId="3"/>
  </si>
  <si>
    <t>※温度帯区分</t>
    <rPh sb="1" eb="3">
      <t>オンド</t>
    </rPh>
    <rPh sb="3" eb="4">
      <t>タイ</t>
    </rPh>
    <rPh sb="4" eb="6">
      <t>クブン</t>
    </rPh>
    <phoneticPr fontId="3"/>
  </si>
  <si>
    <t>商品種別</t>
    <rPh sb="0" eb="2">
      <t>ショウヒン</t>
    </rPh>
    <rPh sb="2" eb="4">
      <t>シュベツ</t>
    </rPh>
    <phoneticPr fontId="3"/>
  </si>
  <si>
    <t>商品分類</t>
    <rPh sb="0" eb="2">
      <t>ショウヒン</t>
    </rPh>
    <rPh sb="2" eb="4">
      <t>ブンルイ</t>
    </rPh>
    <phoneticPr fontId="3"/>
  </si>
  <si>
    <t>コード</t>
  </si>
  <si>
    <t>（単位：半角大文字・最大10ｂｙｔｅ）</t>
  </si>
  <si>
    <t>②</t>
    <phoneticPr fontId="3"/>
  </si>
  <si>
    <t>③</t>
    <phoneticPr fontId="3"/>
  </si>
  <si>
    <t>④</t>
    <phoneticPr fontId="3"/>
  </si>
  <si>
    <t>Link用</t>
    <rPh sb="4" eb="5">
      <t>ヨウ</t>
    </rPh>
    <phoneticPr fontId="3"/>
  </si>
  <si>
    <t>大分類</t>
    <rPh sb="0" eb="3">
      <t>ダイブンルイ</t>
    </rPh>
    <phoneticPr fontId="3"/>
  </si>
  <si>
    <t>中分類</t>
    <rPh sb="0" eb="3">
      <t>チュウブンルイ</t>
    </rPh>
    <phoneticPr fontId="3"/>
  </si>
  <si>
    <t>原産地</t>
    <rPh sb="0" eb="3">
      <t>ゲンサンチ</t>
    </rPh>
    <phoneticPr fontId="3"/>
  </si>
  <si>
    <t>飲み口</t>
    <rPh sb="0" eb="1">
      <t>ノ</t>
    </rPh>
    <rPh sb="2" eb="3">
      <t>クチ</t>
    </rPh>
    <phoneticPr fontId="3"/>
  </si>
  <si>
    <t>やや辛口</t>
    <rPh sb="2" eb="4">
      <t>カラクチ</t>
    </rPh>
    <phoneticPr fontId="3"/>
  </si>
  <si>
    <t>仕入先</t>
    <rPh sb="0" eb="2">
      <t>シイレ</t>
    </rPh>
    <rPh sb="2" eb="3">
      <t>サキ</t>
    </rPh>
    <phoneticPr fontId="3"/>
  </si>
  <si>
    <t>伝発分類</t>
    <rPh sb="0" eb="2">
      <t>デンパツ</t>
    </rPh>
    <rPh sb="2" eb="4">
      <t>ブンルイ</t>
    </rPh>
    <phoneticPr fontId="3"/>
  </si>
  <si>
    <t>小分類</t>
    <rPh sb="0" eb="3">
      <t>ショウブンルイ</t>
    </rPh>
    <phoneticPr fontId="3"/>
  </si>
  <si>
    <t>産地（国）</t>
    <rPh sb="0" eb="2">
      <t>サンチ</t>
    </rPh>
    <rPh sb="3" eb="4">
      <t>クニ</t>
    </rPh>
    <phoneticPr fontId="3"/>
  </si>
  <si>
    <t>商品ｺｰﾄﾞ</t>
    <rPh sb="0" eb="2">
      <t>ショウヒン</t>
    </rPh>
    <phoneticPr fontId="3"/>
  </si>
  <si>
    <t>コード</t>
    <phoneticPr fontId="3"/>
  </si>
  <si>
    <t>メーカー</t>
    <phoneticPr fontId="3"/>
  </si>
  <si>
    <t>入数</t>
    <rPh sb="0" eb="1">
      <t>イ</t>
    </rPh>
    <rPh sb="1" eb="2">
      <t>スウ</t>
    </rPh>
    <phoneticPr fontId="3"/>
  </si>
  <si>
    <t>仕入部署</t>
    <rPh sb="0" eb="2">
      <t>シイレ</t>
    </rPh>
    <rPh sb="2" eb="4">
      <t>ブショ</t>
    </rPh>
    <phoneticPr fontId="3"/>
  </si>
  <si>
    <t>仕入ｹｰｽ</t>
    <rPh sb="0" eb="2">
      <t>シイレ</t>
    </rPh>
    <phoneticPr fontId="3"/>
  </si>
  <si>
    <t>仕入ﾊﾞﾗ</t>
    <rPh sb="0" eb="2">
      <t>シイレ</t>
    </rPh>
    <phoneticPr fontId="3"/>
  </si>
  <si>
    <t>帳合先</t>
    <rPh sb="0" eb="2">
      <t>チョウアイ</t>
    </rPh>
    <rPh sb="2" eb="3">
      <t>サキ</t>
    </rPh>
    <phoneticPr fontId="3"/>
  </si>
  <si>
    <t>発注部署</t>
    <rPh sb="0" eb="2">
      <t>ハッチュウ</t>
    </rPh>
    <rPh sb="2" eb="4">
      <t>ブショ</t>
    </rPh>
    <phoneticPr fontId="3"/>
  </si>
  <si>
    <t>発注先</t>
    <rPh sb="0" eb="2">
      <t>ハッチュウ</t>
    </rPh>
    <rPh sb="2" eb="3">
      <t>サキ</t>
    </rPh>
    <phoneticPr fontId="3"/>
  </si>
  <si>
    <t>発注単位</t>
    <rPh sb="0" eb="2">
      <t>ハッチュウ</t>
    </rPh>
    <rPh sb="2" eb="4">
      <t>タンイ</t>
    </rPh>
    <phoneticPr fontId="3"/>
  </si>
  <si>
    <t>Ｂ商品</t>
    <rPh sb="1" eb="3">
      <t>ショウヒン</t>
    </rPh>
    <phoneticPr fontId="3"/>
  </si>
  <si>
    <t>賞味日数</t>
    <rPh sb="0" eb="2">
      <t>ショウミ</t>
    </rPh>
    <rPh sb="2" eb="4">
      <t>ニッスウ</t>
    </rPh>
    <phoneticPr fontId="3"/>
  </si>
  <si>
    <t>商品名（最大52ｂｙｔｅ）</t>
    <rPh sb="0" eb="3">
      <t>ショウヒンメイ</t>
    </rPh>
    <rPh sb="4" eb="6">
      <t>サイダイ</t>
    </rPh>
    <phoneticPr fontId="3"/>
  </si>
  <si>
    <t>ＰＯＳ商品名（最大20ｂｙｔｅ）</t>
    <rPh sb="3" eb="6">
      <t>ショウヒンメイ</t>
    </rPh>
    <rPh sb="7" eb="9">
      <t>サイダイ</t>
    </rPh>
    <phoneticPr fontId="3"/>
  </si>
  <si>
    <t>小分類</t>
  </si>
  <si>
    <t>ｶｸﾔｽPOSｹｰｽ</t>
    <phoneticPr fontId="3"/>
  </si>
  <si>
    <t>ｶｸﾔｽPOSﾊﾞﾗ</t>
    <phoneticPr fontId="3"/>
  </si>
  <si>
    <t>ｶｸﾔｽFCﾊﾞﾗ</t>
    <phoneticPr fontId="3"/>
  </si>
  <si>
    <t>MMFCﾊﾞﾗ</t>
    <phoneticPr fontId="3"/>
  </si>
  <si>
    <t>規格</t>
    <rPh sb="0" eb="2">
      <t>キカク</t>
    </rPh>
    <phoneticPr fontId="11"/>
  </si>
  <si>
    <t>申請日</t>
    <rPh sb="0" eb="2">
      <t>シンセイ</t>
    </rPh>
    <rPh sb="2" eb="3">
      <t>ビ</t>
    </rPh>
    <phoneticPr fontId="3"/>
  </si>
  <si>
    <t>空容器コード</t>
  </si>
  <si>
    <t>産地コード（国）</t>
    <rPh sb="0" eb="2">
      <t>サンチ</t>
    </rPh>
    <rPh sb="6" eb="7">
      <t>クニ</t>
    </rPh>
    <phoneticPr fontId="9"/>
  </si>
  <si>
    <t>産地コード(地域）</t>
    <rPh sb="6" eb="8">
      <t>チイキ</t>
    </rPh>
    <phoneticPr fontId="9"/>
  </si>
  <si>
    <t>文字数</t>
    <rPh sb="0" eb="3">
      <t>モジスウ</t>
    </rPh>
    <phoneticPr fontId="3"/>
  </si>
  <si>
    <t>ケースＪＡＮ</t>
    <phoneticPr fontId="3"/>
  </si>
  <si>
    <t>バラ単位</t>
    <rPh sb="2" eb="4">
      <t>タンイ</t>
    </rPh>
    <phoneticPr fontId="3"/>
  </si>
  <si>
    <t>ＰＯＳ商品分類</t>
    <phoneticPr fontId="3"/>
  </si>
  <si>
    <t>店舗取扱区分</t>
  </si>
  <si>
    <t>酒類(酒税分類）</t>
  </si>
  <si>
    <t>ｱﾙｺｰﾙ度数</t>
  </si>
  <si>
    <t>ＳＳ共通</t>
  </si>
  <si>
    <t>最低アルコール度数</t>
    <rPh sb="0" eb="2">
      <t>サイテイ</t>
    </rPh>
    <rPh sb="7" eb="9">
      <t>ドスウ</t>
    </rPh>
    <phoneticPr fontId="3"/>
  </si>
  <si>
    <t>最高アルコール度数</t>
    <rPh sb="0" eb="2">
      <t>サイコウ</t>
    </rPh>
    <rPh sb="7" eb="9">
      <t>ドスウ</t>
    </rPh>
    <phoneticPr fontId="3"/>
  </si>
  <si>
    <t>容量
（ｍｌ）</t>
    <rPh sb="0" eb="2">
      <t>ヨウリョウ</t>
    </rPh>
    <phoneticPr fontId="3"/>
  </si>
  <si>
    <t>規格</t>
    <rPh sb="0" eb="2">
      <t>キカク</t>
    </rPh>
    <phoneticPr fontId="3"/>
  </si>
  <si>
    <t>空容器コード</t>
    <rPh sb="0" eb="1">
      <t>クウ</t>
    </rPh>
    <rPh sb="1" eb="3">
      <t>ヨウキ</t>
    </rPh>
    <phoneticPr fontId="3"/>
  </si>
  <si>
    <t>半角ｶﾅ
（最大20ｂｙｔｅ）</t>
    <rPh sb="0" eb="2">
      <t>ハンカク</t>
    </rPh>
    <phoneticPr fontId="3"/>
  </si>
  <si>
    <t>半角ｶﾅ
（最大52ｂｙｔｅ）</t>
    <rPh sb="0" eb="2">
      <t>ハンカク</t>
    </rPh>
    <phoneticPr fontId="3"/>
  </si>
  <si>
    <t>ケース重量（ｋｇ）</t>
    <rPh sb="3" eb="5">
      <t>ジュウリョウ</t>
    </rPh>
    <phoneticPr fontId="3"/>
  </si>
  <si>
    <t>共通部署</t>
  </si>
  <si>
    <t>WEB物流</t>
  </si>
  <si>
    <t>ＶＣ共通</t>
  </si>
  <si>
    <t>MHD発注G</t>
  </si>
  <si>
    <t>ＭＭＦＣ共通</t>
  </si>
  <si>
    <t>ＭＭＦＣ（アイスコ）</t>
  </si>
  <si>
    <t>ＫＹリカー共通</t>
  </si>
  <si>
    <t>センター共通</t>
  </si>
  <si>
    <t>600</t>
  </si>
  <si>
    <t>799</t>
  </si>
  <si>
    <t>896</t>
  </si>
  <si>
    <t>1510</t>
  </si>
  <si>
    <t>1570</t>
  </si>
  <si>
    <t>2000</t>
  </si>
  <si>
    <t>焼酎飲みかた</t>
    <rPh sb="0" eb="2">
      <t>ショウチュウ</t>
    </rPh>
    <rPh sb="2" eb="3">
      <t>ノ</t>
    </rPh>
    <phoneticPr fontId="3"/>
  </si>
  <si>
    <t>0</t>
  </si>
  <si>
    <t>1</t>
  </si>
  <si>
    <t>112</t>
  </si>
  <si>
    <t>100</t>
  </si>
  <si>
    <t>200</t>
  </si>
  <si>
    <t>空容器商品CD</t>
  </si>
  <si>
    <t>梅酒甘辛</t>
    <rPh sb="0" eb="2">
      <t>ウメシュ</t>
    </rPh>
    <rPh sb="2" eb="4">
      <t>アマカラ</t>
    </rPh>
    <phoneticPr fontId="3"/>
  </si>
  <si>
    <t>ややすっきり</t>
    <phoneticPr fontId="3"/>
  </si>
  <si>
    <t>希望小売</t>
    <rPh sb="0" eb="2">
      <t>キボウ</t>
    </rPh>
    <rPh sb="2" eb="4">
      <t>コウリ</t>
    </rPh>
    <phoneticPr fontId="3"/>
  </si>
  <si>
    <t>①</t>
    <phoneticPr fontId="3"/>
  </si>
  <si>
    <t>②</t>
    <phoneticPr fontId="3"/>
  </si>
  <si>
    <t>③</t>
    <phoneticPr fontId="3"/>
  </si>
  <si>
    <t>①</t>
    <phoneticPr fontId="3"/>
  </si>
  <si>
    <t>②</t>
    <phoneticPr fontId="3"/>
  </si>
  <si>
    <t>④</t>
    <phoneticPr fontId="3"/>
  </si>
  <si>
    <t>商品
ｺｰﾄﾞ</t>
    <rPh sb="0" eb="2">
      <t>ショウヒン</t>
    </rPh>
    <phoneticPr fontId="3"/>
  </si>
  <si>
    <t>ｹｰｽ･ﾊﾞﾗ単位</t>
    <rPh sb="7" eb="9">
      <t>タンイ</t>
    </rPh>
    <phoneticPr fontId="9"/>
  </si>
  <si>
    <t>温度帯</t>
    <rPh sb="0" eb="2">
      <t>オンド</t>
    </rPh>
    <rPh sb="2" eb="3">
      <t>タイ</t>
    </rPh>
    <phoneticPr fontId="9"/>
  </si>
  <si>
    <t>物流区分</t>
    <rPh sb="0" eb="2">
      <t>ブツリュウ</t>
    </rPh>
    <rPh sb="2" eb="4">
      <t>クブン</t>
    </rPh>
    <phoneticPr fontId="9"/>
  </si>
  <si>
    <t>デポ当日発注区分</t>
    <rPh sb="2" eb="4">
      <t>トウジツ</t>
    </rPh>
    <rPh sb="4" eb="6">
      <t>ハッチュウ</t>
    </rPh>
    <rPh sb="6" eb="8">
      <t>クブン</t>
    </rPh>
    <phoneticPr fontId="9"/>
  </si>
  <si>
    <t>部署コード(仕)</t>
    <rPh sb="0" eb="2">
      <t>ブショ</t>
    </rPh>
    <rPh sb="6" eb="7">
      <t>シ</t>
    </rPh>
    <phoneticPr fontId="3"/>
  </si>
  <si>
    <t>部署コード（発）</t>
    <rPh sb="0" eb="2">
      <t>ブショ</t>
    </rPh>
    <rPh sb="6" eb="7">
      <t>ハツ</t>
    </rPh>
    <phoneticPr fontId="3"/>
  </si>
  <si>
    <t>発注停止</t>
    <rPh sb="0" eb="2">
      <t>ハッチュウ</t>
    </rPh>
    <rPh sb="2" eb="4">
      <t>テイシ</t>
    </rPh>
    <phoneticPr fontId="9"/>
  </si>
  <si>
    <t>在庫管理</t>
    <rPh sb="0" eb="2">
      <t>ザイコ</t>
    </rPh>
    <rPh sb="2" eb="4">
      <t>カンリ</t>
    </rPh>
    <phoneticPr fontId="9"/>
  </si>
  <si>
    <t>課税区分</t>
    <rPh sb="0" eb="2">
      <t>カゼイ</t>
    </rPh>
    <rPh sb="2" eb="4">
      <t>クブン</t>
    </rPh>
    <phoneticPr fontId="9"/>
  </si>
  <si>
    <t>国産輸入</t>
    <rPh sb="0" eb="2">
      <t>コクサン</t>
    </rPh>
    <rPh sb="2" eb="4">
      <t>ユニュウ</t>
    </rPh>
    <phoneticPr fontId="9"/>
  </si>
  <si>
    <t>横持ピック</t>
    <rPh sb="0" eb="2">
      <t>ヨコモチ</t>
    </rPh>
    <phoneticPr fontId="9"/>
  </si>
  <si>
    <t>HT容器回収</t>
    <rPh sb="2" eb="4">
      <t>ヨウキ</t>
    </rPh>
    <rPh sb="4" eb="6">
      <t>カイシュウ</t>
    </rPh>
    <phoneticPr fontId="9"/>
  </si>
  <si>
    <t>予備区分3</t>
    <rPh sb="0" eb="2">
      <t>ヨビ</t>
    </rPh>
    <rPh sb="2" eb="4">
      <t>クブン</t>
    </rPh>
    <phoneticPr fontId="9"/>
  </si>
  <si>
    <t>予備区分4</t>
    <rPh sb="0" eb="2">
      <t>ヨビ</t>
    </rPh>
    <rPh sb="2" eb="4">
      <t>クブン</t>
    </rPh>
    <phoneticPr fontId="9"/>
  </si>
  <si>
    <t>0酒類</t>
    <phoneticPr fontId="9"/>
  </si>
  <si>
    <t>01本</t>
    <phoneticPr fontId="9"/>
  </si>
  <si>
    <t>0設定なし</t>
    <phoneticPr fontId="9"/>
  </si>
  <si>
    <t>1定番</t>
    <rPh sb="1" eb="3">
      <t>テイバン</t>
    </rPh>
    <phoneticPr fontId="9"/>
  </si>
  <si>
    <t>1冷凍</t>
    <rPh sb="1" eb="3">
      <t>レイトウ</t>
    </rPh>
    <phoneticPr fontId="9"/>
  </si>
  <si>
    <t>可</t>
    <rPh sb="0" eb="1">
      <t>カ</t>
    </rPh>
    <phoneticPr fontId="9"/>
  </si>
  <si>
    <t>0</t>
    <phoneticPr fontId="9"/>
  </si>
  <si>
    <t>使用不可</t>
    <rPh sb="0" eb="2">
      <t>シヨウ</t>
    </rPh>
    <rPh sb="2" eb="4">
      <t>フカ</t>
    </rPh>
    <phoneticPr fontId="9"/>
  </si>
  <si>
    <t>可能</t>
    <rPh sb="0" eb="2">
      <t>カノウ</t>
    </rPh>
    <phoneticPr fontId="9"/>
  </si>
  <si>
    <t>0する</t>
    <phoneticPr fontId="9"/>
  </si>
  <si>
    <t>0国産</t>
    <rPh sb="1" eb="3">
      <t>コクサン</t>
    </rPh>
    <phoneticPr fontId="9"/>
  </si>
  <si>
    <t>回収する</t>
    <rPh sb="0" eb="2">
      <t>カイシュウ</t>
    </rPh>
    <phoneticPr fontId="9"/>
  </si>
  <si>
    <t>1下限値</t>
    <rPh sb="1" eb="4">
      <t>カゲンチ</t>
    </rPh>
    <phoneticPr fontId="9"/>
  </si>
  <si>
    <t>1酒類以外</t>
    <rPh sb="3" eb="5">
      <t>イガイ</t>
    </rPh>
    <phoneticPr fontId="9"/>
  </si>
  <si>
    <t>2直送</t>
    <rPh sb="1" eb="3">
      <t>チョクソウ</t>
    </rPh>
    <phoneticPr fontId="9"/>
  </si>
  <si>
    <t>1取り寄せ品</t>
    <rPh sb="1" eb="4">
      <t>トリヨ</t>
    </rPh>
    <rPh sb="5" eb="6">
      <t>ヒン</t>
    </rPh>
    <phoneticPr fontId="9"/>
  </si>
  <si>
    <t>停止</t>
    <rPh sb="0" eb="2">
      <t>テイシ</t>
    </rPh>
    <phoneticPr fontId="9"/>
  </si>
  <si>
    <t>1しない</t>
    <phoneticPr fontId="9"/>
  </si>
  <si>
    <t>1内税</t>
    <rPh sb="1" eb="3">
      <t>ウチゼイ</t>
    </rPh>
    <phoneticPr fontId="9"/>
  </si>
  <si>
    <t>1輸入</t>
    <rPh sb="1" eb="3">
      <t>ユニュウ</t>
    </rPh>
    <phoneticPr fontId="9"/>
  </si>
  <si>
    <t>2空容器</t>
    <rPh sb="1" eb="2">
      <t>クウ</t>
    </rPh>
    <rPh sb="2" eb="4">
      <t>ヨウキ</t>
    </rPh>
    <phoneticPr fontId="9"/>
  </si>
  <si>
    <t>3チルド</t>
  </si>
  <si>
    <t>2直送品</t>
    <rPh sb="1" eb="3">
      <t>チョクソウ</t>
    </rPh>
    <rPh sb="3" eb="4">
      <t>ヒン</t>
    </rPh>
    <phoneticPr fontId="9"/>
  </si>
  <si>
    <t>2非課税</t>
    <rPh sb="1" eb="4">
      <t>ヒカゼイ</t>
    </rPh>
    <phoneticPr fontId="9"/>
  </si>
  <si>
    <t>3空函</t>
    <rPh sb="1" eb="2">
      <t>クウ</t>
    </rPh>
    <rPh sb="2" eb="3">
      <t>ハコ</t>
    </rPh>
    <phoneticPr fontId="9"/>
  </si>
  <si>
    <t>5パッケージ商品</t>
  </si>
  <si>
    <t>05個</t>
    <phoneticPr fontId="9"/>
  </si>
  <si>
    <t>5ウイスキー類</t>
    <phoneticPr fontId="9"/>
  </si>
  <si>
    <t>4やや軽口</t>
    <phoneticPr fontId="9"/>
  </si>
  <si>
    <t>平和島</t>
    <rPh sb="0" eb="3">
      <t>ヘイワジマ</t>
    </rPh>
    <phoneticPr fontId="9"/>
  </si>
  <si>
    <t>平和島（自社）</t>
    <rPh sb="0" eb="3">
      <t>ヘイワジマ</t>
    </rPh>
    <rPh sb="4" eb="6">
      <t>ジシャ</t>
    </rPh>
    <phoneticPr fontId="9"/>
  </si>
  <si>
    <t>9その他(諸口)</t>
    <rPh sb="3" eb="4">
      <t>タ</t>
    </rPh>
    <rPh sb="5" eb="7">
      <t>ショクチ</t>
    </rPh>
    <phoneticPr fontId="9"/>
  </si>
  <si>
    <t>平和島（消化）</t>
    <rPh sb="0" eb="3">
      <t>ヘイワジマ</t>
    </rPh>
    <rPh sb="4" eb="6">
      <t>ショウカ</t>
    </rPh>
    <phoneticPr fontId="9"/>
  </si>
  <si>
    <t>7その他酒類</t>
    <rPh sb="4" eb="6">
      <t>シュルイ</t>
    </rPh>
    <phoneticPr fontId="9"/>
  </si>
  <si>
    <t>平和島発注</t>
    <rPh sb="0" eb="3">
      <t>ヘイワジマ</t>
    </rPh>
    <rPh sb="3" eb="5">
      <t>ハッチュウ</t>
    </rPh>
    <phoneticPr fontId="9"/>
  </si>
  <si>
    <t>店舗直送共通</t>
    <rPh sb="0" eb="2">
      <t>テンポ</t>
    </rPh>
    <rPh sb="2" eb="4">
      <t>チョクソウ</t>
    </rPh>
    <phoneticPr fontId="9"/>
  </si>
  <si>
    <t>店舗共通</t>
    <rPh sb="0" eb="2">
      <t>テンポ</t>
    </rPh>
    <phoneticPr fontId="9"/>
  </si>
  <si>
    <t>検校共通</t>
    <rPh sb="0" eb="2">
      <t>ケンギョウ</t>
    </rPh>
    <rPh sb="2" eb="4">
      <t>キョウツウ</t>
    </rPh>
    <phoneticPr fontId="9"/>
  </si>
  <si>
    <t>SS共通（大阪）</t>
    <rPh sb="2" eb="4">
      <t>キョウツウ</t>
    </rPh>
    <rPh sb="5" eb="7">
      <t>オオサカ</t>
    </rPh>
    <phoneticPr fontId="9"/>
  </si>
  <si>
    <t>大阪共通</t>
    <rPh sb="0" eb="2">
      <t>オオサカ</t>
    </rPh>
    <phoneticPr fontId="9"/>
  </si>
  <si>
    <t>大阪配送センター</t>
    <rPh sb="0" eb="2">
      <t>オオサカ</t>
    </rPh>
    <rPh sb="2" eb="4">
      <t>ハイソウ</t>
    </rPh>
    <phoneticPr fontId="9"/>
  </si>
  <si>
    <t>共通(直送)</t>
    <rPh sb="0" eb="2">
      <t>キョウツウ</t>
    </rPh>
    <rPh sb="3" eb="5">
      <t>チョクソウ</t>
    </rPh>
    <phoneticPr fontId="9"/>
  </si>
  <si>
    <t>10000205ABｲﾝﾍﾞﾌﾞ空樽</t>
    <rPh sb="16" eb="17">
      <t>クウ</t>
    </rPh>
    <rPh sb="17" eb="18">
      <t>タル</t>
    </rPh>
    <phoneticPr fontId="9"/>
  </si>
  <si>
    <t>10222アルメニア共和国</t>
    <phoneticPr fontId="2"/>
  </si>
  <si>
    <t>10223ハンガリー</t>
    <phoneticPr fontId="2"/>
  </si>
  <si>
    <t>10224スロヴァキア</t>
    <phoneticPr fontId="2"/>
  </si>
  <si>
    <t>10000354黄桜空樽10L</t>
    <rPh sb="8" eb="10">
      <t>キザクラ</t>
    </rPh>
    <phoneticPr fontId="9"/>
  </si>
  <si>
    <t>10000355黄桜空樽5L</t>
    <rPh sb="8" eb="10">
      <t>キザクラ</t>
    </rPh>
    <phoneticPr fontId="9"/>
  </si>
  <si>
    <t>10000366ﾀｲｶﾞｰ空樽</t>
    <phoneticPr fontId="9"/>
  </si>
  <si>
    <t>10000367ｱﾚﾌ小樽空樽</t>
    <phoneticPr fontId="9"/>
  </si>
  <si>
    <t>2清酒　１級　　　　　</t>
    <phoneticPr fontId="9"/>
  </si>
  <si>
    <t>3清酒　２級　　　　　　　</t>
    <phoneticPr fontId="9"/>
  </si>
  <si>
    <t>121</t>
    <phoneticPr fontId="9"/>
  </si>
  <si>
    <t>10099アジア・オセアニア</t>
    <phoneticPr fontId="9"/>
  </si>
  <si>
    <t>13旨口</t>
    <phoneticPr fontId="9"/>
  </si>
  <si>
    <t>14ウイスキー　２級　　</t>
    <phoneticPr fontId="3"/>
  </si>
  <si>
    <t>10207デンマーク</t>
    <phoneticPr fontId="9"/>
  </si>
  <si>
    <t>10208イギリス</t>
    <phoneticPr fontId="9"/>
  </si>
  <si>
    <t>10209フランス</t>
    <phoneticPr fontId="9"/>
  </si>
  <si>
    <t>10210イタリア</t>
    <phoneticPr fontId="9"/>
  </si>
  <si>
    <t>10211スペイン</t>
    <phoneticPr fontId="9"/>
  </si>
  <si>
    <t>10217フィンランド</t>
    <phoneticPr fontId="9"/>
  </si>
  <si>
    <t>10218ルーマニア</t>
    <phoneticPr fontId="9"/>
  </si>
  <si>
    <t>10219アイルランド</t>
    <phoneticPr fontId="9"/>
  </si>
  <si>
    <t>10220ウクライナ</t>
    <phoneticPr fontId="9"/>
  </si>
  <si>
    <t>10225ジョージア</t>
    <phoneticPr fontId="2"/>
  </si>
  <si>
    <t>10000361ﾎｯﾋﾟｰｻﾜｰ空容器/24</t>
    <phoneticPr fontId="9"/>
  </si>
  <si>
    <t>10000362文楽空容器/24</t>
    <phoneticPr fontId="9"/>
  </si>
  <si>
    <t>10000363文楽空容器/20</t>
    <phoneticPr fontId="9"/>
  </si>
  <si>
    <t>10000368ﾍﾞｱﾚﾝ醸造所空樽</t>
    <phoneticPr fontId="9"/>
  </si>
  <si>
    <t>仕入単価情報</t>
    <rPh sb="0" eb="2">
      <t>シイレ</t>
    </rPh>
    <rPh sb="2" eb="4">
      <t>タンカ</t>
    </rPh>
    <rPh sb="4" eb="6">
      <t>ジョウホウ</t>
    </rPh>
    <phoneticPr fontId="3"/>
  </si>
  <si>
    <t>発注情報</t>
    <rPh sb="0" eb="2">
      <t>ハッチュウ</t>
    </rPh>
    <rPh sb="2" eb="4">
      <t>ジョウホウ</t>
    </rPh>
    <phoneticPr fontId="3"/>
  </si>
  <si>
    <t>消費税率コード</t>
    <rPh sb="0" eb="2">
      <t>ショウヒ</t>
    </rPh>
    <rPh sb="2" eb="4">
      <t>ゼイリツ</t>
    </rPh>
    <phoneticPr fontId="9"/>
  </si>
  <si>
    <t>0外税</t>
    <rPh sb="1" eb="3">
      <t>ソトゼイ</t>
    </rPh>
    <phoneticPr fontId="9"/>
  </si>
  <si>
    <t>ＰＯＰ商品名（全角）</t>
    <rPh sb="3" eb="6">
      <t>ショウヒンメイ</t>
    </rPh>
    <rPh sb="7" eb="9">
      <t>ゼンカク</t>
    </rPh>
    <phoneticPr fontId="3"/>
  </si>
  <si>
    <t>申請者</t>
    <rPh sb="0" eb="3">
      <t>シンセイシャ</t>
    </rPh>
    <phoneticPr fontId="3"/>
  </si>
  <si>
    <t>登録者</t>
    <rPh sb="0" eb="3">
      <t>トウロクシャ</t>
    </rPh>
    <phoneticPr fontId="3"/>
  </si>
  <si>
    <t>確認者</t>
    <rPh sb="0" eb="2">
      <t>カクニン</t>
    </rPh>
    <rPh sb="2" eb="3">
      <t>シャ</t>
    </rPh>
    <phoneticPr fontId="3"/>
  </si>
  <si>
    <t>※酒類(酒税分類）</t>
    <rPh sb="4" eb="6">
      <t>シュゼイ</t>
    </rPh>
    <rPh sb="6" eb="8">
      <t>ブンルイ</t>
    </rPh>
    <phoneticPr fontId="3"/>
  </si>
  <si>
    <t>※規格（単位：半角大文字・最大10ｂｙｔｅ）</t>
    <rPh sb="1" eb="3">
      <t>キカク</t>
    </rPh>
    <phoneticPr fontId="3"/>
  </si>
  <si>
    <t>※入数</t>
    <rPh sb="1" eb="2">
      <t>イリ</t>
    </rPh>
    <rPh sb="2" eb="3">
      <t>スウ</t>
    </rPh>
    <phoneticPr fontId="3"/>
  </si>
  <si>
    <t>※商品種別</t>
    <rPh sb="1" eb="3">
      <t>ショウヒン</t>
    </rPh>
    <rPh sb="3" eb="5">
      <t>シュベツ</t>
    </rPh>
    <phoneticPr fontId="3"/>
  </si>
  <si>
    <t>商品
区分</t>
    <rPh sb="0" eb="2">
      <t>ショウヒン</t>
    </rPh>
    <rPh sb="3" eb="5">
      <t>クブン</t>
    </rPh>
    <phoneticPr fontId="3"/>
  </si>
  <si>
    <t>ケース重量
（ｋｇ）</t>
    <rPh sb="3" eb="5">
      <t>ジュウリョウ</t>
    </rPh>
    <phoneticPr fontId="3"/>
  </si>
  <si>
    <t>バラ重量
（ｇ）</t>
    <rPh sb="2" eb="4">
      <t>ジュウリョウ</t>
    </rPh>
    <phoneticPr fontId="3"/>
  </si>
  <si>
    <t>規格（単位：半角大・最大10）</t>
    <rPh sb="0" eb="2">
      <t>キカク</t>
    </rPh>
    <phoneticPr fontId="3"/>
  </si>
  <si>
    <t>POS商品名半角ｶﾅ（最大20ｂｙｔｅ）</t>
    <rPh sb="3" eb="5">
      <t>ショウヒン</t>
    </rPh>
    <rPh sb="5" eb="6">
      <t>メイ</t>
    </rPh>
    <rPh sb="6" eb="8">
      <t>ハンカク</t>
    </rPh>
    <phoneticPr fontId="3"/>
  </si>
  <si>
    <t>CS単位</t>
    <rPh sb="2" eb="4">
      <t>タンイ</t>
    </rPh>
    <phoneticPr fontId="3"/>
  </si>
  <si>
    <t>メーカー名</t>
    <rPh sb="4" eb="5">
      <t>メイ</t>
    </rPh>
    <phoneticPr fontId="3"/>
  </si>
  <si>
    <t>※商品区分</t>
    <phoneticPr fontId="3"/>
  </si>
  <si>
    <t>※商品名
（最大52ｂｙｔｅ）</t>
    <phoneticPr fontId="3"/>
  </si>
  <si>
    <t>※ケース重量（ｋｇ）</t>
    <phoneticPr fontId="3"/>
  </si>
  <si>
    <t>※バラ重量（ｇ）</t>
    <phoneticPr fontId="3"/>
  </si>
  <si>
    <t>※ｹｰｽ単位</t>
    <phoneticPr fontId="3"/>
  </si>
  <si>
    <t>※バラ単位</t>
    <phoneticPr fontId="3"/>
  </si>
  <si>
    <t>※伝発分類</t>
    <phoneticPr fontId="3"/>
  </si>
  <si>
    <t>※小分類</t>
    <phoneticPr fontId="3"/>
  </si>
  <si>
    <t>①</t>
  </si>
  <si>
    <t>②</t>
  </si>
  <si>
    <t>③</t>
  </si>
  <si>
    <t>④</t>
  </si>
  <si>
    <t>リベート2</t>
    <phoneticPr fontId="3"/>
  </si>
  <si>
    <t>直送物流・当日発注区分・
ﾘｰﾄﾞﾀｲﾑ</t>
    <rPh sb="0" eb="2">
      <t>チョクソウ</t>
    </rPh>
    <rPh sb="2" eb="4">
      <t>ブツリュウ</t>
    </rPh>
    <rPh sb="5" eb="7">
      <t>トウジツ</t>
    </rPh>
    <rPh sb="7" eb="9">
      <t>ハッチュウ</t>
    </rPh>
    <rPh sb="9" eb="11">
      <t>クブン</t>
    </rPh>
    <phoneticPr fontId="3"/>
  </si>
  <si>
    <t>メーカーコード</t>
    <phoneticPr fontId="3"/>
  </si>
  <si>
    <t>ｹｰｽＪＡＮ</t>
    <phoneticPr fontId="3"/>
  </si>
  <si>
    <t>ﾊﾞﾗＪＡＮ</t>
    <phoneticPr fontId="3"/>
  </si>
  <si>
    <t>温度帯</t>
    <rPh sb="0" eb="2">
      <t>オンド</t>
    </rPh>
    <rPh sb="2" eb="3">
      <t>タイ</t>
    </rPh>
    <phoneticPr fontId="3"/>
  </si>
  <si>
    <t>備考：入力にあたっての留意事項があれば記入してください</t>
  </si>
  <si>
    <t>申請日</t>
  </si>
  <si>
    <t>申請者</t>
  </si>
  <si>
    <t>登録者</t>
  </si>
  <si>
    <t>確認者</t>
  </si>
  <si>
    <t>Ｎ単価・売価情報　申請書</t>
  </si>
  <si>
    <t>ＰＯＰメーカー名（全角）</t>
    <rPh sb="7" eb="8">
      <t>メイ</t>
    </rPh>
    <rPh sb="9" eb="11">
      <t>ゼンカク</t>
    </rPh>
    <phoneticPr fontId="3"/>
  </si>
  <si>
    <t>コード</t>
    <phoneticPr fontId="3"/>
  </si>
  <si>
    <t>ｽｸﾘｭｰ</t>
    <phoneticPr fontId="3"/>
  </si>
  <si>
    <t>商品名（参照）</t>
    <rPh sb="0" eb="3">
      <t>ショウヒンメイ</t>
    </rPh>
    <rPh sb="4" eb="6">
      <t>サンショウ</t>
    </rPh>
    <phoneticPr fontId="3"/>
  </si>
  <si>
    <t>メーカー名（参照）</t>
    <rPh sb="4" eb="5">
      <t>メイ</t>
    </rPh>
    <rPh sb="6" eb="8">
      <t>サンショウ</t>
    </rPh>
    <phoneticPr fontId="3"/>
  </si>
  <si>
    <t>商品名半角ｶﾅ
（最大52ｂｙｔｅ）</t>
    <rPh sb="0" eb="3">
      <t>ショウヒンメイ</t>
    </rPh>
    <rPh sb="3" eb="5">
      <t>ハンカク</t>
    </rPh>
    <phoneticPr fontId="3"/>
  </si>
  <si>
    <t>商品案内</t>
    <rPh sb="0" eb="2">
      <t>ショウヒン</t>
    </rPh>
    <rPh sb="2" eb="4">
      <t>アンナイ</t>
    </rPh>
    <phoneticPr fontId="11"/>
  </si>
  <si>
    <t>商品名</t>
    <rPh sb="0" eb="2">
      <t>ショウヒン</t>
    </rPh>
    <rPh sb="2" eb="3">
      <t>ナ</t>
    </rPh>
    <phoneticPr fontId="11"/>
  </si>
  <si>
    <t>大分類</t>
    <rPh sb="0" eb="3">
      <t>ダイブンルイ</t>
    </rPh>
    <phoneticPr fontId="11"/>
  </si>
  <si>
    <t>中分類</t>
    <rPh sb="0" eb="3">
      <t>チュウブンルイ</t>
    </rPh>
    <phoneticPr fontId="11"/>
  </si>
  <si>
    <t>小分類</t>
    <rPh sb="0" eb="3">
      <t>ショウブンルイ</t>
    </rPh>
    <phoneticPr fontId="11"/>
  </si>
  <si>
    <t>送込み</t>
    <rPh sb="0" eb="2">
      <t>オクリコ</t>
    </rPh>
    <phoneticPr fontId="11"/>
  </si>
  <si>
    <t>可</t>
    <rPh sb="0" eb="1">
      <t>カ</t>
    </rPh>
    <phoneticPr fontId="11"/>
  </si>
  <si>
    <t>有</t>
    <rPh sb="0" eb="1">
      <t>アリ</t>
    </rPh>
    <phoneticPr fontId="11"/>
  </si>
  <si>
    <t>全国</t>
    <rPh sb="0" eb="2">
      <t>ゼンコク</t>
    </rPh>
    <phoneticPr fontId="11"/>
  </si>
  <si>
    <t>取りまとめ</t>
    <rPh sb="0" eb="1">
      <t>ト</t>
    </rPh>
    <phoneticPr fontId="11"/>
  </si>
  <si>
    <t>不可</t>
    <rPh sb="0" eb="2">
      <t>フカ</t>
    </rPh>
    <phoneticPr fontId="11"/>
  </si>
  <si>
    <t>無し</t>
    <rPh sb="0" eb="1">
      <t>ナ</t>
    </rPh>
    <phoneticPr fontId="11"/>
  </si>
  <si>
    <t>エリア内</t>
    <rPh sb="3" eb="4">
      <t>ナイ</t>
    </rPh>
    <phoneticPr fontId="11"/>
  </si>
  <si>
    <t>商品コード</t>
    <rPh sb="0" eb="2">
      <t>ショウヒン</t>
    </rPh>
    <phoneticPr fontId="11"/>
  </si>
  <si>
    <t>案内のみ</t>
    <rPh sb="0" eb="2">
      <t>アンナイ</t>
    </rPh>
    <phoneticPr fontId="11"/>
  </si>
  <si>
    <t>入数</t>
    <rPh sb="0" eb="2">
      <t>イリスウ</t>
    </rPh>
    <phoneticPr fontId="11"/>
  </si>
  <si>
    <t>度数</t>
    <rPh sb="0" eb="2">
      <t>ドスウ</t>
    </rPh>
    <phoneticPr fontId="11"/>
  </si>
  <si>
    <t>重量（ケース）</t>
    <rPh sb="0" eb="2">
      <t>ジュウリョウ</t>
    </rPh>
    <phoneticPr fontId="11"/>
  </si>
  <si>
    <t>重量（バラ）</t>
    <rPh sb="0" eb="2">
      <t>ジュウリョウ</t>
    </rPh>
    <phoneticPr fontId="11"/>
  </si>
  <si>
    <t>価格情報</t>
    <rPh sb="0" eb="2">
      <t>カカク</t>
    </rPh>
    <rPh sb="2" eb="4">
      <t>ジョウホウ</t>
    </rPh>
    <phoneticPr fontId="11"/>
  </si>
  <si>
    <t>価格（ﾊﾞﾗ）</t>
    <rPh sb="0" eb="2">
      <t>カカク</t>
    </rPh>
    <phoneticPr fontId="11"/>
  </si>
  <si>
    <t>税込（ﾊﾞﾗ）</t>
    <rPh sb="0" eb="2">
      <t>ゼイコミ</t>
    </rPh>
    <phoneticPr fontId="11"/>
  </si>
  <si>
    <t>価格（CS）</t>
    <rPh sb="0" eb="2">
      <t>カカク</t>
    </rPh>
    <phoneticPr fontId="11"/>
  </si>
  <si>
    <t>税込（CS）</t>
    <rPh sb="0" eb="2">
      <t>ゼイコミ</t>
    </rPh>
    <phoneticPr fontId="11"/>
  </si>
  <si>
    <t>粗利率（ﾊﾞﾗ）</t>
    <rPh sb="0" eb="2">
      <t>アラリ</t>
    </rPh>
    <rPh sb="2" eb="3">
      <t>リツ</t>
    </rPh>
    <phoneticPr fontId="11"/>
  </si>
  <si>
    <t>粗利率（CS）</t>
    <rPh sb="0" eb="2">
      <t>アラリ</t>
    </rPh>
    <rPh sb="2" eb="3">
      <t>リツ</t>
    </rPh>
    <phoneticPr fontId="11"/>
  </si>
  <si>
    <t>希望小売</t>
    <rPh sb="0" eb="2">
      <t>キボウ</t>
    </rPh>
    <rPh sb="2" eb="4">
      <t>コウリ</t>
    </rPh>
    <phoneticPr fontId="11"/>
  </si>
  <si>
    <t>仕入値引</t>
    <rPh sb="0" eb="2">
      <t>シイレ</t>
    </rPh>
    <rPh sb="2" eb="4">
      <t>ネビキ</t>
    </rPh>
    <phoneticPr fontId="11"/>
  </si>
  <si>
    <t>値引後納価</t>
    <rPh sb="0" eb="2">
      <t>ネビキ</t>
    </rPh>
    <rPh sb="2" eb="3">
      <t>ゴ</t>
    </rPh>
    <rPh sb="3" eb="4">
      <t>ノウ</t>
    </rPh>
    <rPh sb="4" eb="5">
      <t>カ</t>
    </rPh>
    <phoneticPr fontId="11"/>
  </si>
  <si>
    <t>発売日</t>
    <rPh sb="0" eb="3">
      <t>ハツバイビ</t>
    </rPh>
    <phoneticPr fontId="11"/>
  </si>
  <si>
    <t>発注可能日</t>
    <rPh sb="0" eb="2">
      <t>ハッチュウ</t>
    </rPh>
    <rPh sb="2" eb="4">
      <t>カノウ</t>
    </rPh>
    <rPh sb="4" eb="5">
      <t>ビ</t>
    </rPh>
    <phoneticPr fontId="11"/>
  </si>
  <si>
    <t>重要度</t>
    <rPh sb="0" eb="3">
      <t>ジュウヨウド</t>
    </rPh>
    <phoneticPr fontId="11"/>
  </si>
  <si>
    <t>定番</t>
    <rPh sb="0" eb="2">
      <t>テイバン</t>
    </rPh>
    <phoneticPr fontId="11"/>
  </si>
  <si>
    <t>推奨</t>
    <rPh sb="0" eb="2">
      <t>スイショウ</t>
    </rPh>
    <phoneticPr fontId="11"/>
  </si>
  <si>
    <t>帯なし</t>
    <rPh sb="0" eb="1">
      <t>オビ</t>
    </rPh>
    <phoneticPr fontId="11"/>
  </si>
  <si>
    <t>賞味日数</t>
    <rPh sb="0" eb="2">
      <t>ショウミ</t>
    </rPh>
    <rPh sb="2" eb="4">
      <t>ニッスウ</t>
    </rPh>
    <phoneticPr fontId="11"/>
  </si>
  <si>
    <t>入荷許容</t>
    <rPh sb="0" eb="2">
      <t>ニュウカ</t>
    </rPh>
    <rPh sb="2" eb="4">
      <t>キョヨウ</t>
    </rPh>
    <phoneticPr fontId="11"/>
  </si>
  <si>
    <t>追加発注</t>
    <rPh sb="0" eb="2">
      <t>ツイカ</t>
    </rPh>
    <rPh sb="2" eb="4">
      <t>ハッチュウ</t>
    </rPh>
    <phoneticPr fontId="11"/>
  </si>
  <si>
    <t>送込み日</t>
    <rPh sb="0" eb="2">
      <t>オクリコ</t>
    </rPh>
    <rPh sb="3" eb="4">
      <t>ビ</t>
    </rPh>
    <phoneticPr fontId="11"/>
  </si>
  <si>
    <t>販売区分</t>
    <rPh sb="0" eb="2">
      <t>ハンバイ</t>
    </rPh>
    <rPh sb="2" eb="4">
      <t>クブン</t>
    </rPh>
    <phoneticPr fontId="11"/>
  </si>
  <si>
    <t>通年</t>
    <rPh sb="0" eb="2">
      <t>ツウネン</t>
    </rPh>
    <phoneticPr fontId="11"/>
  </si>
  <si>
    <t>期間限定</t>
    <rPh sb="0" eb="2">
      <t>キカン</t>
    </rPh>
    <rPh sb="2" eb="4">
      <t>ゲンテイ</t>
    </rPh>
    <phoneticPr fontId="11"/>
  </si>
  <si>
    <t>今回のみ</t>
    <rPh sb="0" eb="2">
      <t>コンカイ</t>
    </rPh>
    <phoneticPr fontId="11"/>
  </si>
  <si>
    <t>発注ロット</t>
    <rPh sb="0" eb="2">
      <t>ハッチュウ</t>
    </rPh>
    <phoneticPr fontId="11"/>
  </si>
  <si>
    <t>平和島C入荷日</t>
    <rPh sb="0" eb="3">
      <t>ヘイワジマ</t>
    </rPh>
    <rPh sb="4" eb="6">
      <t>ニュウカ</t>
    </rPh>
    <rPh sb="6" eb="7">
      <t>ヒ</t>
    </rPh>
    <phoneticPr fontId="11"/>
  </si>
  <si>
    <t>ＩＴＦ</t>
    <phoneticPr fontId="3"/>
  </si>
  <si>
    <t>原産国</t>
    <rPh sb="0" eb="2">
      <t>ゲンサン</t>
    </rPh>
    <rPh sb="2" eb="3">
      <t>コク</t>
    </rPh>
    <phoneticPr fontId="11"/>
  </si>
  <si>
    <t>※商品コード</t>
    <phoneticPr fontId="3"/>
  </si>
  <si>
    <t>※商品ｶﾅ              半角ｶﾅ（最大52ｂｙｔｅ）</t>
    <rPh sb="1" eb="3">
      <t>ショウヒン</t>
    </rPh>
    <phoneticPr fontId="3"/>
  </si>
  <si>
    <t>※POS商品ｶﾅ半角ｶﾅ（最大20ｂｙｔｅ）</t>
    <rPh sb="4" eb="6">
      <t>ショウヒン</t>
    </rPh>
    <phoneticPr fontId="3"/>
  </si>
  <si>
    <t>※POS商品名
（最大20ｂｙｔｅ）</t>
    <phoneticPr fontId="3"/>
  </si>
  <si>
    <t>※容量</t>
    <phoneticPr fontId="3"/>
  </si>
  <si>
    <t>数字のみ</t>
    <rPh sb="0" eb="2">
      <t>スウジ</t>
    </rPh>
    <phoneticPr fontId="3"/>
  </si>
  <si>
    <t>商品発売日</t>
    <rPh sb="0" eb="2">
      <t>ショウヒン</t>
    </rPh>
    <rPh sb="2" eb="5">
      <t>ハツバイビ</t>
    </rPh>
    <phoneticPr fontId="3"/>
  </si>
  <si>
    <t>在庫管理</t>
    <rPh sb="0" eb="2">
      <t>ザイコ</t>
    </rPh>
    <rPh sb="2" eb="4">
      <t>カンリ</t>
    </rPh>
    <phoneticPr fontId="3"/>
  </si>
  <si>
    <t>直送品納品ﾘｰﾄﾞﾀｲﾑ</t>
    <rPh sb="0" eb="2">
      <t>チョクソウ</t>
    </rPh>
    <rPh sb="2" eb="3">
      <t>ヒン</t>
    </rPh>
    <rPh sb="3" eb="5">
      <t>ノウヒン</t>
    </rPh>
    <phoneticPr fontId="3"/>
  </si>
  <si>
    <t>パッケージ構成商品コード</t>
    <rPh sb="5" eb="7">
      <t>コウセイ</t>
    </rPh>
    <rPh sb="7" eb="9">
      <t>ショウヒン</t>
    </rPh>
    <phoneticPr fontId="3"/>
  </si>
  <si>
    <t>パッケージ構成数</t>
    <rPh sb="5" eb="7">
      <t>コウセイ</t>
    </rPh>
    <rPh sb="7" eb="8">
      <t>スウ</t>
    </rPh>
    <phoneticPr fontId="3"/>
  </si>
  <si>
    <t>国産/輸入</t>
    <rPh sb="0" eb="2">
      <t>コクサン</t>
    </rPh>
    <rPh sb="3" eb="5">
      <t>ユニュウ</t>
    </rPh>
    <phoneticPr fontId="3"/>
  </si>
  <si>
    <t>※産地（国）</t>
    <rPh sb="1" eb="3">
      <t>サンチ</t>
    </rPh>
    <rPh sb="4" eb="5">
      <t>クニ</t>
    </rPh>
    <phoneticPr fontId="3"/>
  </si>
  <si>
    <t>※産地（地方）</t>
    <rPh sb="1" eb="3">
      <t>サンチ</t>
    </rPh>
    <rPh sb="4" eb="6">
      <t>チホウ</t>
    </rPh>
    <phoneticPr fontId="3"/>
  </si>
  <si>
    <t>不要は空欄</t>
    <rPh sb="0" eb="2">
      <t>フヨウ</t>
    </rPh>
    <rPh sb="3" eb="5">
      <t>クウラン</t>
    </rPh>
    <phoneticPr fontId="3"/>
  </si>
  <si>
    <t>※メーカーコード</t>
    <phoneticPr fontId="3"/>
  </si>
  <si>
    <t>※メーカー名</t>
    <rPh sb="5" eb="6">
      <t>メイ</t>
    </rPh>
    <phoneticPr fontId="3"/>
  </si>
  <si>
    <t>無は「0」</t>
    <rPh sb="0" eb="1">
      <t>ナシ</t>
    </rPh>
    <phoneticPr fontId="3"/>
  </si>
  <si>
    <t>※飲み口</t>
    <phoneticPr fontId="3"/>
  </si>
  <si>
    <t>予備3（下限値）</t>
    <rPh sb="0" eb="2">
      <t>ヨビ</t>
    </rPh>
    <rPh sb="4" eb="6">
      <t>カゲン</t>
    </rPh>
    <rPh sb="6" eb="7">
      <t>チ</t>
    </rPh>
    <phoneticPr fontId="3"/>
  </si>
  <si>
    <t>横持ピック対象</t>
    <rPh sb="0" eb="2">
      <t>ヨコモチ</t>
    </rPh>
    <rPh sb="5" eb="7">
      <t>タイショウ</t>
    </rPh>
    <phoneticPr fontId="3"/>
  </si>
  <si>
    <t>備考：</t>
    <rPh sb="0" eb="2">
      <t>ビコウ</t>
    </rPh>
    <phoneticPr fontId="3"/>
  </si>
  <si>
    <t>超重要</t>
    <rPh sb="0" eb="1">
      <t>チョウ</t>
    </rPh>
    <rPh sb="1" eb="3">
      <t>ジュウヨウ</t>
    </rPh>
    <phoneticPr fontId="3"/>
  </si>
  <si>
    <t>単位は   半角大</t>
    <rPh sb="0" eb="2">
      <t>タンイ</t>
    </rPh>
    <rPh sb="6" eb="8">
      <t>ハンカク</t>
    </rPh>
    <rPh sb="8" eb="9">
      <t>ダイ</t>
    </rPh>
    <phoneticPr fontId="3"/>
  </si>
  <si>
    <t>発注停止</t>
    <rPh sb="0" eb="2">
      <t>ハッチュウ</t>
    </rPh>
    <rPh sb="2" eb="4">
      <t>テイシ</t>
    </rPh>
    <phoneticPr fontId="3"/>
  </si>
  <si>
    <t>MM
POSｹｰｽ</t>
    <phoneticPr fontId="3"/>
  </si>
  <si>
    <t>KYL
POSﾊﾞﾗ</t>
    <phoneticPr fontId="3"/>
  </si>
  <si>
    <t>KYL
POSｹｰｽ</t>
    <phoneticPr fontId="3"/>
  </si>
  <si>
    <t>MM
POSﾊﾞﾗ</t>
    <phoneticPr fontId="3"/>
  </si>
  <si>
    <t>発売日</t>
    <rPh sb="0" eb="3">
      <t>ハツバイビ</t>
    </rPh>
    <phoneticPr fontId="3"/>
  </si>
  <si>
    <t>清酒造り</t>
    <rPh sb="0" eb="2">
      <t>セイシュ</t>
    </rPh>
    <rPh sb="2" eb="3">
      <t>ツク</t>
    </rPh>
    <phoneticPr fontId="3"/>
  </si>
  <si>
    <t>清酒飲み方</t>
    <rPh sb="0" eb="2">
      <t>セイシュ</t>
    </rPh>
    <rPh sb="2" eb="3">
      <t>ノ</t>
    </rPh>
    <rPh sb="4" eb="5">
      <t>カタ</t>
    </rPh>
    <phoneticPr fontId="3"/>
  </si>
  <si>
    <t>焼酎原料</t>
    <rPh sb="0" eb="2">
      <t>ショウチュウ</t>
    </rPh>
    <rPh sb="2" eb="4">
      <t>ゲンリョウ</t>
    </rPh>
    <phoneticPr fontId="3"/>
  </si>
  <si>
    <t>焼酎香り</t>
    <rPh sb="0" eb="2">
      <t>ショウチュウ</t>
    </rPh>
    <rPh sb="2" eb="3">
      <t>カオ</t>
    </rPh>
    <phoneticPr fontId="3"/>
  </si>
  <si>
    <t>他ワイン飲み口</t>
    <rPh sb="0" eb="1">
      <t>ホカ</t>
    </rPh>
    <rPh sb="4" eb="5">
      <t>ノ</t>
    </rPh>
    <rPh sb="6" eb="7">
      <t>クチ</t>
    </rPh>
    <phoneticPr fontId="3"/>
  </si>
  <si>
    <t>ＰＯＰ情報　申請書</t>
    <rPh sb="3" eb="5">
      <t>ジョウホウ</t>
    </rPh>
    <rPh sb="6" eb="9">
      <t>シンセイショ</t>
    </rPh>
    <phoneticPr fontId="3"/>
  </si>
  <si>
    <t>季節区分</t>
    <rPh sb="0" eb="2">
      <t>キセツ</t>
    </rPh>
    <rPh sb="2" eb="4">
      <t>クブン</t>
    </rPh>
    <phoneticPr fontId="3"/>
  </si>
  <si>
    <t>販売先区分</t>
    <rPh sb="0" eb="2">
      <t>ハンバイ</t>
    </rPh>
    <rPh sb="2" eb="3">
      <t>サキ</t>
    </rPh>
    <rPh sb="3" eb="5">
      <t>クブン</t>
    </rPh>
    <phoneticPr fontId="3"/>
  </si>
  <si>
    <t>53333
ｹｰｽ</t>
    <phoneticPr fontId="3"/>
  </si>
  <si>
    <t>53333
ﾊﾞﾗ</t>
    <phoneticPr fontId="3"/>
  </si>
  <si>
    <t>得意先別単価</t>
    <rPh sb="0" eb="3">
      <t>トクイサキ</t>
    </rPh>
    <rPh sb="3" eb="4">
      <t>ベツ</t>
    </rPh>
    <rPh sb="4" eb="6">
      <t>タンカ</t>
    </rPh>
    <phoneticPr fontId="3"/>
  </si>
  <si>
    <t>POS
単価</t>
    <rPh sb="4" eb="6">
      <t>タンカ</t>
    </rPh>
    <phoneticPr fontId="3"/>
  </si>
  <si>
    <t>部署別
店頭単価</t>
    <rPh sb="0" eb="2">
      <t>ブショ</t>
    </rPh>
    <rPh sb="2" eb="3">
      <t>ベツ</t>
    </rPh>
    <rPh sb="4" eb="6">
      <t>テントウ</t>
    </rPh>
    <rPh sb="6" eb="8">
      <t>タンカ</t>
    </rPh>
    <phoneticPr fontId="3"/>
  </si>
  <si>
    <t>申請日：</t>
    <rPh sb="0" eb="2">
      <t>シンセイ</t>
    </rPh>
    <rPh sb="2" eb="3">
      <t>ビ</t>
    </rPh>
    <phoneticPr fontId="3"/>
  </si>
  <si>
    <t>ロット
区分</t>
    <rPh sb="4" eb="6">
      <t>クブン</t>
    </rPh>
    <phoneticPr fontId="3"/>
  </si>
  <si>
    <t>コード</t>
    <phoneticPr fontId="3"/>
  </si>
  <si>
    <t>コード</t>
    <phoneticPr fontId="3"/>
  </si>
  <si>
    <t>商品名
（最大52ｂｙｔｅ）</t>
    <rPh sb="0" eb="3">
      <t>ショウヒンメイ</t>
    </rPh>
    <rPh sb="5" eb="7">
      <t>サイダイ</t>
    </rPh>
    <phoneticPr fontId="3"/>
  </si>
  <si>
    <t>空函コード</t>
    <rPh sb="0" eb="1">
      <t>クウ</t>
    </rPh>
    <rPh sb="1" eb="2">
      <t>ハコ</t>
    </rPh>
    <phoneticPr fontId="3"/>
  </si>
  <si>
    <t>容器区分</t>
    <rPh sb="0" eb="2">
      <t>ヨウキ</t>
    </rPh>
    <rPh sb="2" eb="4">
      <t>クブン</t>
    </rPh>
    <phoneticPr fontId="3"/>
  </si>
  <si>
    <t>HT容器回収</t>
    <rPh sb="2" eb="4">
      <t>ヨウキ</t>
    </rPh>
    <rPh sb="4" eb="6">
      <t>カイシュウ</t>
    </rPh>
    <phoneticPr fontId="3"/>
  </si>
  <si>
    <t>作成時メモ</t>
    <rPh sb="0" eb="2">
      <t>サクセイ</t>
    </rPh>
    <rPh sb="2" eb="3">
      <t>ジ</t>
    </rPh>
    <phoneticPr fontId="3"/>
  </si>
  <si>
    <t>10001日本</t>
    <phoneticPr fontId="9"/>
  </si>
  <si>
    <t>02C/S</t>
    <phoneticPr fontId="9"/>
  </si>
  <si>
    <t>1中口</t>
    <phoneticPr fontId="9"/>
  </si>
  <si>
    <t>10002中国</t>
    <phoneticPr fontId="9"/>
  </si>
  <si>
    <t>1春季限定</t>
    <phoneticPr fontId="9"/>
  </si>
  <si>
    <t>0しない</t>
    <phoneticPr fontId="9"/>
  </si>
  <si>
    <t>03ﾎﾞｰﾙ</t>
    <phoneticPr fontId="9"/>
  </si>
  <si>
    <t>2やや重口</t>
    <phoneticPr fontId="9"/>
  </si>
  <si>
    <t/>
  </si>
  <si>
    <t>0外税</t>
  </si>
  <si>
    <t>消費税率</t>
    <rPh sb="0" eb="3">
      <t>ショウヒゼイ</t>
    </rPh>
    <rPh sb="3" eb="4">
      <t>リツ</t>
    </rPh>
    <phoneticPr fontId="3"/>
  </si>
  <si>
    <t>ITFコード</t>
    <phoneticPr fontId="3"/>
  </si>
  <si>
    <t>10003韓国</t>
    <phoneticPr fontId="9"/>
  </si>
  <si>
    <t>1する</t>
    <phoneticPr fontId="9"/>
  </si>
  <si>
    <t>04箱</t>
    <phoneticPr fontId="9"/>
  </si>
  <si>
    <t>4ワイン類</t>
    <phoneticPr fontId="9"/>
  </si>
  <si>
    <t>3重口</t>
    <phoneticPr fontId="9"/>
  </si>
  <si>
    <t>10004台湾</t>
    <phoneticPr fontId="9"/>
  </si>
  <si>
    <t>10005インド</t>
    <phoneticPr fontId="9"/>
  </si>
  <si>
    <t>121</t>
    <phoneticPr fontId="9"/>
  </si>
  <si>
    <t>06ﾀﾞｰｽ</t>
    <phoneticPr fontId="9"/>
  </si>
  <si>
    <t>6ブランデー類</t>
    <phoneticPr fontId="9"/>
  </si>
  <si>
    <t>5軽口</t>
    <phoneticPr fontId="9"/>
  </si>
  <si>
    <t>10006インドネシア</t>
    <phoneticPr fontId="9"/>
  </si>
  <si>
    <t>193</t>
    <phoneticPr fontId="9"/>
  </si>
  <si>
    <t>08枚</t>
    <phoneticPr fontId="9"/>
  </si>
  <si>
    <t>6やや辛口</t>
    <phoneticPr fontId="9"/>
  </si>
  <si>
    <t>10007タイ</t>
    <phoneticPr fontId="9"/>
  </si>
  <si>
    <t>10121</t>
    <phoneticPr fontId="9"/>
  </si>
  <si>
    <t>09缶</t>
    <phoneticPr fontId="9"/>
  </si>
  <si>
    <t>7辛口</t>
    <phoneticPr fontId="9"/>
  </si>
  <si>
    <t>10008ベトナム</t>
    <phoneticPr fontId="9"/>
  </si>
  <si>
    <t>07半ﾀﾞｰｽ</t>
    <phoneticPr fontId="9"/>
  </si>
  <si>
    <t>8超辛口</t>
    <phoneticPr fontId="9"/>
  </si>
  <si>
    <t>10009フィリピン</t>
    <phoneticPr fontId="9"/>
  </si>
  <si>
    <t>400</t>
    <phoneticPr fontId="9"/>
  </si>
  <si>
    <t>10袋</t>
    <phoneticPr fontId="9"/>
  </si>
  <si>
    <t>9やや甘口</t>
    <phoneticPr fontId="9"/>
  </si>
  <si>
    <t>10010シンガポール</t>
    <phoneticPr fontId="9"/>
  </si>
  <si>
    <t>600</t>
    <phoneticPr fontId="9"/>
  </si>
  <si>
    <t>10甘口</t>
    <phoneticPr fontId="9"/>
  </si>
  <si>
    <t>10011オーストラリア</t>
    <phoneticPr fontId="9"/>
  </si>
  <si>
    <t>11超甘口</t>
    <phoneticPr fontId="9"/>
  </si>
  <si>
    <t>10012ニュージーランド</t>
    <phoneticPr fontId="9"/>
  </si>
  <si>
    <t>860</t>
    <phoneticPr fontId="9"/>
  </si>
  <si>
    <t>00設定なし</t>
    <phoneticPr fontId="9"/>
  </si>
  <si>
    <t>12極甘口</t>
    <phoneticPr fontId="9"/>
  </si>
  <si>
    <t>13ウイスキー　１級　　</t>
    <phoneticPr fontId="3"/>
  </si>
  <si>
    <t>10101アメリカ</t>
    <phoneticPr fontId="9"/>
  </si>
  <si>
    <t>10000023ｱｻﾋ空樽30L</t>
    <phoneticPr fontId="9"/>
  </si>
  <si>
    <t>10102カナダ</t>
    <phoneticPr fontId="9"/>
  </si>
  <si>
    <t>16ブランデー　１級　　</t>
    <phoneticPr fontId="3"/>
  </si>
  <si>
    <t>10103キューバ</t>
    <phoneticPr fontId="9"/>
  </si>
  <si>
    <t>17ブランデー　２級　　</t>
    <phoneticPr fontId="3"/>
  </si>
  <si>
    <t>10104メキシコ</t>
    <phoneticPr fontId="9"/>
  </si>
  <si>
    <t>300</t>
    <phoneticPr fontId="9"/>
  </si>
  <si>
    <t>10105ブラジル</t>
    <phoneticPr fontId="9"/>
  </si>
  <si>
    <t>500</t>
    <phoneticPr fontId="9"/>
  </si>
  <si>
    <t>10106ペルー</t>
    <phoneticPr fontId="9"/>
  </si>
  <si>
    <t>153</t>
    <phoneticPr fontId="9"/>
  </si>
  <si>
    <t>10108アルゼンチン</t>
    <phoneticPr fontId="9"/>
  </si>
  <si>
    <t>99998</t>
    <phoneticPr fontId="9"/>
  </si>
  <si>
    <t>10109チリ</t>
    <phoneticPr fontId="9"/>
  </si>
  <si>
    <t>10199北中南米</t>
    <phoneticPr fontId="9"/>
  </si>
  <si>
    <t>10201ドイツ</t>
    <phoneticPr fontId="9"/>
  </si>
  <si>
    <t>10202オーストリア</t>
    <phoneticPr fontId="9"/>
  </si>
  <si>
    <t>10203チェコ</t>
    <phoneticPr fontId="9"/>
  </si>
  <si>
    <t>10204ベルギー</t>
    <phoneticPr fontId="9"/>
  </si>
  <si>
    <t>10205オランダ</t>
    <phoneticPr fontId="9"/>
  </si>
  <si>
    <t>10206スイス</t>
    <phoneticPr fontId="9"/>
  </si>
  <si>
    <t>10212ポルトガル</t>
    <phoneticPr fontId="9"/>
  </si>
  <si>
    <t>10213ギリシャ</t>
    <phoneticPr fontId="9"/>
  </si>
  <si>
    <t>10214トルコ</t>
    <phoneticPr fontId="9"/>
  </si>
  <si>
    <t>10215ロシア</t>
    <phoneticPr fontId="9"/>
  </si>
  <si>
    <t>10216モルドヴァ</t>
    <phoneticPr fontId="9"/>
  </si>
  <si>
    <t>10221ブルガリア</t>
    <phoneticPr fontId="9"/>
  </si>
  <si>
    <t>10299ヨーロッパ</t>
    <phoneticPr fontId="9"/>
  </si>
  <si>
    <t>10301南アフリカ</t>
    <phoneticPr fontId="9"/>
  </si>
  <si>
    <t>10302エジプト</t>
    <phoneticPr fontId="9"/>
  </si>
  <si>
    <t>10399アフリカ</t>
    <phoneticPr fontId="9"/>
  </si>
  <si>
    <t>10499中近東</t>
    <phoneticPr fontId="9"/>
  </si>
  <si>
    <t>10000357大榮空樽</t>
    <phoneticPr fontId="9"/>
  </si>
  <si>
    <t>10000358石川酒造空樽10L</t>
    <phoneticPr fontId="9"/>
  </si>
  <si>
    <t>10000360ｱｻﾋ輸入空樽</t>
    <phoneticPr fontId="9"/>
  </si>
  <si>
    <t>賞味期限日数(5桁)</t>
    <rPh sb="2" eb="4">
      <t>キゲン</t>
    </rPh>
    <rPh sb="4" eb="6">
      <t>ニッスウ</t>
    </rPh>
    <rPh sb="8" eb="9">
      <t>ケタ</t>
    </rPh>
    <phoneticPr fontId="3"/>
  </si>
  <si>
    <t>00365</t>
    <phoneticPr fontId="3"/>
  </si>
  <si>
    <t>0する</t>
  </si>
  <si>
    <t>【商品仕入部「目検」による確認】</t>
    <rPh sb="1" eb="3">
      <t>ショウヒン</t>
    </rPh>
    <rPh sb="3" eb="5">
      <t>シイレ</t>
    </rPh>
    <rPh sb="5" eb="6">
      <t>ブ</t>
    </rPh>
    <rPh sb="7" eb="9">
      <t>メケン</t>
    </rPh>
    <rPh sb="13" eb="15">
      <t>カクニン</t>
    </rPh>
    <phoneticPr fontId="3"/>
  </si>
  <si>
    <t>Ｒ登録者</t>
    <phoneticPr fontId="3"/>
  </si>
  <si>
    <t>Ｒ確認者</t>
    <phoneticPr fontId="3"/>
  </si>
  <si>
    <t>10000001ﾋﾞｰﾙ空容器大/20</t>
  </si>
  <si>
    <t>0通年</t>
  </si>
  <si>
    <t>0在庫品</t>
    <rPh sb="1" eb="4">
      <t>ザイコヒン</t>
    </rPh>
    <phoneticPr fontId="9"/>
  </si>
  <si>
    <t>10000002ﾋﾞｰﾙ空容器中/20</t>
  </si>
  <si>
    <t>2常温</t>
    <rPh sb="1" eb="3">
      <t>ジョウオン</t>
    </rPh>
    <phoneticPr fontId="9"/>
  </si>
  <si>
    <t>10000003ﾋﾞｰﾙ空容器小/30</t>
  </si>
  <si>
    <t>2夏季限定</t>
  </si>
  <si>
    <t>10000005△関西ｺｰﾗ/24空容器</t>
  </si>
  <si>
    <t>4宮城県</t>
  </si>
  <si>
    <t>3秋季限定</t>
  </si>
  <si>
    <t>8業務不可</t>
  </si>
  <si>
    <t>10000010ｱｻﾋ空樽20L</t>
  </si>
  <si>
    <t>5秋田県</t>
  </si>
  <si>
    <t>4冬季限定</t>
  </si>
  <si>
    <t>9店頭不可</t>
  </si>
  <si>
    <t>10000011ｻｯﾎﾟﾛ空樽20L</t>
  </si>
  <si>
    <t>6山形県</t>
  </si>
  <si>
    <t>5期間限定</t>
  </si>
  <si>
    <t>10000012ｻｯﾎﾟﾛ空樽10L</t>
  </si>
  <si>
    <t>7福島県</t>
  </si>
  <si>
    <t>10000014ｷﾘﾝ空樽15L</t>
  </si>
  <si>
    <t>8茨城県</t>
  </si>
  <si>
    <t>10000016ｻﾝﾄﾘｰ空樽15L</t>
  </si>
  <si>
    <t>9栃木県</t>
  </si>
  <si>
    <t>10000017ｻﾝﾄﾘｰ空樽9L･10L</t>
  </si>
  <si>
    <t>10群馬県</t>
  </si>
  <si>
    <t>12kｇ</t>
  </si>
  <si>
    <t>10000018ｱｻﾋ空樽19L</t>
  </si>
  <si>
    <t>11埼玉県</t>
  </si>
  <si>
    <t>11－</t>
  </si>
  <si>
    <t>10000019ｱｻﾋ空樽10L</t>
  </si>
  <si>
    <t>12千葉県</t>
  </si>
  <si>
    <t>10000021角ﾊｲ･ｽﾊﾟ空樽10L</t>
  </si>
  <si>
    <t>13東京都</t>
  </si>
  <si>
    <t>10000022ｷﾘﾝ空樽7L</t>
  </si>
  <si>
    <t>14神奈川県</t>
  </si>
  <si>
    <t>15山梨県</t>
  </si>
  <si>
    <t>10000025ｷﾘﾝ空樽20L</t>
  </si>
  <si>
    <t>16新潟県</t>
  </si>
  <si>
    <t>10000026ｻﾝﾄﾘｰ空樽20L</t>
  </si>
  <si>
    <t>17長野県</t>
  </si>
  <si>
    <t>10000027ｻﾝﾄﾘｰ3ｶﾞﾛﾝ空樽</t>
  </si>
  <si>
    <t>18富山県</t>
  </si>
  <si>
    <t>10000071ｷﾘﾝﾚﾓﾝ/30大空容器</t>
  </si>
  <si>
    <t>19石川県</t>
  </si>
  <si>
    <t>10000074ｷﾘﾝﾐﾈﾗﾙ/30</t>
  </si>
  <si>
    <t>20福井県</t>
  </si>
  <si>
    <t>10000078ｻﾝﾄﾘｰﾐﾈﾗﾙ/30日本の天然水</t>
  </si>
  <si>
    <t>21岐阜県</t>
  </si>
  <si>
    <t>10000082ｳｨﾙｷﾝｿﾝ/24</t>
  </si>
  <si>
    <t>22静岡県</t>
  </si>
  <si>
    <t>10000083ﾆｯｶﾐﾈﾗﾙ/30</t>
  </si>
  <si>
    <t>23愛知県</t>
  </si>
  <si>
    <t>10000084ｺｰﾗ製品空容器/24</t>
  </si>
  <si>
    <t>24三重県</t>
  </si>
  <si>
    <t>10000085富士ﾐﾈﾗﾙ/20大空容器</t>
  </si>
  <si>
    <t>25滋賀県</t>
  </si>
  <si>
    <t>10000086富士ﾐﾈﾗﾙ/30空容器</t>
  </si>
  <si>
    <t>26京都府</t>
  </si>
  <si>
    <t>10000087ﾎｯﾋﾟｰ空容器/30</t>
  </si>
  <si>
    <t>27大阪府</t>
  </si>
  <si>
    <t>10000091ｻﾜｰ空容器/24</t>
  </si>
  <si>
    <t>28兵庫県</t>
  </si>
  <si>
    <t>10000097炭酸ｶﾞｽﾎﾞﾝﾍﾞ空容器</t>
  </si>
  <si>
    <t>29奈良県</t>
  </si>
  <si>
    <t>10000139軽井沢ﾋﾞｰﾙ空樽</t>
  </si>
  <si>
    <t>30和歌山県</t>
  </si>
  <si>
    <t>10000157ｽﾀｲﾆｰ空容器/20</t>
  </si>
  <si>
    <t>31鳥取県</t>
  </si>
  <si>
    <t>10000158△ｶﾅﾀﾞﾄﾞﾗｲ（浅箱入り）/24空容器(関西)</t>
  </si>
  <si>
    <t>32島根県</t>
  </si>
  <si>
    <t>10000164ｱｻﾋ空樽5L</t>
  </si>
  <si>
    <t>33岡山県</t>
  </si>
  <si>
    <t>10000165△布引ﾐﾈﾗﾙ360/30</t>
  </si>
  <si>
    <t>34広島県</t>
  </si>
  <si>
    <t>10000173ｷﾞﾈｽ/ｷﾙｹﾆｰ空樽30L</t>
  </si>
  <si>
    <t>35山口県</t>
  </si>
  <si>
    <t>10000197△能勢ﾅﾁｭ360/30</t>
  </si>
  <si>
    <t>36高知県</t>
  </si>
  <si>
    <t>10000202△能勢ｿｰﾀﾞ200/24</t>
  </si>
  <si>
    <t>37徳島県</t>
  </si>
  <si>
    <t>38愛媛県</t>
  </si>
  <si>
    <t>10000206ﾎｯﾋﾟｰ空樽19L</t>
  </si>
  <si>
    <t>39香川県</t>
  </si>
  <si>
    <t>10000210ｻｯﾎﾟﾛ氷彩･樽詰ﾜｲﾝ空樽10L</t>
  </si>
  <si>
    <t>40福岡県</t>
  </si>
  <si>
    <t>10000212ﾄｷﾜﾋﾟｰｺｯｸｳｽﾀｰｿｰｽ</t>
  </si>
  <si>
    <t>41佐賀県</t>
  </si>
  <si>
    <t>10000224大和葡萄空樽</t>
  </si>
  <si>
    <t>42長崎県</t>
  </si>
  <si>
    <t>10000243ｱｰﾃﾞﾝﾄｻﾜｰ/30</t>
  </si>
  <si>
    <t>43熊本県</t>
  </si>
  <si>
    <t>10000248銀河高原ﾋﾞｰﾙ空樽</t>
  </si>
  <si>
    <t>44大分県</t>
  </si>
  <si>
    <t>45宮崎県</t>
  </si>
  <si>
    <t>10000289△布引ｶﾞﾗﾅ340/30</t>
  </si>
  <si>
    <t>10000292△布引ｿｰﾀﾞ200/24</t>
  </si>
  <si>
    <t>47沖縄県</t>
  </si>
  <si>
    <t>10000304ｵﾘｵﾝ･ｷﾝｼｬﾁ空樽</t>
  </si>
  <si>
    <t>20101ボルドー地方</t>
  </si>
  <si>
    <t>10000307川崎飲料/24空容器</t>
  </si>
  <si>
    <t>20102ブルゴーニュ地方</t>
  </si>
  <si>
    <t>10000308△布引900/12</t>
  </si>
  <si>
    <t>10000309ｼﾒｲﾎﾜｲﾄ空樽20L</t>
  </si>
  <si>
    <t>20104ｺｰﾄ ﾃﾞｭ ﾛｰﾇ地方</t>
  </si>
  <si>
    <t>10000313ﾌﾞﾗｯｾﾙｽﾞ空樽</t>
  </si>
  <si>
    <t>20105アルザス地方</t>
  </si>
  <si>
    <t>10000316廣島空樽</t>
  </si>
  <si>
    <t>20106ジュラ地方</t>
  </si>
  <si>
    <t>10000317日本ﾋﾞｰﾙ空樽</t>
  </si>
  <si>
    <t>20107サヴォワ地方</t>
  </si>
  <si>
    <t>10000329花月ﾗﾑﾈ空容器/24</t>
  </si>
  <si>
    <t>20108コルス</t>
  </si>
  <si>
    <t>10000330ｺｴﾄﾞ空樽</t>
  </si>
  <si>
    <t>20109南西地方</t>
  </si>
  <si>
    <t>10000331ｲｴﾅ(Jena)空樽</t>
  </si>
  <si>
    <t>20110ロワール地方</t>
  </si>
  <si>
    <t>10000332NPﾀﾝｻﾝ･ﾚﾓﾝ/30</t>
  </si>
  <si>
    <t>20111ﾗﾝｸﾞﾄﾞｯｸ ﾙｰｼｮﾝ地方</t>
  </si>
  <si>
    <t>10000339ｱｲｺﾝﾕｰﾛ空樽</t>
  </si>
  <si>
    <t>20112プロヴァンス地方</t>
  </si>
  <si>
    <t>10000340小西･ｷﾝｷ空樽</t>
  </si>
  <si>
    <t>20113フランス その他</t>
  </si>
  <si>
    <t>10000344花月炭酸ｻﾜｰ/24空容器</t>
  </si>
  <si>
    <t>20201ｳﾞｧｯﾚ ﾀﾞｵｽﾀ州</t>
  </si>
  <si>
    <t>10000345ｱﾛﾏﾃｨｯｸｴｰﾙ空樽</t>
  </si>
  <si>
    <t>20202ピエモンテ州</t>
  </si>
  <si>
    <t>10000346ﾎｯﾋﾟｰ空樽10L</t>
  </si>
  <si>
    <t>20203リグーリア州</t>
  </si>
  <si>
    <t>10000349ﾌﾞﾙｰﾑｰﾝ空樽15L</t>
  </si>
  <si>
    <t>20204ロンバルディーア州</t>
  </si>
  <si>
    <t>10000350ﾏｵｳ空樽20L</t>
  </si>
  <si>
    <t>20205ﾄﾚﾝﾃｨｰﾉｱﾙﾄｱﾃﾞｨｼﾞｪ州</t>
  </si>
  <si>
    <t>10000351ｸﾛｰﾈﾝﾌﾞﾙｸﾞ空樽</t>
  </si>
  <si>
    <t>20206ヴェネト州</t>
  </si>
  <si>
    <t>20207ﾌﾘｳﾘｳﾞｪﾈﾂｨｱｼﾞｭｰﾘｱ州</t>
  </si>
  <si>
    <t>20208ｴﾐﾘｱ ﾛﾏｰﾆｬ州</t>
  </si>
  <si>
    <t>10000356【20入】ﾎｯﾋﾟｰ空容器</t>
  </si>
  <si>
    <t>20209トスカーナ州</t>
  </si>
  <si>
    <t>10000401ｻｯﾎﾟﾛ飲料/24空容器</t>
  </si>
  <si>
    <t>20210ウンブリア州</t>
  </si>
  <si>
    <t>10000402ｷﾘﾝﾋﾞﾊﾞ/24空容器</t>
  </si>
  <si>
    <t>20211マルケ州</t>
  </si>
  <si>
    <t>10000403ｱｻﾋ飲料/24空容器</t>
  </si>
  <si>
    <t>20212ラツィオ州</t>
  </si>
  <si>
    <t>10000404ｻﾝﾄﾘｰﾌｰｽﾞ/24空容器</t>
  </si>
  <si>
    <t>20213アブルッツオ州</t>
  </si>
  <si>
    <t>10000406△能勢ｳｰﾛﾝ1L/12</t>
  </si>
  <si>
    <t>20214モリーゼ州</t>
  </si>
  <si>
    <t>10000407ｻﾝｸﾄｶﾞｰﾚﾝ空樽</t>
  </si>
  <si>
    <t>20215カンパーニャ州</t>
  </si>
  <si>
    <t>不可</t>
    <rPh sb="0" eb="2">
      <t>フカ</t>
    </rPh>
    <phoneticPr fontId="9"/>
  </si>
  <si>
    <t>10000409エチゴビール空樽</t>
  </si>
  <si>
    <t>20216プーリア州</t>
  </si>
  <si>
    <t>10000410東京飲料/24空容器</t>
  </si>
  <si>
    <t>20217バジリカータ州</t>
  </si>
  <si>
    <t>10000411△辻井鉱泉所ﾗﾑﾈ 150ML/12</t>
  </si>
  <si>
    <t>20218カラーブリア州</t>
  </si>
  <si>
    <t>20219シチーリア州</t>
  </si>
  <si>
    <t>20220サルディーニャ州</t>
  </si>
  <si>
    <t>20221イタリア その他</t>
  </si>
  <si>
    <t>予備区分3
（PB）</t>
    <rPh sb="0" eb="2">
      <t>ヨビ</t>
    </rPh>
    <rPh sb="2" eb="4">
      <t>クブン</t>
    </rPh>
    <phoneticPr fontId="3"/>
  </si>
  <si>
    <t>パッケージ構成商品コード(8桁)</t>
    <rPh sb="5" eb="7">
      <t>コウセイ</t>
    </rPh>
    <rPh sb="7" eb="9">
      <t>ショウヒン</t>
    </rPh>
    <rPh sb="14" eb="15">
      <t>ケタ</t>
    </rPh>
    <phoneticPr fontId="3"/>
  </si>
  <si>
    <t>空容器コード(8桁)</t>
    <rPh sb="8" eb="9">
      <t>ケタ</t>
    </rPh>
    <phoneticPr fontId="3"/>
  </si>
  <si>
    <t>空函コード(8桁)</t>
    <rPh sb="0" eb="1">
      <t>クウ</t>
    </rPh>
    <rPh sb="1" eb="2">
      <t>ハコ</t>
    </rPh>
    <rPh sb="7" eb="8">
      <t>ケタ</t>
    </rPh>
    <phoneticPr fontId="3"/>
  </si>
  <si>
    <t>予備区分8
（ｽｸﾘｭｰ）</t>
    <rPh sb="0" eb="2">
      <t>ヨビ</t>
    </rPh>
    <rPh sb="2" eb="4">
      <t>クブン</t>
    </rPh>
    <phoneticPr fontId="3"/>
  </si>
  <si>
    <t>予備区分3
(下限値)</t>
    <phoneticPr fontId="3"/>
  </si>
  <si>
    <t>予備</t>
    <rPh sb="0" eb="2">
      <t>ヨビ</t>
    </rPh>
    <phoneticPr fontId="3"/>
  </si>
  <si>
    <t>備考：</t>
    <rPh sb="0" eb="2">
      <t>ビコウ</t>
    </rPh>
    <phoneticPr fontId="3"/>
  </si>
  <si>
    <t>備考：入力にあたっての留意事項あれば記入してください</t>
    <rPh sb="0" eb="2">
      <t>ビコウ</t>
    </rPh>
    <rPh sb="3" eb="5">
      <t>ニュウリョク</t>
    </rPh>
    <rPh sb="11" eb="13">
      <t>リュウイ</t>
    </rPh>
    <rPh sb="13" eb="15">
      <t>ジコウ</t>
    </rPh>
    <rPh sb="18" eb="20">
      <t>キニュウ</t>
    </rPh>
    <phoneticPr fontId="3"/>
  </si>
  <si>
    <t>備考：入力にあたっての留意事項があれば記入してください</t>
    <rPh sb="0" eb="2">
      <t>ビコウ</t>
    </rPh>
    <rPh sb="3" eb="5">
      <t>ニュウリョク</t>
    </rPh>
    <rPh sb="11" eb="13">
      <t>リュウイ</t>
    </rPh>
    <rPh sb="13" eb="15">
      <t>ジコウ</t>
    </rPh>
    <rPh sb="19" eb="21">
      <t>キニュウ</t>
    </rPh>
    <phoneticPr fontId="3"/>
  </si>
  <si>
    <t>14～18桁</t>
    <rPh sb="5" eb="6">
      <t>ケタ</t>
    </rPh>
    <phoneticPr fontId="3"/>
  </si>
  <si>
    <t>8～13桁</t>
    <rPh sb="4" eb="5">
      <t>ケタ</t>
    </rPh>
    <phoneticPr fontId="3"/>
  </si>
  <si>
    <t>バラ単価</t>
    <rPh sb="2" eb="4">
      <t>タンカ</t>
    </rPh>
    <phoneticPr fontId="3"/>
  </si>
  <si>
    <t>ケース単価</t>
    <rPh sb="3" eb="5">
      <t>タンカ</t>
    </rPh>
    <phoneticPr fontId="3"/>
  </si>
  <si>
    <t>発注先</t>
    <rPh sb="0" eb="3">
      <t>ハッチュウサキ</t>
    </rPh>
    <phoneticPr fontId="3"/>
  </si>
  <si>
    <t>6抽選割当</t>
    <rPh sb="1" eb="5">
      <t>チュウセンワリアテ</t>
    </rPh>
    <phoneticPr fontId="9"/>
  </si>
  <si>
    <t>5800微アルコールワインテイスト飲料</t>
  </si>
  <si>
    <t>1908微アルコール清酒テイスト飲料</t>
  </si>
  <si>
    <t>1909清酒テイスト飲料</t>
  </si>
  <si>
    <t>1902発泡清酒</t>
  </si>
  <si>
    <t>1907古酒</t>
  </si>
  <si>
    <t>2979微アルコール焼酎テイスト飲料</t>
  </si>
  <si>
    <t>2980焼酎テイスト飲料</t>
  </si>
  <si>
    <t>3202新ジャンル 樽詰</t>
  </si>
  <si>
    <t>5106インドウイスキー</t>
  </si>
  <si>
    <t>5107台湾ウイスキー</t>
  </si>
  <si>
    <t>5198輸入グレーン</t>
  </si>
  <si>
    <t>5503日本国内製造グレーン</t>
  </si>
  <si>
    <t>5600微アルコールウイスキーテイスト飲料</t>
  </si>
  <si>
    <t>5601ウイスキーテイスト飲料</t>
  </si>
  <si>
    <t>6400微アルコールスピリキテイスト飲料</t>
  </si>
  <si>
    <t>6401スピリキテイスト飲料</t>
  </si>
  <si>
    <t>7700微アルコール中華酒テイスト飲料</t>
  </si>
  <si>
    <t>7701中華酒テイスト飲料</t>
  </si>
  <si>
    <t>7800微アルコール雑酒テイスト飲料</t>
  </si>
  <si>
    <t>7801雑酒テイスト飲料</t>
  </si>
  <si>
    <t>6800微アルコールチューハイテイスト飲料</t>
  </si>
  <si>
    <t>6801チューハイテイスト飲料</t>
  </si>
  <si>
    <t>10226スロヴェニア</t>
    <phoneticPr fontId="9"/>
  </si>
  <si>
    <t>1106ノンアルコール飲料(年齢確認品)</t>
  </si>
  <si>
    <t>8900微アルコールビールテイスト飲料</t>
  </si>
  <si>
    <t>4502輸入ﾌﾚｰﾊﾞｰﾄﾞﾜｲﾝ</t>
  </si>
  <si>
    <t>4503国産ﾌﾚｰﾊﾞｰﾄﾞﾜｲﾝ</t>
  </si>
  <si>
    <t>4504輸入ﾌﾚｰﾊﾞｰﾄﾞｽﾊﾟｰｸﾘﾝｸﾞﾜｲﾝ</t>
  </si>
  <si>
    <t>4505国産ﾌﾚｰﾊﾞｰﾄﾞｽﾊﾟｰｸﾘﾝｸﾞﾜｲﾝ</t>
  </si>
  <si>
    <t>5502日本国内製造シングルモルト</t>
  </si>
  <si>
    <t>1清酒類</t>
    <phoneticPr fontId="9"/>
  </si>
  <si>
    <t>2焼酎類</t>
    <phoneticPr fontId="9"/>
  </si>
  <si>
    <t>8食品</t>
    <rPh sb="1" eb="3">
      <t>ショクヒン</t>
    </rPh>
    <phoneticPr fontId="9"/>
  </si>
  <si>
    <t>3ビール類</t>
    <rPh sb="4" eb="5">
      <t>ルイ</t>
    </rPh>
    <phoneticPr fontId="9"/>
  </si>
  <si>
    <t>1105ビールテイスト飲料(年齢確認品)</t>
  </si>
  <si>
    <t>2301麦</t>
  </si>
  <si>
    <t>2302そば</t>
  </si>
  <si>
    <t>2303米</t>
  </si>
  <si>
    <t>2304芋</t>
  </si>
  <si>
    <t>2305胡麻</t>
  </si>
  <si>
    <t>2306黒糖</t>
  </si>
  <si>
    <t>2307泡盛</t>
  </si>
  <si>
    <t>1103本醸造</t>
  </si>
  <si>
    <t>1901生酒・生貯蔵酒</t>
  </si>
  <si>
    <t>1903にごりおり</t>
  </si>
  <si>
    <t>1904菰かぶり</t>
  </si>
  <si>
    <t>4401シェリー</t>
  </si>
  <si>
    <t>4402ポートワイン</t>
  </si>
  <si>
    <t>4403マデラ</t>
  </si>
  <si>
    <t>4404マルサラ</t>
  </si>
  <si>
    <t>4405VDN・VDL</t>
  </si>
  <si>
    <t>4501ヴェルモット</t>
  </si>
  <si>
    <t>5201国産ブランデー</t>
  </si>
  <si>
    <t>5301コニャックブランデー</t>
  </si>
  <si>
    <t>5302アルマニャックブランデー</t>
  </si>
  <si>
    <t>5303マール・グラッパ</t>
  </si>
  <si>
    <t>5304カルバドス</t>
  </si>
  <si>
    <t>5305フルーツブランデー</t>
  </si>
  <si>
    <t>6001ジン</t>
  </si>
  <si>
    <t>6002ウォッカ</t>
  </si>
  <si>
    <t>6003ラム</t>
  </si>
  <si>
    <t>6004テキーラ</t>
  </si>
  <si>
    <t>6103梅酒</t>
  </si>
  <si>
    <t>7001白酒</t>
  </si>
  <si>
    <t>7002黄酒(紹興酒）</t>
  </si>
  <si>
    <t>7003中華リキュール</t>
  </si>
  <si>
    <t>7901マッコリ</t>
  </si>
  <si>
    <t>9007みりん</t>
  </si>
  <si>
    <t>8901ビールテイスト飲料</t>
  </si>
  <si>
    <t>3201新ジャンル</t>
  </si>
  <si>
    <t>2401甲乙混合 芋</t>
  </si>
  <si>
    <t>2402甲乙混合 麦</t>
  </si>
  <si>
    <t>2499甲乙混合 その他</t>
  </si>
  <si>
    <t>3099ビール その他</t>
  </si>
  <si>
    <t>3199発泡酒 その他</t>
  </si>
  <si>
    <t>3299新ジャンル その他</t>
  </si>
  <si>
    <t>3903ビール ギフト</t>
  </si>
  <si>
    <t>4001指定 赤ワイン</t>
  </si>
  <si>
    <t>4002指定 白ワイン</t>
  </si>
  <si>
    <t>4003指定 ロゼワイン</t>
  </si>
  <si>
    <t>4004指定 スパークリング</t>
  </si>
  <si>
    <t>4005指定 その他</t>
  </si>
  <si>
    <t>4120赤 ブルガリア</t>
  </si>
  <si>
    <t>4121赤 クロアチア</t>
  </si>
  <si>
    <t>4122赤 ジョージア</t>
  </si>
  <si>
    <t>4123赤 ルクセンブルグ</t>
  </si>
  <si>
    <t>4124赤 モルドバ</t>
  </si>
  <si>
    <t>4125赤 ルーマニア</t>
  </si>
  <si>
    <t>4126赤 イギリス</t>
  </si>
  <si>
    <t>4127赤 スロヴェニア</t>
  </si>
  <si>
    <t>4128赤 スイス</t>
  </si>
  <si>
    <t>4129赤 カナダ</t>
  </si>
  <si>
    <t>4130赤 日本ワイン</t>
  </si>
  <si>
    <t>4131赤 日本国内製造ワイン</t>
  </si>
  <si>
    <t>4220白 ブルガリア</t>
  </si>
  <si>
    <t>4221白 クロアチア</t>
  </si>
  <si>
    <t>4222白 ジョージア</t>
  </si>
  <si>
    <t>4223白 ルクセンブルグ</t>
  </si>
  <si>
    <t>4224白 モルドバ</t>
  </si>
  <si>
    <t>4225白 ルーマニア</t>
  </si>
  <si>
    <t>4226白 イギリス</t>
  </si>
  <si>
    <t>4227白 スロヴェニア</t>
  </si>
  <si>
    <t>4228白 スイス</t>
  </si>
  <si>
    <t>4229白 カナダ</t>
  </si>
  <si>
    <t>4230白 日本ワイン</t>
  </si>
  <si>
    <t>4231白 日本国内製造ワイン</t>
  </si>
  <si>
    <t>4320ﾛｾﾞ ブルガリア</t>
  </si>
  <si>
    <t>4321ﾛｾﾞ クロアチア</t>
  </si>
  <si>
    <t>4322ﾛｾﾞ ジョージア</t>
  </si>
  <si>
    <t>4323ﾛｾﾞ ルクセンブルグ</t>
  </si>
  <si>
    <t>4324ﾛｾﾞ モルドバ</t>
  </si>
  <si>
    <t>4325ﾛｾﾞ ルーマニア</t>
  </si>
  <si>
    <t>4326ﾛｾﾞ イギリス</t>
  </si>
  <si>
    <t>4327ﾛｾﾞ スロヴェニア</t>
  </si>
  <si>
    <t>4328ﾛｾﾞ スイス</t>
  </si>
  <si>
    <t>4329ﾛｾﾞ カナダ</t>
  </si>
  <si>
    <t>4330ﾛｾﾞ 日本ワイン</t>
  </si>
  <si>
    <t>4331ﾛｾﾞ 日本国内製造ワイン</t>
  </si>
  <si>
    <t>4608SP フランス シャンパン</t>
  </si>
  <si>
    <t>4609SP フランス クレマン</t>
  </si>
  <si>
    <t>4610SP フランス ヴァンムスー</t>
  </si>
  <si>
    <t>4611SP フランス ペティヤン</t>
  </si>
  <si>
    <t>4612SP フランス その他</t>
  </si>
  <si>
    <t>4613SP イタリア フランチャコルタ</t>
  </si>
  <si>
    <t>4614SP イタリア スプマンテ</t>
  </si>
  <si>
    <t>4615SP イタリア ランブルスコ</t>
  </si>
  <si>
    <t>4616SP イタリア その他</t>
  </si>
  <si>
    <t>4617SP ドイツ</t>
  </si>
  <si>
    <t>4618SP スペイン カヴァ</t>
  </si>
  <si>
    <t>4619SP スペイン その他</t>
  </si>
  <si>
    <t>4620SP アメリカ</t>
  </si>
  <si>
    <t>4621SP チリ</t>
  </si>
  <si>
    <t>4622SP アルゼンチン</t>
  </si>
  <si>
    <t>4623SP ニュージーランド</t>
  </si>
  <si>
    <t>4624SP オーストラリア</t>
  </si>
  <si>
    <t>4625SP 日本ワイン</t>
  </si>
  <si>
    <t>4626SP 日本国内製造ワイン</t>
  </si>
  <si>
    <t>4627SP その他</t>
  </si>
  <si>
    <t>4701ワイン ギフト･セット 赤</t>
  </si>
  <si>
    <t>4702ワイン ギフト･セット 白</t>
  </si>
  <si>
    <t>4703ワイン ギフト･セット スパークリング</t>
  </si>
  <si>
    <t>4704ワイン ギフト･セット その他</t>
  </si>
  <si>
    <t>4899甘味果実酒 その他</t>
  </si>
  <si>
    <t>4902ワイン その他</t>
  </si>
  <si>
    <t>5701シードル フランス</t>
  </si>
  <si>
    <t>5702シードル 国産</t>
  </si>
  <si>
    <t>5703シードル その他</t>
  </si>
  <si>
    <t>5003日本 グレーン</t>
  </si>
  <si>
    <t>6105輸入 果実系リキュール</t>
  </si>
  <si>
    <t>6107輸入 その他リキュール</t>
  </si>
  <si>
    <t>6109国産 果実系リキュール</t>
  </si>
  <si>
    <t>6111国産 その他リキュール</t>
  </si>
  <si>
    <t>5801ワインテイスト飲料 赤</t>
  </si>
  <si>
    <t>5802ワインテイスト飲料 白</t>
  </si>
  <si>
    <t>5803ワインテイスト飲料 ロゼ</t>
  </si>
  <si>
    <t>5804ワインテイスト飲料 スパークリング</t>
  </si>
  <si>
    <t>5805ワインテイスト飲料 その他</t>
  </si>
  <si>
    <t>4101赤 フランス</t>
  </si>
  <si>
    <t>4102赤 ドイツ</t>
  </si>
  <si>
    <t>4103赤 イタリア</t>
  </si>
  <si>
    <t>4104赤 スペイン</t>
  </si>
  <si>
    <t>4105赤 ポルトガル</t>
  </si>
  <si>
    <t>4106赤 ギリシャ</t>
  </si>
  <si>
    <t>4107赤 ハンガリー</t>
  </si>
  <si>
    <t>4108赤 オーストリア</t>
  </si>
  <si>
    <t>4110赤 アメリカ</t>
  </si>
  <si>
    <t>4111赤 チリ</t>
  </si>
  <si>
    <t>4112赤 アルゼンチン</t>
  </si>
  <si>
    <t>4114赤 南アフリカ</t>
  </si>
  <si>
    <t>4116赤 オーストラリア</t>
  </si>
  <si>
    <t>4117赤 ニュージーランド</t>
  </si>
  <si>
    <t>4199赤 その他</t>
  </si>
  <si>
    <t>4201白 フランス</t>
  </si>
  <si>
    <t>4202白 ドイツ</t>
  </si>
  <si>
    <t>4203白 イタリア</t>
  </si>
  <si>
    <t>4204白 スペイン</t>
  </si>
  <si>
    <t>4205白 ポルトガル</t>
  </si>
  <si>
    <t>4206白 ギリシャ</t>
  </si>
  <si>
    <t>4207白 ハンガリー</t>
  </si>
  <si>
    <t>4208白 オーストリア</t>
  </si>
  <si>
    <t>4210白 アメリカ</t>
  </si>
  <si>
    <t>4211白 チリ</t>
  </si>
  <si>
    <t>4212白 アルゼンチン</t>
  </si>
  <si>
    <t>4214白 南アフリカ</t>
  </si>
  <si>
    <t>4216白 オーストラリア</t>
  </si>
  <si>
    <t>4217白 ニュージーランド</t>
  </si>
  <si>
    <t>4299白 その他</t>
  </si>
  <si>
    <t>4301ﾛｾﾞ フランス</t>
  </si>
  <si>
    <t>4302ﾛｾﾞ ドイツ</t>
  </si>
  <si>
    <t>4303ﾛｾﾞ イタリア</t>
  </si>
  <si>
    <t>4304ﾛｾﾞ スペイン</t>
  </si>
  <si>
    <t>4305ﾛｾﾞ ポルトガル</t>
  </si>
  <si>
    <t>4306ﾛｾﾞ ギリシャ</t>
  </si>
  <si>
    <t>4307ﾛｾﾞ ハンガリー</t>
  </si>
  <si>
    <t>4308ﾛｾﾞ オーストリア</t>
  </si>
  <si>
    <t>4310ﾛｾﾞ アメリカ</t>
  </si>
  <si>
    <t>4311ﾛｾﾞ チリ</t>
  </si>
  <si>
    <t>4312ﾛｾﾞ アルゼンチン</t>
  </si>
  <si>
    <t>4314ﾛｾﾞ 南アフリカ</t>
  </si>
  <si>
    <t>4316ﾛｾﾞ オーストラリア</t>
  </si>
  <si>
    <t>4317ﾛｾﾞ ニュージーランド</t>
  </si>
  <si>
    <t>4399ﾛｾﾞ その他</t>
  </si>
  <si>
    <t>4499酒精強化ﾜｲﾝ その他</t>
  </si>
  <si>
    <t>4599ﾌﾚｰﾊﾞｰﾄﾞﾜｲﾝ その他</t>
  </si>
  <si>
    <t>7清酒 生酒 生貯蔵酒</t>
  </si>
  <si>
    <t>104焼酎 甲類 その他</t>
  </si>
  <si>
    <t>404輸入ﾋﾞｰﾙ・海外ﾌﾞﾗﾝﾄﾞ ﾋﾞｰﾙ</t>
  </si>
  <si>
    <t>522ｱﾙｾﾞﾝﾁﾝﾜｲﾝ 赤</t>
  </si>
  <si>
    <t>524ｱﾙｾﾞﾝﾁﾝﾜｲﾝ ロゼ</t>
  </si>
  <si>
    <t>527ｵｰｽﾄﾗﾘｱﾜｲﾝ ロゼ</t>
  </si>
  <si>
    <t>502国産ワイン 白</t>
  </si>
  <si>
    <t>503国産ワイン ロゼ</t>
  </si>
  <si>
    <t>504フランスワイン 赤</t>
  </si>
  <si>
    <t>506フランスワイン ロゼ</t>
  </si>
  <si>
    <t>507ドイツワイン 赤</t>
  </si>
  <si>
    <t>508ドイツワイン 白</t>
  </si>
  <si>
    <t>509ドイツワイン ロゼ</t>
  </si>
  <si>
    <t>510イタリアワイン 赤</t>
  </si>
  <si>
    <t>511イタリアワイン 白</t>
  </si>
  <si>
    <t>513スペインワイン 赤</t>
  </si>
  <si>
    <t>514スペインワイン 白</t>
  </si>
  <si>
    <t>515スペインワイン ロゼ</t>
  </si>
  <si>
    <t>516アメリカワイン 赤</t>
  </si>
  <si>
    <t>517アメリカワイン 白</t>
  </si>
  <si>
    <t>518アメリカワイン ロゼ</t>
  </si>
  <si>
    <t>519チリワイン 赤</t>
  </si>
  <si>
    <t>520チリワイン 白</t>
  </si>
  <si>
    <t>521チリワイン ロゼ</t>
  </si>
  <si>
    <t>523ｱﾙｾﾞﾝﾁﾝﾜｲﾝ 白</t>
  </si>
  <si>
    <t>525ｵｰｽﾄﾗﾘｱﾜｲﾝ 赤</t>
  </si>
  <si>
    <t>526ｵｰｽﾄﾗﾘｱﾜｲﾝ 白</t>
  </si>
  <si>
    <t>528南アフリカワイン 赤</t>
  </si>
  <si>
    <t>529南アフリカワイン 白</t>
  </si>
  <si>
    <t>530南アフリカワイン ロゼ</t>
  </si>
  <si>
    <t>531その他ワイン 赤</t>
  </si>
  <si>
    <t>532その他ワイン 白</t>
  </si>
  <si>
    <t>533その他ワイン ロゼ</t>
  </si>
  <si>
    <t>534その他ワイン</t>
  </si>
  <si>
    <t>601国産スパークリング</t>
  </si>
  <si>
    <t>602国産甘味果実酒</t>
  </si>
  <si>
    <t>603シャンパン</t>
  </si>
  <si>
    <t>604ヴァンムスー</t>
  </si>
  <si>
    <t>605ベルモット</t>
  </si>
  <si>
    <t>606カヴァ</t>
  </si>
  <si>
    <t>607スプマンテ</t>
  </si>
  <si>
    <t>608輸入スパークリング</t>
  </si>
  <si>
    <t>609シェリー酒</t>
  </si>
  <si>
    <t>610ポートワイン</t>
  </si>
  <si>
    <t>611マデラ酒</t>
  </si>
  <si>
    <t>612その他甘味果実酒</t>
  </si>
  <si>
    <t>701国産ウィスキー</t>
  </si>
  <si>
    <t>703モルトスコッチ</t>
  </si>
  <si>
    <t>704アイリッシュウィスキー</t>
  </si>
  <si>
    <t>705バーボンウィスキー</t>
  </si>
  <si>
    <t>706カナディアンウィスキー</t>
  </si>
  <si>
    <t>707その他輸入ウィスキー</t>
  </si>
  <si>
    <t>801国産ブランデー</t>
  </si>
  <si>
    <t>802コニャックブランデー</t>
  </si>
  <si>
    <t>803アルマニャックブランデー</t>
  </si>
  <si>
    <t>804マール グラッパ</t>
  </si>
  <si>
    <t>805カルヴァドス</t>
  </si>
  <si>
    <t>806その他輸入ブランデー</t>
  </si>
  <si>
    <t>901ニュースピリッツ</t>
  </si>
  <si>
    <t>902ジン</t>
  </si>
  <si>
    <t>903ウオツカ</t>
  </si>
  <si>
    <t>904ラム</t>
  </si>
  <si>
    <t>905テキーラ</t>
  </si>
  <si>
    <t>906国産スピリッツ</t>
  </si>
  <si>
    <t>907輸入スピリッツ</t>
  </si>
  <si>
    <t>1001国産リキュール</t>
  </si>
  <si>
    <t>1002発泡性リキュール</t>
  </si>
  <si>
    <t>1003梅酒</t>
  </si>
  <si>
    <t>1004輸入リキュール</t>
  </si>
  <si>
    <t>1005中華酒</t>
  </si>
  <si>
    <t>1006チューハイ・RTD</t>
  </si>
  <si>
    <t>1101発泡酒</t>
  </si>
  <si>
    <t>1102その他雑酒</t>
  </si>
  <si>
    <t>1103新ジャンル（第三ビール）</t>
  </si>
  <si>
    <t>1104新ジャンル（第三ビール）樽詰</t>
  </si>
  <si>
    <t>1清酒 大吟醸 純米大吟醸</t>
  </si>
  <si>
    <t>2清酒 吟醸 純米吟醸</t>
  </si>
  <si>
    <t>3清酒 純米</t>
  </si>
  <si>
    <t>4清酒 本醸造</t>
  </si>
  <si>
    <t>5清酒 普通</t>
  </si>
  <si>
    <t>6清酒 経済酒</t>
  </si>
  <si>
    <t>8にごりおり</t>
  </si>
  <si>
    <t>9清酒 菰かぶり</t>
  </si>
  <si>
    <t>10清酒 ギフト</t>
  </si>
  <si>
    <t>11清酒 その他</t>
  </si>
  <si>
    <t>12合成酒</t>
  </si>
  <si>
    <t>101焼酎 甲類 ２０％</t>
  </si>
  <si>
    <t>102焼酎 甲類 ２５％</t>
  </si>
  <si>
    <t>103焼酎 甲類 ３５％</t>
  </si>
  <si>
    <t>105焼酎 乙類 麦</t>
  </si>
  <si>
    <t>106焼酎 乙類 そば</t>
  </si>
  <si>
    <t>107焼酎 乙類 米</t>
  </si>
  <si>
    <t>108焼酎 乙類 芋</t>
  </si>
  <si>
    <t>109焼酎 乙類 胡麻</t>
  </si>
  <si>
    <t>110焼酎 乙類 泡盛</t>
  </si>
  <si>
    <t>111焼酎 乙類 その他</t>
  </si>
  <si>
    <t>112焼酎 甲乙混合</t>
  </si>
  <si>
    <t>401国産 瓶ビール</t>
  </si>
  <si>
    <t>402国産 缶ビール 小樽</t>
  </si>
  <si>
    <t>403業務用 樽生ビール</t>
  </si>
  <si>
    <t>405ビール ギフト</t>
  </si>
  <si>
    <t>406ビール その他</t>
  </si>
  <si>
    <t>501国産ワイン 赤</t>
  </si>
  <si>
    <t>201味醂</t>
  </si>
  <si>
    <t>301本直し</t>
  </si>
  <si>
    <t>12ウイスキー</t>
  </si>
  <si>
    <t>15ブランデー</t>
  </si>
  <si>
    <t>18スピリッツ</t>
  </si>
  <si>
    <t>19リキュール</t>
  </si>
  <si>
    <t>21その他の雑酒</t>
  </si>
  <si>
    <t>22甲乙混合</t>
  </si>
  <si>
    <t>5焼酎 甲類</t>
  </si>
  <si>
    <t>6焼酎 乙類</t>
  </si>
  <si>
    <t>10果 実 酒</t>
  </si>
  <si>
    <t>1100発泡酒  生樽</t>
  </si>
  <si>
    <t>1001純米大吟醸</t>
  </si>
  <si>
    <t>1002純米吟醸</t>
  </si>
  <si>
    <t>1003純米</t>
  </si>
  <si>
    <t>1101大吟醸</t>
  </si>
  <si>
    <t>1102吟醸</t>
  </si>
  <si>
    <t>1201普通経済酒 瓶</t>
  </si>
  <si>
    <t>1202普通経済酒 パック</t>
  </si>
  <si>
    <t>1203普通経済酒 テナー</t>
  </si>
  <si>
    <t>1905清酒 ギフト・セット</t>
  </si>
  <si>
    <t>1906合成酒</t>
  </si>
  <si>
    <t>1999清酒 その他</t>
  </si>
  <si>
    <t>2001甲類 20％ 瓶</t>
  </si>
  <si>
    <t>2002甲類 20％ ペット</t>
  </si>
  <si>
    <t>2003甲類 20％ パック</t>
  </si>
  <si>
    <t>2004甲類 20％ テナー</t>
  </si>
  <si>
    <t>2101甲類 25％ 瓶</t>
  </si>
  <si>
    <t>2102甲類 25％ ペット</t>
  </si>
  <si>
    <t>2103甲類 25％ パック</t>
  </si>
  <si>
    <t>2104甲類 25％ テナー</t>
  </si>
  <si>
    <t>2201甲類その他 瓶</t>
  </si>
  <si>
    <t>2202甲類その他 ペット</t>
  </si>
  <si>
    <t>2203甲類その他 パック</t>
  </si>
  <si>
    <t>2204甲類その他 テナー</t>
  </si>
  <si>
    <t>2308乙類 その他</t>
  </si>
  <si>
    <t>3001ビール 瓶</t>
  </si>
  <si>
    <t>3002ビール 缶</t>
  </si>
  <si>
    <t>3003ビール 樽</t>
  </si>
  <si>
    <t>3101発泡酒 瓶</t>
  </si>
  <si>
    <t>3102発泡酒 缶</t>
  </si>
  <si>
    <t>3103発泡酒 樽</t>
  </si>
  <si>
    <t>3301海外ﾌﾞﾗﾝﾄﾞﾋﾞｰﾙ 瓶</t>
  </si>
  <si>
    <t>3302海外ﾌﾞﾗﾝﾄﾞﾋﾞｰﾙ 缶</t>
  </si>
  <si>
    <t>3303海外ﾌﾞﾗﾝﾄﾞﾋﾞｰﾙ 樽</t>
  </si>
  <si>
    <t>3901ビール セット</t>
  </si>
  <si>
    <t>3902ビール チルド</t>
  </si>
  <si>
    <t>3999ビール その他</t>
  </si>
  <si>
    <t>5001日本 ブレンデッド</t>
  </si>
  <si>
    <t>5002日本 シングルモルト</t>
  </si>
  <si>
    <t>5102モルトスコッチ</t>
  </si>
  <si>
    <t>5199輸入ウイスキー その他</t>
  </si>
  <si>
    <t>5399輸入ﾌﾞﾗﾝﾃﾞｰ その他</t>
  </si>
  <si>
    <t>6090スピリッツ その他</t>
  </si>
  <si>
    <t>6999スピリキ その他</t>
  </si>
  <si>
    <t>7090中華 その他</t>
  </si>
  <si>
    <t>7999雑酒 その他</t>
  </si>
  <si>
    <t>新単価（バラ）</t>
    <rPh sb="0" eb="3">
      <t>シンタンカ</t>
    </rPh>
    <phoneticPr fontId="3"/>
  </si>
  <si>
    <t>商品コード</t>
    <rPh sb="0" eb="2">
      <t>ショウヒン</t>
    </rPh>
    <phoneticPr fontId="3"/>
  </si>
  <si>
    <t>生販</t>
    <rPh sb="0" eb="1">
      <t>ナマ</t>
    </rPh>
    <rPh sb="1" eb="2">
      <t>ハン</t>
    </rPh>
    <phoneticPr fontId="3"/>
  </si>
  <si>
    <t>卸</t>
    <rPh sb="0" eb="1">
      <t>オロシ</t>
    </rPh>
    <phoneticPr fontId="3"/>
  </si>
  <si>
    <t>小売</t>
    <rPh sb="0" eb="2">
      <t>コウ</t>
    </rPh>
    <phoneticPr fontId="3"/>
  </si>
  <si>
    <t>R1</t>
    <phoneticPr fontId="3"/>
  </si>
  <si>
    <t>R2</t>
  </si>
  <si>
    <t>R3</t>
  </si>
  <si>
    <t>N1</t>
    <phoneticPr fontId="3"/>
  </si>
  <si>
    <t>リベート1価補</t>
    <rPh sb="5" eb="7">
      <t>カホ</t>
    </rPh>
    <phoneticPr fontId="3"/>
  </si>
  <si>
    <t>N2</t>
    <phoneticPr fontId="3"/>
  </si>
  <si>
    <t>買上（寄贈）</t>
    <rPh sb="0" eb="2">
      <t>カイアゲ</t>
    </rPh>
    <rPh sb="3" eb="5">
      <t>キゾウ</t>
    </rPh>
    <phoneticPr fontId="3"/>
  </si>
  <si>
    <t>買上（不良）</t>
    <rPh sb="0" eb="2">
      <t>カイアゲ</t>
    </rPh>
    <rPh sb="3" eb="5">
      <t>フリョウ</t>
    </rPh>
    <phoneticPr fontId="3"/>
  </si>
  <si>
    <t>登録日</t>
    <rPh sb="0" eb="2">
      <t>トウロク</t>
    </rPh>
    <rPh sb="2" eb="3">
      <t>ヒ</t>
    </rPh>
    <phoneticPr fontId="3"/>
  </si>
  <si>
    <t>カクヤスPOS</t>
    <phoneticPr fontId="3"/>
  </si>
  <si>
    <t>KYL POS            部署別店頭単価5202000</t>
    <rPh sb="19" eb="21">
      <t>ブショ</t>
    </rPh>
    <rPh sb="21" eb="22">
      <t>ベツ</t>
    </rPh>
    <rPh sb="22" eb="24">
      <t>テントウ</t>
    </rPh>
    <rPh sb="24" eb="26">
      <t>タンカ</t>
    </rPh>
    <phoneticPr fontId="3"/>
  </si>
  <si>
    <t>MMFC                                得意先別単価</t>
    <rPh sb="36" eb="39">
      <t>トクイサキ</t>
    </rPh>
    <rPh sb="39" eb="40">
      <t>ベツ</t>
    </rPh>
    <rPh sb="40" eb="42">
      <t>タンカ</t>
    </rPh>
    <phoneticPr fontId="3"/>
  </si>
  <si>
    <t>新単価                      （ケース）</t>
    <rPh sb="0" eb="3">
      <t>シンタンカ</t>
    </rPh>
    <phoneticPr fontId="3"/>
  </si>
  <si>
    <t>↑販管費チェック：上記POS売価が下記売価を下回った場合、セルが「黄色」になります。</t>
    <rPh sb="1" eb="4">
      <t>ハンカンヒ</t>
    </rPh>
    <rPh sb="9" eb="11">
      <t>ジョウキ</t>
    </rPh>
    <rPh sb="14" eb="16">
      <t>バイカ</t>
    </rPh>
    <rPh sb="17" eb="19">
      <t>カキ</t>
    </rPh>
    <rPh sb="19" eb="21">
      <t>バイカ</t>
    </rPh>
    <rPh sb="22" eb="24">
      <t>シタマワ</t>
    </rPh>
    <rPh sb="26" eb="28">
      <t>バアイ</t>
    </rPh>
    <rPh sb="33" eb="35">
      <t>キイロ</t>
    </rPh>
    <phoneticPr fontId="3"/>
  </si>
  <si>
    <t>※販管費：カクヤス15.9％、KYL12.7％</t>
    <rPh sb="1" eb="4">
      <t>ハンカンヒ</t>
    </rPh>
    <phoneticPr fontId="3"/>
  </si>
  <si>
    <t>チェック売価</t>
    <rPh sb="4" eb="6">
      <t>バイカ</t>
    </rPh>
    <phoneticPr fontId="3"/>
  </si>
  <si>
    <t>Ｎ単価・売価情報　申請書 結果</t>
    <rPh sb="13" eb="15">
      <t>ケッカ</t>
    </rPh>
    <phoneticPr fontId="3"/>
  </si>
  <si>
    <t>リベート有（チェック→</t>
    <rPh sb="4" eb="5">
      <t>アリ</t>
    </rPh>
    <phoneticPr fontId="3"/>
  </si>
  <si>
    <t>※必須</t>
    <rPh sb="1" eb="3">
      <t>ヒッスウ</t>
    </rPh>
    <phoneticPr fontId="3"/>
  </si>
  <si>
    <t>直送専用商品</t>
    <rPh sb="0" eb="2">
      <t>チョクソウ</t>
    </rPh>
    <rPh sb="2" eb="4">
      <t>センヨウ</t>
    </rPh>
    <rPh sb="4" eb="6">
      <t>ショウヒン</t>
    </rPh>
    <phoneticPr fontId="3"/>
  </si>
  <si>
    <t>申請日</t>
    <rPh sb="0" eb="3">
      <t>シンセイビ</t>
    </rPh>
    <phoneticPr fontId="3"/>
  </si>
  <si>
    <t>申請書と登録が異なる場合はセルが「黄色」になります。→</t>
    <rPh sb="0" eb="2">
      <t>シンセイ</t>
    </rPh>
    <rPh sb="2" eb="3">
      <t>ショ</t>
    </rPh>
    <rPh sb="4" eb="6">
      <t>トウロク</t>
    </rPh>
    <rPh sb="7" eb="8">
      <t>コト</t>
    </rPh>
    <rPh sb="10" eb="12">
      <t>バアイ</t>
    </rPh>
    <rPh sb="17" eb="19">
      <t>キイロ</t>
    </rPh>
    <phoneticPr fontId="3"/>
  </si>
  <si>
    <t>終売区分</t>
    <rPh sb="0" eb="2">
      <t>シュウバイ</t>
    </rPh>
    <rPh sb="2" eb="4">
      <t>クブン</t>
    </rPh>
    <phoneticPr fontId="3"/>
  </si>
  <si>
    <t>リベート無（チェック→</t>
    <phoneticPr fontId="3"/>
  </si>
  <si>
    <t>ｲﾝｽﾄｱｺｰﾄﾞｼｰﾙ出力</t>
    <rPh sb="12" eb="14">
      <t>シュツリョク</t>
    </rPh>
    <phoneticPr fontId="3"/>
  </si>
  <si>
    <t>営業CD</t>
    <rPh sb="0" eb="2">
      <t>エイギョウ</t>
    </rPh>
    <phoneticPr fontId="3"/>
  </si>
  <si>
    <t>営業名</t>
    <rPh sb="0" eb="3">
      <t>エイギョウメイ</t>
    </rPh>
    <phoneticPr fontId="3"/>
  </si>
  <si>
    <t>得意先CD</t>
    <rPh sb="0" eb="3">
      <t>トクイサキ</t>
    </rPh>
    <phoneticPr fontId="3"/>
  </si>
  <si>
    <t>得意先名</t>
    <rPh sb="0" eb="4">
      <t>トクイサキメイ</t>
    </rPh>
    <phoneticPr fontId="3"/>
  </si>
  <si>
    <t>備考/特記事項</t>
    <rPh sb="0" eb="2">
      <t>ビコウ</t>
    </rPh>
    <rPh sb="3" eb="5">
      <t>トッキ</t>
    </rPh>
    <rPh sb="5" eb="7">
      <t>ジコウ</t>
    </rPh>
    <phoneticPr fontId="3"/>
  </si>
  <si>
    <t>※2：【直送】元商品確認→既存商品コードを記入</t>
    <rPh sb="4" eb="6">
      <t>チョクソウ</t>
    </rPh>
    <rPh sb="7" eb="8">
      <t>モト</t>
    </rPh>
    <rPh sb="8" eb="10">
      <t>ショウヒン</t>
    </rPh>
    <rPh sb="10" eb="12">
      <t>カクニン</t>
    </rPh>
    <rPh sb="13" eb="15">
      <t>キゾン</t>
    </rPh>
    <rPh sb="15" eb="17">
      <t>ショウヒン</t>
    </rPh>
    <rPh sb="21" eb="23">
      <t>キニュウ</t>
    </rPh>
    <phoneticPr fontId="3"/>
  </si>
  <si>
    <t>※3：ﾊﾟｯｹｰｼﾞ構成商品確認→構成商品コードを記入</t>
    <rPh sb="17" eb="19">
      <t>コウセイ</t>
    </rPh>
    <rPh sb="19" eb="21">
      <t>ショウヒン</t>
    </rPh>
    <rPh sb="25" eb="27">
      <t>キニュウ</t>
    </rPh>
    <phoneticPr fontId="3"/>
  </si>
  <si>
    <t>ﾊﾟｯｹｰｼﾞ商品</t>
    <rPh sb="7" eb="9">
      <t>ショウヒン</t>
    </rPh>
    <phoneticPr fontId="3"/>
  </si>
  <si>
    <t>※3：ﾊﾟｯｹｰｼﾞ構成商品</t>
    <phoneticPr fontId="3"/>
  </si>
  <si>
    <t>13ｶｰﾄﾝ</t>
    <phoneticPr fontId="9"/>
  </si>
  <si>
    <t>14ｾｯﾄ</t>
    <phoneticPr fontId="9"/>
  </si>
  <si>
    <t>15ﾊﾟｯｸ</t>
    <phoneticPr fontId="9"/>
  </si>
  <si>
    <t>①商品マスタメンテナンス（基本）　申請入力用　　※ここに入力されたものが商品マスタメンテナンスに反映されます</t>
    <rPh sb="1" eb="3">
      <t>ショウヒン</t>
    </rPh>
    <rPh sb="13" eb="15">
      <t>キホン</t>
    </rPh>
    <rPh sb="17" eb="19">
      <t>シンセイ</t>
    </rPh>
    <rPh sb="19" eb="21">
      <t>ニュウリョク</t>
    </rPh>
    <rPh sb="21" eb="22">
      <t>ヨウ</t>
    </rPh>
    <rPh sb="28" eb="30">
      <t>ニュウリョク</t>
    </rPh>
    <rPh sb="36" eb="38">
      <t>ショウヒン</t>
    </rPh>
    <rPh sb="47" eb="48">
      <t>ウケショ</t>
    </rPh>
    <rPh sb="48" eb="50">
      <t>ハンエイ</t>
    </rPh>
    <phoneticPr fontId="3"/>
  </si>
  <si>
    <t>※6：純アルコール量（1ｍｌ当たり）、容量と度数（To）は必ず入力</t>
    <rPh sb="3" eb="4">
      <t>ジュン</t>
    </rPh>
    <rPh sb="9" eb="10">
      <t>リョウ</t>
    </rPh>
    <rPh sb="14" eb="15">
      <t>ア</t>
    </rPh>
    <rPh sb="19" eb="21">
      <t>ヨウリョウ</t>
    </rPh>
    <rPh sb="22" eb="24">
      <t>ドスウ</t>
    </rPh>
    <rPh sb="29" eb="30">
      <t>カナラ</t>
    </rPh>
    <rPh sb="31" eb="33">
      <t>ニュウリョク</t>
    </rPh>
    <phoneticPr fontId="3"/>
  </si>
  <si>
    <t>02C/S</t>
  </si>
  <si>
    <t>発泡酒は麦芽比率を右記から選択して下に記入「1：50％以上、2：25％～50％、3：25％未満」</t>
    <rPh sb="0" eb="3">
      <t>ハッポウシュ</t>
    </rPh>
    <rPh sb="4" eb="6">
      <t>バクガ</t>
    </rPh>
    <rPh sb="6" eb="8">
      <t>ヒリツ</t>
    </rPh>
    <rPh sb="9" eb="11">
      <t>ウキ</t>
    </rPh>
    <rPh sb="13" eb="15">
      <t>センタク</t>
    </rPh>
    <rPh sb="17" eb="18">
      <t>シタ</t>
    </rPh>
    <rPh sb="19" eb="21">
      <t>キニュウ</t>
    </rPh>
    <rPh sb="27" eb="29">
      <t>イジョウ</t>
    </rPh>
    <rPh sb="45" eb="47">
      <t>ミマン</t>
    </rPh>
    <phoneticPr fontId="3"/>
  </si>
  <si>
    <t>※1：ﾘﾍﾞｰﾄ申請確認（リベート除外品含む）</t>
    <rPh sb="8" eb="10">
      <t>シンセイ</t>
    </rPh>
    <rPh sb="10" eb="12">
      <t>カクニン</t>
    </rPh>
    <rPh sb="17" eb="20">
      <t>ジョガイヒン</t>
    </rPh>
    <rPh sb="20" eb="21">
      <t>フク</t>
    </rPh>
    <phoneticPr fontId="3"/>
  </si>
  <si>
    <t>※5：依頼者/依頼先(営業CD・得意先CD）店舗商品は申請者CDのみ</t>
    <rPh sb="3" eb="6">
      <t>イライシャ</t>
    </rPh>
    <rPh sb="7" eb="10">
      <t>イライサキ</t>
    </rPh>
    <rPh sb="11" eb="13">
      <t>エイギョウ</t>
    </rPh>
    <rPh sb="16" eb="19">
      <t>トクイサキ</t>
    </rPh>
    <rPh sb="22" eb="24">
      <t>テンポ</t>
    </rPh>
    <rPh sb="24" eb="26">
      <t>ショウヒン</t>
    </rPh>
    <rPh sb="27" eb="30">
      <t>シンセイシャ</t>
    </rPh>
    <phoneticPr fontId="3"/>
  </si>
  <si>
    <t>※4：麦芽比率(番号を入力)、発泡清酒は4を入力</t>
    <rPh sb="3" eb="5">
      <t>バクガ</t>
    </rPh>
    <rPh sb="5" eb="7">
      <t>ヒリツ</t>
    </rPh>
    <rPh sb="8" eb="10">
      <t>バンゴウ</t>
    </rPh>
    <rPh sb="11" eb="13">
      <t>ニュウリョク</t>
    </rPh>
    <rPh sb="15" eb="17">
      <t>ハッポウ</t>
    </rPh>
    <rPh sb="17" eb="19">
      <t>セイシュ</t>
    </rPh>
    <rPh sb="22" eb="24">
      <t>ニュウリョク</t>
    </rPh>
    <phoneticPr fontId="3"/>
  </si>
  <si>
    <t>発泡清酒は「4：発泡清酒」</t>
    <rPh sb="0" eb="2">
      <t>ハッポウ</t>
    </rPh>
    <rPh sb="2" eb="4">
      <t>セイシュ</t>
    </rPh>
    <rPh sb="8" eb="10">
      <t>ハッポウ</t>
    </rPh>
    <rPh sb="10" eb="12">
      <t>セイシュ</t>
    </rPh>
    <phoneticPr fontId="3"/>
  </si>
  <si>
    <t>発泡酒/発泡清酒</t>
    <rPh sb="0" eb="3">
      <t>ハッポウシュ</t>
    </rPh>
    <rPh sb="4" eb="6">
      <t>ハッポウ</t>
    </rPh>
    <rPh sb="6" eb="8">
      <t>セイシュ</t>
    </rPh>
    <phoneticPr fontId="3"/>
  </si>
  <si>
    <t>度数、容量を入力すると自動計算</t>
    <rPh sb="0" eb="2">
      <t>ドスウ</t>
    </rPh>
    <rPh sb="3" eb="5">
      <t>ヨウリョウ</t>
    </rPh>
    <rPh sb="6" eb="8">
      <t>ニュウリョク</t>
    </rPh>
    <rPh sb="11" eb="13">
      <t>ジドウ</t>
    </rPh>
    <rPh sb="13" eb="15">
      <t>ケイサン</t>
    </rPh>
    <phoneticPr fontId="3"/>
  </si>
  <si>
    <t>＊</t>
    <phoneticPr fontId="3"/>
  </si>
  <si>
    <t>ギフト直送品</t>
    <rPh sb="3" eb="6">
      <t>チョクソウヒン</t>
    </rPh>
    <phoneticPr fontId="3"/>
  </si>
  <si>
    <t>＊</t>
    <phoneticPr fontId="3"/>
  </si>
  <si>
    <t>重要</t>
    <rPh sb="0" eb="2">
      <t>ジュウヨウ</t>
    </rPh>
    <phoneticPr fontId="3"/>
  </si>
  <si>
    <t>得意先別割当商品</t>
    <rPh sb="0" eb="3">
      <t>トクイサキ</t>
    </rPh>
    <rPh sb="3" eb="4">
      <t>ベツ</t>
    </rPh>
    <rPh sb="4" eb="6">
      <t>ワリアテ</t>
    </rPh>
    <rPh sb="6" eb="8">
      <t>ショウヒン</t>
    </rPh>
    <phoneticPr fontId="3"/>
  </si>
  <si>
    <t>取寄区分</t>
    <rPh sb="0" eb="2">
      <t>トリヨ</t>
    </rPh>
    <rPh sb="2" eb="4">
      <t>クブン</t>
    </rPh>
    <phoneticPr fontId="3"/>
  </si>
  <si>
    <t>※消費税率コード</t>
    <rPh sb="1" eb="3">
      <t>ショウヒ</t>
    </rPh>
    <rPh sb="3" eb="5">
      <t>ゼイリツ</t>
    </rPh>
    <phoneticPr fontId="3"/>
  </si>
  <si>
    <t>特定商品備考コード</t>
    <rPh sb="0" eb="2">
      <t>トクテイ</t>
    </rPh>
    <rPh sb="2" eb="4">
      <t>ショウヒン</t>
    </rPh>
    <rPh sb="4" eb="6">
      <t>ビコウ</t>
    </rPh>
    <phoneticPr fontId="3"/>
  </si>
  <si>
    <t>他社商品フラグ</t>
    <rPh sb="0" eb="2">
      <t>タシャ</t>
    </rPh>
    <rPh sb="2" eb="4">
      <t>ショウヒン</t>
    </rPh>
    <phoneticPr fontId="3"/>
  </si>
  <si>
    <t>※ＩＴＦコード</t>
    <phoneticPr fontId="3"/>
  </si>
  <si>
    <t>メモ</t>
    <phoneticPr fontId="3"/>
  </si>
  <si>
    <t>※課税区分</t>
    <rPh sb="1" eb="3">
      <t>カゼイ</t>
    </rPh>
    <rPh sb="3" eb="5">
      <t>クブン</t>
    </rPh>
    <phoneticPr fontId="3"/>
  </si>
  <si>
    <t>＊</t>
    <phoneticPr fontId="3"/>
  </si>
  <si>
    <t>※AL度数（From）</t>
    <rPh sb="3" eb="5">
      <t>ドスウ</t>
    </rPh>
    <phoneticPr fontId="3"/>
  </si>
  <si>
    <t>※AL度数（To）</t>
    <rPh sb="3" eb="5">
      <t>ドスウ</t>
    </rPh>
    <phoneticPr fontId="3"/>
  </si>
  <si>
    <t>チェック</t>
    <phoneticPr fontId="3"/>
  </si>
  <si>
    <t>※SDPコード(8桁）</t>
    <phoneticPr fontId="3"/>
  </si>
  <si>
    <t>※バラＪＡＮ</t>
    <phoneticPr fontId="3"/>
  </si>
  <si>
    <t>※4：麦芽比率/微発泡清酒区分</t>
    <rPh sb="3" eb="5">
      <t>バクガ</t>
    </rPh>
    <rPh sb="5" eb="7">
      <t>ヒリツ</t>
    </rPh>
    <rPh sb="8" eb="11">
      <t>ビハッポウ</t>
    </rPh>
    <rPh sb="11" eb="13">
      <t>セイシュ</t>
    </rPh>
    <rPh sb="13" eb="15">
      <t>クブン</t>
    </rPh>
    <phoneticPr fontId="3"/>
  </si>
  <si>
    <t>2常温</t>
  </si>
  <si>
    <t>0在庫品</t>
  </si>
  <si>
    <t>6203レモン（RTD）</t>
  </si>
  <si>
    <t>6205その他チューハイ・カクテル･RTD</t>
  </si>
  <si>
    <t>900リキュール</t>
  </si>
  <si>
    <t>0：正規/1：並行</t>
    <rPh sb="2" eb="4">
      <t>セイキ</t>
    </rPh>
    <rPh sb="7" eb="9">
      <t>ヘイコウ</t>
    </rPh>
    <phoneticPr fontId="3"/>
  </si>
  <si>
    <t>2カクヤスPB</t>
    <phoneticPr fontId="9"/>
  </si>
  <si>
    <t>3カクヤス専売</t>
    <rPh sb="5" eb="7">
      <t>センバイ</t>
    </rPh>
    <phoneticPr fontId="9"/>
  </si>
  <si>
    <t>7卸PB</t>
    <rPh sb="1" eb="2">
      <t>オロシ</t>
    </rPh>
    <phoneticPr fontId="9"/>
  </si>
  <si>
    <t>8飲食店PB</t>
    <rPh sb="1" eb="4">
      <t>インショクテン</t>
    </rPh>
    <phoneticPr fontId="9"/>
  </si>
  <si>
    <t>9飲食店専用</t>
    <rPh sb="1" eb="4">
      <t>インショクテン</t>
    </rPh>
    <rPh sb="4" eb="6">
      <t>センヨウ</t>
    </rPh>
    <phoneticPr fontId="9"/>
  </si>
  <si>
    <t>予備区分8</t>
    <rPh sb="0" eb="2">
      <t>ヨビ</t>
    </rPh>
    <rPh sb="2" eb="4">
      <t>クブン</t>
    </rPh>
    <phoneticPr fontId="9"/>
  </si>
  <si>
    <t>1スクリューキャップ</t>
    <phoneticPr fontId="9"/>
  </si>
  <si>
    <t>2ラベルレス</t>
    <phoneticPr fontId="9"/>
  </si>
  <si>
    <t>自然派ワイン①（予備区分1）</t>
    <rPh sb="0" eb="3">
      <t>シゼンハ</t>
    </rPh>
    <rPh sb="8" eb="12">
      <t>ヨビクブン</t>
    </rPh>
    <phoneticPr fontId="3"/>
  </si>
  <si>
    <t>自然派ワイン②（予備区分2）</t>
    <rPh sb="0" eb="3">
      <t>シゼンハ</t>
    </rPh>
    <rPh sb="8" eb="12">
      <t>ヨビクブン</t>
    </rPh>
    <phoneticPr fontId="3"/>
  </si>
  <si>
    <t>PB区分（予備区分4）</t>
    <rPh sb="2" eb="4">
      <t>クブン</t>
    </rPh>
    <rPh sb="5" eb="9">
      <t>ヨビクブン</t>
    </rPh>
    <phoneticPr fontId="3"/>
  </si>
  <si>
    <t>1ｽｸﾘｭｰ/2ﾗﾍﾞﾙﾚｽ（予備区分8）</t>
    <rPh sb="15" eb="19">
      <t>ヨビクブン</t>
    </rPh>
    <phoneticPr fontId="3"/>
  </si>
  <si>
    <t>※2：【直送】元商品コード</t>
    <rPh sb="4" eb="6">
      <t>チョクソウ</t>
    </rPh>
    <rPh sb="7" eb="8">
      <t>モト</t>
    </rPh>
    <rPh sb="8" eb="10">
      <t>ショウヒン</t>
    </rPh>
    <phoneticPr fontId="3"/>
  </si>
  <si>
    <t>※6：純ｱﾙｺｰﾙ量（予備数値05）</t>
    <rPh sb="3" eb="4">
      <t>ジュン</t>
    </rPh>
    <rPh sb="9" eb="10">
      <t>リョウ</t>
    </rPh>
    <rPh sb="11" eb="13">
      <t>ヨビ</t>
    </rPh>
    <rPh sb="13" eb="15">
      <t>スウチ</t>
    </rPh>
    <phoneticPr fontId="3"/>
  </si>
  <si>
    <t>セット品Ｎ単価登録申請書</t>
    <rPh sb="3" eb="4">
      <t>ヒン</t>
    </rPh>
    <rPh sb="5" eb="7">
      <t>タンカ</t>
    </rPh>
    <rPh sb="7" eb="9">
      <t>トウロク</t>
    </rPh>
    <rPh sb="9" eb="11">
      <t>シンセイ</t>
    </rPh>
    <rPh sb="11" eb="12">
      <t>ショ</t>
    </rPh>
    <phoneticPr fontId="3"/>
  </si>
  <si>
    <t>登録者</t>
    <rPh sb="0" eb="2">
      <t>トウロク</t>
    </rPh>
    <rPh sb="2" eb="3">
      <t>シャ</t>
    </rPh>
    <phoneticPr fontId="3"/>
  </si>
  <si>
    <t>セット品</t>
    <rPh sb="3" eb="4">
      <t>ヒン</t>
    </rPh>
    <phoneticPr fontId="3"/>
  </si>
  <si>
    <t>明細</t>
    <rPh sb="0" eb="2">
      <t>メイサイ</t>
    </rPh>
    <phoneticPr fontId="3"/>
  </si>
  <si>
    <t>コード</t>
    <phoneticPr fontId="3"/>
  </si>
  <si>
    <t>N1-3</t>
    <phoneticPr fontId="3"/>
  </si>
  <si>
    <t>N1</t>
    <phoneticPr fontId="3"/>
  </si>
  <si>
    <t>構成数</t>
    <rPh sb="0" eb="2">
      <t>コウセイ</t>
    </rPh>
    <rPh sb="2" eb="3">
      <t>スウ</t>
    </rPh>
    <phoneticPr fontId="3"/>
  </si>
  <si>
    <t>コード</t>
    <phoneticPr fontId="3"/>
  </si>
  <si>
    <t>N1-3</t>
    <phoneticPr fontId="3"/>
  </si>
  <si>
    <t>コード</t>
    <phoneticPr fontId="3"/>
  </si>
  <si>
    <t>N1</t>
    <phoneticPr fontId="3"/>
  </si>
  <si>
    <t>コード</t>
    <phoneticPr fontId="3"/>
  </si>
  <si>
    <t>N1-3</t>
    <phoneticPr fontId="3"/>
  </si>
  <si>
    <t>N1</t>
    <phoneticPr fontId="3"/>
  </si>
  <si>
    <t>N1</t>
    <phoneticPr fontId="3"/>
  </si>
  <si>
    <t>セット商品一括組立（フラグ1＝⑥）</t>
    <rPh sb="3" eb="5">
      <t>ショウヒン</t>
    </rPh>
    <rPh sb="5" eb="7">
      <t>イッカツ</t>
    </rPh>
    <rPh sb="7" eb="9">
      <t>クミタテ</t>
    </rPh>
    <phoneticPr fontId="3"/>
  </si>
  <si>
    <t>セット商品は備考へ記入</t>
    <rPh sb="3" eb="5">
      <t>ショウヒン</t>
    </rPh>
    <rPh sb="6" eb="8">
      <t>ビコウ</t>
    </rPh>
    <rPh sb="9" eb="11">
      <t>キニュウ</t>
    </rPh>
    <phoneticPr fontId="3"/>
  </si>
  <si>
    <t>ギフト直送品</t>
    <rPh sb="3" eb="6">
      <t>チョクソウヒン</t>
    </rPh>
    <phoneticPr fontId="9"/>
  </si>
  <si>
    <t>00001</t>
    <phoneticPr fontId="9"/>
  </si>
  <si>
    <t>上部で   記入</t>
    <rPh sb="0" eb="2">
      <t>ジョウブ</t>
    </rPh>
    <rPh sb="6" eb="8">
      <t>キニュウ</t>
    </rPh>
    <phoneticPr fontId="3"/>
  </si>
  <si>
    <t>正規並行区分</t>
    <rPh sb="0" eb="2">
      <t>セイキ</t>
    </rPh>
    <rPh sb="2" eb="4">
      <t>ヘイコウ</t>
    </rPh>
    <rPh sb="4" eb="6">
      <t>クブン</t>
    </rPh>
    <phoneticPr fontId="9"/>
  </si>
  <si>
    <t>度数、容量を入力</t>
    <rPh sb="0" eb="2">
      <t>ドスウ</t>
    </rPh>
    <rPh sb="3" eb="5">
      <t>ヨウリョウ</t>
    </rPh>
    <rPh sb="6" eb="8">
      <t>ニュウリョク</t>
    </rPh>
    <phoneticPr fontId="3"/>
  </si>
  <si>
    <t>セット商品一括組立</t>
    <rPh sb="3" eb="5">
      <t>ショウヒン</t>
    </rPh>
    <rPh sb="5" eb="7">
      <t>イッカツ</t>
    </rPh>
    <rPh sb="7" eb="9">
      <t>クミタテ</t>
    </rPh>
    <phoneticPr fontId="9"/>
  </si>
  <si>
    <t>インストアコード出力</t>
    <rPh sb="8" eb="10">
      <t>シュツリョク</t>
    </rPh>
    <phoneticPr fontId="9"/>
  </si>
  <si>
    <t>0</t>
    <phoneticPr fontId="9"/>
  </si>
  <si>
    <t>条件付き</t>
    <rPh sb="0" eb="3">
      <t>ジョウケンツ</t>
    </rPh>
    <phoneticPr fontId="3"/>
  </si>
  <si>
    <t>ＰＯＰ用コメント
（最大全角50文字）</t>
    <rPh sb="3" eb="4">
      <t>ヨウ</t>
    </rPh>
    <rPh sb="10" eb="12">
      <t>サイダイ</t>
    </rPh>
    <rPh sb="12" eb="14">
      <t>ゼンカク</t>
    </rPh>
    <rPh sb="16" eb="18">
      <t>モジ</t>
    </rPh>
    <phoneticPr fontId="3"/>
  </si>
  <si>
    <t>キャッチコピーコメント
（最大全角25文字）</t>
    <rPh sb="13" eb="15">
      <t>サイダイ</t>
    </rPh>
    <rPh sb="15" eb="17">
      <t>ゼンカク</t>
    </rPh>
    <rPh sb="19" eb="21">
      <t>モジ</t>
    </rPh>
    <phoneticPr fontId="3"/>
  </si>
  <si>
    <t>国名</t>
    <rPh sb="0" eb="1">
      <t>クニ</t>
    </rPh>
    <rPh sb="1" eb="2">
      <t>メイ</t>
    </rPh>
    <phoneticPr fontId="3"/>
  </si>
  <si>
    <t>乙類焼酎原料</t>
    <rPh sb="0" eb="1">
      <t>オツ</t>
    </rPh>
    <rPh sb="1" eb="2">
      <t>ルイ</t>
    </rPh>
    <rPh sb="2" eb="4">
      <t>ショウチュウ</t>
    </rPh>
    <rPh sb="4" eb="6">
      <t>ゲンリョウ</t>
    </rPh>
    <phoneticPr fontId="3"/>
  </si>
  <si>
    <t>味わい
飲み口</t>
    <rPh sb="0" eb="1">
      <t>アジ</t>
    </rPh>
    <rPh sb="4" eb="5">
      <t>ノ</t>
    </rPh>
    <rPh sb="6" eb="7">
      <t>クチ</t>
    </rPh>
    <phoneticPr fontId="3"/>
  </si>
  <si>
    <t>県名</t>
    <rPh sb="0" eb="2">
      <t>ケンメイ</t>
    </rPh>
    <phoneticPr fontId="3"/>
  </si>
  <si>
    <t>アルコール度数</t>
    <rPh sb="5" eb="7">
      <t>ドスウ</t>
    </rPh>
    <phoneticPr fontId="3"/>
  </si>
  <si>
    <t>ワインタイプ</t>
    <phoneticPr fontId="3"/>
  </si>
  <si>
    <t>予備選択01
ウイスキー</t>
    <rPh sb="0" eb="2">
      <t>ヨビ</t>
    </rPh>
    <rPh sb="2" eb="4">
      <t>センタク</t>
    </rPh>
    <phoneticPr fontId="3"/>
  </si>
  <si>
    <t>予備選択01
スピリキ</t>
    <rPh sb="0" eb="2">
      <t>ヨビ</t>
    </rPh>
    <rPh sb="2" eb="4">
      <t>センタク</t>
    </rPh>
    <phoneticPr fontId="3"/>
  </si>
  <si>
    <t>10001-ｼﾞｬﾊﾟﾝ</t>
    <phoneticPr fontId="3"/>
  </si>
  <si>
    <t>0001-赤ワイン</t>
    <rPh sb="5" eb="6">
      <t>アカ</t>
    </rPh>
    <phoneticPr fontId="3"/>
  </si>
  <si>
    <t>01-普通酒</t>
  </si>
  <si>
    <t>01-麦</t>
    <rPh sb="3" eb="4">
      <t>ムギ</t>
    </rPh>
    <phoneticPr fontId="3"/>
  </si>
  <si>
    <t>01-国産ブレンデッド</t>
    <rPh sb="3" eb="5">
      <t>コクサン</t>
    </rPh>
    <phoneticPr fontId="3"/>
  </si>
  <si>
    <t>01-ウォッカ</t>
    <phoneticPr fontId="3"/>
  </si>
  <si>
    <t>01</t>
    <phoneticPr fontId="3"/>
  </si>
  <si>
    <t>普通酒</t>
    <rPh sb="0" eb="2">
      <t>フツウ</t>
    </rPh>
    <rPh sb="2" eb="3">
      <t>シュ</t>
    </rPh>
    <phoneticPr fontId="3"/>
  </si>
  <si>
    <t>ロック</t>
    <phoneticPr fontId="3"/>
  </si>
  <si>
    <t>すっきり</t>
    <phoneticPr fontId="3"/>
  </si>
  <si>
    <t>10002-ﾁｬｲﾅ</t>
    <phoneticPr fontId="3"/>
  </si>
  <si>
    <t>0002-白ワイン</t>
    <rPh sb="5" eb="6">
      <t>シロ</t>
    </rPh>
    <phoneticPr fontId="3"/>
  </si>
  <si>
    <t>02-純米</t>
  </si>
  <si>
    <t>02-そば</t>
    <phoneticPr fontId="3"/>
  </si>
  <si>
    <t>02-国産シングルモルト</t>
    <rPh sb="3" eb="5">
      <t>コクサン</t>
    </rPh>
    <phoneticPr fontId="3"/>
  </si>
  <si>
    <t>02-ジン</t>
    <phoneticPr fontId="3"/>
  </si>
  <si>
    <t>02</t>
    <phoneticPr fontId="3"/>
  </si>
  <si>
    <t>そば</t>
    <phoneticPr fontId="3"/>
  </si>
  <si>
    <t>10003-ｺﾘｱ</t>
    <phoneticPr fontId="3"/>
  </si>
  <si>
    <t>0003-ロゼワイン</t>
    <phoneticPr fontId="3"/>
  </si>
  <si>
    <t>03-特別純米</t>
  </si>
  <si>
    <t>03-米</t>
    <rPh sb="3" eb="4">
      <t>コメ</t>
    </rPh>
    <phoneticPr fontId="3"/>
  </si>
  <si>
    <t>03-国産グレーン</t>
    <rPh sb="3" eb="5">
      <t>コクサン</t>
    </rPh>
    <phoneticPr fontId="3"/>
  </si>
  <si>
    <t>03-ラム</t>
    <phoneticPr fontId="3"/>
  </si>
  <si>
    <t>03</t>
    <phoneticPr fontId="3"/>
  </si>
  <si>
    <t>特別純米</t>
    <rPh sb="0" eb="2">
      <t>トクベツ</t>
    </rPh>
    <rPh sb="2" eb="4">
      <t>ジュンマイ</t>
    </rPh>
    <phoneticPr fontId="3"/>
  </si>
  <si>
    <t>10004-ﾀｲﾜﾝ</t>
    <phoneticPr fontId="3"/>
  </si>
  <si>
    <t>0004-オレンジワイン</t>
    <phoneticPr fontId="3"/>
  </si>
  <si>
    <t>04-純米吟醸</t>
  </si>
  <si>
    <t>04-芋</t>
    <rPh sb="3" eb="4">
      <t>イモ</t>
    </rPh>
    <phoneticPr fontId="3"/>
  </si>
  <si>
    <t>04-ブレンデッドスコッチ</t>
    <phoneticPr fontId="3"/>
  </si>
  <si>
    <t>04-テキーラ</t>
    <phoneticPr fontId="3"/>
  </si>
  <si>
    <t>04</t>
    <phoneticPr fontId="3"/>
  </si>
  <si>
    <t>純米吟醸</t>
    <rPh sb="0" eb="2">
      <t>ジュンマイ</t>
    </rPh>
    <rPh sb="2" eb="4">
      <t>ギンジョウ</t>
    </rPh>
    <phoneticPr fontId="3"/>
  </si>
  <si>
    <t>10005-ｲﾝﾄﾞ</t>
    <phoneticPr fontId="3"/>
  </si>
  <si>
    <t>0005-白スパークリング</t>
    <rPh sb="5" eb="6">
      <t>シロ</t>
    </rPh>
    <phoneticPr fontId="3"/>
  </si>
  <si>
    <t>05-純米大吟醸</t>
  </si>
  <si>
    <t>05-胡麻</t>
    <rPh sb="3" eb="5">
      <t>ゴマ</t>
    </rPh>
    <phoneticPr fontId="3"/>
  </si>
  <si>
    <t>05-シングルモルト</t>
    <phoneticPr fontId="3"/>
  </si>
  <si>
    <t>05-その他スピリッツ</t>
    <rPh sb="5" eb="6">
      <t>タ</t>
    </rPh>
    <phoneticPr fontId="3"/>
  </si>
  <si>
    <t>05</t>
    <phoneticPr fontId="3"/>
  </si>
  <si>
    <t>純米大吟醸</t>
    <rPh sb="0" eb="2">
      <t>ジュンマイ</t>
    </rPh>
    <rPh sb="2" eb="3">
      <t>ダイ</t>
    </rPh>
    <rPh sb="3" eb="5">
      <t>ギンジョウ</t>
    </rPh>
    <phoneticPr fontId="3"/>
  </si>
  <si>
    <t>10006-ｲﾝﾄﾞﾈｼｱ</t>
    <phoneticPr fontId="3"/>
  </si>
  <si>
    <t>0006-赤スパークリング</t>
    <rPh sb="5" eb="6">
      <t>アカ</t>
    </rPh>
    <phoneticPr fontId="3"/>
  </si>
  <si>
    <t>06-本醸造</t>
  </si>
  <si>
    <t>06-泡盛</t>
    <rPh sb="3" eb="5">
      <t>アワモリ</t>
    </rPh>
    <phoneticPr fontId="3"/>
  </si>
  <si>
    <t>06-ハイランド</t>
    <phoneticPr fontId="3"/>
  </si>
  <si>
    <t>06-リキュール</t>
    <phoneticPr fontId="3"/>
  </si>
  <si>
    <t>06</t>
    <phoneticPr fontId="3"/>
  </si>
  <si>
    <t>10007-ﾀｲ</t>
    <phoneticPr fontId="3"/>
  </si>
  <si>
    <t>0007-ロゼスパークリング</t>
    <phoneticPr fontId="3"/>
  </si>
  <si>
    <t>07-特別本醸造</t>
  </si>
  <si>
    <t>07-黒糖</t>
    <rPh sb="3" eb="5">
      <t>コクトウ</t>
    </rPh>
    <phoneticPr fontId="3"/>
  </si>
  <si>
    <t>07-ローランド</t>
    <phoneticPr fontId="3"/>
  </si>
  <si>
    <t>07-梅酒</t>
    <rPh sb="3" eb="5">
      <t>ウメシュ</t>
    </rPh>
    <phoneticPr fontId="3"/>
  </si>
  <si>
    <t>07</t>
    <phoneticPr fontId="3"/>
  </si>
  <si>
    <t>特別本醸造</t>
    <rPh sb="0" eb="2">
      <t>トクベツ</t>
    </rPh>
    <rPh sb="2" eb="5">
      <t>ホンジョウゾウ</t>
    </rPh>
    <phoneticPr fontId="3"/>
  </si>
  <si>
    <t>10008-ﾍﾞﾄﾅﾑ</t>
    <phoneticPr fontId="3"/>
  </si>
  <si>
    <t>0008-赤微発砲</t>
    <rPh sb="5" eb="6">
      <t>アカ</t>
    </rPh>
    <rPh sb="6" eb="7">
      <t>ビ</t>
    </rPh>
    <rPh sb="7" eb="9">
      <t>ハッポウ</t>
    </rPh>
    <phoneticPr fontId="3"/>
  </si>
  <si>
    <t>08-吟醸</t>
  </si>
  <si>
    <t>08-その他</t>
    <rPh sb="5" eb="6">
      <t>タ</t>
    </rPh>
    <phoneticPr fontId="3"/>
  </si>
  <si>
    <t>08-スペイサイド</t>
    <phoneticPr fontId="3"/>
  </si>
  <si>
    <t>08-マッコリ</t>
    <phoneticPr fontId="3"/>
  </si>
  <si>
    <t>08</t>
    <phoneticPr fontId="3"/>
  </si>
  <si>
    <t>10009-ﾌｨﾘﾋﾟﾝ</t>
    <phoneticPr fontId="3"/>
  </si>
  <si>
    <t>0009-白微発砲</t>
    <rPh sb="5" eb="6">
      <t>シロ</t>
    </rPh>
    <rPh sb="6" eb="7">
      <t>ビ</t>
    </rPh>
    <rPh sb="7" eb="9">
      <t>ハッポウ</t>
    </rPh>
    <phoneticPr fontId="3"/>
  </si>
  <si>
    <t>09-大吟醸</t>
  </si>
  <si>
    <t>09-甲類</t>
    <rPh sb="3" eb="4">
      <t>コウ</t>
    </rPh>
    <rPh sb="4" eb="5">
      <t>ルイ</t>
    </rPh>
    <phoneticPr fontId="3"/>
  </si>
  <si>
    <t>09-アイラ</t>
    <phoneticPr fontId="3"/>
  </si>
  <si>
    <t>09-中華酒</t>
    <rPh sb="3" eb="5">
      <t>チュウカ</t>
    </rPh>
    <rPh sb="5" eb="6">
      <t>シュ</t>
    </rPh>
    <phoneticPr fontId="3"/>
  </si>
  <si>
    <t>09</t>
    <phoneticPr fontId="3"/>
  </si>
  <si>
    <t>10010-ｼﾝｶﾞﾎﾟｰﾙ</t>
    <phoneticPr fontId="3"/>
  </si>
  <si>
    <t>0010-サングリア</t>
    <phoneticPr fontId="3"/>
  </si>
  <si>
    <t>10-清酒スパーク</t>
  </si>
  <si>
    <t>10-甲乙混和</t>
    <rPh sb="3" eb="5">
      <t>コウオツ</t>
    </rPh>
    <rPh sb="5" eb="7">
      <t>コンワ</t>
    </rPh>
    <phoneticPr fontId="3"/>
  </si>
  <si>
    <t>10-アイランズ</t>
    <phoneticPr fontId="3"/>
  </si>
  <si>
    <t>10-その他</t>
    <rPh sb="5" eb="6">
      <t>タ</t>
    </rPh>
    <phoneticPr fontId="3"/>
  </si>
  <si>
    <t>10</t>
  </si>
  <si>
    <t>清酒スパーク</t>
    <rPh sb="0" eb="2">
      <t>セイシュ</t>
    </rPh>
    <phoneticPr fontId="3"/>
  </si>
  <si>
    <t>10011-ｵｰｽﾄﾗﾘｱ</t>
    <phoneticPr fontId="3"/>
  </si>
  <si>
    <t>0011-フルーツスパークリング</t>
    <phoneticPr fontId="3"/>
  </si>
  <si>
    <t>11-にごり</t>
  </si>
  <si>
    <t>11-キャンベルタウン</t>
    <phoneticPr fontId="3"/>
  </si>
  <si>
    <t>11</t>
  </si>
  <si>
    <t>にごり</t>
    <phoneticPr fontId="3"/>
  </si>
  <si>
    <t>10012-ﾆｭｰｼﾞｰﾗﾝﾄﾞ</t>
    <phoneticPr fontId="3"/>
  </si>
  <si>
    <t>0012-シェリー</t>
    <phoneticPr fontId="3"/>
  </si>
  <si>
    <t>12-合成酒</t>
  </si>
  <si>
    <t>12-アイリッシュ</t>
    <phoneticPr fontId="3"/>
  </si>
  <si>
    <t>12</t>
  </si>
  <si>
    <t>合成酒</t>
    <rPh sb="0" eb="2">
      <t>ゴウセイ</t>
    </rPh>
    <rPh sb="2" eb="3">
      <t>シュ</t>
    </rPh>
    <phoneticPr fontId="3"/>
  </si>
  <si>
    <t>10101-ｱﾒﾘｶ</t>
    <phoneticPr fontId="3"/>
  </si>
  <si>
    <t>0013-ポート</t>
    <phoneticPr fontId="3"/>
  </si>
  <si>
    <t>13-バーボン</t>
    <phoneticPr fontId="3"/>
  </si>
  <si>
    <t>10102-ｶﾅﾀﾞ</t>
    <phoneticPr fontId="3"/>
  </si>
  <si>
    <t>0014-マデラ</t>
    <phoneticPr fontId="3"/>
  </si>
  <si>
    <t>14-カナディアン</t>
    <phoneticPr fontId="3"/>
  </si>
  <si>
    <t>10103-ｷｭｰﾊﾞ</t>
    <phoneticPr fontId="3"/>
  </si>
  <si>
    <t>0015-その他</t>
    <rPh sb="7" eb="8">
      <t>タ</t>
    </rPh>
    <phoneticPr fontId="3"/>
  </si>
  <si>
    <t>15-インド</t>
    <phoneticPr fontId="3"/>
  </si>
  <si>
    <t>10104-ﾒｷｼｺ</t>
    <phoneticPr fontId="3"/>
  </si>
  <si>
    <t>16-台湾</t>
    <rPh sb="3" eb="5">
      <t>タイワン</t>
    </rPh>
    <phoneticPr fontId="3"/>
  </si>
  <si>
    <t>10105-ﾌﾞﾗｼﾞﾙ</t>
    <phoneticPr fontId="3"/>
  </si>
  <si>
    <t>17-輸入グレーン</t>
    <rPh sb="3" eb="5">
      <t>ユニュウ</t>
    </rPh>
    <phoneticPr fontId="3"/>
  </si>
  <si>
    <t>10106-ﾍﾟﾙｰ</t>
    <phoneticPr fontId="3"/>
  </si>
  <si>
    <t>18-その他</t>
    <rPh sb="5" eb="6">
      <t>タ</t>
    </rPh>
    <phoneticPr fontId="3"/>
  </si>
  <si>
    <t>10108-ｱﾙｾﾞﾝﾁﾝ</t>
    <phoneticPr fontId="3"/>
  </si>
  <si>
    <t>19-国産ブランデー</t>
    <rPh sb="3" eb="5">
      <t>コクサン</t>
    </rPh>
    <phoneticPr fontId="3"/>
  </si>
  <si>
    <t>10109-ﾁﾘ</t>
    <phoneticPr fontId="3"/>
  </si>
  <si>
    <t>20-コニャック</t>
    <phoneticPr fontId="3"/>
  </si>
  <si>
    <t>10201-ﾄﾞｲﾂ</t>
    <phoneticPr fontId="3"/>
  </si>
  <si>
    <t>21-アルマニャック</t>
    <phoneticPr fontId="3"/>
  </si>
  <si>
    <t>10202-ｵｰｽﾄﾘｱ</t>
    <phoneticPr fontId="3"/>
  </si>
  <si>
    <t>22-マール</t>
    <phoneticPr fontId="3"/>
  </si>
  <si>
    <t>10203-ﾁｪｺ</t>
    <phoneticPr fontId="3"/>
  </si>
  <si>
    <t>23-グラッパ</t>
    <phoneticPr fontId="3"/>
  </si>
  <si>
    <t>10204-ﾍﾞﾙｷﾞｰ</t>
    <phoneticPr fontId="3"/>
  </si>
  <si>
    <t>24-カルバドス</t>
    <phoneticPr fontId="3"/>
  </si>
  <si>
    <t>10205-ｵﾗﾝﾀﾞ</t>
    <phoneticPr fontId="3"/>
  </si>
  <si>
    <t>25-その他ブランデー</t>
    <rPh sb="5" eb="6">
      <t>タ</t>
    </rPh>
    <phoneticPr fontId="3"/>
  </si>
  <si>
    <t>10206-ｽｲｽ</t>
    <phoneticPr fontId="3"/>
  </si>
  <si>
    <t>10207-ﾃﾞﾝﾏｰｸ</t>
    <phoneticPr fontId="3"/>
  </si>
  <si>
    <t>10208-ｲｷﾞﾘｽ</t>
    <phoneticPr fontId="3"/>
  </si>
  <si>
    <t>10209-ﾌﾗﾝｽ</t>
    <phoneticPr fontId="3"/>
  </si>
  <si>
    <t>10210-ｲﾀﾘｱ</t>
    <phoneticPr fontId="3"/>
  </si>
  <si>
    <t>10211-ｽﾍﾟｲﾝ</t>
    <phoneticPr fontId="3"/>
  </si>
  <si>
    <t>10212-ﾎﾟﾙﾄｶﾞﾙ</t>
    <phoneticPr fontId="3"/>
  </si>
  <si>
    <t>10213-ｷﾞﾘｼｬ</t>
    <phoneticPr fontId="3"/>
  </si>
  <si>
    <t>10214-ﾄﾙｺ</t>
    <phoneticPr fontId="3"/>
  </si>
  <si>
    <t>10215-ﾛｼｱ</t>
    <phoneticPr fontId="3"/>
  </si>
  <si>
    <t>10217-ﾌｨﾝﾗﾝﾄﾞ</t>
    <phoneticPr fontId="3"/>
  </si>
  <si>
    <t>10218-ﾙｰﾏﾆｱ</t>
    <phoneticPr fontId="3"/>
  </si>
  <si>
    <t>10219-ｱｲﾙﾗﾝﾄﾞ</t>
    <phoneticPr fontId="3"/>
  </si>
  <si>
    <t>10220-ｳｸﾗｲﾅ</t>
    <phoneticPr fontId="3"/>
  </si>
  <si>
    <t>10221-ｽｺｯﾄﾗﾝﾄﾞ</t>
    <phoneticPr fontId="3"/>
  </si>
  <si>
    <t>10222-ｼﾞｮｰｼﾞｱ</t>
    <phoneticPr fontId="3"/>
  </si>
  <si>
    <t>10223-ﾊﾝｶﾞﾘｰ</t>
    <phoneticPr fontId="3"/>
  </si>
  <si>
    <t>10224-ｲｽﾗｴﾙ</t>
    <phoneticPr fontId="3"/>
  </si>
  <si>
    <t>10225-南ｱﾌﾘｶ</t>
    <rPh sb="6" eb="7">
      <t>ミナミ</t>
    </rPh>
    <phoneticPr fontId="3"/>
  </si>
  <si>
    <t>1清酒</t>
  </si>
  <si>
    <t>4合 成 酒</t>
  </si>
  <si>
    <t>7味 醂</t>
  </si>
  <si>
    <t>8本 直 し</t>
  </si>
  <si>
    <t>9ビ ー ル</t>
  </si>
  <si>
    <t>11甘味果実酒･ｽﾊﾟｰｸﾘﾝｸﾞ</t>
  </si>
  <si>
    <t>20発泡酒</t>
  </si>
  <si>
    <t>31雑品、飲料類含む</t>
  </si>
  <si>
    <t>200合成清酒</t>
  </si>
  <si>
    <t>301焼酎 甲類</t>
  </si>
  <si>
    <t>302焼酎 乙類</t>
  </si>
  <si>
    <t>303焼酎 甲乙混合</t>
  </si>
  <si>
    <t>400味醂</t>
  </si>
  <si>
    <t>500ビール</t>
  </si>
  <si>
    <t>601果実酒</t>
  </si>
  <si>
    <t>701ウイスキー</t>
  </si>
  <si>
    <t>702ブランデー</t>
  </si>
  <si>
    <t>800スピリッツ</t>
  </si>
  <si>
    <t>1000原料用アルコール</t>
  </si>
  <si>
    <t>1001発泡酒</t>
  </si>
  <si>
    <t>1002その他 雑酒</t>
  </si>
  <si>
    <t>1003その他醸造酒</t>
  </si>
  <si>
    <t>1100粉末酒</t>
  </si>
  <si>
    <t>505フランスワイン 白</t>
    <rPh sb="11" eb="12">
      <t>シロ</t>
    </rPh>
    <phoneticPr fontId="23"/>
  </si>
  <si>
    <t>2901焼酎 ギフト・セット</t>
  </si>
  <si>
    <t>6501ＯＷ フランス</t>
  </si>
  <si>
    <t>6502ＯＷ ドイツ</t>
  </si>
  <si>
    <t>6503ＯＷ イタリア</t>
  </si>
  <si>
    <t>6504ＯＷ スペイン</t>
  </si>
  <si>
    <t>6505ＯＷ ポルトガル</t>
  </si>
  <si>
    <t>6506ＯＷ ギリシャ</t>
  </si>
  <si>
    <t>6507ＯＷ ハンガリー</t>
  </si>
  <si>
    <t>6508ＯＷ オーストリア</t>
  </si>
  <si>
    <t>6520ＯＷ ブルガリア</t>
  </si>
  <si>
    <t>6521ＯＷ クロアチア</t>
  </si>
  <si>
    <t>6522ＯＷ ジョージア</t>
  </si>
  <si>
    <t>6523ＯＷ ルクセンブルグ</t>
  </si>
  <si>
    <t>6524ＯＷ モルドバ</t>
  </si>
  <si>
    <t>6525ＯＷ ルーマニア</t>
  </si>
  <si>
    <t>6526ＯＷ イギリス</t>
  </si>
  <si>
    <t>6527ＯＷ スロヴェニア</t>
  </si>
  <si>
    <t>6528ＯＷ スイス</t>
  </si>
  <si>
    <t>6510ＯＷ アメリカ</t>
  </si>
  <si>
    <t>6529ＯＷ カナダ</t>
  </si>
  <si>
    <t>6511ＯＷ チリ</t>
  </si>
  <si>
    <t>6512ＯＷ アルゼンチン</t>
  </si>
  <si>
    <t>6514ＯＷ 南アフリカ</t>
  </si>
  <si>
    <t>6516ＯＷ オーストラリア</t>
  </si>
  <si>
    <t>6517ＯＷ ニュージーランド</t>
  </si>
  <si>
    <t>6530ＯＷ 日本ワイン</t>
  </si>
  <si>
    <t>6531ＯＷ 日本国内製造ワイン</t>
  </si>
  <si>
    <t>6599ＯＷ その他</t>
  </si>
  <si>
    <t>5101ブレンデッドスコッチ</t>
  </si>
  <si>
    <t>5103アイリッシュウイスキー</t>
  </si>
  <si>
    <t>5104バーボンウイスキー</t>
  </si>
  <si>
    <t>5105カナディアンウイスキー</t>
  </si>
  <si>
    <t>5901ウイブラ ギフト・セット</t>
  </si>
  <si>
    <t>5501日本国内製造ブレンデッド</t>
  </si>
  <si>
    <t>6104輸入 香草・薬草系リキュール</t>
  </si>
  <si>
    <t>6106輸入 ナッツ・種子系リキュール</t>
  </si>
  <si>
    <t>6108国産 香草・薬草系リキュール</t>
  </si>
  <si>
    <t>6110国産 ナッツ・種子系リキュール</t>
  </si>
  <si>
    <t>6901スピリキ ギフト・セット</t>
  </si>
  <si>
    <t>6204グレープフルーツ（RTD）</t>
  </si>
  <si>
    <t>6206ウイスキーハイボール・水割り（RTD）</t>
  </si>
  <si>
    <t>6207ウーロン茶割・緑茶割（RTD）</t>
  </si>
  <si>
    <t>6701チューハイ・ＲＴＤ ギフト・セット</t>
  </si>
  <si>
    <t>100清酒</t>
    <phoneticPr fontId="9"/>
  </si>
  <si>
    <t>602甘味果実酒</t>
    <phoneticPr fontId="9"/>
  </si>
  <si>
    <t>1北海道</t>
  </si>
  <si>
    <t>2青森県</t>
  </si>
  <si>
    <t>3岩手県</t>
  </si>
  <si>
    <t>46鹿児島県</t>
  </si>
  <si>
    <t>20103シャンパーニュ地方</t>
  </si>
  <si>
    <t>20301ｶﾘﾌｫﾙﾆｱ州ﾅﾊﾟ</t>
  </si>
  <si>
    <t>20302ｶﾘﾌｫﾙﾆｱ州ｿﾉﾏ</t>
  </si>
  <si>
    <t>20303ｶﾘﾌｫﾙﾆｱ州その他</t>
  </si>
  <si>
    <t>20304オレゴン州</t>
  </si>
  <si>
    <t>20305ワシントン州</t>
  </si>
  <si>
    <t>20306ニューヨーク州</t>
  </si>
  <si>
    <t>20307アメリカ その他</t>
  </si>
  <si>
    <t>店舗取扱区分</t>
    <rPh sb="0" eb="4">
      <t>テンポトリアツカ</t>
    </rPh>
    <phoneticPr fontId="9"/>
  </si>
  <si>
    <t>予備区分1</t>
    <rPh sb="0" eb="2">
      <t>ヨビ</t>
    </rPh>
    <rPh sb="2" eb="4">
      <t>クブン</t>
    </rPh>
    <phoneticPr fontId="9"/>
  </si>
  <si>
    <t>予備区分2</t>
    <rPh sb="0" eb="2">
      <t>ヨビ</t>
    </rPh>
    <rPh sb="2" eb="4">
      <t>クブン</t>
    </rPh>
    <phoneticPr fontId="9"/>
  </si>
  <si>
    <t>1オーガニック</t>
  </si>
  <si>
    <t>1ノンフィルター</t>
  </si>
  <si>
    <t>2ビオディナミ</t>
  </si>
  <si>
    <t>2SO2フリー</t>
  </si>
  <si>
    <t>3ヴィーガン</t>
  </si>
  <si>
    <t>3ノンフィルター/SO2フリー</t>
  </si>
  <si>
    <t>4オーガニック/ビオディナミ/ヴィーガン</t>
  </si>
  <si>
    <t>5オーガニック/ビオディナミ</t>
  </si>
  <si>
    <t>6オーガニック/ヴィーガン</t>
  </si>
  <si>
    <t>7ビオディナミ/ヴィーガン</t>
  </si>
  <si>
    <t>1 50%以上</t>
    <rPh sb="5" eb="7">
      <t>イジョウ</t>
    </rPh>
    <phoneticPr fontId="9"/>
  </si>
  <si>
    <t>2 25%以上50%未満</t>
    <rPh sb="5" eb="7">
      <t>イジョウ</t>
    </rPh>
    <rPh sb="10" eb="12">
      <t>ミマン</t>
    </rPh>
    <phoneticPr fontId="9"/>
  </si>
  <si>
    <t>3 25%未満</t>
    <rPh sb="5" eb="7">
      <t>ミマン</t>
    </rPh>
    <phoneticPr fontId="9"/>
  </si>
  <si>
    <t>麦芽比率_微発泡清酒</t>
    <rPh sb="0" eb="4">
      <t>バクガヒリツ</t>
    </rPh>
    <rPh sb="5" eb="8">
      <t>ビハッポウ</t>
    </rPh>
    <rPh sb="8" eb="10">
      <t>セイシュ</t>
    </rPh>
    <phoneticPr fontId="9"/>
  </si>
  <si>
    <t>コルク POS            部署別店頭単価5200569</t>
    <rPh sb="19" eb="21">
      <t>ブショ</t>
    </rPh>
    <rPh sb="21" eb="22">
      <t>ベツ</t>
    </rPh>
    <rPh sb="22" eb="24">
      <t>テントウ</t>
    </rPh>
    <rPh sb="24" eb="26">
      <t>タンカ</t>
    </rPh>
    <phoneticPr fontId="3"/>
  </si>
  <si>
    <t>申請書と登録が異なる場合はセルが「黄色」になります。</t>
    <rPh sb="0" eb="2">
      <t>シンセイ</t>
    </rPh>
    <rPh sb="2" eb="3">
      <t>ショ</t>
    </rPh>
    <rPh sb="4" eb="6">
      <t>トウロク</t>
    </rPh>
    <rPh sb="7" eb="8">
      <t>コト</t>
    </rPh>
    <rPh sb="10" eb="12">
      <t>バアイ</t>
    </rPh>
    <rPh sb="17" eb="19">
      <t>キイロ</t>
    </rPh>
    <phoneticPr fontId="3"/>
  </si>
  <si>
    <t>01本</t>
  </si>
  <si>
    <t>0</t>
    <phoneticPr fontId="3"/>
  </si>
  <si>
    <t>4 発泡清酒</t>
    <rPh sb="2" eb="4">
      <t>ハッポウ</t>
    </rPh>
    <rPh sb="4" eb="6">
      <t>セイシュ</t>
    </rPh>
    <phoneticPr fontId="9"/>
  </si>
  <si>
    <t>※5：依頼者（社員CD）/依頼先（得意先CD）（予備名称1）</t>
    <rPh sb="3" eb="6">
      <t>イライシャ</t>
    </rPh>
    <rPh sb="7" eb="9">
      <t>シャイン</t>
    </rPh>
    <rPh sb="13" eb="16">
      <t>イライサキ</t>
    </rPh>
    <rPh sb="17" eb="20">
      <t>トクイサキ</t>
    </rPh>
    <rPh sb="24" eb="26">
      <t>ヨビ</t>
    </rPh>
    <rPh sb="26" eb="28">
      <t>メイショウ</t>
    </rPh>
    <phoneticPr fontId="3"/>
  </si>
  <si>
    <t>MMFC                                得意先別単価5101510</t>
    <rPh sb="36" eb="39">
      <t>トクイサキ</t>
    </rPh>
    <rPh sb="39" eb="40">
      <t>ベツ</t>
    </rPh>
    <rPh sb="40" eb="42">
      <t>タンカ</t>
    </rPh>
    <phoneticPr fontId="3"/>
  </si>
  <si>
    <t>↑↓申請書と登録が異なる場合はセルが「黄色」になります。</t>
    <rPh sb="2" eb="4">
      <t>シンセイ</t>
    </rPh>
    <rPh sb="4" eb="5">
      <t>ショ</t>
    </rPh>
    <rPh sb="6" eb="8">
      <t>トウロク</t>
    </rPh>
    <rPh sb="9" eb="10">
      <t>コト</t>
    </rPh>
    <rPh sb="12" eb="14">
      <t>バアイ</t>
    </rPh>
    <rPh sb="19" eb="21">
      <t>キイロ</t>
    </rPh>
    <phoneticPr fontId="3"/>
  </si>
  <si>
    <t>↑販管費チェック：上記POS売価が下記売価を下回った場合、セルが「オレンジ」になります。</t>
    <rPh sb="1" eb="4">
      <t>ハンカンヒ</t>
    </rPh>
    <rPh sb="9" eb="11">
      <t>ジョウキ</t>
    </rPh>
    <rPh sb="14" eb="16">
      <t>バイカ</t>
    </rPh>
    <rPh sb="17" eb="19">
      <t>カキ</t>
    </rPh>
    <rPh sb="19" eb="21">
      <t>バイカ</t>
    </rPh>
    <rPh sb="22" eb="24">
      <t>シタマワ</t>
    </rPh>
    <rPh sb="26" eb="28">
      <t>バアイ</t>
    </rPh>
    <phoneticPr fontId="3"/>
  </si>
  <si>
    <t>①【商品部使用】商品マスタメンテナンス（基本）　登録結果</t>
    <rPh sb="2" eb="4">
      <t>ショウヒン</t>
    </rPh>
    <rPh sb="4" eb="5">
      <t>ブ</t>
    </rPh>
    <rPh sb="5" eb="7">
      <t>シヨウ</t>
    </rPh>
    <rPh sb="8" eb="10">
      <t>ショウヒン</t>
    </rPh>
    <rPh sb="20" eb="22">
      <t>キホン</t>
    </rPh>
    <rPh sb="24" eb="26">
      <t>トウロク</t>
    </rPh>
    <rPh sb="26" eb="28">
      <t>ケッカ</t>
    </rPh>
    <phoneticPr fontId="3"/>
  </si>
  <si>
    <t>【商品部用】仕入単価・発注情報 登録結果</t>
    <rPh sb="1" eb="3">
      <t>ショウヒン</t>
    </rPh>
    <rPh sb="3" eb="4">
      <t>ブ</t>
    </rPh>
    <rPh sb="4" eb="5">
      <t>ヨウ</t>
    </rPh>
    <rPh sb="16" eb="18">
      <t>トウロク</t>
    </rPh>
    <rPh sb="18" eb="20">
      <t>ケッカ</t>
    </rPh>
    <phoneticPr fontId="3"/>
  </si>
  <si>
    <t>申請者社員番号→</t>
    <rPh sb="0" eb="3">
      <t>シンセイシャ</t>
    </rPh>
    <rPh sb="3" eb="7">
      <t>シャインバンゴウ</t>
    </rPh>
    <phoneticPr fontId="3"/>
  </si>
  <si>
    <t>※販管費：カクヤス19.89％、KYL16.46％</t>
    <rPh sb="1" eb="4">
      <t>ハンカンヒ</t>
    </rPh>
    <phoneticPr fontId="3"/>
  </si>
  <si>
    <t>※販管費：カクヤス19.89％、KYL16.46％</t>
    <phoneticPr fontId="3"/>
  </si>
  <si>
    <t>Ｒ単価の計算式を変えたい場合は「校閲」からシートの保護の解除をしてください</t>
    <rPh sb="1" eb="3">
      <t>タンカ</t>
    </rPh>
    <rPh sb="4" eb="7">
      <t>ケイサンシキ</t>
    </rPh>
    <rPh sb="8" eb="9">
      <t>カ</t>
    </rPh>
    <rPh sb="12" eb="14">
      <t>バアイ</t>
    </rPh>
    <rPh sb="16" eb="18">
      <t>コウエツ</t>
    </rPh>
    <rPh sb="25" eb="27">
      <t>ホゴ</t>
    </rPh>
    <rPh sb="28" eb="30">
      <t>カイジョ</t>
    </rPh>
    <phoneticPr fontId="3"/>
  </si>
  <si>
    <t>512イタリアワイン ロゼ</t>
    <phoneticPr fontId="9"/>
  </si>
  <si>
    <t>①</t>
    <phoneticPr fontId="11"/>
  </si>
  <si>
    <t>②</t>
    <phoneticPr fontId="11"/>
  </si>
  <si>
    <t>バラ</t>
    <phoneticPr fontId="11"/>
  </si>
  <si>
    <t>全国/関東</t>
    <rPh sb="0" eb="2">
      <t>ゼンコク</t>
    </rPh>
    <rPh sb="3" eb="5">
      <t>カントウ</t>
    </rPh>
    <phoneticPr fontId="11"/>
  </si>
  <si>
    <t>0：即配</t>
    <rPh sb="2" eb="4">
      <t>ソクハイ</t>
    </rPh>
    <phoneticPr fontId="11"/>
  </si>
  <si>
    <t>ケース</t>
    <phoneticPr fontId="11"/>
  </si>
  <si>
    <t>全国のみ</t>
    <rPh sb="0" eb="2">
      <t>ゼンコク</t>
    </rPh>
    <phoneticPr fontId="11"/>
  </si>
  <si>
    <t>1：短納期</t>
    <rPh sb="2" eb="5">
      <t>タンノウキ</t>
    </rPh>
    <phoneticPr fontId="11"/>
  </si>
  <si>
    <t>ＪＡＮ（ケース）</t>
    <phoneticPr fontId="11"/>
  </si>
  <si>
    <t>ＩＴＦコード</t>
    <phoneticPr fontId="11"/>
  </si>
  <si>
    <t>ＪＡＮ（バラ）</t>
    <phoneticPr fontId="11"/>
  </si>
  <si>
    <t>バラ/ケース</t>
    <phoneticPr fontId="11"/>
  </si>
  <si>
    <t>関東のみ</t>
    <rPh sb="0" eb="2">
      <t>カントウ</t>
    </rPh>
    <phoneticPr fontId="11"/>
  </si>
  <si>
    <t>2：予約</t>
    <rPh sb="2" eb="4">
      <t>ヨヤク</t>
    </rPh>
    <phoneticPr fontId="11"/>
  </si>
  <si>
    <t>関西のみ</t>
    <rPh sb="0" eb="2">
      <t>カンサイ</t>
    </rPh>
    <phoneticPr fontId="11"/>
  </si>
  <si>
    <t>3：Web在庫販売（取寄せ）</t>
    <rPh sb="5" eb="9">
      <t>ザイコハンバイ</t>
    </rPh>
    <rPh sb="10" eb="11">
      <t>ト</t>
    </rPh>
    <rPh sb="11" eb="12">
      <t>ヨ</t>
    </rPh>
    <phoneticPr fontId="11"/>
  </si>
  <si>
    <t>メーカー</t>
    <phoneticPr fontId="11"/>
  </si>
  <si>
    <t>九州のみ</t>
    <rPh sb="0" eb="2">
      <t>キュウシュウ</t>
    </rPh>
    <phoneticPr fontId="11"/>
  </si>
  <si>
    <t>4：在庫限り販売（即日）</t>
    <rPh sb="2" eb="5">
      <t>ザイコカギ</t>
    </rPh>
    <rPh sb="6" eb="8">
      <t>ハンバイ</t>
    </rPh>
    <rPh sb="9" eb="11">
      <t>ソクジツ</t>
    </rPh>
    <phoneticPr fontId="11"/>
  </si>
  <si>
    <t>5：ｾﾝﾀｰ在庫限り販売</t>
    <rPh sb="6" eb="9">
      <t>ザイコカギ</t>
    </rPh>
    <rPh sb="10" eb="12">
      <t>ハンバイ</t>
    </rPh>
    <phoneticPr fontId="11"/>
  </si>
  <si>
    <t>【商品画像】</t>
    <rPh sb="1" eb="3">
      <t>ショウヒン</t>
    </rPh>
    <rPh sb="3" eb="5">
      <t>ガゾウ</t>
    </rPh>
    <phoneticPr fontId="11"/>
  </si>
  <si>
    <t>【広告規模・備考】</t>
    <phoneticPr fontId="11"/>
  </si>
  <si>
    <t>ｹｰｽ割引</t>
    <rPh sb="3" eb="5">
      <t>ワリビキ</t>
    </rPh>
    <phoneticPr fontId="11"/>
  </si>
  <si>
    <t>400番台</t>
    <rPh sb="3" eb="5">
      <t>バンダイ</t>
    </rPh>
    <phoneticPr fontId="11"/>
  </si>
  <si>
    <t>1800番台</t>
    <rPh sb="4" eb="6">
      <t>バンダイ</t>
    </rPh>
    <phoneticPr fontId="11"/>
  </si>
  <si>
    <t>仕入単価（Ｎ3）</t>
    <rPh sb="0" eb="2">
      <t>シイレ</t>
    </rPh>
    <rPh sb="2" eb="4">
      <t>タンカ</t>
    </rPh>
    <phoneticPr fontId="11"/>
  </si>
  <si>
    <t>期間定番</t>
    <rPh sb="0" eb="2">
      <t>キカン</t>
    </rPh>
    <rPh sb="2" eb="4">
      <t>テイバン</t>
    </rPh>
    <phoneticPr fontId="11"/>
  </si>
  <si>
    <t>予約</t>
    <rPh sb="0" eb="2">
      <t>ヨヤク</t>
    </rPh>
    <phoneticPr fontId="11"/>
  </si>
  <si>
    <t>受注区分</t>
    <rPh sb="0" eb="4">
      <t>ジュチュウクブン</t>
    </rPh>
    <phoneticPr fontId="11"/>
  </si>
  <si>
    <t>宅配</t>
    <rPh sb="0" eb="2">
      <t>タクハイ</t>
    </rPh>
    <phoneticPr fontId="11"/>
  </si>
  <si>
    <t>期間</t>
    <rPh sb="0" eb="2">
      <t>キカン</t>
    </rPh>
    <phoneticPr fontId="11"/>
  </si>
  <si>
    <t>自社EC</t>
    <rPh sb="0" eb="2">
      <t>ジシャ</t>
    </rPh>
    <phoneticPr fontId="11"/>
  </si>
  <si>
    <t>掲載開始日</t>
    <rPh sb="0" eb="2">
      <t>ケイサイ</t>
    </rPh>
    <rPh sb="2" eb="5">
      <t>カイシビ</t>
    </rPh>
    <phoneticPr fontId="11"/>
  </si>
  <si>
    <t>エリア</t>
    <phoneticPr fontId="11"/>
  </si>
  <si>
    <t>納期区分</t>
    <rPh sb="0" eb="4">
      <t>ノウキクブン</t>
    </rPh>
    <phoneticPr fontId="11"/>
  </si>
  <si>
    <t>リードタイム</t>
    <phoneticPr fontId="11"/>
  </si>
  <si>
    <t>納期短縮</t>
    <rPh sb="0" eb="4">
      <t>ノウキタンシュク</t>
    </rPh>
    <phoneticPr fontId="11"/>
  </si>
  <si>
    <t>配達方法</t>
    <rPh sb="0" eb="4">
      <t>ハイタツホウホウ</t>
    </rPh>
    <phoneticPr fontId="11"/>
  </si>
  <si>
    <t>TEL帯</t>
    <rPh sb="3" eb="4">
      <t>オビ</t>
    </rPh>
    <phoneticPr fontId="11"/>
  </si>
  <si>
    <t>その他</t>
    <rPh sb="2" eb="3">
      <t>ホカ</t>
    </rPh>
    <phoneticPr fontId="11"/>
  </si>
  <si>
    <t>温度帯</t>
    <rPh sb="0" eb="3">
      <t>オンドタイ</t>
    </rPh>
    <phoneticPr fontId="11"/>
  </si>
  <si>
    <t>④</t>
    <phoneticPr fontId="11"/>
  </si>
  <si>
    <t>702ブレンデッドスコッチ</t>
    <phoneticPr fontId="9"/>
  </si>
  <si>
    <t>Ｒ登録者</t>
    <phoneticPr fontId="3"/>
  </si>
  <si>
    <t>Ｒ確認者</t>
    <phoneticPr fontId="3"/>
  </si>
  <si>
    <t>R1</t>
    <phoneticPr fontId="3"/>
  </si>
  <si>
    <t>N1</t>
    <phoneticPr fontId="3"/>
  </si>
  <si>
    <t>N2</t>
    <phoneticPr fontId="3"/>
  </si>
  <si>
    <t>リベート2</t>
    <phoneticPr fontId="3"/>
  </si>
  <si>
    <t>N3</t>
    <phoneticPr fontId="3"/>
  </si>
  <si>
    <t>仕入単価</t>
    <rPh sb="0" eb="4">
      <t>シイレタンカ</t>
    </rPh>
    <phoneticPr fontId="3"/>
  </si>
  <si>
    <t>カクヤスPOS</t>
    <phoneticPr fontId="3"/>
  </si>
  <si>
    <t>旧KYL POS            部署別店頭単価5202000</t>
    <rPh sb="0" eb="1">
      <t>キュウ</t>
    </rPh>
    <rPh sb="20" eb="22">
      <t>ブショ</t>
    </rPh>
    <rPh sb="22" eb="23">
      <t>ベツ</t>
    </rPh>
    <rPh sb="23" eb="25">
      <t>テントウ</t>
    </rPh>
    <rPh sb="25" eb="27">
      <t>タンカ</t>
    </rPh>
    <phoneticPr fontId="3"/>
  </si>
  <si>
    <t>※販管費：カクヤス19.89％、KYL16.46％</t>
    <phoneticPr fontId="3"/>
  </si>
  <si>
    <t>仕入単価欄に②シートの仕入単価が入るようになっています。手動入力も可。</t>
    <rPh sb="11" eb="15">
      <t>シイレタンカ</t>
    </rPh>
    <rPh sb="16" eb="17">
      <t>ハイ</t>
    </rPh>
    <rPh sb="28" eb="30">
      <t>シュドウ</t>
    </rPh>
    <rPh sb="30" eb="32">
      <t>ニュウリョク</t>
    </rPh>
    <rPh sb="33" eb="34">
      <t>カ</t>
    </rPh>
    <phoneticPr fontId="3"/>
  </si>
  <si>
    <t>Nは仕入単価から計算。手動入力も可。</t>
    <rPh sb="2" eb="6">
      <t>シイレタンカ</t>
    </rPh>
    <rPh sb="8" eb="10">
      <t>ケイサン</t>
    </rPh>
    <rPh sb="11" eb="13">
      <t>シュドウ</t>
    </rPh>
    <rPh sb="13" eb="15">
      <t>ニュウリョク</t>
    </rPh>
    <rPh sb="16" eb="17">
      <t>カ</t>
    </rPh>
    <phoneticPr fontId="3"/>
  </si>
  <si>
    <t>●</t>
    <phoneticPr fontId="11"/>
  </si>
  <si>
    <t>バラ</t>
    <phoneticPr fontId="11"/>
  </si>
  <si>
    <t>ＪＡＮ（バラ）</t>
    <phoneticPr fontId="11"/>
  </si>
  <si>
    <t>ＪＡＮ（ケース）</t>
    <phoneticPr fontId="11"/>
  </si>
  <si>
    <t>メーカー</t>
    <phoneticPr fontId="11"/>
  </si>
  <si>
    <t>【コメント】</t>
    <phoneticPr fontId="11"/>
  </si>
  <si>
    <t>バラ</t>
    <phoneticPr fontId="11"/>
  </si>
  <si>
    <t>POS</t>
    <phoneticPr fontId="11"/>
  </si>
  <si>
    <t>～</t>
    <phoneticPr fontId="11"/>
  </si>
  <si>
    <t>～</t>
    <phoneticPr fontId="11"/>
  </si>
  <si>
    <t>エリア</t>
    <phoneticPr fontId="11"/>
  </si>
  <si>
    <t>リードタイム</t>
    <phoneticPr fontId="11"/>
  </si>
  <si>
    <t>③</t>
    <phoneticPr fontId="11"/>
  </si>
  <si>
    <t>メーカー</t>
    <phoneticPr fontId="11"/>
  </si>
  <si>
    <t>【コメント】</t>
    <phoneticPr fontId="11"/>
  </si>
  <si>
    <t>【広告規模・備考】</t>
    <phoneticPr fontId="11"/>
  </si>
  <si>
    <t>バラ</t>
    <phoneticPr fontId="11"/>
  </si>
  <si>
    <t>ケース</t>
    <phoneticPr fontId="11"/>
  </si>
  <si>
    <t>POS</t>
    <phoneticPr fontId="11"/>
  </si>
  <si>
    <t>エリア</t>
    <phoneticPr fontId="11"/>
  </si>
  <si>
    <t>ワインタイプ</t>
    <phoneticPr fontId="3"/>
  </si>
  <si>
    <t>予備選択01
ウイスキー</t>
    <phoneticPr fontId="3"/>
  </si>
  <si>
    <t>ビールタイプ</t>
    <phoneticPr fontId="3"/>
  </si>
  <si>
    <t>予備選択02
スピリキ</t>
    <phoneticPr fontId="3"/>
  </si>
  <si>
    <t>①</t>
    <phoneticPr fontId="3"/>
  </si>
  <si>
    <t>②</t>
    <phoneticPr fontId="3"/>
  </si>
  <si>
    <t>③</t>
    <phoneticPr fontId="3"/>
  </si>
  <si>
    <t>#</t>
    <phoneticPr fontId="3"/>
  </si>
  <si>
    <t>SYOHIN_CODE</t>
  </si>
  <si>
    <t>SYOHIN_KUBUN</t>
  </si>
  <si>
    <t>SYOHIN_NAME</t>
  </si>
  <si>
    <t>SYOHIN_KANA_NAME</t>
  </si>
  <si>
    <t>POS_SYOHIN_KANZI_NAME</t>
  </si>
  <si>
    <t>POS_SYOHIN_KANA_NAME</t>
  </si>
  <si>
    <t>YORYO</t>
  </si>
  <si>
    <t>KIKAKU</t>
  </si>
  <si>
    <t>IRISU</t>
  </si>
  <si>
    <t>ZYURYO_CS</t>
  </si>
  <si>
    <t>ZYURYO_BT</t>
  </si>
  <si>
    <t>TANI_CODE_CS</t>
  </si>
  <si>
    <t>TANI_CODE_BT</t>
  </si>
  <si>
    <t>ZAIKO_KANRI_FLAG</t>
  </si>
  <si>
    <t>SYOHIN_HATUBAI_DATE</t>
  </si>
  <si>
    <t>SYOMI_KIGEN_DAYS</t>
  </si>
  <si>
    <t>ATUKAI_KAISI_DATE</t>
  </si>
  <si>
    <t>SYUBAI_KUBUN</t>
  </si>
  <si>
    <t>KAZEI_KUBUN</t>
  </si>
  <si>
    <t>ZEIRITU_CODE</t>
  </si>
  <si>
    <t>SYOHIN_SYUBETU_CODE</t>
  </si>
  <si>
    <t>ONDOTAI_KUBUN</t>
  </si>
  <si>
    <t>BUTURYU_KUBUN</t>
  </si>
  <si>
    <t>DEPO_TOZITU_HATTYU_KUBUN</t>
  </si>
  <si>
    <t>TYOKUSO_NOHIN_LEAD_TIME</t>
  </si>
  <si>
    <t>GIFT_TYOKUSO_KUBUN</t>
  </si>
  <si>
    <t>PACKAGE_KOSEI_SYOHIN_CODE</t>
  </si>
  <si>
    <t>PACKAGE_KOSEI_SU</t>
  </si>
  <si>
    <t>BUNSEKIYO_KAISO_CODE_01</t>
  </si>
  <si>
    <t>SYOHIN_KUBUN</t>
    <phoneticPr fontId="3"/>
  </si>
  <si>
    <t>KUYOKISYOHIN_CODE</t>
  </si>
  <si>
    <t>KUHAKOSYOHIN_CODE</t>
  </si>
  <si>
    <t>YOKI_KUBUN</t>
  </si>
  <si>
    <t>HT_YOKI_KAISYU</t>
  </si>
  <si>
    <t>SDP_CODE</t>
  </si>
  <si>
    <t>DENPATU_BUNRUI_CODE</t>
  </si>
  <si>
    <t>SYURUI_CODE</t>
  </si>
  <si>
    <t>KOKUSAN_YUNYU_KUBUN</t>
  </si>
  <si>
    <t>DOSU_01</t>
  </si>
  <si>
    <t>DOSU_02</t>
  </si>
  <si>
    <t>SANTI_CODE_KUNI</t>
  </si>
  <si>
    <t>SANTI_CODE_TIHO</t>
  </si>
  <si>
    <t>SEIKI_HEIKO_KUBUN</t>
  </si>
  <si>
    <t>NOMIKUTI_CODE</t>
  </si>
  <si>
    <t>MAKER_CODE</t>
  </si>
  <si>
    <t>KISETU_GENTEI_KUBUN</t>
  </si>
  <si>
    <t>TENPO_ATUKAI_KUBUN</t>
  </si>
  <si>
    <t>JAN_CODE_CASE</t>
  </si>
  <si>
    <t>JAN_CODE_BARA</t>
  </si>
  <si>
    <t>SIZENHA_WAIN_1</t>
  </si>
  <si>
    <t>SIZENHA_WAIN_2</t>
  </si>
  <si>
    <t>KAGENTI_KUBUN</t>
  </si>
  <si>
    <t>PB_KUBUN</t>
  </si>
  <si>
    <t>SCREW_LABELLESS_KUBUN</t>
  </si>
  <si>
    <t>TOKUISAKIBETU_WARIATE_SYOHIN</t>
  </si>
  <si>
    <t>SET_SYOHIN_IKKATU_KUMITATE</t>
  </si>
  <si>
    <t>TORIYOSE_KUBUN</t>
  </si>
  <si>
    <t>YOKOMOTI_PICK_TAISYO</t>
  </si>
  <si>
    <t>BAKUGA_HIRITU</t>
  </si>
  <si>
    <t>INSTORE_CODE_SYUTURYOKU</t>
  </si>
  <si>
    <t>MOTO_SYOHIN_CODE</t>
  </si>
  <si>
    <t>TOKUTEI_SYOHIN_BIKOU_CODE</t>
  </si>
  <si>
    <t>TASYA_SYOHIN_FLAG</t>
  </si>
  <si>
    <t>JYUN_ALCOHOL_RYO</t>
  </si>
  <si>
    <t>SYAIN_TOKUISAKI_CODE</t>
  </si>
  <si>
    <t>ITF_CODE</t>
  </si>
  <si>
    <t>ITF_CASE_FLAG</t>
  </si>
  <si>
    <t>DAIHYO_ITF_FLAG</t>
  </si>
  <si>
    <t>ITF_CODE_NO</t>
  </si>
  <si>
    <t>JAN_CASE_FLAG</t>
  </si>
  <si>
    <t>JAN_BARA_FLAG</t>
  </si>
  <si>
    <t>JAN_DAIHYO_FLAG</t>
  </si>
  <si>
    <t>JAN_CODE_NO</t>
  </si>
  <si>
    <t>ATUKAI_SYURYO_DATE</t>
  </si>
  <si>
    <t>KYOTU_SYUBAI_MEMO</t>
  </si>
  <si>
    <t>KYUSYU_SISYA_SYUBAI_MEMO</t>
  </si>
  <si>
    <t>BUNSEKIYO_KAISO_CODE_02</t>
  </si>
  <si>
    <t>BUNSEKIYO_KAISO_CODE_03</t>
  </si>
  <si>
    <t>URIAGEGAI_TAISYO</t>
  </si>
  <si>
    <t>POS_DATA_SAKUSEI_FLAG</t>
  </si>
  <si>
    <t>POS_MINUS_FLAG</t>
  </si>
  <si>
    <t>KYL_ZEROEN_SYOHIN_SOSIN</t>
  </si>
  <si>
    <t>YOKI_CODE</t>
  </si>
  <si>
    <t>YOKI_UKE_TESURYO_KAZEI_KUBUN</t>
  </si>
  <si>
    <t>YOKI_UKE_TESURYO_ZEIRITU_CODE</t>
  </si>
  <si>
    <t>YOKI_HARA_TESURYO_KAZEI_KUBUN</t>
  </si>
  <si>
    <t>YOKI_HARA_TESURYO_ZEIRITU_CODE</t>
  </si>
  <si>
    <t>HAISO_HOHO</t>
  </si>
  <si>
    <t>TATIYORISAKI_KAISYA_CODE</t>
  </si>
  <si>
    <t>GROUP_TYOKUSO_KAISYA_CODE</t>
  </si>
  <si>
    <t>TATIYORI_UKE_HAISO</t>
  </si>
  <si>
    <t>GENRYO_CODE</t>
  </si>
  <si>
    <t>SEIZO_NEN</t>
  </si>
  <si>
    <t>SYOKA_SIIRE_KUBUN</t>
  </si>
  <si>
    <t>MASTER_TANKA_SANSYO</t>
  </si>
  <si>
    <t>DAITAI_SYOHIN_CODE</t>
  </si>
  <si>
    <t>DAITAI_SYOHIN_HENKO_DATE</t>
  </si>
  <si>
    <t>SYUKA_KISEI_KUBUN</t>
  </si>
  <si>
    <t>SINAGIRE_SYOKUHINKAN_YUSEN</t>
  </si>
  <si>
    <t>B_SYOHIN_KUBUN</t>
  </si>
  <si>
    <t>HUTEI_FLAG</t>
  </si>
  <si>
    <t>HUTEI_TANI_KUBUN</t>
  </si>
  <si>
    <t>HUTEI_TANI</t>
  </si>
  <si>
    <t>SYUBAI_HANI</t>
  </si>
  <si>
    <t>SHARED_TOITU_SYOHIN_CODE</t>
  </si>
  <si>
    <t>YOBI_KUBUN_5</t>
  </si>
  <si>
    <t>YOBI_KUBUN_10</t>
  </si>
  <si>
    <t>YOBI_CODE01</t>
  </si>
  <si>
    <t>YOBI_CODE04</t>
  </si>
  <si>
    <t>YOBI_CODE05</t>
  </si>
  <si>
    <t>YOBI_CODE06</t>
  </si>
  <si>
    <t>YOBI_CODE07</t>
  </si>
  <si>
    <t>YOBI_DATE01</t>
  </si>
  <si>
    <t>YOBI_DATE02</t>
  </si>
  <si>
    <t>YOBI_DATE03</t>
  </si>
  <si>
    <t>YOBI_DATE04</t>
  </si>
  <si>
    <t>YOBI_DATE05</t>
  </si>
  <si>
    <t>YOBI_NUMBER01</t>
  </si>
  <si>
    <t>YOBI_NUMBER02</t>
  </si>
  <si>
    <t>YOBI_NUMBER03</t>
  </si>
  <si>
    <t>YOBI_NUMBER04</t>
  </si>
  <si>
    <t>TOROKU_DATE</t>
  </si>
  <si>
    <t>TOROKU_TANTOSYA_CODE</t>
  </si>
  <si>
    <t>TOROKU_COMPUTER_NAME</t>
  </si>
  <si>
    <t>KOSIN_DATE</t>
  </si>
  <si>
    <t>KOSIN_TANTOSYA_CODE</t>
  </si>
  <si>
    <t>KOSIN_COMPUTER_NAME</t>
  </si>
  <si>
    <t>000000000001</t>
  </si>
  <si>
    <t>00414898</t>
  </si>
  <si>
    <t>1.0</t>
  </si>
  <si>
    <t>1500</t>
  </si>
  <si>
    <t>02</t>
  </si>
  <si>
    <t>01</t>
  </si>
  <si>
    <t>00365</t>
  </si>
  <si>
    <t>11/28/2024</t>
  </si>
  <si>
    <t>010</t>
  </si>
  <si>
    <t>2</t>
  </si>
  <si>
    <t>99</t>
  </si>
  <si>
    <t>00001</t>
  </si>
  <si>
    <t>00000000</t>
  </si>
  <si>
    <t>12345678</t>
  </si>
  <si>
    <t>00</t>
  </si>
  <si>
    <t>13.5</t>
  </si>
  <si>
    <t>10002</t>
  </si>
  <si>
    <t>000001</t>
  </si>
  <si>
    <t>002903</t>
  </si>
  <si>
    <t>1234567890123</t>
  </si>
  <si>
    <t>：</t>
  </si>
  <si>
    <t>10002中国</t>
  </si>
  <si>
    <t>1中口</t>
  </si>
  <si>
    <t>㈱ティルブション</t>
  </si>
  <si>
    <t>2カクヤスPB</t>
  </si>
  <si>
    <t>2ラベルレス</t>
  </si>
  <si>
    <t>0しない</t>
  </si>
  <si>
    <t>※➡i移行時に参照設定と &amp;""に変更する必要がある</t>
    <rPh sb="3" eb="6">
      <t>イコウジ</t>
    </rPh>
    <rPh sb="7" eb="9">
      <t>サンショウ</t>
    </rPh>
    <rPh sb="9" eb="11">
      <t>セッテイ</t>
    </rPh>
    <rPh sb="17" eb="19">
      <t>ヘンコウ</t>
    </rPh>
    <rPh sb="21" eb="23">
      <t>ヒツヨウ</t>
    </rPh>
    <phoneticPr fontId="3"/>
  </si>
  <si>
    <t>論理名</t>
    <rPh sb="0" eb="3">
      <t>ロンリメイ</t>
    </rPh>
    <phoneticPr fontId="3"/>
  </si>
  <si>
    <t>物理名</t>
    <rPh sb="0" eb="3">
      <t>ブツリメイ</t>
    </rPh>
    <phoneticPr fontId="3"/>
  </si>
  <si>
    <t>値①</t>
    <rPh sb="0" eb="1">
      <t>アタイ</t>
    </rPh>
    <phoneticPr fontId="3"/>
  </si>
  <si>
    <t>値②</t>
    <rPh sb="0" eb="1">
      <t>アタイ</t>
    </rPh>
    <phoneticPr fontId="3"/>
  </si>
  <si>
    <t>値③</t>
    <rPh sb="0" eb="1">
      <t>アタイ</t>
    </rPh>
    <phoneticPr fontId="3"/>
  </si>
  <si>
    <t>値④</t>
    <rPh sb="0" eb="1">
      <t>アタイ</t>
    </rPh>
    <phoneticPr fontId="3"/>
  </si>
  <si>
    <t>備考</t>
    <rPh sb="0" eb="2">
      <t>ビコウ</t>
    </rPh>
    <phoneticPr fontId="3"/>
  </si>
  <si>
    <t>↓申請書に
記載のある項目</t>
    <rPh sb="1" eb="4">
      <t>シンセイショ</t>
    </rPh>
    <rPh sb="6" eb="8">
      <t>キサイ</t>
    </rPh>
    <rPh sb="11" eb="13">
      <t>コウモク</t>
    </rPh>
    <phoneticPr fontId="3"/>
  </si>
  <si>
    <t>商品コード</t>
  </si>
  <si>
    <t>先頭0埋めの8桁になるように設定</t>
    <rPh sb="0" eb="2">
      <t>セントウ</t>
    </rPh>
    <rPh sb="3" eb="4">
      <t>ウ</t>
    </rPh>
    <rPh sb="7" eb="8">
      <t>ケタ</t>
    </rPh>
    <rPh sb="14" eb="16">
      <t>セッテイ</t>
    </rPh>
    <phoneticPr fontId="3"/>
  </si>
  <si>
    <t>先頭1桁のみ取得</t>
    <rPh sb="0" eb="2">
      <t>セントウ</t>
    </rPh>
    <rPh sb="3" eb="4">
      <t>ケタ</t>
    </rPh>
    <rPh sb="6" eb="8">
      <t>シュトク</t>
    </rPh>
    <phoneticPr fontId="3"/>
  </si>
  <si>
    <t>商品名</t>
    <phoneticPr fontId="3"/>
  </si>
  <si>
    <t>SYOHIN_NAME</t>
    <phoneticPr fontId="3"/>
  </si>
  <si>
    <t>商品ｶﾅ</t>
    <rPh sb="0" eb="2">
      <t>ショウヒン</t>
    </rPh>
    <phoneticPr fontId="1"/>
  </si>
  <si>
    <t>SYOHIN_KANA_NAME</t>
    <phoneticPr fontId="3"/>
  </si>
  <si>
    <t>POS商品名</t>
    <rPh sb="5" eb="6">
      <t>メイ</t>
    </rPh>
    <phoneticPr fontId="1"/>
  </si>
  <si>
    <t>POS_SYOHIN_KANZI_NAME</t>
    <phoneticPr fontId="3"/>
  </si>
  <si>
    <t>POS商品ｶﾅ半角ｶﾅ</t>
    <rPh sb="3" eb="5">
      <t>ショウヒン</t>
    </rPh>
    <phoneticPr fontId="1"/>
  </si>
  <si>
    <t>POS_SYOHIN_KANA_NAME</t>
    <phoneticPr fontId="3"/>
  </si>
  <si>
    <t>容量</t>
    <phoneticPr fontId="3"/>
  </si>
  <si>
    <t>YORYO</t>
    <phoneticPr fontId="3"/>
  </si>
  <si>
    <t>規格</t>
    <rPh sb="0" eb="2">
      <t>キカク</t>
    </rPh>
    <phoneticPr fontId="1"/>
  </si>
  <si>
    <t>KIKAKU</t>
    <phoneticPr fontId="3"/>
  </si>
  <si>
    <t>入数</t>
    <rPh sb="0" eb="1">
      <t>イリ</t>
    </rPh>
    <rPh sb="1" eb="2">
      <t>スウ</t>
    </rPh>
    <phoneticPr fontId="1"/>
  </si>
  <si>
    <t>IRISU</t>
    <phoneticPr fontId="3"/>
  </si>
  <si>
    <t>ケース重量（ｋｇ）</t>
    <phoneticPr fontId="3"/>
  </si>
  <si>
    <t>ZYURYO_CS</t>
    <phoneticPr fontId="3"/>
  </si>
  <si>
    <t>バラ重量（ｇ）</t>
    <phoneticPr fontId="3"/>
  </si>
  <si>
    <t>ZYURYO_BT</t>
    <phoneticPr fontId="3"/>
  </si>
  <si>
    <t>ｹｰｽ単位</t>
    <phoneticPr fontId="3"/>
  </si>
  <si>
    <t>TANI_CODE_CS</t>
    <phoneticPr fontId="3"/>
  </si>
  <si>
    <t>先頭2桁のみ取得</t>
    <rPh sb="0" eb="2">
      <t>セントウ</t>
    </rPh>
    <rPh sb="3" eb="4">
      <t>ケタ</t>
    </rPh>
    <rPh sb="6" eb="8">
      <t>シュトク</t>
    </rPh>
    <phoneticPr fontId="3"/>
  </si>
  <si>
    <t>バラ単位</t>
    <phoneticPr fontId="3"/>
  </si>
  <si>
    <t>TANI_CODE_BT</t>
    <phoneticPr fontId="3"/>
  </si>
  <si>
    <t>在庫管理</t>
    <rPh sb="0" eb="2">
      <t>ザイコ</t>
    </rPh>
    <rPh sb="2" eb="4">
      <t>カンリ</t>
    </rPh>
    <phoneticPr fontId="1"/>
  </si>
  <si>
    <t>ZAIKO_KANRI_FLAG</t>
    <phoneticPr fontId="3"/>
  </si>
  <si>
    <t>商品発売日</t>
    <rPh sb="0" eb="2">
      <t>ショウヒン</t>
    </rPh>
    <rPh sb="2" eb="5">
      <t>ハツバイビ</t>
    </rPh>
    <phoneticPr fontId="1"/>
  </si>
  <si>
    <t>SYOHIN_HATUBAI_DATE</t>
    <phoneticPr fontId="3"/>
  </si>
  <si>
    <t>日付けは直接参照</t>
    <rPh sb="0" eb="2">
      <t>ヒヅ</t>
    </rPh>
    <rPh sb="4" eb="6">
      <t>チョクセツ</t>
    </rPh>
    <rPh sb="6" eb="8">
      <t>サンショウ</t>
    </rPh>
    <phoneticPr fontId="3"/>
  </si>
  <si>
    <t>賞味期限日数(5桁)</t>
    <rPh sb="2" eb="4">
      <t>キゲン</t>
    </rPh>
    <rPh sb="4" eb="6">
      <t>ニッスウ</t>
    </rPh>
    <rPh sb="8" eb="9">
      <t>ケタ</t>
    </rPh>
    <phoneticPr fontId="1"/>
  </si>
  <si>
    <t>SYOMI_KIGEN_DAYS</t>
    <phoneticPr fontId="3"/>
  </si>
  <si>
    <t>取扱開始日</t>
    <rPh sb="0" eb="2">
      <t>トリアツカ</t>
    </rPh>
    <rPh sb="2" eb="5">
      <t>カイシビ</t>
    </rPh>
    <phoneticPr fontId="1"/>
  </si>
  <si>
    <t>ATUKAI_KAISI_DATE</t>
    <phoneticPr fontId="3"/>
  </si>
  <si>
    <t>終売区分</t>
    <rPh sb="0" eb="2">
      <t>シュウバイ</t>
    </rPh>
    <rPh sb="2" eb="4">
      <t>クブン</t>
    </rPh>
    <phoneticPr fontId="1"/>
  </si>
  <si>
    <t>SYUBAI_KUBUN</t>
    <phoneticPr fontId="3"/>
  </si>
  <si>
    <t>１桁</t>
    <rPh sb="1" eb="2">
      <t>ケタ</t>
    </rPh>
    <phoneticPr fontId="3"/>
  </si>
  <si>
    <t>課税区分</t>
    <rPh sb="0" eb="2">
      <t>カゼイ</t>
    </rPh>
    <rPh sb="2" eb="4">
      <t>クブン</t>
    </rPh>
    <phoneticPr fontId="1"/>
  </si>
  <si>
    <t>KAZEI_KUBUN</t>
    <phoneticPr fontId="3"/>
  </si>
  <si>
    <t>消費税率コード</t>
    <rPh sb="0" eb="2">
      <t>ショウヒ</t>
    </rPh>
    <rPh sb="2" eb="4">
      <t>ゼイリツ</t>
    </rPh>
    <phoneticPr fontId="1"/>
  </si>
  <si>
    <t>ZEIRITU_CODE</t>
    <phoneticPr fontId="3"/>
  </si>
  <si>
    <t>先頭0埋めの3桁になるように設定</t>
    <rPh sb="0" eb="2">
      <t>セントウ</t>
    </rPh>
    <rPh sb="3" eb="4">
      <t>ウ</t>
    </rPh>
    <rPh sb="7" eb="8">
      <t>ケタ</t>
    </rPh>
    <rPh sb="14" eb="16">
      <t>セッテイ</t>
    </rPh>
    <phoneticPr fontId="3"/>
  </si>
  <si>
    <t xml:space="preserve">商品種別 </t>
    <rPh sb="0" eb="2">
      <t>ショウヒン</t>
    </rPh>
    <rPh sb="2" eb="4">
      <t>シュベツ</t>
    </rPh>
    <phoneticPr fontId="1"/>
  </si>
  <si>
    <t>温度帯区分</t>
    <rPh sb="0" eb="2">
      <t>オンド</t>
    </rPh>
    <rPh sb="2" eb="3">
      <t>タイ</t>
    </rPh>
    <rPh sb="3" eb="5">
      <t>クブン</t>
    </rPh>
    <phoneticPr fontId="1"/>
  </si>
  <si>
    <t>物流区分</t>
    <rPh sb="0" eb="2">
      <t>ブツリュウ</t>
    </rPh>
    <rPh sb="2" eb="4">
      <t>クブン</t>
    </rPh>
    <phoneticPr fontId="1"/>
  </si>
  <si>
    <t>デポ当日発注区分</t>
    <rPh sb="2" eb="4">
      <t>トウジツ</t>
    </rPh>
    <rPh sb="4" eb="6">
      <t>ハッチュウ</t>
    </rPh>
    <rPh sb="6" eb="8">
      <t>クブン</t>
    </rPh>
    <phoneticPr fontId="1"/>
  </si>
  <si>
    <t>可：1、不可：2　になるように設定</t>
    <rPh sb="0" eb="1">
      <t>カ</t>
    </rPh>
    <rPh sb="4" eb="6">
      <t>フカ</t>
    </rPh>
    <rPh sb="15" eb="17">
      <t>セッテイ</t>
    </rPh>
    <phoneticPr fontId="3"/>
  </si>
  <si>
    <t>直送品納品ﾘｰﾄﾞﾀｲﾑ</t>
    <rPh sb="0" eb="2">
      <t>チョクソウ</t>
    </rPh>
    <rPh sb="2" eb="3">
      <t>ヒン</t>
    </rPh>
    <rPh sb="3" eb="5">
      <t>ノウヒン</t>
    </rPh>
    <phoneticPr fontId="1"/>
  </si>
  <si>
    <t>numeric(2,0)</t>
    <phoneticPr fontId="3"/>
  </si>
  <si>
    <t>ギフト直送品</t>
    <rPh sb="3" eb="6">
      <t>チョクソウヒン</t>
    </rPh>
    <phoneticPr fontId="1"/>
  </si>
  <si>
    <t>character(5)</t>
  </si>
  <si>
    <t>パッケージ構成商品コード(8桁)</t>
    <rPh sb="5" eb="7">
      <t>コウセイ</t>
    </rPh>
    <rPh sb="7" eb="9">
      <t>ショウヒン</t>
    </rPh>
    <rPh sb="14" eb="15">
      <t>ケタ</t>
    </rPh>
    <phoneticPr fontId="1"/>
  </si>
  <si>
    <t>パッケージ構成数</t>
    <rPh sb="5" eb="7">
      <t>コウセイ</t>
    </rPh>
    <rPh sb="7" eb="8">
      <t>スウ</t>
    </rPh>
    <phoneticPr fontId="1"/>
  </si>
  <si>
    <t>numeric(3,0)</t>
  </si>
  <si>
    <t>小分類</t>
    <phoneticPr fontId="3"/>
  </si>
  <si>
    <t>BUNSEKIYO_KAISO_CODE_01</t>
    <phoneticPr fontId="3"/>
  </si>
  <si>
    <t>先頭4桁のみ取得</t>
    <rPh sb="0" eb="2">
      <t>セントウ</t>
    </rPh>
    <rPh sb="3" eb="4">
      <t>ケタ</t>
    </rPh>
    <rPh sb="6" eb="8">
      <t>シュトク</t>
    </rPh>
    <phoneticPr fontId="3"/>
  </si>
  <si>
    <t>POS商品分類</t>
    <rPh sb="3" eb="5">
      <t>ショウヒン</t>
    </rPh>
    <rPh sb="5" eb="7">
      <t>ブンルイ</t>
    </rPh>
    <phoneticPr fontId="1"/>
  </si>
  <si>
    <t>SYOHIN_BUNRUI_CODE</t>
  </si>
  <si>
    <t>空容器コード(8桁)</t>
    <rPh sb="8" eb="9">
      <t>ケタ</t>
    </rPh>
    <phoneticPr fontId="1"/>
  </si>
  <si>
    <t>character(8)</t>
  </si>
  <si>
    <t>空函コード(8桁)</t>
    <rPh sb="0" eb="1">
      <t>クウ</t>
    </rPh>
    <rPh sb="1" eb="2">
      <t>ハコ</t>
    </rPh>
    <rPh sb="7" eb="8">
      <t>ケタ</t>
    </rPh>
    <phoneticPr fontId="1"/>
  </si>
  <si>
    <t>容器区分</t>
    <rPh sb="0" eb="2">
      <t>ヨウキ</t>
    </rPh>
    <rPh sb="2" eb="4">
      <t>クブン</t>
    </rPh>
    <phoneticPr fontId="1"/>
  </si>
  <si>
    <t>HT容器回収</t>
    <rPh sb="2" eb="4">
      <t>ヨウキ</t>
    </rPh>
    <rPh sb="4" eb="6">
      <t>カイシュウ</t>
    </rPh>
    <phoneticPr fontId="1"/>
  </si>
  <si>
    <t>HT_YOKI_KAISYU</t>
    <phoneticPr fontId="3"/>
  </si>
  <si>
    <t>character(1) 回収する１　デフォルト０</t>
    <rPh sb="13" eb="15">
      <t>カイシュウ</t>
    </rPh>
    <phoneticPr fontId="3"/>
  </si>
  <si>
    <t>SDPコード(8桁）</t>
    <phoneticPr fontId="3"/>
  </si>
  <si>
    <t>伝発分類</t>
    <phoneticPr fontId="3"/>
  </si>
  <si>
    <t>先頭3桁のみ取得</t>
    <rPh sb="0" eb="2">
      <t>セントウ</t>
    </rPh>
    <rPh sb="3" eb="4">
      <t>ケタ</t>
    </rPh>
    <rPh sb="6" eb="8">
      <t>シュトク</t>
    </rPh>
    <phoneticPr fontId="3"/>
  </si>
  <si>
    <t>酒類(酒税分類）</t>
    <rPh sb="3" eb="5">
      <t>シュゼイ</t>
    </rPh>
    <rPh sb="5" eb="7">
      <t>ブンルイ</t>
    </rPh>
    <phoneticPr fontId="1"/>
  </si>
  <si>
    <t>国産/輸入</t>
    <rPh sb="0" eb="2">
      <t>コクサン</t>
    </rPh>
    <rPh sb="3" eb="5">
      <t>ユニュウ</t>
    </rPh>
    <phoneticPr fontId="1"/>
  </si>
  <si>
    <t>AL度数（From）</t>
    <rPh sb="2" eb="4">
      <t>ドスウ</t>
    </rPh>
    <phoneticPr fontId="1"/>
  </si>
  <si>
    <t>AL度数（To）</t>
    <rPh sb="2" eb="4">
      <t>ドスウ</t>
    </rPh>
    <phoneticPr fontId="1"/>
  </si>
  <si>
    <t>産地（国）</t>
    <rPh sb="0" eb="2">
      <t>サンチ</t>
    </rPh>
    <rPh sb="3" eb="4">
      <t>クニ</t>
    </rPh>
    <phoneticPr fontId="1"/>
  </si>
  <si>
    <t>SANTI_CODE_KUNI</t>
    <phoneticPr fontId="3"/>
  </si>
  <si>
    <t>先頭5桁のみ取得</t>
    <rPh sb="0" eb="2">
      <t>セントウ</t>
    </rPh>
    <rPh sb="3" eb="4">
      <t>ケタ</t>
    </rPh>
    <rPh sb="6" eb="8">
      <t>シュトク</t>
    </rPh>
    <phoneticPr fontId="3"/>
  </si>
  <si>
    <t>産地（地方）</t>
    <rPh sb="0" eb="2">
      <t>サンチ</t>
    </rPh>
    <rPh sb="3" eb="5">
      <t>チホウ</t>
    </rPh>
    <phoneticPr fontId="1"/>
  </si>
  <si>
    <t>0：正規/1：並行</t>
    <rPh sb="2" eb="4">
      <t>セイキ</t>
    </rPh>
    <rPh sb="7" eb="9">
      <t>ヘイコウ</t>
    </rPh>
    <phoneticPr fontId="1"/>
  </si>
  <si>
    <t>飲み口</t>
    <phoneticPr fontId="3"/>
  </si>
  <si>
    <t>2024/11/26 必須　6桁</t>
    <rPh sb="11" eb="13">
      <t>ヒッス</t>
    </rPh>
    <rPh sb="15" eb="16">
      <t>ケタ</t>
    </rPh>
    <phoneticPr fontId="3"/>
  </si>
  <si>
    <t>季節限定区分</t>
    <rPh sb="2" eb="4">
      <t>ゲンテイ</t>
    </rPh>
    <phoneticPr fontId="1"/>
  </si>
  <si>
    <t>character(1)</t>
  </si>
  <si>
    <t>店舗取扱区分</t>
    <rPh sb="0" eb="2">
      <t>テンポ</t>
    </rPh>
    <rPh sb="2" eb="4">
      <t>トリアツカ</t>
    </rPh>
    <phoneticPr fontId="1"/>
  </si>
  <si>
    <t>JAN_CODE_CASE</t>
    <phoneticPr fontId="3"/>
  </si>
  <si>
    <t>バラＪＡＮ</t>
    <phoneticPr fontId="3"/>
  </si>
  <si>
    <t>自然派ワイン①（予備区分1）</t>
    <rPh sb="0" eb="3">
      <t>シゼンハ</t>
    </rPh>
    <rPh sb="8" eb="12">
      <t>ヨビクブン</t>
    </rPh>
    <phoneticPr fontId="1"/>
  </si>
  <si>
    <t>先頭1桁を取得</t>
    <rPh sb="0" eb="2">
      <t>セントウ</t>
    </rPh>
    <rPh sb="3" eb="4">
      <t>ケタ</t>
    </rPh>
    <rPh sb="5" eb="7">
      <t>シュトク</t>
    </rPh>
    <phoneticPr fontId="3"/>
  </si>
  <si>
    <t>自然派ワイン②（予備区分2）</t>
    <rPh sb="0" eb="3">
      <t>シゼンハ</t>
    </rPh>
    <rPh sb="8" eb="12">
      <t>ヨビクブン</t>
    </rPh>
    <phoneticPr fontId="1"/>
  </si>
  <si>
    <t>予備3（下限値）</t>
    <rPh sb="0" eb="2">
      <t>ヨビ</t>
    </rPh>
    <rPh sb="4" eb="6">
      <t>カゲン</t>
    </rPh>
    <rPh sb="6" eb="7">
      <t>チ</t>
    </rPh>
    <phoneticPr fontId="1"/>
  </si>
  <si>
    <t>KAGENTI_KUBUN</t>
    <phoneticPr fontId="3"/>
  </si>
  <si>
    <r>
      <rPr>
        <sz val="11"/>
        <color rgb="FFFF0000"/>
        <rFont val="ＭＳ Ｐゴシック"/>
        <family val="3"/>
        <charset val="128"/>
      </rPr>
      <t>character(1)</t>
    </r>
    <r>
      <rPr>
        <sz val="11"/>
        <rFont val="ＭＳ Ｐゴシック"/>
        <family val="3"/>
        <charset val="128"/>
      </rPr>
      <t>　1下限値　が入るなら1を設定</t>
    </r>
    <rPh sb="14" eb="17">
      <t>カゲンチ</t>
    </rPh>
    <rPh sb="19" eb="20">
      <t>ハイ</t>
    </rPh>
    <rPh sb="25" eb="27">
      <t>セッテイ</t>
    </rPh>
    <phoneticPr fontId="3"/>
  </si>
  <si>
    <t>2列名以降選択肢がでてこない</t>
    <rPh sb="1" eb="3">
      <t>レツメイ</t>
    </rPh>
    <rPh sb="3" eb="5">
      <t>イコウ</t>
    </rPh>
    <rPh sb="5" eb="8">
      <t>センタクシ</t>
    </rPh>
    <phoneticPr fontId="3"/>
  </si>
  <si>
    <t>PB区分（予備区分4）</t>
    <rPh sb="2" eb="4">
      <t>クブン</t>
    </rPh>
    <rPh sb="5" eb="9">
      <t>ヨビクブン</t>
    </rPh>
    <phoneticPr fontId="1"/>
  </si>
  <si>
    <t>1ｽｸﾘｭｰ/2ﾗﾍﾞﾙﾚｽ（予備区分8）</t>
    <rPh sb="15" eb="19">
      <t>ヨビクブン</t>
    </rPh>
    <phoneticPr fontId="1"/>
  </si>
  <si>
    <r>
      <rPr>
        <sz val="11"/>
        <color rgb="FFFF0000"/>
        <rFont val="ＭＳ Ｐゴシック"/>
        <family val="3"/>
        <charset val="128"/>
      </rPr>
      <t>character(1)</t>
    </r>
    <r>
      <rPr>
        <sz val="11"/>
        <rFont val="ＭＳ Ｐゴシック"/>
        <family val="3"/>
        <charset val="128"/>
      </rPr>
      <t>　先頭1桁を取得</t>
    </r>
    <rPh sb="13" eb="15">
      <t>セントウ</t>
    </rPh>
    <rPh sb="16" eb="17">
      <t>ケタ</t>
    </rPh>
    <rPh sb="18" eb="20">
      <t>シュトク</t>
    </rPh>
    <phoneticPr fontId="3"/>
  </si>
  <si>
    <t>得意先別割当商品</t>
    <rPh sb="0" eb="3">
      <t>トクイサキ</t>
    </rPh>
    <rPh sb="3" eb="4">
      <t>ベツ</t>
    </rPh>
    <rPh sb="4" eb="6">
      <t>ワリアテ</t>
    </rPh>
    <rPh sb="6" eb="8">
      <t>ショウヒン</t>
    </rPh>
    <phoneticPr fontId="1"/>
  </si>
  <si>
    <t>セット商品一括組立（フラグ1＝⑥）</t>
    <rPh sb="3" eb="5">
      <t>ショウヒン</t>
    </rPh>
    <rPh sb="5" eb="7">
      <t>イッカツ</t>
    </rPh>
    <rPh sb="7" eb="9">
      <t>クミタテ</t>
    </rPh>
    <phoneticPr fontId="1"/>
  </si>
  <si>
    <t>取寄区分</t>
    <rPh sb="0" eb="2">
      <t>トリヨ</t>
    </rPh>
    <rPh sb="2" eb="4">
      <t>クブン</t>
    </rPh>
    <phoneticPr fontId="1"/>
  </si>
  <si>
    <t>character(1)</t>
    <phoneticPr fontId="3"/>
  </si>
  <si>
    <t>横持ピック対象</t>
    <rPh sb="0" eb="2">
      <t>ヨコモチ</t>
    </rPh>
    <rPh sb="5" eb="7">
      <t>タイショウ</t>
    </rPh>
    <phoneticPr fontId="1"/>
  </si>
  <si>
    <t>麦芽比率/微発泡清酒区分</t>
    <rPh sb="0" eb="2">
      <t>バクガ</t>
    </rPh>
    <rPh sb="2" eb="4">
      <t>ヒリツ</t>
    </rPh>
    <rPh sb="5" eb="8">
      <t>ビハッポウ</t>
    </rPh>
    <rPh sb="8" eb="10">
      <t>セイシュ</t>
    </rPh>
    <rPh sb="10" eb="12">
      <t>クブン</t>
    </rPh>
    <phoneticPr fontId="1"/>
  </si>
  <si>
    <t>ｲﾝｽﾄｱｺｰﾄﾞｼｰﾙ出力</t>
    <rPh sb="12" eb="14">
      <t>シュツリョク</t>
    </rPh>
    <phoneticPr fontId="1"/>
  </si>
  <si>
    <t>【直送】元商品コード</t>
    <rPh sb="1" eb="3">
      <t>チョクソウ</t>
    </rPh>
    <rPh sb="4" eb="5">
      <t>モト</t>
    </rPh>
    <rPh sb="5" eb="7">
      <t>ショウヒン</t>
    </rPh>
    <phoneticPr fontId="1"/>
  </si>
  <si>
    <t>特定商品備考コード</t>
    <rPh sb="0" eb="2">
      <t>トクテイ</t>
    </rPh>
    <rPh sb="2" eb="4">
      <t>ショウヒン</t>
    </rPh>
    <rPh sb="4" eb="6">
      <t>ビコウ</t>
    </rPh>
    <phoneticPr fontId="1"/>
  </si>
  <si>
    <t>他社商品フラグ</t>
    <rPh sb="0" eb="2">
      <t>タシャ</t>
    </rPh>
    <rPh sb="2" eb="4">
      <t>ショウヒン</t>
    </rPh>
    <phoneticPr fontId="1"/>
  </si>
  <si>
    <t>character(6)</t>
  </si>
  <si>
    <t>純ｱﾙｺｰﾙ量（予備数値05）</t>
    <rPh sb="0" eb="1">
      <t>ジュン</t>
    </rPh>
    <rPh sb="6" eb="7">
      <t>リョウ</t>
    </rPh>
    <rPh sb="8" eb="10">
      <t>ヨビ</t>
    </rPh>
    <rPh sb="10" eb="12">
      <t>スウチ</t>
    </rPh>
    <phoneticPr fontId="1"/>
  </si>
  <si>
    <t>numeric(15,4)</t>
    <phoneticPr fontId="3"/>
  </si>
  <si>
    <t>依頼者（社員CD）/依頼先（得意先CD）
（予備名称1） *6</t>
    <rPh sb="0" eb="3">
      <t>イライシャ</t>
    </rPh>
    <rPh sb="4" eb="6">
      <t>シャイン</t>
    </rPh>
    <rPh sb="10" eb="13">
      <t>イライサキ</t>
    </rPh>
    <rPh sb="14" eb="17">
      <t>トクイサキ</t>
    </rPh>
    <rPh sb="22" eb="24">
      <t>ヨビ</t>
    </rPh>
    <rPh sb="24" eb="26">
      <t>メイショウ</t>
    </rPh>
    <phoneticPr fontId="1"/>
  </si>
  <si>
    <t>ＩＴＦコード</t>
    <phoneticPr fontId="3"/>
  </si>
  <si>
    <t>ITF_CODE</t>
    <phoneticPr fontId="3"/>
  </si>
  <si>
    <t>↓申請書に
記載のない項目</t>
    <rPh sb="1" eb="4">
      <t>シンセイショ</t>
    </rPh>
    <rPh sb="6" eb="8">
      <t>キサイ</t>
    </rPh>
    <rPh sb="11" eb="13">
      <t>コウモク</t>
    </rPh>
    <phoneticPr fontId="3"/>
  </si>
  <si>
    <t>ITFケースバラ区分</t>
    <rPh sb="8" eb="10">
      <t>クブン</t>
    </rPh>
    <phoneticPr fontId="3"/>
  </si>
  <si>
    <t>ITF_CODEに値があれば「0」を設定</t>
    <rPh sb="9" eb="10">
      <t>アタイ</t>
    </rPh>
    <rPh sb="18" eb="20">
      <t>セッテイ</t>
    </rPh>
    <phoneticPr fontId="3"/>
  </si>
  <si>
    <t>代表ITFフラグ</t>
    <rPh sb="0" eb="2">
      <t>ダイヒョウ</t>
    </rPh>
    <phoneticPr fontId="3"/>
  </si>
  <si>
    <t>DAIHYO_ITF_FLAG</t>
    <phoneticPr fontId="3"/>
  </si>
  <si>
    <t>ITF_CODEに値があれば「1」を設定</t>
    <rPh sb="9" eb="10">
      <t>アタイ</t>
    </rPh>
    <rPh sb="18" eb="20">
      <t>セッテイ</t>
    </rPh>
    <phoneticPr fontId="3"/>
  </si>
  <si>
    <t>ＩＴＦコード番号</t>
    <rPh sb="6" eb="8">
      <t>バンゴウ</t>
    </rPh>
    <phoneticPr fontId="3"/>
  </si>
  <si>
    <t>ケースJANフラグ</t>
    <phoneticPr fontId="3"/>
  </si>
  <si>
    <t>JAN_CODE_CASEに値があれば「0」を設定</t>
    <rPh sb="14" eb="15">
      <t>アタイ</t>
    </rPh>
    <rPh sb="23" eb="25">
      <t>セッテイ</t>
    </rPh>
    <phoneticPr fontId="3"/>
  </si>
  <si>
    <t>バラJANフラグ</t>
    <phoneticPr fontId="3"/>
  </si>
  <si>
    <t>JAN_CODE_BARAに値があれば「1」を設定</t>
    <rPh sb="14" eb="15">
      <t>アタイ</t>
    </rPh>
    <rPh sb="23" eb="25">
      <t>セッテイ</t>
    </rPh>
    <phoneticPr fontId="3"/>
  </si>
  <si>
    <t>代表JANフラグ</t>
    <rPh sb="0" eb="2">
      <t>ダイヒョウ</t>
    </rPh>
    <phoneticPr fontId="3"/>
  </si>
  <si>
    <t>JAN_CODEに値があれば「1」を設定</t>
    <rPh sb="9" eb="10">
      <t>アタイ</t>
    </rPh>
    <rPh sb="18" eb="20">
      <t>セッテイ</t>
    </rPh>
    <phoneticPr fontId="3"/>
  </si>
  <si>
    <t>JANコード番号</t>
    <rPh sb="6" eb="8">
      <t>バンゴウ</t>
    </rPh>
    <phoneticPr fontId="3"/>
  </si>
  <si>
    <t>JAN_CODEに値があれば「0」を設定</t>
    <rPh sb="9" eb="10">
      <t>アタイ</t>
    </rPh>
    <rPh sb="18" eb="20">
      <t>セッテイ</t>
    </rPh>
    <phoneticPr fontId="3"/>
  </si>
  <si>
    <t>取扱終了日</t>
    <rPh sb="0" eb="2">
      <t>トリアツカ</t>
    </rPh>
    <rPh sb="2" eb="5">
      <t>シュウリョウビ</t>
    </rPh>
    <phoneticPr fontId="1"/>
  </si>
  <si>
    <t>ATUKAI_SYURYO_DATE</t>
    <phoneticPr fontId="3"/>
  </si>
  <si>
    <t>終売メモ</t>
    <rPh sb="0" eb="2">
      <t>シュウバイ</t>
    </rPh>
    <phoneticPr fontId="1"/>
  </si>
  <si>
    <t>九州支社終売メモ</t>
    <phoneticPr fontId="3"/>
  </si>
  <si>
    <t>分析用階層コード２</t>
  </si>
  <si>
    <t>分析用階層コード３</t>
    <phoneticPr fontId="3"/>
  </si>
  <si>
    <t>売上対象</t>
    <rPh sb="0" eb="2">
      <t>ウリアゲ</t>
    </rPh>
    <rPh sb="2" eb="4">
      <t>タイショウ</t>
    </rPh>
    <phoneticPr fontId="1"/>
  </si>
  <si>
    <t>POSﾃﾞｰﾀ作成区分</t>
    <rPh sb="7" eb="11">
      <t>サクセイクブン</t>
    </rPh>
    <phoneticPr fontId="1"/>
  </si>
  <si>
    <t>POSﾏｲﾅｽﾌﾗｸﾞ</t>
    <phoneticPr fontId="3"/>
  </si>
  <si>
    <t>KYL¥0商品送信</t>
    <rPh sb="5" eb="9">
      <t>ショウヒンソウシン</t>
    </rPh>
    <phoneticPr fontId="1"/>
  </si>
  <si>
    <t>容器コード</t>
    <rPh sb="0" eb="2">
      <t>ヨウキ</t>
    </rPh>
    <phoneticPr fontId="1"/>
  </si>
  <si>
    <t>容器受入手数料課税区分</t>
    <rPh sb="0" eb="2">
      <t>ヨウキ</t>
    </rPh>
    <rPh sb="2" eb="4">
      <t>ウケイ</t>
    </rPh>
    <rPh sb="4" eb="7">
      <t>テスウリョウ</t>
    </rPh>
    <rPh sb="7" eb="9">
      <t>カゼイ</t>
    </rPh>
    <rPh sb="9" eb="11">
      <t>クブン</t>
    </rPh>
    <phoneticPr fontId="1"/>
  </si>
  <si>
    <t>容器受入手数料税率コード</t>
    <rPh sb="0" eb="2">
      <t>ヨウキ</t>
    </rPh>
    <rPh sb="2" eb="4">
      <t>ウケイ</t>
    </rPh>
    <rPh sb="4" eb="7">
      <t>テスウリョウ</t>
    </rPh>
    <rPh sb="7" eb="9">
      <t>ゼイリツ</t>
    </rPh>
    <phoneticPr fontId="1"/>
  </si>
  <si>
    <t>容器払出手数料課税区分</t>
    <rPh sb="0" eb="2">
      <t>ヨウキ</t>
    </rPh>
    <rPh sb="2" eb="4">
      <t>ハライダシ</t>
    </rPh>
    <rPh sb="4" eb="7">
      <t>テスウリョウ</t>
    </rPh>
    <rPh sb="7" eb="9">
      <t>カゼイ</t>
    </rPh>
    <rPh sb="9" eb="11">
      <t>クブン</t>
    </rPh>
    <phoneticPr fontId="1"/>
  </si>
  <si>
    <t>容器払出手数料税率コード</t>
    <rPh sb="0" eb="2">
      <t>ヨウキ</t>
    </rPh>
    <rPh sb="2" eb="4">
      <t>ハライダシ</t>
    </rPh>
    <rPh sb="4" eb="7">
      <t>テスウリョウ</t>
    </rPh>
    <rPh sb="7" eb="9">
      <t>ゼイリツ</t>
    </rPh>
    <phoneticPr fontId="1"/>
  </si>
  <si>
    <t>配送方法</t>
    <rPh sb="0" eb="4">
      <t>ハイソウホウホウ</t>
    </rPh>
    <phoneticPr fontId="1"/>
  </si>
  <si>
    <t>立寄り先会社コード</t>
    <rPh sb="0" eb="1">
      <t>タ</t>
    </rPh>
    <rPh sb="1" eb="2">
      <t>ヨ</t>
    </rPh>
    <rPh sb="3" eb="4">
      <t>サキ</t>
    </rPh>
    <rPh sb="4" eb="6">
      <t>カイシャ</t>
    </rPh>
    <phoneticPr fontId="1"/>
  </si>
  <si>
    <t>グループ直送会社コード</t>
    <rPh sb="4" eb="6">
      <t>チョクソウ</t>
    </rPh>
    <rPh sb="6" eb="8">
      <t>カイシャ</t>
    </rPh>
    <phoneticPr fontId="1"/>
  </si>
  <si>
    <t>立寄り受け配送</t>
    <rPh sb="0" eb="1">
      <t>タ</t>
    </rPh>
    <rPh sb="1" eb="2">
      <t>ヨ</t>
    </rPh>
    <rPh sb="3" eb="4">
      <t>ウ</t>
    </rPh>
    <rPh sb="5" eb="7">
      <t>ハイソウ</t>
    </rPh>
    <phoneticPr fontId="1"/>
  </si>
  <si>
    <t>原料品種</t>
    <rPh sb="0" eb="2">
      <t>ゲンリョウ</t>
    </rPh>
    <rPh sb="2" eb="4">
      <t>ヒンシュ</t>
    </rPh>
    <phoneticPr fontId="1"/>
  </si>
  <si>
    <t>製造年</t>
    <rPh sb="0" eb="3">
      <t>セイゾウネン</t>
    </rPh>
    <phoneticPr fontId="1"/>
  </si>
  <si>
    <t>消化仕入区分</t>
    <rPh sb="0" eb="2">
      <t>ショウカ</t>
    </rPh>
    <rPh sb="2" eb="4">
      <t>シイレ</t>
    </rPh>
    <rPh sb="4" eb="6">
      <t>クブン</t>
    </rPh>
    <phoneticPr fontId="1"/>
  </si>
  <si>
    <t>マスタ単価参照</t>
    <rPh sb="3" eb="5">
      <t>タンカ</t>
    </rPh>
    <rPh sb="5" eb="7">
      <t>サンショウ</t>
    </rPh>
    <phoneticPr fontId="1"/>
  </si>
  <si>
    <t>代替商品コード</t>
    <rPh sb="0" eb="2">
      <t>ダイガ</t>
    </rPh>
    <rPh sb="2" eb="4">
      <t>ショウヒン</t>
    </rPh>
    <phoneticPr fontId="1"/>
  </si>
  <si>
    <t>代替商品変更日</t>
    <rPh sb="0" eb="2">
      <t>ダイガ</t>
    </rPh>
    <rPh sb="2" eb="4">
      <t>ショウヒン</t>
    </rPh>
    <rPh sb="4" eb="7">
      <t>ヘンコウビ</t>
    </rPh>
    <phoneticPr fontId="1"/>
  </si>
  <si>
    <t>出荷規制</t>
    <rPh sb="0" eb="4">
      <t>シュッカキセイ</t>
    </rPh>
    <phoneticPr fontId="1"/>
  </si>
  <si>
    <t>品切時食品館優先</t>
    <rPh sb="0" eb="2">
      <t>シナギ</t>
    </rPh>
    <rPh sb="2" eb="3">
      <t>ジ</t>
    </rPh>
    <rPh sb="3" eb="6">
      <t>ショクヒンカン</t>
    </rPh>
    <rPh sb="6" eb="8">
      <t>ユウセン</t>
    </rPh>
    <phoneticPr fontId="1"/>
  </si>
  <si>
    <t>国分B商品</t>
    <rPh sb="0" eb="2">
      <t>クニワケ</t>
    </rPh>
    <rPh sb="3" eb="5">
      <t>ショウヒン</t>
    </rPh>
    <phoneticPr fontId="1"/>
  </si>
  <si>
    <t>不定貴フラグ</t>
    <rPh sb="0" eb="2">
      <t>フテイ</t>
    </rPh>
    <rPh sb="2" eb="3">
      <t>キ</t>
    </rPh>
    <phoneticPr fontId="1"/>
  </si>
  <si>
    <t>不定貴単位区分</t>
    <rPh sb="0" eb="2">
      <t>フテイ</t>
    </rPh>
    <rPh sb="2" eb="3">
      <t>キ</t>
    </rPh>
    <rPh sb="3" eb="7">
      <t>タンイクブン</t>
    </rPh>
    <phoneticPr fontId="1"/>
  </si>
  <si>
    <t>不定貴単位</t>
    <rPh sb="0" eb="2">
      <t>フテイ</t>
    </rPh>
    <rPh sb="2" eb="3">
      <t>キ</t>
    </rPh>
    <rPh sb="3" eb="5">
      <t>タンイ</t>
    </rPh>
    <phoneticPr fontId="1"/>
  </si>
  <si>
    <t>終売範囲</t>
    <phoneticPr fontId="3"/>
  </si>
  <si>
    <t xml:space="preserve">統一商品コード                                                                                                                                  </t>
    <phoneticPr fontId="3"/>
  </si>
  <si>
    <t>予備区分5</t>
    <rPh sb="0" eb="4">
      <t>ヨビクブン</t>
    </rPh>
    <phoneticPr fontId="1"/>
  </si>
  <si>
    <t>予備区分10</t>
    <rPh sb="0" eb="4">
      <t>ヨビクブン</t>
    </rPh>
    <phoneticPr fontId="1"/>
  </si>
  <si>
    <t>予備コード01</t>
    <rPh sb="0" eb="2">
      <t>ヨビ</t>
    </rPh>
    <phoneticPr fontId="1"/>
  </si>
  <si>
    <t>予備コード04</t>
    <rPh sb="0" eb="2">
      <t>ヨビ</t>
    </rPh>
    <phoneticPr fontId="1"/>
  </si>
  <si>
    <t>予備コード05</t>
    <rPh sb="0" eb="2">
      <t>ヨビ</t>
    </rPh>
    <phoneticPr fontId="1"/>
  </si>
  <si>
    <t>予備コード06</t>
    <rPh sb="0" eb="2">
      <t>ヨビ</t>
    </rPh>
    <phoneticPr fontId="1"/>
  </si>
  <si>
    <t>予備コード07</t>
    <rPh sb="0" eb="2">
      <t>ヨビ</t>
    </rPh>
    <phoneticPr fontId="1"/>
  </si>
  <si>
    <t>予備日付01</t>
    <rPh sb="0" eb="4">
      <t>ヨビヒヅケ</t>
    </rPh>
    <phoneticPr fontId="1"/>
  </si>
  <si>
    <t>予備日付02</t>
    <rPh sb="0" eb="4">
      <t>ヨビヒヅケ</t>
    </rPh>
    <phoneticPr fontId="1"/>
  </si>
  <si>
    <t>予備日付03</t>
    <rPh sb="0" eb="4">
      <t>ヨビヒヅケ</t>
    </rPh>
    <phoneticPr fontId="1"/>
  </si>
  <si>
    <t>予備日付04</t>
    <rPh sb="0" eb="4">
      <t>ヨビヒヅケ</t>
    </rPh>
    <phoneticPr fontId="1"/>
  </si>
  <si>
    <t>予備日付05</t>
    <rPh sb="0" eb="4">
      <t>ヨビヒヅケ</t>
    </rPh>
    <phoneticPr fontId="1"/>
  </si>
  <si>
    <t>予備数値01</t>
    <rPh sb="0" eb="4">
      <t>ヨビスウチ</t>
    </rPh>
    <phoneticPr fontId="1"/>
  </si>
  <si>
    <t>予備数値02</t>
    <rPh sb="0" eb="4">
      <t>ヨビスウチ</t>
    </rPh>
    <phoneticPr fontId="1"/>
  </si>
  <si>
    <t>予備数値03</t>
    <rPh sb="0" eb="4">
      <t>ヨビスウチ</t>
    </rPh>
    <phoneticPr fontId="1"/>
  </si>
  <si>
    <t>予備数値04</t>
    <rPh sb="0" eb="4">
      <t>ヨビスウチ</t>
    </rPh>
    <phoneticPr fontId="1"/>
  </si>
  <si>
    <t>登録日</t>
    <rPh sb="0" eb="3">
      <t>トウロクビ</t>
    </rPh>
    <phoneticPr fontId="5"/>
  </si>
  <si>
    <t>TOROKU_DATE</t>
    <phoneticPr fontId="3"/>
  </si>
  <si>
    <t>登録者担当コード</t>
    <rPh sb="0" eb="3">
      <t>トウロクシャ</t>
    </rPh>
    <rPh sb="3" eb="5">
      <t>タントウ</t>
    </rPh>
    <phoneticPr fontId="5"/>
  </si>
  <si>
    <t>登録者コンピュータ名</t>
    <rPh sb="0" eb="3">
      <t>トウロクシャ</t>
    </rPh>
    <rPh sb="9" eb="10">
      <t>メイ</t>
    </rPh>
    <phoneticPr fontId="5"/>
  </si>
  <si>
    <t>更新日</t>
    <rPh sb="0" eb="2">
      <t>コウシン</t>
    </rPh>
    <rPh sb="2" eb="3">
      <t>ビ</t>
    </rPh>
    <phoneticPr fontId="5"/>
  </si>
  <si>
    <t>更新者担当コード</t>
    <rPh sb="0" eb="3">
      <t>コウシンシャ</t>
    </rPh>
    <rPh sb="3" eb="5">
      <t>タントウ</t>
    </rPh>
    <phoneticPr fontId="5"/>
  </si>
  <si>
    <t>更新者コンピュータ名</t>
    <rPh sb="0" eb="2">
      <t>コウシン</t>
    </rPh>
    <rPh sb="2" eb="3">
      <t>シャ</t>
    </rPh>
    <rPh sb="9" eb="10">
      <t>メイ</t>
    </rPh>
    <phoneticPr fontId="5"/>
  </si>
  <si>
    <t>diabl</t>
  </si>
  <si>
    <t>JAPARI-MAN</t>
  </si>
  <si>
    <t>000000000002</t>
  </si>
  <si>
    <t>0000004005</t>
  </si>
  <si>
    <t>000000000003</t>
  </si>
  <si>
    <t>SYOHIN_BUNRUI_CODE</t>
    <phoneticPr fontId="3"/>
  </si>
  <si>
    <t>0001</t>
  </si>
  <si>
    <t>000000000004</t>
  </si>
  <si>
    <t>0534</t>
  </si>
  <si>
    <t>1105</t>
  </si>
  <si>
    <t>0010</t>
  </si>
  <si>
    <t>0200</t>
  </si>
  <si>
    <t>1000</t>
  </si>
  <si>
    <t>0601</t>
  </si>
  <si>
    <t>1001</t>
  </si>
  <si>
    <t>00014</t>
  </si>
  <si>
    <t>20101</t>
  </si>
  <si>
    <t>00009</t>
  </si>
  <si>
    <t>011</t>
  </si>
  <si>
    <t>009</t>
  </si>
  <si>
    <t>031</t>
  </si>
  <si>
    <t>019</t>
  </si>
  <si>
    <t>1清酒類</t>
  </si>
  <si>
    <t>2焼酎類</t>
  </si>
  <si>
    <t>08</t>
  </si>
  <si>
    <t>07</t>
  </si>
  <si>
    <t xml:space="preserve">0.11 </t>
  </si>
  <si>
    <t xml:space="preserve">1.08 </t>
  </si>
  <si>
    <t>111</t>
  </si>
  <si>
    <t xml:space="preserve">10.80 </t>
  </si>
  <si>
    <t>1111</t>
  </si>
  <si>
    <t xml:space="preserve">108.00 </t>
  </si>
  <si>
    <t>12/13/2024</t>
  </si>
  <si>
    <t>12/14/2024</t>
  </si>
  <si>
    <t>12/15/2024</t>
  </si>
  <si>
    <t>12/16/2024</t>
  </si>
  <si>
    <t>12/17/2024  3:37:11 PM</t>
  </si>
  <si>
    <t>12/17/2024  3:37:12 PM</t>
  </si>
  <si>
    <t>12/17/2024  3:37:13 PM</t>
  </si>
  <si>
    <t>12/17/2024  3:37:14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</si>
</sst>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176" formatCode="yyyy/m/d;@"/>
    <numFmt numFmtId="177" formatCode="0_ "/>
    <numFmt numFmtId="178" formatCode="#,##0_ ;[Red]\-#,##0\ "/>
    <numFmt numFmtId="179" formatCode="0_);[Red]\(0\)"/>
    <numFmt numFmtId="180" formatCode="#,##0&quot;g&quot;"/>
    <numFmt numFmtId="181" formatCode="#,##0.000&quot;kg&quot;"/>
    <numFmt numFmtId="182" formatCode="#,##0.0&quot;kg&quot;"/>
    <numFmt numFmtId="183" formatCode="#,##0&quot;日&quot;"/>
    <numFmt numFmtId="184" formatCode="#,##0&quot;ml&quot;"/>
    <numFmt numFmtId="185" formatCode="#,##0.00&quot;kg&quot;"/>
    <numFmt numFmtId="186" formatCode="yyyy&quot;年&quot;m&quot;月&quot;d&quot;日&quot;;;;"/>
    <numFmt numFmtId="187" formatCode="#,##0.000000;[Red]\-#,##0.000000"/>
    <numFmt numFmtId="188" formatCode="yyyy&quot;年&quot;m&quot;月&quot;d&quot;日&quot;;@"/>
    <numFmt numFmtId="189" formatCode="00000000"/>
    <numFmt numFmtId="190" formatCode="0.00_ "/>
    <numFmt numFmtId="191" formatCode="000000000"/>
    <numFmt numFmtId="192" formatCode="#,##0.##"/>
    <numFmt numFmtId="193" formatCode="00000"/>
    <numFmt numFmtId="194" formatCode="m&quot;月&quot;d&quot;日&quot;;@"/>
    <numFmt numFmtId="195" formatCode="#"/>
  </numFmts>
  <fonts count="49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8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9"/>
      <name val="Arial"/>
      <family val="2"/>
    </font>
    <font>
      <u/>
      <sz val="11"/>
      <color indexed="12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i/>
      <sz val="20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2"/>
      <color indexed="10"/>
      <name val="ＭＳ Ｐゴシック"/>
      <family val="3"/>
      <charset val="128"/>
    </font>
    <font>
      <sz val="8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b/>
      <sz val="8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6"/>
      <color indexed="9"/>
      <name val="ＭＳ Ｐゴシック"/>
      <family val="3"/>
      <charset val="128"/>
    </font>
    <font>
      <sz val="6"/>
      <color indexed="8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6"/>
      <name val="ＭＳ Ｐゴシック"/>
      <family val="3"/>
      <charset val="128"/>
    </font>
    <font>
      <b/>
      <sz val="7"/>
      <name val="ＭＳ Ｐゴシック"/>
      <family val="3"/>
      <charset val="128"/>
    </font>
    <font>
      <sz val="18"/>
      <name val="ＭＳ Ｐゴシック"/>
      <family val="3"/>
      <charset val="128"/>
    </font>
    <font>
      <sz val="16"/>
      <name val="ＭＳ Ｐゴシック"/>
      <family val="3"/>
      <charset val="128"/>
    </font>
    <font>
      <sz val="11"/>
      <color theme="1"/>
      <name val="游ゴシック"/>
      <family val="3"/>
      <charset val="128"/>
    </font>
    <font>
      <b/>
      <sz val="12"/>
      <name val="ＭＳ Ｐゴシック"/>
      <family val="3"/>
      <charset val="128"/>
    </font>
    <font>
      <b/>
      <sz val="12"/>
      <color rgb="FFFF0000"/>
      <name val="ＭＳ Ｐゴシック"/>
      <family val="3"/>
      <charset val="128"/>
    </font>
    <font>
      <b/>
      <sz val="9"/>
      <color rgb="FFFF0000"/>
      <name val="ＭＳ Ｐゴシック"/>
      <family val="3"/>
      <charset val="128"/>
    </font>
    <font>
      <b/>
      <sz val="9"/>
      <color indexed="10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b/>
      <sz val="20"/>
      <name val="ＭＳ Ｐゴシック"/>
      <family val="3"/>
      <charset val="128"/>
    </font>
    <font>
      <sz val="7"/>
      <color rgb="FFFF0000"/>
      <name val="ＭＳ Ｐゴシック"/>
      <family val="3"/>
      <charset val="128"/>
    </font>
    <font>
      <b/>
      <sz val="8.5"/>
      <color rgb="FFFF0000"/>
      <name val="ＭＳ Ｐゴシック"/>
      <family val="3"/>
      <charset val="128"/>
    </font>
    <font>
      <sz val="30"/>
      <name val="ＭＳ Ｐゴシック"/>
      <family val="3"/>
      <charset val="128"/>
    </font>
    <font>
      <sz val="20"/>
      <name val="ＭＳ Ｐゴシック"/>
      <family val="3"/>
      <charset val="128"/>
    </font>
    <font>
      <sz val="26"/>
      <name val="ＭＳ Ｐゴシック"/>
      <family val="3"/>
      <charset val="128"/>
    </font>
    <font>
      <b/>
      <sz val="14"/>
      <color rgb="FF0070C0"/>
      <name val="ＭＳ Ｐゴシック"/>
      <family val="3"/>
      <charset val="128"/>
    </font>
    <font>
      <b/>
      <sz val="14"/>
      <color rgb="FFFF0000"/>
      <name val="ＭＳ Ｐゴシック"/>
      <family val="3"/>
      <charset val="128"/>
    </font>
    <font>
      <b/>
      <sz val="14"/>
      <color theme="0"/>
      <name val="ＭＳ Ｐゴシック"/>
      <family val="3"/>
      <charset val="128"/>
    </font>
    <font>
      <sz val="9"/>
      <color rgb="FFFF0000"/>
      <name val="Meiryo UI"/>
      <family val="3"/>
      <charset val="128"/>
    </font>
    <font>
      <sz val="9"/>
      <name val="Meiryo UI"/>
      <family val="3"/>
      <charset val="128"/>
    </font>
    <font>
      <sz val="11"/>
      <color rgb="FFFF0000"/>
      <name val="ＭＳ Ｐゴシック"/>
      <family val="3"/>
      <charset val="128"/>
    </font>
  </fonts>
  <fills count="2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2"/>
        <bgColor indexed="64"/>
      </patternFill>
    </fill>
    <fill>
      <patternFill patternType="lightGray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64"/>
      </right>
      <top/>
      <bottom style="thin">
        <color indexed="9"/>
      </bottom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double">
        <color indexed="64"/>
      </left>
      <right style="thin">
        <color indexed="9"/>
      </right>
      <top/>
      <bottom style="thin">
        <color indexed="9"/>
      </bottom>
      <diagonal/>
    </border>
    <border>
      <left style="double">
        <color indexed="64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9"/>
      </right>
      <top style="thin">
        <color indexed="64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 style="thin">
        <color indexed="64"/>
      </top>
      <bottom style="hair">
        <color indexed="9"/>
      </bottom>
      <diagonal/>
    </border>
    <border>
      <left style="thin">
        <color indexed="64"/>
      </left>
      <right style="hair">
        <color indexed="9"/>
      </right>
      <top style="hair">
        <color indexed="9"/>
      </top>
      <bottom style="thin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indexed="9"/>
      </bottom>
      <diagonal/>
    </border>
    <border>
      <left style="hair">
        <color indexed="9"/>
      </left>
      <right style="thin">
        <color indexed="64"/>
      </right>
      <top style="hair">
        <color indexed="9"/>
      </top>
      <bottom style="thin">
        <color indexed="9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9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medium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dotted">
        <color indexed="9"/>
      </bottom>
      <diagonal/>
    </border>
    <border>
      <left style="thin">
        <color indexed="9"/>
      </left>
      <right/>
      <top style="medium">
        <color indexed="64"/>
      </top>
      <bottom style="thin">
        <color indexed="9"/>
      </bottom>
      <diagonal/>
    </border>
    <border>
      <left style="thin">
        <color indexed="9"/>
      </left>
      <right style="medium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mediumDashed">
        <color indexed="9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medium">
        <color indexed="64"/>
      </right>
      <top style="thin">
        <color indexed="9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dotted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mediumDashed">
        <color indexed="9"/>
      </top>
      <bottom/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/>
      <top style="thin">
        <color indexed="9"/>
      </top>
      <bottom style="thin">
        <color indexed="9"/>
      </bottom>
      <diagonal/>
    </border>
    <border>
      <left style="medium">
        <color indexed="64"/>
      </left>
      <right/>
      <top style="thin">
        <color indexed="9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thin">
        <color indexed="64"/>
      </right>
      <top style="medium">
        <color indexed="64"/>
      </top>
      <bottom style="hair">
        <color indexed="9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</borders>
  <cellStyleXfs count="51">
    <xf numFmtId="0" fontId="0" fillId="0" borderId="0">
      <alignment vertical="center"/>
    </xf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38" fontId="2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/>
    <xf numFmtId="0" fontId="8" fillId="0" borderId="0"/>
    <xf numFmtId="0" fontId="2" fillId="0" borderId="0"/>
    <xf numFmtId="0" fontId="10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89">
    <xf numFmtId="0" fontId="0" fillId="0" borderId="0" xfId="0">
      <alignment vertical="center"/>
    </xf>
    <xf numFmtId="0" fontId="5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0" fontId="12" fillId="0" borderId="0" xfId="46" applyFont="1">
      <alignment vertical="center"/>
    </xf>
    <xf numFmtId="176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left" vertical="center" shrinkToFit="1"/>
    </xf>
    <xf numFmtId="0" fontId="4" fillId="0" borderId="1" xfId="0" applyFont="1" applyBorder="1" applyAlignment="1">
      <alignment vertical="center" shrinkToFit="1"/>
    </xf>
    <xf numFmtId="0" fontId="4" fillId="0" borderId="0" xfId="0" applyFont="1" applyAlignment="1">
      <alignment vertical="center" shrinkToFit="1"/>
    </xf>
    <xf numFmtId="0" fontId="14" fillId="0" borderId="0" xfId="0" applyFont="1">
      <alignment vertical="center"/>
    </xf>
    <xf numFmtId="0" fontId="4" fillId="0" borderId="2" xfId="0" applyFont="1" applyBorder="1" applyAlignment="1">
      <alignment vertical="center" shrinkToFit="1"/>
    </xf>
    <xf numFmtId="0" fontId="4" fillId="0" borderId="0" xfId="0" applyFont="1" applyAlignment="1">
      <alignment vertical="center" wrapText="1" shrinkToFit="1"/>
    </xf>
    <xf numFmtId="0" fontId="20" fillId="0" borderId="0" xfId="0" applyFont="1" applyAlignment="1">
      <alignment horizontal="left" vertical="center"/>
    </xf>
    <xf numFmtId="0" fontId="14" fillId="0" borderId="10" xfId="0" applyFont="1" applyBorder="1" applyAlignment="1" applyProtection="1">
      <alignment vertical="center" wrapText="1" shrinkToFit="1"/>
      <protection locked="0"/>
    </xf>
    <xf numFmtId="0" fontId="14" fillId="0" borderId="11" xfId="0" applyFont="1" applyBorder="1" applyAlignment="1" applyProtection="1">
      <alignment vertical="center" wrapText="1" shrinkToFit="1"/>
      <protection locked="0"/>
    </xf>
    <xf numFmtId="0" fontId="17" fillId="0" borderId="9" xfId="0" applyFont="1" applyBorder="1" applyAlignment="1">
      <alignment vertical="center" wrapText="1" shrinkToFit="1"/>
    </xf>
    <xf numFmtId="0" fontId="17" fillId="0" borderId="5" xfId="0" applyFont="1" applyBorder="1" applyAlignment="1">
      <alignment vertical="center" wrapText="1" shrinkToFit="1"/>
    </xf>
    <xf numFmtId="0" fontId="14" fillId="2" borderId="11" xfId="0" applyFont="1" applyFill="1" applyBorder="1" applyAlignment="1">
      <alignment vertical="center" wrapText="1" shrinkToFit="1"/>
    </xf>
    <xf numFmtId="0" fontId="14" fillId="2" borderId="14" xfId="0" applyFont="1" applyFill="1" applyBorder="1" applyAlignment="1">
      <alignment vertical="center" wrapText="1" shrinkToFit="1"/>
    </xf>
    <xf numFmtId="0" fontId="14" fillId="2" borderId="15" xfId="0" applyFont="1" applyFill="1" applyBorder="1" applyAlignment="1">
      <alignment vertical="center" wrapText="1" shrinkToFit="1"/>
    </xf>
    <xf numFmtId="0" fontId="4" fillId="0" borderId="0" xfId="45" applyFont="1" applyAlignment="1">
      <alignment wrapText="1"/>
    </xf>
    <xf numFmtId="0" fontId="4" fillId="0" borderId="0" xfId="45" applyFont="1"/>
    <xf numFmtId="0" fontId="4" fillId="0" borderId="0" xfId="45" applyFont="1" applyAlignment="1">
      <alignment horizontal="center" wrapText="1"/>
    </xf>
    <xf numFmtId="0" fontId="4" fillId="0" borderId="0" xfId="45" applyFont="1" applyAlignment="1">
      <alignment horizontal="center"/>
    </xf>
    <xf numFmtId="0" fontId="4" fillId="0" borderId="16" xfId="45" applyFont="1" applyBorder="1" applyAlignment="1">
      <alignment horizontal="center"/>
    </xf>
    <xf numFmtId="0" fontId="5" fillId="0" borderId="0" xfId="45" applyFont="1" applyAlignment="1">
      <alignment horizontal="left" vertical="center"/>
    </xf>
    <xf numFmtId="0" fontId="3" fillId="0" borderId="0" xfId="45" applyFont="1" applyAlignment="1">
      <alignment vertical="center" wrapText="1"/>
    </xf>
    <xf numFmtId="0" fontId="4" fillId="0" borderId="0" xfId="45" applyFont="1" applyAlignment="1">
      <alignment vertical="center" wrapText="1"/>
    </xf>
    <xf numFmtId="0" fontId="7" fillId="0" borderId="0" xfId="45" applyFont="1" applyAlignment="1">
      <alignment vertical="center" wrapText="1"/>
    </xf>
    <xf numFmtId="0" fontId="2" fillId="0" borderId="0" xfId="45"/>
    <xf numFmtId="0" fontId="20" fillId="0" borderId="0" xfId="45" applyFont="1" applyAlignment="1">
      <alignment horizontal="left" vertical="center"/>
    </xf>
    <xf numFmtId="0" fontId="4" fillId="4" borderId="4" xfId="45" applyFont="1" applyFill="1" applyBorder="1" applyAlignment="1">
      <alignment horizontal="center" vertical="center" shrinkToFit="1"/>
    </xf>
    <xf numFmtId="0" fontId="4" fillId="4" borderId="4" xfId="45" applyFont="1" applyFill="1" applyBorder="1" applyAlignment="1">
      <alignment vertical="center" wrapText="1"/>
    </xf>
    <xf numFmtId="0" fontId="4" fillId="5" borderId="4" xfId="45" applyFont="1" applyFill="1" applyBorder="1" applyAlignment="1">
      <alignment vertical="center" wrapText="1"/>
    </xf>
    <xf numFmtId="184" fontId="4" fillId="4" borderId="4" xfId="45" applyNumberFormat="1" applyFont="1" applyFill="1" applyBorder="1" applyAlignment="1">
      <alignment horizontal="center" vertical="center" shrinkToFit="1"/>
    </xf>
    <xf numFmtId="0" fontId="4" fillId="4" borderId="3" xfId="45" applyFont="1" applyFill="1" applyBorder="1" applyAlignment="1">
      <alignment horizontal="center" vertical="center" wrapText="1"/>
    </xf>
    <xf numFmtId="177" fontId="4" fillId="0" borderId="17" xfId="45" applyNumberFormat="1" applyFont="1" applyBorder="1" applyAlignment="1">
      <alignment horizontal="center" vertical="center" wrapText="1"/>
    </xf>
    <xf numFmtId="0" fontId="4" fillId="4" borderId="1" xfId="45" applyFont="1" applyFill="1" applyBorder="1" applyAlignment="1">
      <alignment horizontal="center" vertical="center" shrinkToFit="1"/>
    </xf>
    <xf numFmtId="0" fontId="4" fillId="4" borderId="1" xfId="45" applyFont="1" applyFill="1" applyBorder="1" applyAlignment="1">
      <alignment vertical="center" wrapText="1"/>
    </xf>
    <xf numFmtId="0" fontId="4" fillId="5" borderId="1" xfId="45" applyFont="1" applyFill="1" applyBorder="1" applyAlignment="1">
      <alignment vertical="center" wrapText="1"/>
    </xf>
    <xf numFmtId="0" fontId="4" fillId="4" borderId="1" xfId="45" applyFont="1" applyFill="1" applyBorder="1" applyAlignment="1">
      <alignment horizontal="left" vertical="center" wrapText="1"/>
    </xf>
    <xf numFmtId="0" fontId="4" fillId="4" borderId="18" xfId="45" applyFont="1" applyFill="1" applyBorder="1" applyAlignment="1">
      <alignment horizontal="center" vertical="center" wrapText="1"/>
    </xf>
    <xf numFmtId="0" fontId="4" fillId="0" borderId="1" xfId="45" applyFont="1" applyBorder="1" applyAlignment="1">
      <alignment horizontal="center" vertical="center" wrapText="1"/>
    </xf>
    <xf numFmtId="177" fontId="4" fillId="0" borderId="19" xfId="45" applyNumberFormat="1" applyFont="1" applyBorder="1" applyAlignment="1">
      <alignment horizontal="center" vertical="center" wrapText="1"/>
    </xf>
    <xf numFmtId="0" fontId="4" fillId="4" borderId="20" xfId="45" applyFont="1" applyFill="1" applyBorder="1" applyAlignment="1">
      <alignment vertical="center" wrapText="1"/>
    </xf>
    <xf numFmtId="0" fontId="4" fillId="5" borderId="20" xfId="45" applyFont="1" applyFill="1" applyBorder="1" applyAlignment="1">
      <alignment vertical="center" wrapText="1"/>
    </xf>
    <xf numFmtId="0" fontId="4" fillId="4" borderId="21" xfId="45" applyFont="1" applyFill="1" applyBorder="1" applyAlignment="1">
      <alignment horizontal="center" vertical="center" shrinkToFit="1"/>
    </xf>
    <xf numFmtId="0" fontId="4" fillId="4" borderId="21" xfId="45" applyFont="1" applyFill="1" applyBorder="1" applyAlignment="1">
      <alignment vertical="center" wrapText="1"/>
    </xf>
    <xf numFmtId="0" fontId="4" fillId="5" borderId="21" xfId="45" applyFont="1" applyFill="1" applyBorder="1" applyAlignment="1">
      <alignment vertical="center" wrapText="1"/>
    </xf>
    <xf numFmtId="184" fontId="4" fillId="4" borderId="21" xfId="45" applyNumberFormat="1" applyFont="1" applyFill="1" applyBorder="1" applyAlignment="1">
      <alignment horizontal="center" vertical="center" shrinkToFit="1"/>
    </xf>
    <xf numFmtId="0" fontId="4" fillId="4" borderId="22" xfId="45" applyFont="1" applyFill="1" applyBorder="1" applyAlignment="1">
      <alignment horizontal="center" vertical="center" wrapText="1"/>
    </xf>
    <xf numFmtId="177" fontId="4" fillId="0" borderId="23" xfId="45" applyNumberFormat="1" applyFont="1" applyBorder="1" applyAlignment="1">
      <alignment horizontal="center" vertical="center" wrapText="1"/>
    </xf>
    <xf numFmtId="0" fontId="4" fillId="4" borderId="24" xfId="45" applyFont="1" applyFill="1" applyBorder="1" applyAlignment="1">
      <alignment vertical="center" wrapText="1"/>
    </xf>
    <xf numFmtId="0" fontId="4" fillId="5" borderId="24" xfId="45" applyFont="1" applyFill="1" applyBorder="1" applyAlignment="1">
      <alignment vertical="center" wrapText="1"/>
    </xf>
    <xf numFmtId="0" fontId="4" fillId="4" borderId="24" xfId="45" applyFont="1" applyFill="1" applyBorder="1" applyAlignment="1">
      <alignment horizontal="center" vertical="center" shrinkToFit="1"/>
    </xf>
    <xf numFmtId="0" fontId="4" fillId="0" borderId="24" xfId="45" applyFont="1" applyBorder="1" applyAlignment="1">
      <alignment horizontal="left" vertical="center" wrapText="1"/>
    </xf>
    <xf numFmtId="0" fontId="4" fillId="0" borderId="24" xfId="45" applyFont="1" applyBorder="1" applyAlignment="1">
      <alignment horizontal="center" vertical="center" wrapText="1"/>
    </xf>
    <xf numFmtId="183" fontId="4" fillId="0" borderId="25" xfId="45" applyNumberFormat="1" applyFont="1" applyBorder="1" applyAlignment="1">
      <alignment horizontal="center" vertical="center" wrapText="1"/>
    </xf>
    <xf numFmtId="0" fontId="4" fillId="0" borderId="1" xfId="45" applyFont="1" applyBorder="1" applyAlignment="1" applyProtection="1">
      <alignment horizontal="center" vertical="center" wrapText="1" shrinkToFit="1"/>
      <protection locked="0"/>
    </xf>
    <xf numFmtId="0" fontId="4" fillId="3" borderId="1" xfId="45" applyFont="1" applyFill="1" applyBorder="1" applyAlignment="1" applyProtection="1">
      <alignment horizontal="center" vertical="center" wrapText="1" shrinkToFit="1"/>
      <protection locked="0"/>
    </xf>
    <xf numFmtId="179" fontId="4" fillId="0" borderId="1" xfId="45" applyNumberFormat="1" applyFont="1" applyBorder="1" applyAlignment="1" applyProtection="1">
      <alignment horizontal="center" vertical="center" wrapText="1" shrinkToFit="1"/>
      <protection locked="0"/>
    </xf>
    <xf numFmtId="183" fontId="4" fillId="0" borderId="1" xfId="45" applyNumberFormat="1" applyFont="1" applyBorder="1" applyAlignment="1" applyProtection="1">
      <alignment horizontal="center" vertical="center" wrapText="1" shrinkToFit="1"/>
      <protection locked="0"/>
    </xf>
    <xf numFmtId="0" fontId="4" fillId="0" borderId="0" xfId="0" applyFont="1" applyAlignment="1">
      <alignment horizontal="left" vertical="center"/>
    </xf>
    <xf numFmtId="0" fontId="3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0" borderId="20" xfId="0" applyFont="1" applyBorder="1" applyAlignment="1">
      <alignment horizontal="center" wrapText="1"/>
    </xf>
    <xf numFmtId="0" fontId="3" fillId="0" borderId="1" xfId="0" applyFont="1" applyBorder="1" applyAlignment="1">
      <alignment vertical="center" textRotation="255" wrapText="1"/>
    </xf>
    <xf numFmtId="0" fontId="3" fillId="6" borderId="1" xfId="0" applyFont="1" applyFill="1" applyBorder="1" applyAlignment="1">
      <alignment vertical="center" textRotation="255" wrapText="1"/>
    </xf>
    <xf numFmtId="0" fontId="4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4" fillId="0" borderId="20" xfId="0" applyFont="1" applyBorder="1" applyAlignment="1">
      <alignment vertical="center" wrapText="1"/>
    </xf>
    <xf numFmtId="0" fontId="4" fillId="7" borderId="1" xfId="0" applyFont="1" applyFill="1" applyBorder="1" applyAlignment="1">
      <alignment vertical="center" wrapText="1"/>
    </xf>
    <xf numFmtId="0" fontId="3" fillId="0" borderId="9" xfId="0" applyFont="1" applyBorder="1" applyAlignment="1">
      <alignment horizontal="center" vertical="center" wrapText="1"/>
    </xf>
    <xf numFmtId="0" fontId="4" fillId="0" borderId="20" xfId="0" applyFont="1" applyBorder="1" applyAlignment="1">
      <alignment vertical="center" textRotation="255" wrapText="1"/>
    </xf>
    <xf numFmtId="0" fontId="4" fillId="6" borderId="20" xfId="0" applyFont="1" applyFill="1" applyBorder="1" applyAlignment="1">
      <alignment vertical="center" textRotation="255" wrapText="1"/>
    </xf>
    <xf numFmtId="0" fontId="14" fillId="0" borderId="20" xfId="0" applyFont="1" applyBorder="1" applyAlignment="1">
      <alignment vertical="center" textRotation="255" wrapText="1"/>
    </xf>
    <xf numFmtId="0" fontId="4" fillId="3" borderId="1" xfId="0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 shrinkToFit="1"/>
    </xf>
    <xf numFmtId="0" fontId="4" fillId="3" borderId="1" xfId="0" applyFont="1" applyFill="1" applyBorder="1" applyAlignment="1">
      <alignment horizontal="center" vertical="center" wrapText="1" shrinkToFit="1"/>
    </xf>
    <xf numFmtId="0" fontId="4" fillId="0" borderId="0" xfId="0" applyFont="1" applyAlignment="1">
      <alignment vertical="center" wrapText="1"/>
    </xf>
    <xf numFmtId="0" fontId="4" fillId="0" borderId="26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 wrapText="1"/>
    </xf>
    <xf numFmtId="0" fontId="14" fillId="0" borderId="28" xfId="0" applyFont="1" applyBorder="1" applyAlignment="1">
      <alignment vertical="center" wrapText="1"/>
    </xf>
    <xf numFmtId="0" fontId="4" fillId="5" borderId="20" xfId="0" applyFont="1" applyFill="1" applyBorder="1" applyAlignment="1">
      <alignment vertical="center" wrapText="1"/>
    </xf>
    <xf numFmtId="0" fontId="14" fillId="0" borderId="20" xfId="0" applyFont="1" applyBorder="1" applyAlignment="1">
      <alignment horizontal="center" vertical="center" wrapText="1"/>
    </xf>
    <xf numFmtId="181" fontId="14" fillId="0" borderId="26" xfId="0" applyNumberFormat="1" applyFont="1" applyBorder="1" applyAlignment="1">
      <alignment vertical="center" shrinkToFit="1"/>
    </xf>
    <xf numFmtId="180" fontId="4" fillId="0" borderId="2" xfId="0" applyNumberFormat="1" applyFont="1" applyBorder="1" applyAlignment="1">
      <alignment vertical="center" shrinkToFit="1"/>
    </xf>
    <xf numFmtId="0" fontId="14" fillId="0" borderId="27" xfId="0" applyFont="1" applyBorder="1" applyAlignment="1">
      <alignment horizontal="center" vertical="center" wrapText="1"/>
    </xf>
    <xf numFmtId="0" fontId="14" fillId="0" borderId="27" xfId="0" applyFont="1" applyBorder="1" applyAlignment="1">
      <alignment horizontal="center" vertical="center" textRotation="255" wrapText="1"/>
    </xf>
    <xf numFmtId="0" fontId="14" fillId="0" borderId="29" xfId="0" applyFont="1" applyBorder="1" applyAlignment="1">
      <alignment horizontal="center" vertical="center" textRotation="255"/>
    </xf>
    <xf numFmtId="0" fontId="14" fillId="6" borderId="27" xfId="0" applyFont="1" applyFill="1" applyBorder="1" applyAlignment="1">
      <alignment horizontal="center" vertical="center" textRotation="255" wrapText="1" shrinkToFit="1"/>
    </xf>
    <xf numFmtId="0" fontId="18" fillId="6" borderId="27" xfId="0" applyFont="1" applyFill="1" applyBorder="1" applyAlignment="1">
      <alignment horizontal="center" vertical="center" textRotation="255" wrapText="1"/>
    </xf>
    <xf numFmtId="0" fontId="14" fillId="5" borderId="27" xfId="0" applyFont="1" applyFill="1" applyBorder="1" applyAlignment="1">
      <alignment horizontal="left" vertical="center" textRotation="255" wrapText="1"/>
    </xf>
    <xf numFmtId="0" fontId="14" fillId="5" borderId="27" xfId="0" applyFont="1" applyFill="1" applyBorder="1" applyAlignment="1">
      <alignment horizontal="left" vertical="center" wrapText="1"/>
    </xf>
    <xf numFmtId="0" fontId="14" fillId="0" borderId="26" xfId="0" applyFont="1" applyBorder="1" applyAlignment="1">
      <alignment vertical="center" wrapText="1"/>
    </xf>
    <xf numFmtId="0" fontId="14" fillId="0" borderId="0" xfId="0" applyFont="1" applyAlignment="1">
      <alignment vertical="center" wrapText="1"/>
    </xf>
    <xf numFmtId="0" fontId="14" fillId="0" borderId="27" xfId="0" applyFont="1" applyBorder="1" applyAlignment="1">
      <alignment vertical="center" textRotation="255" wrapText="1"/>
    </xf>
    <xf numFmtId="177" fontId="14" fillId="0" borderId="30" xfId="0" applyNumberFormat="1" applyFont="1" applyBorder="1" applyAlignment="1">
      <alignment horizontal="left" vertical="center" wrapText="1"/>
    </xf>
    <xf numFmtId="177" fontId="14" fillId="0" borderId="0" xfId="0" applyNumberFormat="1" applyFont="1" applyAlignment="1">
      <alignment horizontal="left" vertical="center" wrapText="1"/>
    </xf>
    <xf numFmtId="0" fontId="14" fillId="5" borderId="27" xfId="0" applyFont="1" applyFill="1" applyBorder="1" applyAlignment="1">
      <alignment horizontal="center" vertical="center" textRotation="255" wrapText="1"/>
    </xf>
    <xf numFmtId="183" fontId="4" fillId="5" borderId="30" xfId="0" applyNumberFormat="1" applyFont="1" applyFill="1" applyBorder="1" applyAlignment="1">
      <alignment horizontal="center" vertical="center" wrapText="1"/>
    </xf>
    <xf numFmtId="38" fontId="4" fillId="3" borderId="1" xfId="42" applyFont="1" applyFill="1" applyBorder="1" applyAlignment="1" applyProtection="1">
      <alignment vertical="center" wrapText="1"/>
    </xf>
    <xf numFmtId="0" fontId="4" fillId="3" borderId="1" xfId="0" applyFont="1" applyFill="1" applyBorder="1" applyAlignment="1">
      <alignment vertical="center" wrapText="1"/>
    </xf>
    <xf numFmtId="38" fontId="4" fillId="0" borderId="0" xfId="42" applyFont="1" applyBorder="1" applyAlignment="1" applyProtection="1">
      <alignment vertical="center" wrapText="1"/>
    </xf>
    <xf numFmtId="0" fontId="16" fillId="8" borderId="1" xfId="0" applyFont="1" applyFill="1" applyBorder="1" applyAlignment="1">
      <alignment horizontal="center"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vertical="center" wrapText="1"/>
    </xf>
    <xf numFmtId="0" fontId="21" fillId="0" borderId="0" xfId="45" applyFont="1" applyAlignment="1">
      <alignment horizontal="right" vertical="center"/>
    </xf>
    <xf numFmtId="0" fontId="4" fillId="0" borderId="0" xfId="45" applyFont="1" applyAlignment="1">
      <alignment vertical="center"/>
    </xf>
    <xf numFmtId="0" fontId="4" fillId="0" borderId="6" xfId="45" applyFont="1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3" fillId="0" borderId="20" xfId="45" applyFont="1" applyBorder="1" applyAlignment="1" applyProtection="1">
      <alignment horizontal="center" vertical="center" wrapText="1"/>
      <protection locked="0"/>
    </xf>
    <xf numFmtId="180" fontId="4" fillId="4" borderId="1" xfId="45" applyNumberFormat="1" applyFont="1" applyFill="1" applyBorder="1" applyAlignment="1">
      <alignment horizontal="center" vertical="center" shrinkToFit="1"/>
    </xf>
    <xf numFmtId="182" fontId="4" fillId="4" borderId="4" xfId="45" applyNumberFormat="1" applyFont="1" applyFill="1" applyBorder="1" applyAlignment="1">
      <alignment horizontal="center" vertical="center" shrinkToFit="1"/>
    </xf>
    <xf numFmtId="0" fontId="4" fillId="0" borderId="4" xfId="45" applyFont="1" applyBorder="1" applyAlignment="1">
      <alignment horizontal="left" vertical="center" wrapText="1"/>
    </xf>
    <xf numFmtId="0" fontId="4" fillId="0" borderId="1" xfId="45" applyFont="1" applyBorder="1" applyAlignment="1">
      <alignment horizontal="left" vertical="center" wrapText="1"/>
    </xf>
    <xf numFmtId="183" fontId="4" fillId="3" borderId="1" xfId="45" applyNumberFormat="1" applyFont="1" applyFill="1" applyBorder="1" applyAlignment="1" applyProtection="1">
      <alignment horizontal="center" vertical="center" wrapText="1" shrinkToFit="1"/>
      <protection locked="0"/>
    </xf>
    <xf numFmtId="183" fontId="4" fillId="0" borderId="1" xfId="45" applyNumberFormat="1" applyFont="1" applyBorder="1" applyAlignment="1">
      <alignment horizontal="center" vertical="center" wrapText="1"/>
    </xf>
    <xf numFmtId="186" fontId="4" fillId="0" borderId="4" xfId="45" applyNumberFormat="1" applyFont="1" applyBorder="1" applyAlignment="1">
      <alignment horizontal="center" vertical="center" wrapText="1"/>
    </xf>
    <xf numFmtId="0" fontId="4" fillId="4" borderId="5" xfId="45" applyFont="1" applyFill="1" applyBorder="1" applyAlignment="1">
      <alignment horizontal="center" vertical="center" shrinkToFit="1"/>
    </xf>
    <xf numFmtId="0" fontId="4" fillId="4" borderId="5" xfId="45" applyFont="1" applyFill="1" applyBorder="1" applyAlignment="1">
      <alignment horizontal="left" vertical="center" wrapText="1"/>
    </xf>
    <xf numFmtId="0" fontId="4" fillId="0" borderId="5" xfId="45" applyFont="1" applyBorder="1" applyAlignment="1">
      <alignment horizontal="left" vertical="center" wrapText="1"/>
    </xf>
    <xf numFmtId="0" fontId="4" fillId="0" borderId="5" xfId="45" applyFont="1" applyBorder="1" applyAlignment="1">
      <alignment horizontal="center" vertical="center" wrapText="1"/>
    </xf>
    <xf numFmtId="183" fontId="4" fillId="0" borderId="35" xfId="45" applyNumberFormat="1" applyFont="1" applyBorder="1" applyAlignment="1">
      <alignment horizontal="center" vertical="center" wrapText="1"/>
    </xf>
    <xf numFmtId="0" fontId="4" fillId="4" borderId="5" xfId="45" applyFont="1" applyFill="1" applyBorder="1" applyAlignment="1">
      <alignment vertical="center" wrapText="1"/>
    </xf>
    <xf numFmtId="0" fontId="4" fillId="5" borderId="5" xfId="45" applyFont="1" applyFill="1" applyBorder="1" applyAlignment="1">
      <alignment vertical="center" wrapText="1"/>
    </xf>
    <xf numFmtId="184" fontId="4" fillId="4" borderId="9" xfId="45" applyNumberFormat="1" applyFont="1" applyFill="1" applyBorder="1" applyAlignment="1">
      <alignment horizontal="center" vertical="center" shrinkToFit="1"/>
    </xf>
    <xf numFmtId="182" fontId="4" fillId="4" borderId="9" xfId="45" applyNumberFormat="1" applyFont="1" applyFill="1" applyBorder="1" applyAlignment="1">
      <alignment horizontal="center" vertical="center" shrinkToFit="1"/>
    </xf>
    <xf numFmtId="0" fontId="4" fillId="0" borderId="9" xfId="45" applyFont="1" applyBorder="1" applyAlignment="1">
      <alignment horizontal="left" vertical="center" wrapText="1"/>
    </xf>
    <xf numFmtId="0" fontId="4" fillId="4" borderId="36" xfId="45" applyFont="1" applyFill="1" applyBorder="1" applyAlignment="1">
      <alignment horizontal="center" vertical="center" wrapText="1"/>
    </xf>
    <xf numFmtId="177" fontId="4" fillId="0" borderId="37" xfId="45" applyNumberFormat="1" applyFont="1" applyBorder="1" applyAlignment="1">
      <alignment horizontal="center" vertical="center" wrapText="1"/>
    </xf>
    <xf numFmtId="0" fontId="4" fillId="4" borderId="24" xfId="45" applyFont="1" applyFill="1" applyBorder="1" applyAlignment="1">
      <alignment horizontal="left" vertical="center" wrapText="1"/>
    </xf>
    <xf numFmtId="182" fontId="4" fillId="4" borderId="21" xfId="45" applyNumberFormat="1" applyFont="1" applyFill="1" applyBorder="1" applyAlignment="1">
      <alignment horizontal="center" vertical="center" shrinkToFit="1"/>
    </xf>
    <xf numFmtId="186" fontId="4" fillId="0" borderId="21" xfId="45" applyNumberFormat="1" applyFont="1" applyBorder="1" applyAlignment="1">
      <alignment horizontal="center" vertical="center" wrapText="1"/>
    </xf>
    <xf numFmtId="0" fontId="4" fillId="0" borderId="21" xfId="45" applyFont="1" applyBorder="1" applyAlignment="1">
      <alignment horizontal="left" vertical="center" wrapText="1"/>
    </xf>
    <xf numFmtId="14" fontId="4" fillId="0" borderId="0" xfId="0" applyNumberFormat="1" applyFont="1" applyAlignment="1">
      <alignment vertical="center" wrapText="1"/>
    </xf>
    <xf numFmtId="0" fontId="24" fillId="0" borderId="0" xfId="45" applyFont="1" applyAlignment="1">
      <alignment horizontal="center" vertical="center" shrinkToFit="1"/>
    </xf>
    <xf numFmtId="0" fontId="4" fillId="0" borderId="1" xfId="45" applyFont="1" applyBorder="1" applyAlignment="1">
      <alignment horizontal="center" vertical="center" shrinkToFit="1"/>
    </xf>
    <xf numFmtId="0" fontId="4" fillId="0" borderId="39" xfId="45" applyFont="1" applyBorder="1" applyAlignment="1">
      <alignment horizontal="center"/>
    </xf>
    <xf numFmtId="0" fontId="5" fillId="0" borderId="40" xfId="45" applyFont="1" applyBorder="1" applyAlignment="1" applyProtection="1">
      <alignment vertical="center"/>
      <protection locked="0"/>
    </xf>
    <xf numFmtId="0" fontId="4" fillId="0" borderId="11" xfId="45" applyFont="1" applyBorder="1" applyAlignment="1">
      <alignment horizontal="center" vertical="center"/>
    </xf>
    <xf numFmtId="183" fontId="4" fillId="0" borderId="41" xfId="45" applyNumberFormat="1" applyFont="1" applyBorder="1" applyAlignment="1">
      <alignment horizontal="center" vertical="center" wrapText="1"/>
    </xf>
    <xf numFmtId="183" fontId="4" fillId="0" borderId="15" xfId="45" applyNumberFormat="1" applyFont="1" applyBorder="1" applyAlignment="1">
      <alignment horizontal="center" vertical="center" wrapText="1"/>
    </xf>
    <xf numFmtId="0" fontId="24" fillId="0" borderId="1" xfId="45" applyFont="1" applyBorder="1" applyAlignment="1">
      <alignment horizontal="left" vertical="center" wrapText="1"/>
    </xf>
    <xf numFmtId="31" fontId="4" fillId="3" borderId="1" xfId="45" applyNumberFormat="1" applyFont="1" applyFill="1" applyBorder="1" applyAlignment="1" applyProtection="1">
      <alignment horizontal="center" vertical="center" wrapText="1" shrinkToFit="1"/>
      <protection locked="0"/>
    </xf>
    <xf numFmtId="176" fontId="4" fillId="3" borderId="1" xfId="45" applyNumberFormat="1" applyFont="1" applyFill="1" applyBorder="1" applyAlignment="1" applyProtection="1">
      <alignment horizontal="center" vertical="center" wrapText="1" shrinkToFit="1"/>
      <protection locked="0"/>
    </xf>
    <xf numFmtId="0" fontId="4" fillId="0" borderId="0" xfId="45" applyFont="1" applyAlignment="1">
      <alignment horizontal="center" vertical="center" shrinkToFit="1"/>
    </xf>
    <xf numFmtId="0" fontId="24" fillId="0" borderId="1" xfId="45" applyFont="1" applyBorder="1" applyAlignment="1">
      <alignment horizontal="center" vertical="center" shrinkToFit="1"/>
    </xf>
    <xf numFmtId="0" fontId="4" fillId="0" borderId="20" xfId="45" applyFont="1" applyBorder="1" applyAlignment="1">
      <alignment horizontal="center" vertical="center" shrinkToFit="1"/>
    </xf>
    <xf numFmtId="0" fontId="4" fillId="3" borderId="1" xfId="45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24" fillId="0" borderId="0" xfId="45" applyFont="1" applyAlignment="1">
      <alignment horizontal="center" vertical="center" wrapText="1"/>
    </xf>
    <xf numFmtId="0" fontId="3" fillId="0" borderId="1" xfId="45" applyFont="1" applyBorder="1" applyAlignment="1" applyProtection="1">
      <alignment horizontal="center" vertical="center" wrapText="1"/>
      <protection locked="0"/>
    </xf>
    <xf numFmtId="0" fontId="4" fillId="5" borderId="1" xfId="45" applyFont="1" applyFill="1" applyBorder="1" applyAlignment="1" applyProtection="1">
      <alignment horizontal="center" vertical="center" wrapText="1" shrinkToFit="1"/>
      <protection locked="0"/>
    </xf>
    <xf numFmtId="184" fontId="4" fillId="10" borderId="1" xfId="45" applyNumberFormat="1" applyFont="1" applyFill="1" applyBorder="1" applyAlignment="1" applyProtection="1">
      <alignment horizontal="center" vertical="center" wrapText="1" shrinkToFit="1"/>
      <protection locked="0"/>
    </xf>
    <xf numFmtId="0" fontId="4" fillId="10" borderId="0" xfId="45" applyFont="1" applyFill="1" applyAlignment="1" applyProtection="1">
      <alignment horizontal="center" vertical="center" wrapText="1" shrinkToFit="1"/>
      <protection locked="0"/>
    </xf>
    <xf numFmtId="179" fontId="4" fillId="10" borderId="0" xfId="45" applyNumberFormat="1" applyFont="1" applyFill="1" applyAlignment="1" applyProtection="1">
      <alignment horizontal="center" vertical="center" wrapText="1" shrinkToFit="1"/>
      <protection locked="0"/>
    </xf>
    <xf numFmtId="0" fontId="4" fillId="10" borderId="0" xfId="45" applyFont="1" applyFill="1" applyAlignment="1" applyProtection="1">
      <alignment horizontal="center" vertical="center" wrapText="1"/>
      <protection locked="0"/>
    </xf>
    <xf numFmtId="14" fontId="7" fillId="2" borderId="7" xfId="45" applyNumberFormat="1" applyFont="1" applyFill="1" applyBorder="1" applyAlignment="1">
      <alignment horizontal="center" vertical="center"/>
    </xf>
    <xf numFmtId="0" fontId="7" fillId="5" borderId="53" xfId="0" applyFont="1" applyFill="1" applyBorder="1" applyAlignment="1">
      <alignment vertical="center" wrapText="1" shrinkToFit="1"/>
    </xf>
    <xf numFmtId="0" fontId="7" fillId="5" borderId="55" xfId="0" applyFont="1" applyFill="1" applyBorder="1" applyAlignment="1">
      <alignment vertical="center" wrapText="1" shrinkToFit="1"/>
    </xf>
    <xf numFmtId="0" fontId="7" fillId="5" borderId="2" xfId="0" applyFont="1" applyFill="1" applyBorder="1" applyAlignment="1">
      <alignment horizontal="center" vertical="center" wrapText="1" shrinkToFit="1"/>
    </xf>
    <xf numFmtId="0" fontId="7" fillId="5" borderId="5" xfId="0" applyFont="1" applyFill="1" applyBorder="1" applyAlignment="1">
      <alignment horizontal="center" vertical="center" wrapText="1" shrinkToFit="1"/>
    </xf>
    <xf numFmtId="0" fontId="14" fillId="5" borderId="58" xfId="0" applyFont="1" applyFill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/>
    </xf>
    <xf numFmtId="176" fontId="17" fillId="0" borderId="7" xfId="0" applyNumberFormat="1" applyFont="1" applyBorder="1" applyAlignment="1">
      <alignment horizontal="center" vertical="center" shrinkToFit="1"/>
    </xf>
    <xf numFmtId="0" fontId="4" fillId="0" borderId="1" xfId="45" applyFont="1" applyBorder="1" applyAlignment="1">
      <alignment wrapText="1"/>
    </xf>
    <xf numFmtId="0" fontId="4" fillId="0" borderId="61" xfId="45" applyFont="1" applyBorder="1" applyAlignment="1" applyProtection="1">
      <alignment horizontal="center" vertical="center" wrapText="1" shrinkToFit="1"/>
      <protection locked="0"/>
    </xf>
    <xf numFmtId="49" fontId="4" fillId="3" borderId="1" xfId="45" applyNumberFormat="1" applyFont="1" applyFill="1" applyBorder="1" applyAlignment="1" applyProtection="1">
      <alignment horizontal="center" vertical="center" wrapText="1" shrinkToFit="1"/>
      <protection locked="0"/>
    </xf>
    <xf numFmtId="14" fontId="7" fillId="2" borderId="7" xfId="0" applyNumberFormat="1" applyFont="1" applyFill="1" applyBorder="1" applyAlignment="1">
      <alignment horizontal="center" vertical="center"/>
    </xf>
    <xf numFmtId="0" fontId="21" fillId="0" borderId="7" xfId="45" applyFont="1" applyBorder="1" applyAlignment="1" applyProtection="1">
      <alignment horizontal="center" vertical="center"/>
      <protection locked="0"/>
    </xf>
    <xf numFmtId="0" fontId="7" fillId="5" borderId="63" xfId="45" applyFont="1" applyFill="1" applyBorder="1" applyAlignment="1">
      <alignment horizontal="center" vertical="center" wrapText="1" shrinkToFit="1"/>
    </xf>
    <xf numFmtId="0" fontId="17" fillId="5" borderId="64" xfId="45" applyFont="1" applyFill="1" applyBorder="1" applyAlignment="1">
      <alignment horizontal="center" vertical="center" wrapText="1"/>
    </xf>
    <xf numFmtId="0" fontId="27" fillId="5" borderId="43" xfId="45" applyFont="1" applyFill="1" applyBorder="1" applyAlignment="1">
      <alignment horizontal="center" vertical="center" wrapText="1"/>
    </xf>
    <xf numFmtId="0" fontId="27" fillId="5" borderId="65" xfId="45" applyFont="1" applyFill="1" applyBorder="1" applyAlignment="1">
      <alignment horizontal="center" vertical="center" wrapText="1"/>
    </xf>
    <xf numFmtId="0" fontId="17" fillId="5" borderId="65" xfId="45" applyFont="1" applyFill="1" applyBorder="1" applyAlignment="1">
      <alignment horizontal="center" vertical="center" wrapText="1"/>
    </xf>
    <xf numFmtId="0" fontId="17" fillId="5" borderId="66" xfId="45" applyFont="1" applyFill="1" applyBorder="1" applyAlignment="1">
      <alignment horizontal="center" vertical="center" wrapText="1"/>
    </xf>
    <xf numFmtId="49" fontId="17" fillId="5" borderId="67" xfId="45" applyNumberFormat="1" applyFont="1" applyFill="1" applyBorder="1" applyAlignment="1">
      <alignment horizontal="center" vertical="center" wrapText="1"/>
    </xf>
    <xf numFmtId="0" fontId="17" fillId="5" borderId="68" xfId="45" applyFont="1" applyFill="1" applyBorder="1" applyAlignment="1">
      <alignment horizontal="center" vertical="center" wrapText="1"/>
    </xf>
    <xf numFmtId="49" fontId="7" fillId="5" borderId="66" xfId="45" applyNumberFormat="1" applyFont="1" applyFill="1" applyBorder="1" applyAlignment="1">
      <alignment horizontal="center" vertical="center" wrapText="1"/>
    </xf>
    <xf numFmtId="49" fontId="7" fillId="5" borderId="69" xfId="45" applyNumberFormat="1" applyFont="1" applyFill="1" applyBorder="1" applyAlignment="1">
      <alignment horizontal="center" vertical="center" wrapText="1"/>
    </xf>
    <xf numFmtId="49" fontId="7" fillId="5" borderId="70" xfId="45" applyNumberFormat="1" applyFont="1" applyFill="1" applyBorder="1" applyAlignment="1">
      <alignment horizontal="center" vertical="center" wrapText="1"/>
    </xf>
    <xf numFmtId="49" fontId="7" fillId="5" borderId="71" xfId="45" applyNumberFormat="1" applyFont="1" applyFill="1" applyBorder="1" applyAlignment="1">
      <alignment horizontal="center" vertical="center" wrapText="1"/>
    </xf>
    <xf numFmtId="0" fontId="17" fillId="5" borderId="62" xfId="45" applyFont="1" applyFill="1" applyBorder="1" applyAlignment="1">
      <alignment horizontal="center" vertical="center" wrapText="1"/>
    </xf>
    <xf numFmtId="0" fontId="17" fillId="0" borderId="1" xfId="45" applyFont="1" applyBorder="1" applyAlignment="1">
      <alignment horizontal="center" vertical="center" wrapText="1"/>
    </xf>
    <xf numFmtId="0" fontId="27" fillId="0" borderId="5" xfId="45" applyFont="1" applyBorder="1" applyAlignment="1">
      <alignment horizontal="center" vertical="center" wrapText="1"/>
    </xf>
    <xf numFmtId="0" fontId="23" fillId="5" borderId="72" xfId="45" applyFont="1" applyFill="1" applyBorder="1" applyAlignment="1">
      <alignment horizontal="center" vertical="center" wrapText="1"/>
    </xf>
    <xf numFmtId="0" fontId="23" fillId="5" borderId="30" xfId="45" applyFont="1" applyFill="1" applyBorder="1" applyAlignment="1">
      <alignment horizontal="center" vertical="center" wrapText="1"/>
    </xf>
    <xf numFmtId="0" fontId="28" fillId="5" borderId="62" xfId="45" applyFont="1" applyFill="1" applyBorder="1" applyAlignment="1">
      <alignment horizontal="center" vertical="center" wrapText="1"/>
    </xf>
    <xf numFmtId="0" fontId="27" fillId="5" borderId="73" xfId="45" applyFont="1" applyFill="1" applyBorder="1" applyAlignment="1">
      <alignment horizontal="center" vertical="center" wrapText="1"/>
    </xf>
    <xf numFmtId="0" fontId="17" fillId="5" borderId="73" xfId="45" applyFont="1" applyFill="1" applyBorder="1" applyAlignment="1">
      <alignment horizontal="center" vertical="center" wrapText="1"/>
    </xf>
    <xf numFmtId="0" fontId="27" fillId="0" borderId="1" xfId="45" applyFont="1" applyBorder="1" applyAlignment="1">
      <alignment horizontal="center" vertical="center" wrapText="1"/>
    </xf>
    <xf numFmtId="0" fontId="22" fillId="5" borderId="5" xfId="45" applyFont="1" applyFill="1" applyBorder="1" applyAlignment="1">
      <alignment vertical="center" wrapText="1"/>
    </xf>
    <xf numFmtId="0" fontId="17" fillId="0" borderId="5" xfId="45" applyFont="1" applyBorder="1" applyAlignment="1">
      <alignment horizontal="center" vertical="center" wrapText="1"/>
    </xf>
    <xf numFmtId="0" fontId="17" fillId="0" borderId="74" xfId="45" applyFont="1" applyBorder="1" applyAlignment="1">
      <alignment horizontal="center" vertical="center" wrapText="1"/>
    </xf>
    <xf numFmtId="0" fontId="17" fillId="0" borderId="75" xfId="45" applyFont="1" applyBorder="1" applyAlignment="1">
      <alignment horizontal="center" vertical="center" wrapText="1"/>
    </xf>
    <xf numFmtId="0" fontId="17" fillId="5" borderId="70" xfId="45" applyFont="1" applyFill="1" applyBorder="1" applyAlignment="1">
      <alignment horizontal="center" vertical="center" wrapText="1"/>
    </xf>
    <xf numFmtId="0" fontId="17" fillId="5" borderId="76" xfId="45" applyFont="1" applyFill="1" applyBorder="1" applyAlignment="1">
      <alignment horizontal="center" vertical="center" wrapText="1"/>
    </xf>
    <xf numFmtId="0" fontId="17" fillId="5" borderId="77" xfId="45" applyFont="1" applyFill="1" applyBorder="1" applyAlignment="1">
      <alignment horizontal="center" vertical="center" wrapText="1"/>
    </xf>
    <xf numFmtId="0" fontId="17" fillId="0" borderId="35" xfId="45" applyFont="1" applyBorder="1" applyAlignment="1">
      <alignment horizontal="center" vertical="center" wrapText="1"/>
    </xf>
    <xf numFmtId="0" fontId="4" fillId="5" borderId="1" xfId="45" applyFont="1" applyFill="1" applyBorder="1" applyAlignment="1">
      <alignment vertical="center" shrinkToFit="1"/>
    </xf>
    <xf numFmtId="0" fontId="4" fillId="5" borderId="20" xfId="45" applyFont="1" applyFill="1" applyBorder="1" applyAlignment="1">
      <alignment vertical="center" shrinkToFit="1"/>
    </xf>
    <xf numFmtId="0" fontId="4" fillId="5" borderId="24" xfId="45" applyFont="1" applyFill="1" applyBorder="1" applyAlignment="1">
      <alignment vertical="center" shrinkToFit="1"/>
    </xf>
    <xf numFmtId="0" fontId="4" fillId="5" borderId="5" xfId="45" applyFont="1" applyFill="1" applyBorder="1" applyAlignment="1">
      <alignment vertical="center" shrinkToFit="1"/>
    </xf>
    <xf numFmtId="0" fontId="4" fillId="5" borderId="24" xfId="45" applyFont="1" applyFill="1" applyBorder="1" applyAlignment="1">
      <alignment horizontal="center" vertical="center" shrinkToFit="1"/>
    </xf>
    <xf numFmtId="0" fontId="4" fillId="5" borderId="5" xfId="45" applyFont="1" applyFill="1" applyBorder="1" applyAlignment="1">
      <alignment horizontal="center" vertical="center" shrinkToFit="1"/>
    </xf>
    <xf numFmtId="0" fontId="7" fillId="5" borderId="78" xfId="45" applyFont="1" applyFill="1" applyBorder="1" applyAlignment="1">
      <alignment horizontal="center" vertical="center" wrapText="1" shrinkToFit="1"/>
    </xf>
    <xf numFmtId="49" fontId="19" fillId="5" borderId="79" xfId="45" applyNumberFormat="1" applyFont="1" applyFill="1" applyBorder="1" applyAlignment="1">
      <alignment horizontal="center" vertical="center" wrapText="1"/>
    </xf>
    <xf numFmtId="49" fontId="19" fillId="5" borderId="80" xfId="45" applyNumberFormat="1" applyFont="1" applyFill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/>
    </xf>
    <xf numFmtId="0" fontId="7" fillId="0" borderId="7" xfId="45" applyFont="1" applyBorder="1" applyAlignment="1">
      <alignment horizontal="center" vertical="center"/>
    </xf>
    <xf numFmtId="0" fontId="4" fillId="0" borderId="7" xfId="45" applyFont="1" applyBorder="1" applyAlignment="1">
      <alignment horizontal="center"/>
    </xf>
    <xf numFmtId="14" fontId="7" fillId="4" borderId="7" xfId="45" applyNumberFormat="1" applyFont="1" applyFill="1" applyBorder="1" applyAlignment="1">
      <alignment horizontal="center" vertical="center"/>
    </xf>
    <xf numFmtId="0" fontId="7" fillId="4" borderId="7" xfId="45" applyFont="1" applyFill="1" applyBorder="1" applyAlignment="1">
      <alignment horizontal="center" vertical="center"/>
    </xf>
    <xf numFmtId="0" fontId="4" fillId="0" borderId="1" xfId="45" applyFont="1" applyBorder="1" applyAlignment="1">
      <alignment horizontal="left" vertical="center" shrinkToFit="1"/>
    </xf>
    <xf numFmtId="0" fontId="4" fillId="0" borderId="1" xfId="45" applyFont="1" applyBorder="1" applyAlignment="1">
      <alignment horizontal="left" vertical="center"/>
    </xf>
    <xf numFmtId="0" fontId="23" fillId="5" borderId="81" xfId="45" applyFont="1" applyFill="1" applyBorder="1" applyAlignment="1">
      <alignment horizontal="center" vertical="center" wrapText="1"/>
    </xf>
    <xf numFmtId="0" fontId="23" fillId="5" borderId="46" xfId="45" applyFont="1" applyFill="1" applyBorder="1" applyAlignment="1">
      <alignment horizontal="center" vertical="center" wrapText="1"/>
    </xf>
    <xf numFmtId="49" fontId="24" fillId="0" borderId="0" xfId="45" applyNumberFormat="1" applyFont="1" applyAlignment="1">
      <alignment horizontal="center" vertical="center" shrinkToFit="1"/>
    </xf>
    <xf numFmtId="0" fontId="24" fillId="0" borderId="0" xfId="45" applyFont="1" applyAlignment="1">
      <alignment shrinkToFit="1"/>
    </xf>
    <xf numFmtId="0" fontId="21" fillId="4" borderId="7" xfId="45" applyFont="1" applyFill="1" applyBorder="1" applyAlignment="1" applyProtection="1">
      <alignment horizontal="center" vertical="center"/>
      <protection locked="0"/>
    </xf>
    <xf numFmtId="0" fontId="21" fillId="0" borderId="19" xfId="45" applyFont="1" applyBorder="1" applyAlignment="1">
      <alignment horizontal="center" vertical="center" wrapText="1"/>
    </xf>
    <xf numFmtId="0" fontId="18" fillId="0" borderId="19" xfId="45" applyFont="1" applyBorder="1" applyAlignment="1">
      <alignment horizontal="center" vertical="center" shrinkToFit="1"/>
    </xf>
    <xf numFmtId="177" fontId="18" fillId="0" borderId="10" xfId="45" applyNumberFormat="1" applyFont="1" applyBorder="1" applyAlignment="1">
      <alignment horizontal="center" vertical="center" shrinkToFit="1"/>
    </xf>
    <xf numFmtId="177" fontId="18" fillId="0" borderId="11" xfId="45" applyNumberFormat="1" applyFont="1" applyBorder="1" applyAlignment="1">
      <alignment horizontal="center" vertical="center" shrinkToFit="1"/>
    </xf>
    <xf numFmtId="177" fontId="18" fillId="0" borderId="91" xfId="45" applyNumberFormat="1" applyFont="1" applyBorder="1" applyAlignment="1">
      <alignment horizontal="center" vertical="center" shrinkToFit="1"/>
    </xf>
    <xf numFmtId="177" fontId="18" fillId="0" borderId="33" xfId="45" applyNumberFormat="1" applyFont="1" applyBorder="1" applyAlignment="1">
      <alignment horizontal="center" vertical="center" shrinkToFit="1"/>
    </xf>
    <xf numFmtId="0" fontId="5" fillId="2" borderId="4" xfId="46" applyFont="1" applyFill="1" applyBorder="1" applyAlignment="1">
      <alignment horizontal="center" vertical="center" shrinkToFit="1"/>
    </xf>
    <xf numFmtId="0" fontId="5" fillId="2" borderId="17" xfId="46" applyFont="1" applyFill="1" applyBorder="1" applyAlignment="1">
      <alignment horizontal="center" vertical="center" shrinkToFit="1"/>
    </xf>
    <xf numFmtId="0" fontId="29" fillId="0" borderId="5" xfId="46" applyFont="1" applyBorder="1" applyAlignment="1">
      <alignment horizontal="center" vertical="center"/>
    </xf>
    <xf numFmtId="0" fontId="26" fillId="0" borderId="95" xfId="46" applyFont="1" applyBorder="1">
      <alignment vertical="center"/>
    </xf>
    <xf numFmtId="0" fontId="25" fillId="0" borderId="84" xfId="46" applyFont="1" applyBorder="1">
      <alignment vertical="center"/>
    </xf>
    <xf numFmtId="0" fontId="5" fillId="2" borderId="97" xfId="46" applyFont="1" applyFill="1" applyBorder="1" applyAlignment="1">
      <alignment horizontal="left" vertical="center"/>
    </xf>
    <xf numFmtId="0" fontId="29" fillId="0" borderId="99" xfId="46" applyFont="1" applyBorder="1" applyAlignment="1">
      <alignment horizontal="center" vertical="center"/>
    </xf>
    <xf numFmtId="0" fontId="29" fillId="0" borderId="101" xfId="46" applyFont="1" applyBorder="1" applyAlignment="1">
      <alignment horizontal="center" vertical="center" shrinkToFit="1"/>
    </xf>
    <xf numFmtId="0" fontId="29" fillId="0" borderId="103" xfId="46" applyFont="1" applyBorder="1" applyAlignment="1">
      <alignment horizontal="center" vertical="center"/>
    </xf>
    <xf numFmtId="0" fontId="29" fillId="0" borderId="93" xfId="46" applyFont="1" applyBorder="1" applyAlignment="1">
      <alignment horizontal="center" vertical="center" shrinkToFit="1"/>
    </xf>
    <xf numFmtId="10" fontId="29" fillId="0" borderId="107" xfId="39" applyNumberFormat="1" applyFont="1" applyBorder="1" applyAlignment="1" applyProtection="1">
      <alignment vertical="center" shrinkToFit="1"/>
    </xf>
    <xf numFmtId="0" fontId="14" fillId="5" borderId="124" xfId="0" applyFont="1" applyFill="1" applyBorder="1" applyAlignment="1">
      <alignment horizontal="center" vertical="center" wrapText="1"/>
    </xf>
    <xf numFmtId="0" fontId="4" fillId="0" borderId="0" xfId="45" applyFont="1" applyAlignment="1">
      <alignment horizontal="center" vertical="center" wrapText="1"/>
    </xf>
    <xf numFmtId="49" fontId="12" fillId="0" borderId="12" xfId="0" applyNumberFormat="1" applyFont="1" applyBorder="1" applyAlignment="1" applyProtection="1">
      <alignment horizontal="center" vertical="center"/>
      <protection locked="0"/>
    </xf>
    <xf numFmtId="0" fontId="12" fillId="0" borderId="13" xfId="0" applyFont="1" applyBorder="1" applyAlignment="1" applyProtection="1">
      <alignment horizontal="center" vertical="center"/>
      <protection locked="0"/>
    </xf>
    <xf numFmtId="0" fontId="12" fillId="0" borderId="33" xfId="0" applyFont="1" applyBorder="1" applyAlignment="1" applyProtection="1">
      <alignment horizontal="center" vertical="center"/>
      <protection locked="0"/>
    </xf>
    <xf numFmtId="49" fontId="12" fillId="0" borderId="45" xfId="0" applyNumberFormat="1" applyFont="1" applyBorder="1" applyAlignment="1" applyProtection="1">
      <alignment horizontal="center" vertical="center"/>
      <protection locked="0"/>
    </xf>
    <xf numFmtId="0" fontId="12" fillId="2" borderId="9" xfId="0" applyFont="1" applyFill="1" applyBorder="1" applyAlignment="1">
      <alignment horizontal="center" vertical="center" wrapText="1"/>
    </xf>
    <xf numFmtId="0" fontId="12" fillId="0" borderId="1" xfId="0" applyFont="1" applyBorder="1" applyAlignment="1" applyProtection="1">
      <alignment horizontal="center" vertical="center"/>
      <protection locked="0"/>
    </xf>
    <xf numFmtId="0" fontId="12" fillId="2" borderId="31" xfId="0" applyFont="1" applyFill="1" applyBorder="1" applyAlignment="1">
      <alignment horizontal="center" vertical="center" wrapText="1"/>
    </xf>
    <xf numFmtId="0" fontId="12" fillId="2" borderId="20" xfId="0" applyFont="1" applyFill="1" applyBorder="1" applyAlignment="1">
      <alignment horizontal="center" vertical="center"/>
    </xf>
    <xf numFmtId="49" fontId="12" fillId="0" borderId="7" xfId="0" applyNumberFormat="1" applyFont="1" applyBorder="1" applyAlignment="1" applyProtection="1">
      <alignment horizontal="center" vertical="center"/>
      <protection locked="0"/>
    </xf>
    <xf numFmtId="49" fontId="12" fillId="0" borderId="32" xfId="0" applyNumberFormat="1" applyFont="1" applyBorder="1" applyAlignment="1" applyProtection="1">
      <alignment horizontal="center" vertical="center"/>
      <protection locked="0"/>
    </xf>
    <xf numFmtId="0" fontId="12" fillId="0" borderId="8" xfId="0" applyFont="1" applyBorder="1" applyAlignment="1" applyProtection="1">
      <alignment horizontal="center" vertical="center"/>
      <protection locked="0"/>
    </xf>
    <xf numFmtId="0" fontId="12" fillId="2" borderId="1" xfId="0" applyFont="1" applyFill="1" applyBorder="1" applyAlignment="1">
      <alignment horizontal="center" vertical="center"/>
    </xf>
    <xf numFmtId="0" fontId="12" fillId="2" borderId="34" xfId="0" applyFont="1" applyFill="1" applyBorder="1" applyAlignment="1">
      <alignment horizontal="center" vertical="center"/>
    </xf>
    <xf numFmtId="49" fontId="12" fillId="0" borderId="7" xfId="0" quotePrefix="1" applyNumberFormat="1" applyFont="1" applyBorder="1" applyAlignment="1" applyProtection="1">
      <alignment horizontal="center" vertical="center"/>
      <protection locked="0"/>
    </xf>
    <xf numFmtId="0" fontId="12" fillId="2" borderId="4" xfId="0" applyFont="1" applyFill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7" xfId="45" applyFont="1" applyBorder="1" applyAlignment="1">
      <alignment horizontal="center" vertical="center"/>
    </xf>
    <xf numFmtId="0" fontId="13" fillId="0" borderId="0" xfId="0" applyFont="1">
      <alignment vertical="center"/>
    </xf>
    <xf numFmtId="0" fontId="32" fillId="5" borderId="42" xfId="0" applyFont="1" applyFill="1" applyBorder="1" applyAlignment="1">
      <alignment horizontal="center" vertical="center" wrapText="1"/>
    </xf>
    <xf numFmtId="0" fontId="32" fillId="5" borderId="48" xfId="0" applyFont="1" applyFill="1" applyBorder="1" applyAlignment="1">
      <alignment horizontal="center" vertical="center" wrapText="1"/>
    </xf>
    <xf numFmtId="0" fontId="32" fillId="5" borderId="50" xfId="0" applyFont="1" applyFill="1" applyBorder="1" applyAlignment="1">
      <alignment horizontal="center" vertical="center" wrapText="1"/>
    </xf>
    <xf numFmtId="0" fontId="32" fillId="5" borderId="43" xfId="0" applyFont="1" applyFill="1" applyBorder="1" applyAlignment="1">
      <alignment horizontal="center" vertical="center" wrapText="1"/>
    </xf>
    <xf numFmtId="0" fontId="32" fillId="5" borderId="44" xfId="0" applyFont="1" applyFill="1" applyBorder="1" applyAlignment="1">
      <alignment horizontal="center" vertical="center" wrapText="1"/>
    </xf>
    <xf numFmtId="0" fontId="32" fillId="5" borderId="60" xfId="0" applyFont="1" applyFill="1" applyBorder="1" applyAlignment="1">
      <alignment horizontal="center" vertical="center" wrapText="1"/>
    </xf>
    <xf numFmtId="0" fontId="32" fillId="5" borderId="46" xfId="0" applyFont="1" applyFill="1" applyBorder="1" applyAlignment="1">
      <alignment horizontal="center" vertical="center" wrapText="1"/>
    </xf>
    <xf numFmtId="0" fontId="32" fillId="5" borderId="49" xfId="0" applyFont="1" applyFill="1" applyBorder="1" applyAlignment="1">
      <alignment horizontal="center" vertical="center" wrapText="1"/>
    </xf>
    <xf numFmtId="0" fontId="32" fillId="5" borderId="51" xfId="0" applyFont="1" applyFill="1" applyBorder="1" applyAlignment="1">
      <alignment horizontal="center" vertical="center" wrapText="1"/>
    </xf>
    <xf numFmtId="0" fontId="32" fillId="5" borderId="47" xfId="0" applyFont="1" applyFill="1" applyBorder="1" applyAlignment="1">
      <alignment horizontal="center" vertical="center" wrapText="1"/>
    </xf>
    <xf numFmtId="0" fontId="12" fillId="0" borderId="1" xfId="0" applyFont="1" applyBorder="1">
      <alignment vertical="center"/>
    </xf>
    <xf numFmtId="0" fontId="7" fillId="0" borderId="83" xfId="0" applyFont="1" applyBorder="1" applyAlignment="1">
      <alignment horizontal="center" vertical="center"/>
    </xf>
    <xf numFmtId="176" fontId="17" fillId="0" borderId="83" xfId="0" applyNumberFormat="1" applyFont="1" applyBorder="1" applyAlignment="1">
      <alignment horizontal="center" vertical="center" shrinkToFit="1"/>
    </xf>
    <xf numFmtId="14" fontId="7" fillId="0" borderId="83" xfId="0" applyNumberFormat="1" applyFont="1" applyBorder="1" applyAlignment="1">
      <alignment horizontal="center" vertical="center"/>
    </xf>
    <xf numFmtId="0" fontId="7" fillId="0" borderId="83" xfId="0" applyFont="1" applyBorder="1" applyAlignment="1" applyProtection="1">
      <alignment horizontal="center" vertical="center"/>
      <protection locked="0"/>
    </xf>
    <xf numFmtId="0" fontId="7" fillId="0" borderId="83" xfId="0" applyFont="1" applyBorder="1">
      <alignment vertical="center"/>
    </xf>
    <xf numFmtId="0" fontId="5" fillId="0" borderId="0" xfId="0" applyFont="1" applyAlignment="1">
      <alignment horizontal="center" vertical="center"/>
    </xf>
    <xf numFmtId="0" fontId="32" fillId="0" borderId="7" xfId="0" applyFont="1" applyBorder="1" applyAlignment="1">
      <alignment horizontal="center" vertical="center"/>
    </xf>
    <xf numFmtId="0" fontId="32" fillId="0" borderId="104" xfId="0" applyFont="1" applyBorder="1" applyAlignment="1">
      <alignment horizontal="center" vertical="center" wrapText="1"/>
    </xf>
    <xf numFmtId="0" fontId="32" fillId="0" borderId="134" xfId="0" applyFont="1" applyBorder="1" applyAlignment="1">
      <alignment horizontal="center" vertical="center" wrapText="1"/>
    </xf>
    <xf numFmtId="0" fontId="32" fillId="0" borderId="135" xfId="0" applyFont="1" applyBorder="1" applyAlignment="1">
      <alignment horizontal="center" vertical="center" wrapText="1"/>
    </xf>
    <xf numFmtId="0" fontId="32" fillId="0" borderId="136" xfId="0" applyFont="1" applyBorder="1" applyAlignment="1">
      <alignment horizontal="center" vertical="center" wrapText="1"/>
    </xf>
    <xf numFmtId="0" fontId="32" fillId="0" borderId="110" xfId="0" applyFont="1" applyBorder="1" applyAlignment="1">
      <alignment horizontal="center" vertical="center"/>
    </xf>
    <xf numFmtId="0" fontId="32" fillId="0" borderId="110" xfId="0" applyFont="1" applyBorder="1" applyAlignment="1">
      <alignment horizontal="center" vertical="center" wrapText="1"/>
    </xf>
    <xf numFmtId="0" fontId="32" fillId="0" borderId="111" xfId="0" applyFont="1" applyBorder="1">
      <alignment vertical="center"/>
    </xf>
    <xf numFmtId="0" fontId="33" fillId="0" borderId="111" xfId="0" applyFont="1" applyBorder="1">
      <alignment vertical="center"/>
    </xf>
    <xf numFmtId="0" fontId="33" fillId="15" borderId="110" xfId="0" applyFont="1" applyFill="1" applyBorder="1" applyAlignment="1">
      <alignment horizontal="center" vertical="center"/>
    </xf>
    <xf numFmtId="0" fontId="32" fillId="0" borderId="128" xfId="0" applyFont="1" applyBorder="1" applyAlignment="1">
      <alignment horizontal="center" vertical="center" wrapText="1"/>
    </xf>
    <xf numFmtId="0" fontId="32" fillId="0" borderId="109" xfId="0" applyFont="1" applyBorder="1" applyAlignment="1">
      <alignment horizontal="center" vertical="center" wrapText="1"/>
    </xf>
    <xf numFmtId="0" fontId="32" fillId="0" borderId="144" xfId="0" applyFont="1" applyBorder="1" applyAlignment="1">
      <alignment horizontal="center" vertical="center" wrapText="1"/>
    </xf>
    <xf numFmtId="0" fontId="26" fillId="0" borderId="128" xfId="0" applyFont="1" applyBorder="1">
      <alignment vertical="center"/>
    </xf>
    <xf numFmtId="0" fontId="26" fillId="0" borderId="143" xfId="0" applyFont="1" applyBorder="1">
      <alignment vertical="center"/>
    </xf>
    <xf numFmtId="0" fontId="12" fillId="0" borderId="1" xfId="0" applyFont="1" applyBorder="1" applyAlignment="1">
      <alignment vertical="center" wrapText="1"/>
    </xf>
    <xf numFmtId="176" fontId="32" fillId="0" borderId="7" xfId="0" applyNumberFormat="1" applyFont="1" applyBorder="1" applyAlignment="1">
      <alignment horizontal="center" vertical="center" shrinkToFit="1"/>
    </xf>
    <xf numFmtId="0" fontId="32" fillId="2" borderId="7" xfId="0" applyFont="1" applyFill="1" applyBorder="1" applyAlignment="1" applyProtection="1">
      <alignment horizontal="center" vertical="center"/>
      <protection locked="0"/>
    </xf>
    <xf numFmtId="178" fontId="26" fillId="15" borderId="137" xfId="0" applyNumberFormat="1" applyFont="1" applyFill="1" applyBorder="1">
      <alignment vertical="center"/>
    </xf>
    <xf numFmtId="178" fontId="26" fillId="15" borderId="141" xfId="0" applyNumberFormat="1" applyFont="1" applyFill="1" applyBorder="1">
      <alignment vertical="center"/>
    </xf>
    <xf numFmtId="178" fontId="26" fillId="0" borderId="128" xfId="0" applyNumberFormat="1" applyFont="1" applyBorder="1">
      <alignment vertical="center"/>
    </xf>
    <xf numFmtId="178" fontId="26" fillId="0" borderId="143" xfId="0" applyNumberFormat="1" applyFont="1" applyBorder="1">
      <alignment vertical="center"/>
    </xf>
    <xf numFmtId="178" fontId="26" fillId="0" borderId="134" xfId="0" applyNumberFormat="1" applyFont="1" applyBorder="1">
      <alignment vertical="center"/>
    </xf>
    <xf numFmtId="178" fontId="26" fillId="0" borderId="138" xfId="0" applyNumberFormat="1" applyFont="1" applyBorder="1">
      <alignment vertical="center"/>
    </xf>
    <xf numFmtId="178" fontId="26" fillId="0" borderId="135" xfId="0" applyNumberFormat="1" applyFont="1" applyBorder="1">
      <alignment vertical="center"/>
    </xf>
    <xf numFmtId="178" fontId="26" fillId="0" borderId="139" xfId="0" applyNumberFormat="1" applyFont="1" applyBorder="1">
      <alignment vertical="center"/>
    </xf>
    <xf numFmtId="178" fontId="26" fillId="0" borderId="136" xfId="0" applyNumberFormat="1" applyFont="1" applyBorder="1">
      <alignment vertical="center"/>
    </xf>
    <xf numFmtId="178" fontId="26" fillId="0" borderId="140" xfId="0" applyNumberFormat="1" applyFont="1" applyBorder="1">
      <alignment vertical="center"/>
    </xf>
    <xf numFmtId="178" fontId="26" fillId="0" borderId="137" xfId="0" applyNumberFormat="1" applyFont="1" applyBorder="1">
      <alignment vertical="center"/>
    </xf>
    <xf numFmtId="178" fontId="26" fillId="0" borderId="141" xfId="0" applyNumberFormat="1" applyFont="1" applyBorder="1">
      <alignment vertical="center"/>
    </xf>
    <xf numFmtId="178" fontId="26" fillId="15" borderId="142" xfId="0" applyNumberFormat="1" applyFont="1" applyFill="1" applyBorder="1">
      <alignment vertical="center"/>
    </xf>
    <xf numFmtId="14" fontId="25" fillId="0" borderId="0" xfId="45" applyNumberFormat="1" applyFont="1" applyAlignment="1" applyProtection="1">
      <alignment horizontal="center" vertical="center"/>
      <protection locked="0"/>
    </xf>
    <xf numFmtId="0" fontId="25" fillId="0" borderId="0" xfId="45" applyFont="1" applyAlignment="1" applyProtection="1">
      <alignment horizontal="center" vertical="center"/>
      <protection locked="0"/>
    </xf>
    <xf numFmtId="0" fontId="34" fillId="0" borderId="1" xfId="0" applyFont="1" applyBorder="1">
      <alignment vertical="center"/>
    </xf>
    <xf numFmtId="0" fontId="36" fillId="0" borderId="0" xfId="45" applyFont="1" applyAlignment="1">
      <alignment horizontal="center" vertical="center" wrapText="1"/>
    </xf>
    <xf numFmtId="14" fontId="34" fillId="0" borderId="109" xfId="45" applyNumberFormat="1" applyFont="1" applyBorder="1" applyAlignment="1" applyProtection="1">
      <alignment horizontal="center" vertical="center"/>
      <protection locked="0"/>
    </xf>
    <xf numFmtId="0" fontId="4" fillId="0" borderId="108" xfId="45" applyFont="1" applyBorder="1" applyAlignment="1">
      <alignment horizontal="center" vertical="center"/>
    </xf>
    <xf numFmtId="0" fontId="4" fillId="3" borderId="1" xfId="45" applyFont="1" applyFill="1" applyBorder="1" applyAlignment="1" applyProtection="1">
      <alignment horizontal="center" vertical="center" wrapText="1"/>
      <protection locked="0"/>
    </xf>
    <xf numFmtId="0" fontId="4" fillId="0" borderId="145" xfId="45" applyFont="1" applyBorder="1" applyAlignment="1">
      <alignment horizontal="center" vertical="center" shrinkToFit="1"/>
    </xf>
    <xf numFmtId="0" fontId="4" fillId="3" borderId="24" xfId="45" applyFont="1" applyFill="1" applyBorder="1" applyAlignment="1" applyProtection="1">
      <alignment horizontal="center" vertical="center" wrapText="1" shrinkToFit="1"/>
      <protection locked="0"/>
    </xf>
    <xf numFmtId="0" fontId="4" fillId="10" borderId="145" xfId="45" applyFont="1" applyFill="1" applyBorder="1" applyAlignment="1" applyProtection="1">
      <alignment horizontal="center" vertical="center" wrapText="1" shrinkToFit="1"/>
      <protection locked="0"/>
    </xf>
    <xf numFmtId="0" fontId="4" fillId="0" borderId="145" xfId="45" applyFont="1" applyBorder="1" applyAlignment="1">
      <alignment vertical="center" wrapText="1"/>
    </xf>
    <xf numFmtId="0" fontId="4" fillId="0" borderId="0" xfId="45" applyFont="1" applyAlignment="1">
      <alignment horizontal="center" vertical="center"/>
    </xf>
    <xf numFmtId="0" fontId="36" fillId="0" borderId="0" xfId="45" applyFont="1" applyAlignment="1">
      <alignment horizontal="center" vertical="center"/>
    </xf>
    <xf numFmtId="0" fontId="24" fillId="0" borderId="0" xfId="45" applyFont="1" applyAlignment="1">
      <alignment vertical="center" shrinkToFit="1"/>
    </xf>
    <xf numFmtId="0" fontId="36" fillId="0" borderId="0" xfId="45" applyFont="1" applyAlignment="1">
      <alignment shrinkToFit="1"/>
    </xf>
    <xf numFmtId="0" fontId="36" fillId="0" borderId="0" xfId="45" applyFont="1" applyAlignment="1">
      <alignment vertical="center" shrinkToFit="1"/>
    </xf>
    <xf numFmtId="0" fontId="34" fillId="0" borderId="1" xfId="45" applyFont="1" applyBorder="1" applyAlignment="1">
      <alignment horizontal="left" vertical="center" wrapText="1"/>
    </xf>
    <xf numFmtId="0" fontId="34" fillId="0" borderId="1" xfId="45" applyFont="1" applyBorder="1" applyAlignment="1">
      <alignment vertical="center" wrapText="1"/>
    </xf>
    <xf numFmtId="0" fontId="4" fillId="16" borderId="1" xfId="45" applyFont="1" applyFill="1" applyBorder="1" applyAlignment="1">
      <alignment horizontal="left" vertical="center" wrapText="1"/>
    </xf>
    <xf numFmtId="0" fontId="4" fillId="16" borderId="20" xfId="45" applyFont="1" applyFill="1" applyBorder="1" applyAlignment="1">
      <alignment horizontal="left" vertical="center" wrapText="1"/>
    </xf>
    <xf numFmtId="0" fontId="4" fillId="16" borderId="1" xfId="45" applyFont="1" applyFill="1" applyBorder="1" applyAlignment="1">
      <alignment horizontal="left" vertical="center"/>
    </xf>
    <xf numFmtId="49" fontId="4" fillId="0" borderId="0" xfId="47" applyNumberFormat="1" applyFont="1">
      <alignment vertical="center"/>
    </xf>
    <xf numFmtId="0" fontId="4" fillId="0" borderId="0" xfId="47" applyFont="1">
      <alignment vertical="center"/>
    </xf>
    <xf numFmtId="0" fontId="4" fillId="13" borderId="0" xfId="47" applyFont="1" applyFill="1">
      <alignment vertical="center"/>
    </xf>
    <xf numFmtId="179" fontId="4" fillId="0" borderId="0" xfId="47" applyNumberFormat="1" applyFont="1">
      <alignment vertical="center"/>
    </xf>
    <xf numFmtId="179" fontId="4" fillId="13" borderId="0" xfId="47" applyNumberFormat="1" applyFont="1" applyFill="1">
      <alignment vertical="center"/>
    </xf>
    <xf numFmtId="49" fontId="4" fillId="0" borderId="0" xfId="0" applyNumberFormat="1" applyFont="1">
      <alignment vertical="center"/>
    </xf>
    <xf numFmtId="179" fontId="4" fillId="0" borderId="0" xfId="47" applyNumberFormat="1" applyFont="1" applyAlignment="1">
      <alignment vertical="center" wrapText="1"/>
    </xf>
    <xf numFmtId="0" fontId="4" fillId="11" borderId="0" xfId="47" applyFont="1" applyFill="1">
      <alignment vertical="center"/>
    </xf>
    <xf numFmtId="49" fontId="4" fillId="0" borderId="1" xfId="0" applyNumberFormat="1" applyFont="1" applyBorder="1">
      <alignment vertical="center"/>
    </xf>
    <xf numFmtId="49" fontId="4" fillId="0" borderId="6" xfId="0" applyNumberFormat="1" applyFont="1" applyBorder="1">
      <alignment vertical="center"/>
    </xf>
    <xf numFmtId="0" fontId="4" fillId="0" borderId="6" xfId="0" applyFont="1" applyBorder="1">
      <alignment vertical="center"/>
    </xf>
    <xf numFmtId="0" fontId="4" fillId="11" borderId="0" xfId="0" applyFont="1" applyFill="1">
      <alignment vertical="center"/>
    </xf>
    <xf numFmtId="49" fontId="4" fillId="0" borderId="1" xfId="0" quotePrefix="1" applyNumberFormat="1" applyFont="1" applyBorder="1">
      <alignment vertical="center"/>
    </xf>
    <xf numFmtId="0" fontId="4" fillId="12" borderId="0" xfId="47" applyFont="1" applyFill="1">
      <alignment vertical="center"/>
    </xf>
    <xf numFmtId="0" fontId="4" fillId="12" borderId="0" xfId="0" applyFont="1" applyFill="1">
      <alignment vertical="center"/>
    </xf>
    <xf numFmtId="49" fontId="4" fillId="0" borderId="0" xfId="0" quotePrefix="1" applyNumberFormat="1" applyFont="1">
      <alignment vertical="center"/>
    </xf>
    <xf numFmtId="0" fontId="4" fillId="0" borderId="0" xfId="48" applyFont="1">
      <alignment vertical="center"/>
    </xf>
    <xf numFmtId="49" fontId="4" fillId="0" borderId="1" xfId="45" applyNumberFormat="1" applyFont="1" applyBorder="1" applyAlignment="1" applyProtection="1">
      <alignment horizontal="center" vertical="center" wrapText="1" shrinkToFit="1"/>
      <protection locked="0"/>
    </xf>
    <xf numFmtId="0" fontId="34" fillId="0" borderId="20" xfId="45" applyFont="1" applyBorder="1" applyAlignment="1">
      <alignment vertical="center" wrapText="1"/>
    </xf>
    <xf numFmtId="0" fontId="4" fillId="0" borderId="2" xfId="45" applyFont="1" applyBorder="1" applyAlignment="1">
      <alignment horizontal="center" vertical="center" shrinkToFit="1"/>
    </xf>
    <xf numFmtId="0" fontId="24" fillId="0" borderId="9" xfId="45" applyFont="1" applyBorder="1" applyAlignment="1">
      <alignment horizontal="center" vertical="center" shrinkToFit="1"/>
    </xf>
    <xf numFmtId="0" fontId="24" fillId="0" borderId="2" xfId="45" applyFont="1" applyBorder="1" applyAlignment="1">
      <alignment horizontal="center" vertical="center" shrinkToFit="1"/>
    </xf>
    <xf numFmtId="0" fontId="36" fillId="0" borderId="0" xfId="45" applyFont="1" applyAlignment="1">
      <alignment horizontal="center" vertical="center" shrinkToFit="1"/>
    </xf>
    <xf numFmtId="0" fontId="4" fillId="0" borderId="72" xfId="45" applyFont="1" applyBorder="1" applyAlignment="1">
      <alignment wrapText="1"/>
    </xf>
    <xf numFmtId="0" fontId="4" fillId="0" borderId="72" xfId="45" applyFont="1" applyBorder="1" applyAlignment="1" applyProtection="1">
      <alignment horizontal="center" vertical="center" wrapText="1" shrinkToFit="1"/>
      <protection locked="0"/>
    </xf>
    <xf numFmtId="0" fontId="36" fillId="0" borderId="1" xfId="45" applyFont="1" applyBorder="1" applyAlignment="1">
      <alignment horizontal="left" vertical="center" wrapText="1"/>
    </xf>
    <xf numFmtId="0" fontId="35" fillId="0" borderId="20" xfId="45" applyFont="1" applyBorder="1" applyAlignment="1">
      <alignment horizontal="left" vertical="center" wrapText="1"/>
    </xf>
    <xf numFmtId="0" fontId="35" fillId="0" borderId="1" xfId="45" applyFont="1" applyBorder="1" applyAlignment="1">
      <alignment horizontal="left" vertical="center" wrapText="1"/>
    </xf>
    <xf numFmtId="0" fontId="34" fillId="0" borderId="20" xfId="45" applyFont="1" applyBorder="1" applyAlignment="1">
      <alignment horizontal="left" vertical="center" wrapText="1"/>
    </xf>
    <xf numFmtId="0" fontId="35" fillId="0" borderId="24" xfId="45" applyFont="1" applyBorder="1" applyAlignment="1">
      <alignment horizontal="left" vertical="center" wrapText="1"/>
    </xf>
    <xf numFmtId="0" fontId="35" fillId="0" borderId="9" xfId="45" applyFont="1" applyBorder="1" applyAlignment="1">
      <alignment horizontal="left" vertical="center" wrapText="1"/>
    </xf>
    <xf numFmtId="0" fontId="36" fillId="0" borderId="20" xfId="45" applyFont="1" applyBorder="1" applyAlignment="1">
      <alignment horizontal="left" vertical="center" wrapText="1"/>
    </xf>
    <xf numFmtId="0" fontId="4" fillId="0" borderId="0" xfId="45" applyFont="1" applyAlignment="1">
      <alignment horizontal="center" vertical="center" textRotation="255" shrinkToFit="1"/>
    </xf>
    <xf numFmtId="0" fontId="1" fillId="0" borderId="0" xfId="45" applyFont="1" applyAlignment="1">
      <alignment vertical="center"/>
    </xf>
    <xf numFmtId="0" fontId="6" fillId="0" borderId="0" xfId="45" applyFont="1" applyAlignment="1">
      <alignment horizontal="center" vertical="center" wrapText="1"/>
    </xf>
    <xf numFmtId="0" fontId="1" fillId="0" borderId="0" xfId="45" applyFont="1" applyAlignment="1">
      <alignment horizontal="center" vertical="center"/>
    </xf>
    <xf numFmtId="0" fontId="6" fillId="0" borderId="0" xfId="45" applyFont="1" applyAlignment="1">
      <alignment vertical="center"/>
    </xf>
    <xf numFmtId="0" fontId="1" fillId="0" borderId="0" xfId="45" applyFont="1"/>
    <xf numFmtId="0" fontId="6" fillId="0" borderId="0" xfId="45" applyFont="1" applyAlignment="1">
      <alignment horizontal="right" vertical="center"/>
    </xf>
    <xf numFmtId="0" fontId="6" fillId="0" borderId="0" xfId="45" applyFont="1" applyAlignment="1">
      <alignment vertical="center" wrapText="1"/>
    </xf>
    <xf numFmtId="14" fontId="1" fillId="0" borderId="0" xfId="45" applyNumberFormat="1" applyFont="1" applyAlignment="1" applyProtection="1">
      <alignment horizontal="center" vertical="center"/>
      <protection locked="0"/>
    </xf>
    <xf numFmtId="0" fontId="1" fillId="0" borderId="0" xfId="45" applyFont="1" applyAlignment="1" applyProtection="1">
      <alignment horizontal="center" vertical="center"/>
      <protection locked="0"/>
    </xf>
    <xf numFmtId="0" fontId="4" fillId="0" borderId="1" xfId="45" applyFont="1" applyBorder="1"/>
    <xf numFmtId="179" fontId="4" fillId="5" borderId="0" xfId="45" applyNumberFormat="1" applyFont="1" applyFill="1" applyAlignment="1" applyProtection="1">
      <alignment horizontal="center" vertical="center" wrapText="1" shrinkToFit="1"/>
      <protection locked="0"/>
    </xf>
    <xf numFmtId="0" fontId="5" fillId="0" borderId="0" xfId="0" applyFont="1">
      <alignment vertical="center"/>
    </xf>
    <xf numFmtId="0" fontId="0" fillId="0" borderId="0" xfId="0" applyAlignment="1">
      <alignment vertical="center" shrinkToFit="1"/>
    </xf>
    <xf numFmtId="0" fontId="0" fillId="0" borderId="1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89" xfId="0" applyFill="1" applyBorder="1">
      <alignment vertical="center"/>
    </xf>
    <xf numFmtId="0" fontId="0" fillId="4" borderId="83" xfId="0" applyFill="1" applyBorder="1" applyAlignment="1">
      <alignment vertical="center" shrinkToFit="1"/>
    </xf>
    <xf numFmtId="0" fontId="0" fillId="4" borderId="83" xfId="0" applyFill="1" applyBorder="1">
      <alignment vertical="center"/>
    </xf>
    <xf numFmtId="0" fontId="0" fillId="4" borderId="148" xfId="0" applyFill="1" applyBorder="1">
      <alignment vertical="center"/>
    </xf>
    <xf numFmtId="0" fontId="0" fillId="4" borderId="149" xfId="0" applyFill="1" applyBorder="1">
      <alignment vertical="center"/>
    </xf>
    <xf numFmtId="0" fontId="0" fillId="4" borderId="88" xfId="0" applyFill="1" applyBorder="1">
      <alignment vertical="center"/>
    </xf>
    <xf numFmtId="0" fontId="0" fillId="0" borderId="120" xfId="0" applyBorder="1">
      <alignment vertical="center"/>
    </xf>
    <xf numFmtId="0" fontId="0" fillId="0" borderId="1" xfId="0" applyBorder="1" applyAlignment="1">
      <alignment vertical="center" shrinkToFit="1"/>
    </xf>
    <xf numFmtId="0" fontId="0" fillId="0" borderId="1" xfId="0" applyBorder="1">
      <alignment vertical="center"/>
    </xf>
    <xf numFmtId="0" fontId="0" fillId="0" borderId="132" xfId="0" applyBorder="1">
      <alignment vertical="center"/>
    </xf>
    <xf numFmtId="0" fontId="0" fillId="0" borderId="114" xfId="0" applyBorder="1">
      <alignment vertical="center"/>
    </xf>
    <xf numFmtId="0" fontId="18" fillId="0" borderId="1" xfId="0" applyFont="1" applyBorder="1">
      <alignment vertical="center"/>
    </xf>
    <xf numFmtId="0" fontId="0" fillId="0" borderId="19" xfId="0" applyBorder="1">
      <alignment vertical="center"/>
    </xf>
    <xf numFmtId="0" fontId="0" fillId="2" borderId="118" xfId="0" applyFill="1" applyBorder="1">
      <alignment vertical="center"/>
    </xf>
    <xf numFmtId="0" fontId="0" fillId="0" borderId="20" xfId="0" applyBorder="1" applyAlignment="1">
      <alignment vertical="center" shrinkToFit="1"/>
    </xf>
    <xf numFmtId="0" fontId="0" fillId="0" borderId="20" xfId="0" applyBorder="1">
      <alignment vertical="center"/>
    </xf>
    <xf numFmtId="192" fontId="32" fillId="0" borderId="150" xfId="50" applyNumberFormat="1" applyFont="1" applyBorder="1">
      <alignment vertical="center"/>
    </xf>
    <xf numFmtId="0" fontId="0" fillId="0" borderId="151" xfId="0" applyBorder="1">
      <alignment vertical="center"/>
    </xf>
    <xf numFmtId="0" fontId="0" fillId="5" borderId="118" xfId="0" applyFill="1" applyBorder="1">
      <alignment vertical="center"/>
    </xf>
    <xf numFmtId="0" fontId="0" fillId="5" borderId="20" xfId="0" applyFill="1" applyBorder="1" applyAlignment="1">
      <alignment vertical="center" shrinkToFit="1"/>
    </xf>
    <xf numFmtId="0" fontId="0" fillId="5" borderId="20" xfId="0" applyFill="1" applyBorder="1">
      <alignment vertical="center"/>
    </xf>
    <xf numFmtId="0" fontId="0" fillId="5" borderId="150" xfId="0" applyFill="1" applyBorder="1">
      <alignment vertical="center"/>
    </xf>
    <xf numFmtId="0" fontId="0" fillId="5" borderId="122" xfId="0" applyFill="1" applyBorder="1">
      <alignment vertical="center"/>
    </xf>
    <xf numFmtId="0" fontId="0" fillId="5" borderId="2" xfId="0" applyFill="1" applyBorder="1" applyAlignment="1">
      <alignment vertical="center" shrinkToFit="1"/>
    </xf>
    <xf numFmtId="0" fontId="0" fillId="5" borderId="2" xfId="0" applyFill="1" applyBorder="1">
      <alignment vertical="center"/>
    </xf>
    <xf numFmtId="0" fontId="0" fillId="5" borderId="152" xfId="0" applyFill="1" applyBorder="1">
      <alignment vertical="center"/>
    </xf>
    <xf numFmtId="0" fontId="0" fillId="5" borderId="98" xfId="0" applyFill="1" applyBorder="1">
      <alignment vertical="center"/>
    </xf>
    <xf numFmtId="0" fontId="0" fillId="5" borderId="99" xfId="0" applyFill="1" applyBorder="1" applyAlignment="1">
      <alignment vertical="center" shrinkToFit="1"/>
    </xf>
    <xf numFmtId="0" fontId="0" fillId="5" borderId="99" xfId="0" applyFill="1" applyBorder="1">
      <alignment vertical="center"/>
    </xf>
    <xf numFmtId="0" fontId="0" fillId="5" borderId="153" xfId="0" applyFill="1" applyBorder="1">
      <alignment vertical="center"/>
    </xf>
    <xf numFmtId="0" fontId="0" fillId="0" borderId="154" xfId="0" applyBorder="1">
      <alignment vertical="center"/>
    </xf>
    <xf numFmtId="0" fontId="0" fillId="0" borderId="5" xfId="0" applyBorder="1">
      <alignment vertical="center"/>
    </xf>
    <xf numFmtId="0" fontId="0" fillId="0" borderId="35" xfId="0" applyBorder="1">
      <alignment vertical="center"/>
    </xf>
    <xf numFmtId="0" fontId="6" fillId="0" borderId="0" xfId="0" applyFont="1">
      <alignment vertical="center"/>
    </xf>
    <xf numFmtId="0" fontId="38" fillId="0" borderId="0" xfId="45" applyFont="1" applyAlignment="1">
      <alignment horizontal="center" vertical="center" wrapText="1"/>
    </xf>
    <xf numFmtId="0" fontId="34" fillId="0" borderId="1" xfId="45" applyFont="1" applyBorder="1" applyAlignment="1">
      <alignment horizontal="left" vertical="center"/>
    </xf>
    <xf numFmtId="177" fontId="7" fillId="0" borderId="0" xfId="0" applyNumberFormat="1" applyFont="1" applyAlignment="1">
      <alignment horizontal="left" vertical="center"/>
    </xf>
    <xf numFmtId="193" fontId="4" fillId="18" borderId="1" xfId="45" applyNumberFormat="1" applyFont="1" applyFill="1" applyBorder="1" applyAlignment="1" applyProtection="1">
      <alignment horizontal="center" vertical="center" wrapText="1" shrinkToFit="1"/>
      <protection locked="0"/>
    </xf>
    <xf numFmtId="49" fontId="4" fillId="0" borderId="1" xfId="45" applyNumberFormat="1" applyFont="1" applyBorder="1" applyAlignment="1">
      <alignment horizontal="center"/>
    </xf>
    <xf numFmtId="0" fontId="34" fillId="11" borderId="1" xfId="45" applyFont="1" applyFill="1" applyBorder="1" applyAlignment="1">
      <alignment horizontal="left" vertical="center" wrapText="1"/>
    </xf>
    <xf numFmtId="49" fontId="4" fillId="0" borderId="1" xfId="45" applyNumberFormat="1" applyFont="1" applyBorder="1" applyAlignment="1">
      <alignment horizontal="center" vertical="center"/>
    </xf>
    <xf numFmtId="0" fontId="4" fillId="0" borderId="7" xfId="0" applyFont="1" applyBorder="1" applyAlignment="1">
      <alignment vertical="center" shrinkToFit="1"/>
    </xf>
    <xf numFmtId="0" fontId="7" fillId="17" borderId="7" xfId="0" applyFont="1" applyFill="1" applyBorder="1" applyAlignment="1">
      <alignment horizontal="left" vertical="center" shrinkToFit="1"/>
    </xf>
    <xf numFmtId="0" fontId="7" fillId="2" borderId="7" xfId="0" applyFont="1" applyFill="1" applyBorder="1" applyAlignment="1">
      <alignment horizontal="center" vertical="center"/>
    </xf>
    <xf numFmtId="0" fontId="7" fillId="19" borderId="155" xfId="0" applyFont="1" applyFill="1" applyBorder="1" applyAlignment="1">
      <alignment horizontal="center" vertical="center" wrapText="1" shrinkToFit="1"/>
    </xf>
    <xf numFmtId="0" fontId="7" fillId="19" borderId="54" xfId="0" applyFont="1" applyFill="1" applyBorder="1" applyAlignment="1">
      <alignment horizontal="center" vertical="center" wrapText="1" shrinkToFit="1"/>
    </xf>
    <xf numFmtId="0" fontId="7" fillId="19" borderId="156" xfId="0" applyFont="1" applyFill="1" applyBorder="1" applyAlignment="1">
      <alignment horizontal="center" vertical="center" wrapText="1" shrinkToFit="1"/>
    </xf>
    <xf numFmtId="0" fontId="7" fillId="19" borderId="56" xfId="0" applyFont="1" applyFill="1" applyBorder="1" applyAlignment="1">
      <alignment horizontal="center" vertical="center" wrapText="1" shrinkToFit="1"/>
    </xf>
    <xf numFmtId="0" fontId="7" fillId="20" borderId="56" xfId="0" applyFont="1" applyFill="1" applyBorder="1" applyAlignment="1">
      <alignment horizontal="center" vertical="center" wrapText="1" shrinkToFit="1"/>
    </xf>
    <xf numFmtId="0" fontId="7" fillId="19" borderId="57" xfId="0" applyFont="1" applyFill="1" applyBorder="1" applyAlignment="1">
      <alignment horizontal="center" vertical="center" wrapText="1" shrinkToFit="1"/>
    </xf>
    <xf numFmtId="0" fontId="14" fillId="0" borderId="85" xfId="0" applyFont="1" applyBorder="1" applyAlignment="1" applyProtection="1">
      <alignment vertical="center" wrapText="1"/>
      <protection locked="0"/>
    </xf>
    <xf numFmtId="0" fontId="14" fillId="0" borderId="4" xfId="0" applyFont="1" applyBorder="1" applyAlignment="1" applyProtection="1">
      <alignment horizontal="center" vertical="center" wrapText="1"/>
      <protection locked="0"/>
    </xf>
    <xf numFmtId="0" fontId="14" fillId="0" borderId="85" xfId="0" applyFont="1" applyBorder="1" applyAlignment="1" applyProtection="1">
      <alignment horizontal="center" vertical="center" wrapText="1"/>
      <protection locked="0"/>
    </xf>
    <xf numFmtId="0" fontId="14" fillId="17" borderId="4" xfId="0" applyFont="1" applyFill="1" applyBorder="1" applyAlignment="1" applyProtection="1">
      <alignment horizontal="center" vertical="center" wrapText="1"/>
      <protection locked="0"/>
    </xf>
    <xf numFmtId="0" fontId="14" fillId="0" borderId="100" xfId="0" applyFont="1" applyBorder="1" applyAlignment="1" applyProtection="1">
      <alignment vertical="center" wrapText="1"/>
      <protection locked="0"/>
    </xf>
    <xf numFmtId="0" fontId="14" fillId="17" borderId="100" xfId="0" applyFont="1" applyFill="1" applyBorder="1" applyAlignment="1" applyProtection="1">
      <alignment horizontal="center" vertical="center" wrapText="1"/>
      <protection locked="0"/>
    </xf>
    <xf numFmtId="0" fontId="14" fillId="20" borderId="100" xfId="0" applyFont="1" applyFill="1" applyBorder="1" applyAlignment="1" applyProtection="1">
      <alignment horizontal="center" vertical="center" wrapText="1"/>
      <protection locked="0"/>
    </xf>
    <xf numFmtId="0" fontId="14" fillId="0" borderId="100" xfId="0" applyFont="1" applyBorder="1" applyAlignment="1" applyProtection="1">
      <alignment horizontal="center" vertical="center" wrapText="1"/>
      <protection locked="0"/>
    </xf>
    <xf numFmtId="0" fontId="14" fillId="5" borderId="119" xfId="0" applyFont="1" applyFill="1" applyBorder="1" applyAlignment="1">
      <alignment horizontal="center" vertical="center" wrapText="1"/>
    </xf>
    <xf numFmtId="0" fontId="14" fillId="5" borderId="100" xfId="0" applyFont="1" applyFill="1" applyBorder="1" applyAlignment="1">
      <alignment horizontal="center" vertical="center" wrapText="1"/>
    </xf>
    <xf numFmtId="0" fontId="4" fillId="21" borderId="0" xfId="0" applyFont="1" applyFill="1">
      <alignment vertical="center"/>
    </xf>
    <xf numFmtId="49" fontId="4" fillId="21" borderId="1" xfId="0" applyNumberFormat="1" applyFont="1" applyFill="1" applyBorder="1" applyAlignment="1">
      <alignment vertical="center" shrinkToFit="1"/>
    </xf>
    <xf numFmtId="0" fontId="4" fillId="21" borderId="1" xfId="0" applyFont="1" applyFill="1" applyBorder="1" applyAlignment="1">
      <alignment vertical="center" shrinkToFit="1"/>
    </xf>
    <xf numFmtId="0" fontId="4" fillId="18" borderId="0" xfId="47" applyFont="1" applyFill="1">
      <alignment vertical="center"/>
    </xf>
    <xf numFmtId="0" fontId="4" fillId="22" borderId="0" xfId="47" applyFont="1" applyFill="1">
      <alignment vertical="center"/>
    </xf>
    <xf numFmtId="49" fontId="4" fillId="22" borderId="0" xfId="47" applyNumberFormat="1" applyFont="1" applyFill="1">
      <alignment vertical="center"/>
    </xf>
    <xf numFmtId="0" fontId="39" fillId="0" borderId="9" xfId="45" applyFont="1" applyBorder="1" applyAlignment="1">
      <alignment vertical="center" wrapText="1"/>
    </xf>
    <xf numFmtId="0" fontId="26" fillId="0" borderId="39" xfId="0" applyFont="1" applyBorder="1">
      <alignment vertical="center"/>
    </xf>
    <xf numFmtId="0" fontId="26" fillId="0" borderId="157" xfId="0" applyFont="1" applyBorder="1">
      <alignment vertical="center"/>
    </xf>
    <xf numFmtId="0" fontId="26" fillId="0" borderId="136" xfId="0" applyFont="1" applyBorder="1">
      <alignment vertical="center"/>
    </xf>
    <xf numFmtId="0" fontId="26" fillId="0" borderId="140" xfId="0" applyFont="1" applyBorder="1">
      <alignment vertical="center"/>
    </xf>
    <xf numFmtId="49" fontId="4" fillId="0" borderId="1" xfId="45" applyNumberFormat="1" applyFont="1" applyBorder="1" applyAlignment="1" applyProtection="1">
      <alignment vertical="center" wrapText="1"/>
      <protection locked="0"/>
    </xf>
    <xf numFmtId="0" fontId="4" fillId="0" borderId="1" xfId="45" applyFont="1" applyBorder="1" applyAlignment="1" applyProtection="1">
      <alignment vertical="center" wrapText="1"/>
      <protection locked="0"/>
    </xf>
    <xf numFmtId="0" fontId="4" fillId="0" borderId="20" xfId="45" applyFont="1" applyBorder="1" applyAlignment="1" applyProtection="1">
      <alignment vertical="center" wrapText="1"/>
      <protection locked="0"/>
    </xf>
    <xf numFmtId="14" fontId="6" fillId="14" borderId="7" xfId="45" applyNumberFormat="1" applyFont="1" applyFill="1" applyBorder="1" applyAlignment="1" applyProtection="1">
      <alignment horizontal="center" vertical="center"/>
      <protection locked="0"/>
    </xf>
    <xf numFmtId="0" fontId="6" fillId="14" borderId="7" xfId="45" applyFont="1" applyFill="1" applyBorder="1" applyAlignment="1" applyProtection="1">
      <alignment horizontal="center" vertical="center"/>
      <protection locked="0"/>
    </xf>
    <xf numFmtId="0" fontId="32" fillId="0" borderId="7" xfId="0" applyFont="1" applyBorder="1" applyAlignment="1" applyProtection="1">
      <alignment horizontal="center" vertical="center"/>
      <protection locked="0"/>
    </xf>
    <xf numFmtId="176" fontId="32" fillId="0" borderId="7" xfId="0" applyNumberFormat="1" applyFont="1" applyBorder="1" applyAlignment="1" applyProtection="1">
      <alignment horizontal="center" vertical="center" shrinkToFit="1"/>
      <protection locked="0"/>
    </xf>
    <xf numFmtId="178" fontId="26" fillId="0" borderId="137" xfId="0" applyNumberFormat="1" applyFont="1" applyBorder="1" applyProtection="1">
      <alignment vertical="center"/>
      <protection locked="0"/>
    </xf>
    <xf numFmtId="178" fontId="26" fillId="0" borderId="141" xfId="0" applyNumberFormat="1" applyFont="1" applyBorder="1" applyProtection="1">
      <alignment vertical="center"/>
      <protection locked="0"/>
    </xf>
    <xf numFmtId="187" fontId="29" fillId="0" borderId="5" xfId="50" applyNumberFormat="1" applyFont="1" applyBorder="1" applyAlignment="1" applyProtection="1">
      <alignment horizontal="center" vertical="center" shrinkToFit="1"/>
    </xf>
    <xf numFmtId="0" fontId="26" fillId="0" borderId="89" xfId="46" applyFont="1" applyBorder="1">
      <alignment vertical="center"/>
    </xf>
    <xf numFmtId="0" fontId="26" fillId="0" borderId="96" xfId="46" applyFont="1" applyBorder="1">
      <alignment vertical="center"/>
    </xf>
    <xf numFmtId="0" fontId="25" fillId="0" borderId="96" xfId="46" applyFont="1" applyBorder="1">
      <alignment vertical="center"/>
    </xf>
    <xf numFmtId="0" fontId="26" fillId="0" borderId="158" xfId="46" applyFont="1" applyBorder="1">
      <alignment vertical="center"/>
    </xf>
    <xf numFmtId="0" fontId="25" fillId="0" borderId="158" xfId="46" applyFont="1" applyBorder="1">
      <alignment vertical="center"/>
    </xf>
    <xf numFmtId="0" fontId="25" fillId="0" borderId="159" xfId="46" applyFont="1" applyBorder="1">
      <alignment vertical="center"/>
    </xf>
    <xf numFmtId="38" fontId="29" fillId="0" borderId="106" xfId="50" applyFont="1" applyBorder="1" applyAlignment="1" applyProtection="1">
      <alignment horizontal="right" vertical="center" shrinkToFit="1"/>
    </xf>
    <xf numFmtId="38" fontId="29" fillId="0" borderId="107" xfId="50" applyFont="1" applyBorder="1" applyAlignment="1" applyProtection="1">
      <alignment vertical="center" shrinkToFit="1"/>
    </xf>
    <xf numFmtId="10" fontId="29" fillId="0" borderId="161" xfId="39" applyNumberFormat="1" applyFont="1" applyBorder="1" applyAlignment="1" applyProtection="1">
      <alignment horizontal="center" vertical="center" shrinkToFit="1"/>
    </xf>
    <xf numFmtId="0" fontId="5" fillId="2" borderId="162" xfId="46" applyFont="1" applyFill="1" applyBorder="1" applyAlignment="1">
      <alignment horizontal="left" vertical="center"/>
    </xf>
    <xf numFmtId="38" fontId="29" fillId="0" borderId="18" xfId="50" applyFont="1" applyBorder="1" applyAlignment="1" applyProtection="1">
      <alignment vertical="center" shrinkToFit="1"/>
    </xf>
    <xf numFmtId="10" fontId="29" fillId="0" borderId="18" xfId="39" applyNumberFormat="1" applyFont="1" applyBorder="1" applyAlignment="1" applyProtection="1">
      <alignment vertical="center" shrinkToFit="1"/>
    </xf>
    <xf numFmtId="10" fontId="29" fillId="0" borderId="163" xfId="39" applyNumberFormat="1" applyFont="1" applyBorder="1" applyAlignment="1" applyProtection="1">
      <alignment horizontal="center" vertical="center" shrinkToFit="1"/>
    </xf>
    <xf numFmtId="0" fontId="20" fillId="2" borderId="118" xfId="46" applyFont="1" applyFill="1" applyBorder="1" applyAlignment="1">
      <alignment horizontal="center" vertical="center" shrinkToFit="1"/>
    </xf>
    <xf numFmtId="38" fontId="30" fillId="0" borderId="28" xfId="50" applyFont="1" applyBorder="1" applyAlignment="1" applyProtection="1">
      <alignment vertical="center" shrinkToFit="1"/>
    </xf>
    <xf numFmtId="0" fontId="20" fillId="2" borderId="20" xfId="46" applyFont="1" applyFill="1" applyBorder="1" applyAlignment="1">
      <alignment horizontal="center" vertical="center" shrinkToFit="1"/>
    </xf>
    <xf numFmtId="38" fontId="30" fillId="0" borderId="20" xfId="50" applyFont="1" applyBorder="1" applyAlignment="1" applyProtection="1">
      <alignment vertical="center" shrinkToFit="1"/>
    </xf>
    <xf numFmtId="38" fontId="20" fillId="2" borderId="20" xfId="50" applyFont="1" applyFill="1" applyBorder="1" applyAlignment="1" applyProtection="1">
      <alignment horizontal="center" vertical="center"/>
    </xf>
    <xf numFmtId="38" fontId="20" fillId="2" borderId="20" xfId="50" applyFont="1" applyFill="1" applyBorder="1" applyAlignment="1" applyProtection="1">
      <alignment vertical="center" shrinkToFit="1"/>
    </xf>
    <xf numFmtId="38" fontId="30" fillId="0" borderId="29" xfId="50" applyFont="1" applyBorder="1" applyAlignment="1" applyProtection="1">
      <alignment vertical="center" shrinkToFit="1"/>
    </xf>
    <xf numFmtId="0" fontId="5" fillId="2" borderId="164" xfId="46" applyFont="1" applyFill="1" applyBorder="1" applyAlignment="1">
      <alignment horizontal="center" vertical="center"/>
    </xf>
    <xf numFmtId="188" fontId="29" fillId="0" borderId="34" xfId="46" applyNumberFormat="1" applyFont="1" applyBorder="1" applyAlignment="1">
      <alignment horizontal="center" vertical="center" shrinkToFit="1"/>
    </xf>
    <xf numFmtId="0" fontId="5" fillId="2" borderId="34" xfId="46" applyFont="1" applyFill="1" applyBorder="1" applyAlignment="1">
      <alignment horizontal="center" vertical="center"/>
    </xf>
    <xf numFmtId="0" fontId="29" fillId="0" borderId="34" xfId="46" applyFont="1" applyBorder="1" applyAlignment="1">
      <alignment horizontal="center" vertical="center" shrinkToFit="1"/>
    </xf>
    <xf numFmtId="0" fontId="5" fillId="2" borderId="34" xfId="46" applyFont="1" applyFill="1" applyBorder="1" applyAlignment="1">
      <alignment vertical="center" shrinkToFit="1"/>
    </xf>
    <xf numFmtId="56" fontId="29" fillId="0" borderId="34" xfId="46" applyNumberFormat="1" applyFont="1" applyBorder="1" applyAlignment="1">
      <alignment horizontal="center" vertical="center" shrinkToFit="1"/>
    </xf>
    <xf numFmtId="0" fontId="29" fillId="0" borderId="165" xfId="46" applyFont="1" applyBorder="1" applyAlignment="1">
      <alignment horizontal="center" vertical="center"/>
    </xf>
    <xf numFmtId="194" fontId="29" fillId="0" borderId="99" xfId="46" applyNumberFormat="1" applyFont="1" applyBorder="1" applyAlignment="1">
      <alignment horizontal="center" vertical="center"/>
    </xf>
    <xf numFmtId="56" fontId="29" fillId="0" borderId="35" xfId="46" applyNumberFormat="1" applyFont="1" applyBorder="1" applyAlignment="1">
      <alignment horizontal="center" vertical="center"/>
    </xf>
    <xf numFmtId="0" fontId="5" fillId="2" borderId="9" xfId="46" applyFont="1" applyFill="1" applyBorder="1" applyAlignment="1">
      <alignment horizontal="center" vertical="center"/>
    </xf>
    <xf numFmtId="0" fontId="5" fillId="2" borderId="33" xfId="46" applyFont="1" applyFill="1" applyBorder="1" applyAlignment="1">
      <alignment horizontal="center" vertical="center"/>
    </xf>
    <xf numFmtId="0" fontId="5" fillId="2" borderId="37" xfId="46" applyFont="1" applyFill="1" applyBorder="1" applyAlignment="1">
      <alignment horizontal="center" vertical="center"/>
    </xf>
    <xf numFmtId="0" fontId="29" fillId="23" borderId="88" xfId="46" applyFont="1" applyFill="1" applyBorder="1">
      <alignment vertical="center"/>
    </xf>
    <xf numFmtId="0" fontId="29" fillId="23" borderId="101" xfId="46" applyFont="1" applyFill="1" applyBorder="1">
      <alignment vertical="center"/>
    </xf>
    <xf numFmtId="0" fontId="5" fillId="2" borderId="104" xfId="46" applyFont="1" applyFill="1" applyBorder="1" applyAlignment="1">
      <alignment horizontal="center" vertical="center" shrinkToFit="1"/>
    </xf>
    <xf numFmtId="56" fontId="29" fillId="0" borderId="40" xfId="46" applyNumberFormat="1" applyFont="1" applyBorder="1" applyAlignment="1">
      <alignment horizontal="center" vertical="center"/>
    </xf>
    <xf numFmtId="0" fontId="29" fillId="0" borderId="99" xfId="46" applyFont="1" applyBorder="1" applyAlignment="1">
      <alignment horizontal="center" vertical="center" shrinkToFit="1"/>
    </xf>
    <xf numFmtId="0" fontId="5" fillId="2" borderId="92" xfId="46" applyFont="1" applyFill="1" applyBorder="1" applyAlignment="1">
      <alignment horizontal="center" vertical="center" shrinkToFit="1"/>
    </xf>
    <xf numFmtId="0" fontId="5" fillId="2" borderId="4" xfId="46" applyFont="1" applyFill="1" applyBorder="1" applyAlignment="1">
      <alignment horizontal="center" vertical="center"/>
    </xf>
    <xf numFmtId="0" fontId="5" fillId="2" borderId="85" xfId="46" applyFont="1" applyFill="1" applyBorder="1" applyAlignment="1">
      <alignment horizontal="center" vertical="center" shrinkToFit="1"/>
    </xf>
    <xf numFmtId="0" fontId="5" fillId="2" borderId="17" xfId="46" applyFont="1" applyFill="1" applyBorder="1" applyAlignment="1">
      <alignment horizontal="center" vertical="center"/>
    </xf>
    <xf numFmtId="0" fontId="29" fillId="0" borderId="5" xfId="46" applyFont="1" applyBorder="1" applyAlignment="1">
      <alignment horizontal="center" vertical="center" shrinkToFit="1"/>
    </xf>
    <xf numFmtId="0" fontId="29" fillId="0" borderId="35" xfId="46" applyFont="1" applyBorder="1" applyAlignment="1">
      <alignment horizontal="center" vertical="center" shrinkToFit="1"/>
    </xf>
    <xf numFmtId="0" fontId="5" fillId="2" borderId="87" xfId="46" applyFont="1" applyFill="1" applyBorder="1" applyAlignment="1">
      <alignment horizontal="center" vertical="center"/>
    </xf>
    <xf numFmtId="0" fontId="7" fillId="0" borderId="0" xfId="0" applyFont="1" applyAlignment="1" applyProtection="1">
      <alignment horizontal="left" vertical="center"/>
      <protection locked="0"/>
    </xf>
    <xf numFmtId="0" fontId="26" fillId="0" borderId="128" xfId="0" applyFont="1" applyBorder="1" applyProtection="1">
      <alignment vertical="center"/>
      <protection locked="0"/>
    </xf>
    <xf numFmtId="0" fontId="26" fillId="0" borderId="143" xfId="0" applyFont="1" applyBorder="1" applyProtection="1">
      <alignment vertical="center"/>
      <protection locked="0"/>
    </xf>
    <xf numFmtId="0" fontId="26" fillId="0" borderId="134" xfId="0" applyFont="1" applyBorder="1">
      <alignment vertical="center"/>
    </xf>
    <xf numFmtId="0" fontId="26" fillId="0" borderId="138" xfId="0" applyFont="1" applyBorder="1">
      <alignment vertical="center"/>
    </xf>
    <xf numFmtId="0" fontId="26" fillId="0" borderId="39" xfId="0" applyFont="1" applyBorder="1" applyProtection="1">
      <alignment vertical="center"/>
      <protection locked="0"/>
    </xf>
    <xf numFmtId="0" fontId="26" fillId="0" borderId="157" xfId="0" applyFont="1" applyBorder="1" applyProtection="1">
      <alignment vertical="center"/>
      <protection locked="0"/>
    </xf>
    <xf numFmtId="0" fontId="26" fillId="0" borderId="135" xfId="0" applyFont="1" applyBorder="1">
      <alignment vertical="center"/>
    </xf>
    <xf numFmtId="0" fontId="26" fillId="0" borderId="139" xfId="0" applyFont="1" applyBorder="1">
      <alignment vertical="center"/>
    </xf>
    <xf numFmtId="0" fontId="26" fillId="0" borderId="136" xfId="0" applyFont="1" applyBorder="1" applyProtection="1">
      <alignment vertical="center"/>
      <protection locked="0"/>
    </xf>
    <xf numFmtId="0" fontId="26" fillId="0" borderId="140" xfId="0" applyFont="1" applyBorder="1" applyProtection="1">
      <alignment vertical="center"/>
      <protection locked="0"/>
    </xf>
    <xf numFmtId="0" fontId="32" fillId="0" borderId="105" xfId="0" applyFont="1" applyBorder="1" applyAlignment="1">
      <alignment horizontal="center" vertical="center" wrapText="1"/>
    </xf>
    <xf numFmtId="0" fontId="26" fillId="0" borderId="40" xfId="0" applyFont="1" applyBorder="1" applyProtection="1">
      <alignment vertical="center"/>
      <protection locked="0"/>
    </xf>
    <xf numFmtId="0" fontId="26" fillId="0" borderId="167" xfId="0" applyFont="1" applyBorder="1" applyProtection="1">
      <alignment vertical="center"/>
      <protection locked="0"/>
    </xf>
    <xf numFmtId="0" fontId="4" fillId="0" borderId="168" xfId="0" applyFont="1" applyBorder="1">
      <alignment vertical="center"/>
    </xf>
    <xf numFmtId="0" fontId="26" fillId="0" borderId="109" xfId="0" applyFont="1" applyBorder="1" applyProtection="1">
      <alignment vertical="center"/>
      <protection locked="0"/>
    </xf>
    <xf numFmtId="0" fontId="26" fillId="0" borderId="144" xfId="0" applyFont="1" applyBorder="1" applyProtection="1">
      <alignment vertical="center"/>
      <protection locked="0"/>
    </xf>
    <xf numFmtId="0" fontId="33" fillId="0" borderId="169" xfId="0" applyFont="1" applyBorder="1">
      <alignment vertical="center"/>
    </xf>
    <xf numFmtId="0" fontId="32" fillId="0" borderId="169" xfId="0" applyFont="1" applyBorder="1">
      <alignment vertical="center"/>
    </xf>
    <xf numFmtId="0" fontId="43" fillId="0" borderId="109" xfId="0" applyFont="1" applyBorder="1" applyAlignment="1">
      <alignment horizontal="center" vertical="center" wrapText="1"/>
    </xf>
    <xf numFmtId="0" fontId="44" fillId="0" borderId="0" xfId="0" applyFont="1" applyAlignment="1" applyProtection="1">
      <alignment horizontal="left" vertical="center"/>
      <protection locked="0"/>
    </xf>
    <xf numFmtId="184" fontId="4" fillId="3" borderId="1" xfId="45" applyNumberFormat="1" applyFont="1" applyFill="1" applyBorder="1" applyAlignment="1" applyProtection="1">
      <alignment horizontal="center" vertical="center" wrapText="1" shrinkToFit="1"/>
      <protection locked="0"/>
    </xf>
    <xf numFmtId="185" fontId="4" fillId="3" borderId="9" xfId="45" applyNumberFormat="1" applyFont="1" applyFill="1" applyBorder="1" applyAlignment="1" applyProtection="1">
      <alignment horizontal="center" vertical="center" wrapText="1" shrinkToFit="1"/>
      <protection locked="0"/>
    </xf>
    <xf numFmtId="180" fontId="4" fillId="3" borderId="1" xfId="45" applyNumberFormat="1" applyFont="1" applyFill="1" applyBorder="1" applyAlignment="1" applyProtection="1">
      <alignment horizontal="center" vertical="center" wrapText="1" shrinkToFit="1"/>
      <protection locked="0"/>
    </xf>
    <xf numFmtId="0" fontId="45" fillId="0" borderId="0" xfId="0" applyFont="1" applyAlignment="1" applyProtection="1">
      <alignment horizontal="left" vertical="center"/>
      <protection locked="0"/>
    </xf>
    <xf numFmtId="0" fontId="1" fillId="0" borderId="20" xfId="45" applyFont="1" applyBorder="1" applyAlignment="1" applyProtection="1">
      <alignment horizontal="center" vertical="center"/>
      <protection locked="0"/>
    </xf>
    <xf numFmtId="49" fontId="46" fillId="11" borderId="109" xfId="0" applyNumberFormat="1" applyFont="1" applyFill="1" applyBorder="1">
      <alignment vertical="center"/>
    </xf>
    <xf numFmtId="49" fontId="46" fillId="11" borderId="82" xfId="0" applyNumberFormat="1" applyFont="1" applyFill="1" applyBorder="1">
      <alignment vertical="center"/>
    </xf>
    <xf numFmtId="49" fontId="46" fillId="11" borderId="108" xfId="0" applyNumberFormat="1" applyFont="1" applyFill="1" applyBorder="1">
      <alignment vertical="center"/>
    </xf>
    <xf numFmtId="49" fontId="47" fillId="0" borderId="0" xfId="0" applyNumberFormat="1" applyFont="1">
      <alignment vertical="center"/>
    </xf>
    <xf numFmtId="0" fontId="0" fillId="0" borderId="0" xfId="0" applyProtection="1">
      <alignment vertical="center"/>
      <protection locked="0"/>
    </xf>
    <xf numFmtId="195" fontId="0" fillId="0" borderId="0" xfId="0" applyNumberFormat="1" applyProtection="1">
      <alignment vertical="center"/>
      <protection locked="0"/>
    </xf>
    <xf numFmtId="195" fontId="0" fillId="11" borderId="0" xfId="0" applyNumberFormat="1" applyFill="1" applyProtection="1">
      <alignment vertical="center"/>
      <protection locked="0"/>
    </xf>
    <xf numFmtId="0" fontId="0" fillId="11" borderId="0" xfId="0" applyFill="1" applyProtection="1">
      <alignment vertical="center"/>
      <protection locked="0"/>
    </xf>
    <xf numFmtId="0" fontId="0" fillId="24" borderId="1" xfId="0" applyFill="1" applyBorder="1" applyAlignment="1" applyProtection="1">
      <alignment horizontal="center" vertical="center"/>
      <protection locked="0"/>
    </xf>
    <xf numFmtId="0" fontId="0" fillId="25" borderId="1" xfId="0" applyFill="1" applyBorder="1" applyAlignment="1" applyProtection="1">
      <alignment horizontal="center" vertical="center"/>
      <protection locked="0"/>
    </xf>
    <xf numFmtId="195" fontId="0" fillId="25" borderId="20" xfId="0" applyNumberFormat="1" applyFill="1" applyBorder="1" applyAlignment="1" applyProtection="1">
      <alignment horizontal="center" vertical="center"/>
      <protection locked="0"/>
    </xf>
    <xf numFmtId="0" fontId="0" fillId="25" borderId="20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19" borderId="20" xfId="0" applyFill="1" applyBorder="1" applyProtection="1">
      <alignment vertical="center"/>
      <protection locked="0"/>
    </xf>
    <xf numFmtId="0" fontId="0" fillId="0" borderId="26" xfId="0" applyBorder="1" applyProtection="1">
      <alignment vertical="center"/>
      <protection locked="0"/>
    </xf>
    <xf numFmtId="0" fontId="0" fillId="0" borderId="20" xfId="0" applyBorder="1" applyProtection="1">
      <alignment vertical="center"/>
      <protection locked="0"/>
    </xf>
    <xf numFmtId="0" fontId="0" fillId="0" borderId="2" xfId="0" applyBorder="1" applyProtection="1">
      <alignment vertical="center"/>
      <protection locked="0"/>
    </xf>
    <xf numFmtId="0" fontId="0" fillId="0" borderId="14" xfId="0" applyBorder="1" applyProtection="1">
      <alignment vertical="center"/>
      <protection locked="0"/>
    </xf>
    <xf numFmtId="0" fontId="0" fillId="19" borderId="2" xfId="0" applyFill="1" applyBorder="1" applyProtection="1">
      <alignment vertical="center"/>
      <protection locked="0"/>
    </xf>
    <xf numFmtId="0" fontId="48" fillId="0" borderId="2" xfId="0" applyFont="1" applyBorder="1" applyProtection="1">
      <alignment vertical="center"/>
      <protection locked="0"/>
    </xf>
    <xf numFmtId="0" fontId="48" fillId="0" borderId="14" xfId="0" applyFont="1" applyBorder="1" applyProtection="1">
      <alignment vertical="center"/>
      <protection locked="0"/>
    </xf>
    <xf numFmtId="0" fontId="0" fillId="26" borderId="0" xfId="0" applyFill="1" applyProtection="1">
      <alignment vertical="center"/>
      <protection locked="0"/>
    </xf>
    <xf numFmtId="2" fontId="0" fillId="0" borderId="14" xfId="0" applyNumberFormat="1" applyBorder="1" applyProtection="1">
      <alignment vertical="center"/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9" xfId="0" applyBorder="1" applyProtection="1">
      <alignment vertical="center"/>
      <protection locked="0"/>
    </xf>
    <xf numFmtId="0" fontId="4" fillId="5" borderId="1" xfId="45" applyFont="1" applyFill="1" applyBorder="1" applyAlignment="1">
      <alignment horizontal="center" vertical="center" wrapText="1"/>
    </xf>
    <xf numFmtId="0" fontId="4" fillId="5" borderId="20" xfId="45" applyFont="1" applyFill="1" applyBorder="1" applyAlignment="1">
      <alignment horizontal="center" vertical="center" wrapText="1"/>
    </xf>
    <xf numFmtId="0" fontId="14" fillId="5" borderId="1" xfId="45" applyFont="1" applyFill="1" applyBorder="1" applyAlignment="1">
      <alignment horizontal="center" vertical="center" wrapText="1"/>
    </xf>
    <xf numFmtId="0" fontId="14" fillId="5" borderId="20" xfId="45" applyFont="1" applyFill="1" applyBorder="1" applyAlignment="1">
      <alignment horizontal="center" vertical="center" wrapText="1"/>
    </xf>
    <xf numFmtId="0" fontId="4" fillId="5" borderId="1" xfId="45" applyFont="1" applyFill="1" applyBorder="1" applyAlignment="1">
      <alignment horizontal="center" vertical="center" wrapText="1" shrinkToFit="1"/>
    </xf>
    <xf numFmtId="0" fontId="4" fillId="0" borderId="20" xfId="45" applyFont="1" applyBorder="1" applyAlignment="1">
      <alignment horizontal="center" vertical="center"/>
    </xf>
    <xf numFmtId="0" fontId="4" fillId="0" borderId="1" xfId="45" applyFont="1" applyBorder="1" applyAlignment="1">
      <alignment horizontal="center" vertical="center"/>
    </xf>
    <xf numFmtId="0" fontId="4" fillId="0" borderId="1" xfId="45" applyFont="1" applyBorder="1" applyAlignment="1">
      <alignment vertical="center" wrapText="1"/>
    </xf>
    <xf numFmtId="0" fontId="4" fillId="0" borderId="20" xfId="45" applyFont="1" applyBorder="1" applyAlignment="1">
      <alignment vertical="center" wrapText="1"/>
    </xf>
    <xf numFmtId="184" fontId="4" fillId="0" borderId="1" xfId="45" applyNumberFormat="1" applyFont="1" applyBorder="1" applyAlignment="1">
      <alignment horizontal="center" vertical="center" wrapText="1" shrinkToFit="1"/>
    </xf>
    <xf numFmtId="0" fontId="4" fillId="0" borderId="1" xfId="45" applyFont="1" applyBorder="1" applyAlignment="1">
      <alignment horizontal="center" vertical="center" wrapText="1" shrinkToFit="1"/>
    </xf>
    <xf numFmtId="0" fontId="4" fillId="0" borderId="24" xfId="45" applyFont="1" applyBorder="1" applyAlignment="1">
      <alignment horizontal="center" vertical="center" wrapText="1" shrinkToFit="1"/>
    </xf>
    <xf numFmtId="185" fontId="4" fillId="0" borderId="9" xfId="45" applyNumberFormat="1" applyFont="1" applyBorder="1" applyAlignment="1">
      <alignment horizontal="center" vertical="center" wrapText="1" shrinkToFit="1"/>
    </xf>
    <xf numFmtId="180" fontId="4" fillId="0" borderId="1" xfId="45" applyNumberFormat="1" applyFont="1" applyBorder="1" applyAlignment="1">
      <alignment horizontal="center" vertical="center" wrapText="1" shrinkToFit="1"/>
    </xf>
    <xf numFmtId="176" fontId="4" fillId="0" borderId="1" xfId="45" applyNumberFormat="1" applyFont="1" applyBorder="1" applyAlignment="1">
      <alignment horizontal="center" vertical="center" wrapText="1" shrinkToFit="1"/>
    </xf>
    <xf numFmtId="31" fontId="4" fillId="0" borderId="1" xfId="45" applyNumberFormat="1" applyFont="1" applyBorder="1" applyAlignment="1">
      <alignment horizontal="center" vertical="center" wrapText="1" shrinkToFit="1"/>
    </xf>
    <xf numFmtId="183" fontId="4" fillId="0" borderId="1" xfId="45" applyNumberFormat="1" applyFont="1" applyBorder="1" applyAlignment="1">
      <alignment horizontal="center" vertical="center" wrapText="1" shrinkToFit="1"/>
    </xf>
    <xf numFmtId="0" fontId="4" fillId="0" borderId="20" xfId="45" applyFont="1" applyBorder="1" applyAlignment="1">
      <alignment horizontal="center" vertical="center" wrapText="1" shrinkToFit="1"/>
    </xf>
    <xf numFmtId="49" fontId="4" fillId="0" borderId="1" xfId="45" applyNumberFormat="1" applyFont="1" applyBorder="1" applyAlignment="1">
      <alignment horizontal="center" vertical="center" wrapText="1" shrinkToFit="1"/>
    </xf>
    <xf numFmtId="179" fontId="4" fillId="5" borderId="1" xfId="45" applyNumberFormat="1" applyFont="1" applyFill="1" applyBorder="1" applyAlignment="1">
      <alignment horizontal="center" vertical="center" wrapText="1" shrinkToFit="1"/>
    </xf>
    <xf numFmtId="179" fontId="4" fillId="0" borderId="1" xfId="45" applyNumberFormat="1" applyFont="1" applyBorder="1" applyAlignment="1">
      <alignment horizontal="center" vertical="center" wrapText="1" shrinkToFit="1"/>
    </xf>
    <xf numFmtId="49" fontId="4" fillId="19" borderId="1" xfId="45" applyNumberFormat="1" applyFont="1" applyFill="1" applyBorder="1" applyAlignment="1">
      <alignment horizontal="center" vertical="center" wrapText="1" shrinkToFit="1"/>
    </xf>
    <xf numFmtId="0" fontId="4" fillId="19" borderId="1" xfId="45" applyFont="1" applyFill="1" applyBorder="1" applyAlignment="1">
      <alignment horizontal="center" vertical="center" wrapText="1" shrinkToFit="1"/>
    </xf>
    <xf numFmtId="190" fontId="4" fillId="19" borderId="1" xfId="45" applyNumberFormat="1" applyFont="1" applyFill="1" applyBorder="1" applyAlignment="1">
      <alignment horizontal="center" vertical="center" wrapText="1" shrinkToFit="1"/>
    </xf>
    <xf numFmtId="0" fontId="4" fillId="0" borderId="1" xfId="45" applyFont="1" applyBorder="1" applyAlignment="1" applyProtection="1">
      <alignment horizontal="center"/>
      <protection locked="0"/>
    </xf>
    <xf numFmtId="189" fontId="4" fillId="0" borderId="146" xfId="45" applyNumberFormat="1" applyFont="1" applyBorder="1" applyAlignment="1">
      <alignment horizontal="center" vertical="center" wrapText="1" shrinkToFit="1"/>
    </xf>
    <xf numFmtId="189" fontId="4" fillId="14" borderId="27" xfId="45" applyNumberFormat="1" applyFont="1" applyFill="1" applyBorder="1" applyAlignment="1" applyProtection="1">
      <alignment horizontal="center" vertical="center" wrapText="1" shrinkToFit="1"/>
      <protection locked="0"/>
    </xf>
    <xf numFmtId="0" fontId="37" fillId="14" borderId="109" xfId="45" applyFont="1" applyFill="1" applyBorder="1" applyAlignment="1" applyProtection="1">
      <alignment horizontal="center" vertical="center"/>
      <protection locked="0"/>
    </xf>
    <xf numFmtId="0" fontId="37" fillId="14" borderId="108" xfId="45" applyFont="1" applyFill="1" applyBorder="1" applyAlignment="1" applyProtection="1">
      <alignment horizontal="center" vertical="center"/>
      <protection locked="0"/>
    </xf>
    <xf numFmtId="0" fontId="35" fillId="0" borderId="20" xfId="45" applyFont="1" applyBorder="1" applyAlignment="1">
      <alignment vertical="center" wrapText="1"/>
    </xf>
    <xf numFmtId="0" fontId="35" fillId="0" borderId="2" xfId="45" applyFont="1" applyBorder="1" applyAlignment="1">
      <alignment vertical="center" wrapText="1"/>
    </xf>
    <xf numFmtId="0" fontId="35" fillId="0" borderId="9" xfId="45" applyFont="1" applyBorder="1" applyAlignment="1">
      <alignment vertical="center" wrapText="1"/>
    </xf>
    <xf numFmtId="0" fontId="36" fillId="0" borderId="59" xfId="45" applyFont="1" applyBorder="1" applyAlignment="1">
      <alignment horizontal="center" vertical="center" wrapText="1"/>
    </xf>
    <xf numFmtId="14" fontId="34" fillId="0" borderId="89" xfId="45" applyNumberFormat="1" applyFont="1" applyBorder="1" applyAlignment="1" applyProtection="1">
      <alignment horizontal="center" vertical="center"/>
      <protection locked="0"/>
    </xf>
    <xf numFmtId="14" fontId="34" fillId="0" borderId="83" xfId="45" applyNumberFormat="1" applyFont="1" applyBorder="1" applyAlignment="1" applyProtection="1">
      <alignment horizontal="center" vertical="center"/>
      <protection locked="0"/>
    </xf>
    <xf numFmtId="14" fontId="34" fillId="0" borderId="88" xfId="45" applyNumberFormat="1" applyFont="1" applyBorder="1" applyAlignment="1" applyProtection="1">
      <alignment horizontal="center" vertical="center"/>
      <protection locked="0"/>
    </xf>
    <xf numFmtId="0" fontId="6" fillId="14" borderId="109" xfId="45" applyFont="1" applyFill="1" applyBorder="1" applyAlignment="1" applyProtection="1">
      <alignment horizontal="center" vertical="center"/>
      <protection locked="0"/>
    </xf>
    <xf numFmtId="0" fontId="6" fillId="14" borderId="108" xfId="45" applyFont="1" applyFill="1" applyBorder="1" applyAlignment="1" applyProtection="1">
      <alignment horizontal="center" vertical="center"/>
      <protection locked="0"/>
    </xf>
    <xf numFmtId="0" fontId="7" fillId="0" borderId="109" xfId="45" applyFont="1" applyBorder="1" applyAlignment="1">
      <alignment vertical="top" wrapText="1"/>
    </xf>
    <xf numFmtId="0" fontId="7" fillId="0" borderId="108" xfId="45" applyFont="1" applyBorder="1" applyAlignment="1">
      <alignment vertical="top" wrapText="1"/>
    </xf>
    <xf numFmtId="0" fontId="35" fillId="0" borderId="20" xfId="45" applyFont="1" applyBorder="1" applyAlignment="1">
      <alignment vertical="center" wrapText="1" shrinkToFit="1"/>
    </xf>
    <xf numFmtId="0" fontId="35" fillId="0" borderId="2" xfId="45" applyFont="1" applyBorder="1" applyAlignment="1">
      <alignment vertical="center" wrapText="1" shrinkToFit="1"/>
    </xf>
    <xf numFmtId="0" fontId="35" fillId="0" borderId="9" xfId="45" applyFont="1" applyBorder="1" applyAlignment="1">
      <alignment vertical="center" wrapText="1" shrinkToFit="1"/>
    </xf>
    <xf numFmtId="0" fontId="7" fillId="0" borderId="109" xfId="45" applyFont="1" applyBorder="1" applyAlignment="1">
      <alignment horizontal="center" vertical="center"/>
    </xf>
    <xf numFmtId="0" fontId="7" fillId="0" borderId="108" xfId="45" applyFont="1" applyBorder="1" applyAlignment="1">
      <alignment horizontal="center" vertical="center"/>
    </xf>
    <xf numFmtId="0" fontId="6" fillId="0" borderId="109" xfId="45" applyFont="1" applyBorder="1" applyAlignment="1">
      <alignment horizontal="center" vertical="center"/>
    </xf>
    <xf numFmtId="0" fontId="6" fillId="0" borderId="82" xfId="45" applyFont="1" applyBorder="1" applyAlignment="1">
      <alignment horizontal="center" vertical="center"/>
    </xf>
    <xf numFmtId="0" fontId="6" fillId="0" borderId="108" xfId="45" applyFont="1" applyBorder="1" applyAlignment="1">
      <alignment horizontal="center" vertical="center"/>
    </xf>
    <xf numFmtId="0" fontId="4" fillId="0" borderId="110" xfId="0" applyFont="1" applyBorder="1" applyAlignment="1">
      <alignment vertical="top" wrapText="1"/>
    </xf>
    <xf numFmtId="0" fontId="4" fillId="0" borderId="111" xfId="0" applyFont="1" applyBorder="1" applyAlignment="1">
      <alignment vertical="top" wrapText="1"/>
    </xf>
    <xf numFmtId="0" fontId="4" fillId="0" borderId="112" xfId="0" applyFont="1" applyBorder="1" applyAlignment="1">
      <alignment vertical="top" wrapText="1"/>
    </xf>
    <xf numFmtId="0" fontId="12" fillId="4" borderId="109" xfId="0" applyFont="1" applyFill="1" applyBorder="1" applyAlignment="1" applyProtection="1">
      <alignment vertical="top" wrapText="1"/>
      <protection locked="0"/>
    </xf>
    <xf numFmtId="0" fontId="12" fillId="4" borderId="82" xfId="0" applyFont="1" applyFill="1" applyBorder="1" applyAlignment="1" applyProtection="1">
      <alignment vertical="top" wrapText="1"/>
      <protection locked="0"/>
    </xf>
    <xf numFmtId="0" fontId="12" fillId="4" borderId="108" xfId="0" applyFont="1" applyFill="1" applyBorder="1" applyAlignment="1" applyProtection="1">
      <alignment vertical="top" wrapText="1"/>
      <protection locked="0"/>
    </xf>
    <xf numFmtId="191" fontId="4" fillId="14" borderId="147" xfId="45" applyNumberFormat="1" applyFont="1" applyFill="1" applyBorder="1" applyAlignment="1" applyProtection="1">
      <alignment horizontal="center" vertical="center" wrapText="1" shrinkToFit="1"/>
      <protection locked="0"/>
    </xf>
    <xf numFmtId="190" fontId="37" fillId="0" borderId="109" xfId="45" applyNumberFormat="1" applyFont="1" applyBorder="1" applyAlignment="1">
      <alignment horizontal="center" vertical="center" shrinkToFit="1"/>
    </xf>
    <xf numFmtId="190" fontId="37" fillId="0" borderId="108" xfId="45" applyNumberFormat="1" applyFont="1" applyBorder="1" applyAlignment="1">
      <alignment horizontal="center" vertical="center" shrinkToFit="1"/>
    </xf>
    <xf numFmtId="14" fontId="34" fillId="0" borderId="40" xfId="45" applyNumberFormat="1" applyFont="1" applyBorder="1" applyAlignment="1" applyProtection="1">
      <alignment horizontal="center" vertical="center"/>
      <protection locked="0"/>
    </xf>
    <xf numFmtId="14" fontId="34" fillId="0" borderId="6" xfId="45" applyNumberFormat="1" applyFont="1" applyBorder="1" applyAlignment="1" applyProtection="1">
      <alignment horizontal="center" vertical="center"/>
      <protection locked="0"/>
    </xf>
    <xf numFmtId="14" fontId="34" fillId="0" borderId="101" xfId="45" applyNumberFormat="1" applyFont="1" applyBorder="1" applyAlignment="1" applyProtection="1">
      <alignment horizontal="center" vertical="center"/>
      <protection locked="0"/>
    </xf>
    <xf numFmtId="0" fontId="4" fillId="0" borderId="119" xfId="45" applyFont="1" applyBorder="1" applyAlignment="1">
      <alignment horizontal="center" vertical="center" textRotation="255" shrinkToFit="1"/>
    </xf>
    <xf numFmtId="0" fontId="34" fillId="0" borderId="20" xfId="45" applyFont="1" applyBorder="1" applyAlignment="1">
      <alignment vertical="center" wrapText="1"/>
    </xf>
    <xf numFmtId="0" fontId="34" fillId="0" borderId="2" xfId="45" applyFont="1" applyBorder="1" applyAlignment="1">
      <alignment vertical="center" wrapText="1"/>
    </xf>
    <xf numFmtId="0" fontId="34" fillId="0" borderId="9" xfId="45" applyFont="1" applyBorder="1" applyAlignment="1">
      <alignment vertical="center" wrapText="1"/>
    </xf>
    <xf numFmtId="0" fontId="7" fillId="3" borderId="1" xfId="0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horizontal="center" vertical="center" textRotation="255" wrapText="1"/>
    </xf>
    <xf numFmtId="0" fontId="4" fillId="5" borderId="9" xfId="0" applyFont="1" applyFill="1" applyBorder="1" applyAlignment="1">
      <alignment horizontal="center" vertical="center" textRotation="255" wrapText="1"/>
    </xf>
    <xf numFmtId="0" fontId="14" fillId="5" borderId="1" xfId="0" applyFont="1" applyFill="1" applyBorder="1" applyAlignment="1">
      <alignment horizontal="center" vertical="center" textRotation="255" wrapText="1"/>
    </xf>
    <xf numFmtId="0" fontId="14" fillId="5" borderId="20" xfId="0" applyFont="1" applyFill="1" applyBorder="1" applyAlignment="1">
      <alignment horizontal="center" vertical="center" textRotation="255" wrapText="1"/>
    </xf>
    <xf numFmtId="0" fontId="14" fillId="5" borderId="11" xfId="0" applyFont="1" applyFill="1" applyBorder="1" applyAlignment="1">
      <alignment horizontal="center" vertical="center" textRotation="255" wrapText="1"/>
    </xf>
    <xf numFmtId="0" fontId="4" fillId="5" borderId="20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textRotation="255" wrapText="1"/>
    </xf>
    <xf numFmtId="0" fontId="4" fillId="0" borderId="20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 applyProtection="1">
      <alignment horizontal="center" vertical="center"/>
      <protection locked="0"/>
    </xf>
    <xf numFmtId="0" fontId="32" fillId="5" borderId="42" xfId="0" applyFont="1" applyFill="1" applyBorder="1" applyAlignment="1">
      <alignment horizontal="center" vertical="center" wrapText="1"/>
    </xf>
    <xf numFmtId="0" fontId="32" fillId="5" borderId="46" xfId="0" applyFont="1" applyFill="1" applyBorder="1" applyAlignment="1">
      <alignment horizontal="center" vertical="center" wrapText="1"/>
    </xf>
    <xf numFmtId="49" fontId="12" fillId="4" borderId="2" xfId="0" applyNumberFormat="1" applyFont="1" applyFill="1" applyBorder="1" applyAlignment="1" applyProtection="1">
      <alignment horizontal="center" vertical="center" wrapText="1"/>
      <protection locked="0"/>
    </xf>
    <xf numFmtId="49" fontId="12" fillId="4" borderId="9" xfId="0" applyNumberFormat="1" applyFont="1" applyFill="1" applyBorder="1" applyAlignment="1" applyProtection="1">
      <alignment horizontal="center" vertical="center" wrapText="1"/>
      <protection locked="0"/>
    </xf>
    <xf numFmtId="0" fontId="12" fillId="2" borderId="11" xfId="0" applyFont="1" applyFill="1" applyBorder="1" applyAlignment="1">
      <alignment vertical="center" wrapText="1"/>
    </xf>
    <xf numFmtId="0" fontId="12" fillId="2" borderId="113" xfId="0" applyFont="1" applyFill="1" applyBorder="1" applyAlignment="1">
      <alignment horizontal="center" vertical="center" shrinkToFit="1"/>
    </xf>
    <xf numFmtId="0" fontId="12" fillId="2" borderId="114" xfId="0" applyFont="1" applyFill="1" applyBorder="1" applyAlignment="1">
      <alignment horizontal="center" vertical="center" shrinkToFit="1"/>
    </xf>
    <xf numFmtId="0" fontId="12" fillId="0" borderId="7" xfId="45" applyFont="1" applyBorder="1" applyAlignment="1">
      <alignment horizontal="center" vertical="center"/>
    </xf>
    <xf numFmtId="0" fontId="21" fillId="0" borderId="7" xfId="45" applyFont="1" applyBorder="1" applyAlignment="1" applyProtection="1">
      <alignment horizontal="center" vertical="center"/>
      <protection locked="0"/>
    </xf>
    <xf numFmtId="0" fontId="32" fillId="4" borderId="109" xfId="0" applyFont="1" applyFill="1" applyBorder="1" applyAlignment="1" applyProtection="1">
      <alignment horizontal="left" vertical="center" wrapText="1"/>
      <protection locked="0"/>
    </xf>
    <xf numFmtId="0" fontId="32" fillId="4" borderId="82" xfId="0" applyFont="1" applyFill="1" applyBorder="1" applyAlignment="1" applyProtection="1">
      <alignment horizontal="left" vertical="center" wrapText="1"/>
      <protection locked="0"/>
    </xf>
    <xf numFmtId="0" fontId="32" fillId="4" borderId="108" xfId="0" applyFont="1" applyFill="1" applyBorder="1" applyAlignment="1" applyProtection="1">
      <alignment horizontal="left" vertical="center" wrapText="1"/>
      <protection locked="0"/>
    </xf>
    <xf numFmtId="0" fontId="7" fillId="0" borderId="33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14" fontId="7" fillId="0" borderId="115" xfId="0" applyNumberFormat="1" applyFont="1" applyBorder="1" applyAlignment="1">
      <alignment horizontal="center" vertical="center"/>
    </xf>
    <xf numFmtId="14" fontId="7" fillId="0" borderId="86" xfId="0" applyNumberFormat="1" applyFont="1" applyBorder="1" applyAlignment="1">
      <alignment horizontal="center" vertical="center"/>
    </xf>
    <xf numFmtId="14" fontId="7" fillId="0" borderId="85" xfId="0" applyNumberFormat="1" applyFont="1" applyBorder="1" applyAlignment="1">
      <alignment horizontal="center" vertical="center"/>
    </xf>
    <xf numFmtId="0" fontId="32" fillId="5" borderId="116" xfId="0" applyFont="1" applyFill="1" applyBorder="1" applyAlignment="1">
      <alignment horizontal="center" vertical="center" wrapText="1"/>
    </xf>
    <xf numFmtId="0" fontId="32" fillId="5" borderId="117" xfId="0" applyFont="1" applyFill="1" applyBorder="1" applyAlignment="1">
      <alignment horizontal="center" vertical="center" wrapText="1"/>
    </xf>
    <xf numFmtId="0" fontId="12" fillId="2" borderId="133" xfId="0" applyFont="1" applyFill="1" applyBorder="1" applyAlignment="1">
      <alignment vertical="center" wrapText="1"/>
    </xf>
    <xf numFmtId="0" fontId="32" fillId="5" borderId="43" xfId="0" applyFont="1" applyFill="1" applyBorder="1" applyAlignment="1">
      <alignment horizontal="center" vertical="center" wrapText="1"/>
    </xf>
    <xf numFmtId="0" fontId="12" fillId="2" borderId="132" xfId="0" applyFont="1" applyFill="1" applyBorder="1" applyAlignment="1">
      <alignment vertical="center" wrapText="1"/>
    </xf>
    <xf numFmtId="0" fontId="32" fillId="5" borderId="52" xfId="0" applyFont="1" applyFill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 vertical="center"/>
      <protection locked="0"/>
    </xf>
    <xf numFmtId="0" fontId="26" fillId="17" borderId="118" xfId="0" applyFont="1" applyFill="1" applyBorder="1" applyAlignment="1">
      <alignment horizontal="center" vertical="center"/>
    </xf>
    <xf numFmtId="0" fontId="26" fillId="17" borderId="29" xfId="0" applyFont="1" applyFill="1" applyBorder="1" applyAlignment="1">
      <alignment horizontal="center" vertical="center"/>
    </xf>
    <xf numFmtId="0" fontId="32" fillId="14" borderId="109" xfId="0" applyFont="1" applyFill="1" applyBorder="1" applyAlignment="1" applyProtection="1">
      <alignment vertical="top" wrapText="1"/>
      <protection locked="0"/>
    </xf>
    <xf numFmtId="0" fontId="32" fillId="14" borderId="82" xfId="0" applyFont="1" applyFill="1" applyBorder="1" applyAlignment="1" applyProtection="1">
      <alignment vertical="top" wrapText="1"/>
      <protection locked="0"/>
    </xf>
    <xf numFmtId="0" fontId="32" fillId="14" borderId="108" xfId="0" applyFont="1" applyFill="1" applyBorder="1" applyAlignment="1" applyProtection="1">
      <alignment vertical="top" wrapText="1"/>
      <protection locked="0"/>
    </xf>
    <xf numFmtId="49" fontId="6" fillId="17" borderId="120" xfId="0" applyNumberFormat="1" applyFont="1" applyFill="1" applyBorder="1" applyAlignment="1">
      <alignment vertical="center" wrapText="1"/>
    </xf>
    <xf numFmtId="0" fontId="6" fillId="17" borderId="19" xfId="0" applyFont="1" applyFill="1" applyBorder="1" applyAlignment="1">
      <alignment vertical="center" wrapText="1"/>
    </xf>
    <xf numFmtId="0" fontId="26" fillId="17" borderId="92" xfId="0" applyFont="1" applyFill="1" applyBorder="1" applyAlignment="1">
      <alignment horizontal="center" vertical="center"/>
    </xf>
    <xf numFmtId="0" fontId="26" fillId="17" borderId="17" xfId="0" applyFont="1" applyFill="1" applyBorder="1" applyAlignment="1">
      <alignment horizontal="center" vertical="center"/>
    </xf>
    <xf numFmtId="0" fontId="26" fillId="17" borderId="120" xfId="0" applyFont="1" applyFill="1" applyBorder="1" applyAlignment="1">
      <alignment horizontal="center" vertical="center"/>
    </xf>
    <xf numFmtId="0" fontId="26" fillId="17" borderId="19" xfId="0" applyFont="1" applyFill="1" applyBorder="1" applyAlignment="1">
      <alignment horizontal="center" vertical="center"/>
    </xf>
    <xf numFmtId="0" fontId="32" fillId="0" borderId="109" xfId="0" applyFont="1" applyBorder="1" applyAlignment="1">
      <alignment horizontal="center" vertical="center"/>
    </xf>
    <xf numFmtId="0" fontId="32" fillId="0" borderId="82" xfId="0" applyFont="1" applyBorder="1" applyAlignment="1">
      <alignment horizontal="center" vertical="center"/>
    </xf>
    <xf numFmtId="14" fontId="32" fillId="2" borderId="109" xfId="0" applyNumberFormat="1" applyFont="1" applyFill="1" applyBorder="1" applyAlignment="1">
      <alignment horizontal="center" vertical="center"/>
    </xf>
    <xf numFmtId="14" fontId="32" fillId="2" borderId="82" xfId="0" applyNumberFormat="1" applyFont="1" applyFill="1" applyBorder="1" applyAlignment="1">
      <alignment horizontal="center" vertical="center"/>
    </xf>
    <xf numFmtId="0" fontId="32" fillId="0" borderId="108" xfId="0" applyFont="1" applyBorder="1" applyAlignment="1">
      <alignment horizontal="center" vertical="center"/>
    </xf>
    <xf numFmtId="14" fontId="32" fillId="0" borderId="109" xfId="0" applyNumberFormat="1" applyFont="1" applyBorder="1" applyAlignment="1" applyProtection="1">
      <alignment horizontal="center" vertical="center"/>
      <protection locked="0"/>
    </xf>
    <xf numFmtId="0" fontId="32" fillId="0" borderId="108" xfId="0" applyFont="1" applyBorder="1" applyAlignment="1" applyProtection="1">
      <alignment horizontal="center" vertical="center"/>
      <protection locked="0"/>
    </xf>
    <xf numFmtId="0" fontId="21" fillId="17" borderId="120" xfId="0" applyFont="1" applyFill="1" applyBorder="1" applyAlignment="1">
      <alignment vertical="center" wrapText="1"/>
    </xf>
    <xf numFmtId="0" fontId="21" fillId="17" borderId="19" xfId="0" applyFont="1" applyFill="1" applyBorder="1" applyAlignment="1">
      <alignment vertical="center" wrapText="1"/>
    </xf>
    <xf numFmtId="14" fontId="32" fillId="0" borderId="109" xfId="0" applyNumberFormat="1" applyFont="1" applyBorder="1" applyAlignment="1">
      <alignment horizontal="center" vertical="center"/>
    </xf>
    <xf numFmtId="0" fontId="7" fillId="14" borderId="109" xfId="0" applyFont="1" applyFill="1" applyBorder="1" applyAlignment="1" applyProtection="1">
      <alignment vertical="top" wrapText="1"/>
      <protection locked="0"/>
    </xf>
    <xf numFmtId="0" fontId="7" fillId="14" borderId="82" xfId="0" applyFont="1" applyFill="1" applyBorder="1" applyAlignment="1" applyProtection="1">
      <alignment vertical="top" wrapText="1"/>
      <protection locked="0"/>
    </xf>
    <xf numFmtId="0" fontId="7" fillId="14" borderId="108" xfId="0" applyFont="1" applyFill="1" applyBorder="1" applyAlignment="1" applyProtection="1">
      <alignment vertical="top" wrapText="1"/>
      <protection locked="0"/>
    </xf>
    <xf numFmtId="0" fontId="7" fillId="4" borderId="109" xfId="0" applyFont="1" applyFill="1" applyBorder="1" applyAlignment="1" applyProtection="1">
      <alignment horizontal="center" vertical="center" wrapText="1"/>
      <protection locked="0"/>
    </xf>
    <xf numFmtId="0" fontId="7" fillId="4" borderId="108" xfId="0" applyFont="1" applyFill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>
      <alignment horizontal="center" vertical="center" wrapText="1" shrinkToFit="1"/>
    </xf>
    <xf numFmtId="0" fontId="7" fillId="0" borderId="2" xfId="0" applyFont="1" applyBorder="1" applyAlignment="1">
      <alignment horizontal="center" vertical="center" wrapText="1" shrinkToFit="1"/>
    </xf>
    <xf numFmtId="0" fontId="7" fillId="0" borderId="99" xfId="0" applyFont="1" applyBorder="1" applyAlignment="1">
      <alignment horizontal="center" vertical="center" wrapText="1" shrinkToFit="1"/>
    </xf>
    <xf numFmtId="0" fontId="4" fillId="2" borderId="92" xfId="0" applyFont="1" applyFill="1" applyBorder="1" applyAlignment="1">
      <alignment horizontal="center" vertical="center" wrapText="1" shrinkToFit="1"/>
    </xf>
    <xf numFmtId="0" fontId="4" fillId="2" borderId="120" xfId="0" applyFont="1" applyFill="1" applyBorder="1" applyAlignment="1">
      <alignment horizontal="center" vertical="center" wrapText="1" shrinkToFit="1"/>
    </xf>
    <xf numFmtId="0" fontId="4" fillId="2" borderId="118" xfId="0" applyFont="1" applyFill="1" applyBorder="1" applyAlignment="1">
      <alignment horizontal="center" vertical="center" wrapText="1" shrinkToFit="1"/>
    </xf>
    <xf numFmtId="0" fontId="4" fillId="2" borderId="93" xfId="0" applyFont="1" applyFill="1" applyBorder="1" applyAlignment="1">
      <alignment horizontal="center" vertical="center" wrapText="1" shrinkToFit="1"/>
    </xf>
    <xf numFmtId="0" fontId="4" fillId="2" borderId="121" xfId="0" applyFont="1" applyFill="1" applyBorder="1" applyAlignment="1">
      <alignment horizontal="center" vertical="center" wrapText="1" shrinkToFit="1"/>
    </xf>
    <xf numFmtId="0" fontId="4" fillId="2" borderId="122" xfId="0" applyFont="1" applyFill="1" applyBorder="1" applyAlignment="1">
      <alignment horizontal="center" vertical="center" wrapText="1" shrinkToFit="1"/>
    </xf>
    <xf numFmtId="0" fontId="4" fillId="2" borderId="98" xfId="0" applyFont="1" applyFill="1" applyBorder="1" applyAlignment="1">
      <alignment horizontal="center" vertical="center" wrapText="1" shrinkToFit="1"/>
    </xf>
    <xf numFmtId="0" fontId="7" fillId="5" borderId="155" xfId="0" applyFont="1" applyFill="1" applyBorder="1" applyAlignment="1">
      <alignment horizontal="center" vertical="center" wrapText="1" shrinkToFit="1"/>
    </xf>
    <xf numFmtId="0" fontId="7" fillId="5" borderId="56" xfId="0" applyFont="1" applyFill="1" applyBorder="1" applyAlignment="1">
      <alignment horizontal="center" vertical="center" wrapText="1" shrinkToFit="1"/>
    </xf>
    <xf numFmtId="0" fontId="14" fillId="0" borderId="123" xfId="0" applyFont="1" applyBorder="1" applyAlignment="1" applyProtection="1">
      <alignment horizontal="center" vertical="center" wrapText="1"/>
      <protection locked="0"/>
    </xf>
    <xf numFmtId="0" fontId="14" fillId="0" borderId="124" xfId="0" applyFont="1" applyBorder="1" applyAlignment="1" applyProtection="1">
      <alignment horizontal="center" vertical="center" wrapText="1"/>
      <protection locked="0"/>
    </xf>
    <xf numFmtId="0" fontId="5" fillId="2" borderId="89" xfId="46" applyFont="1" applyFill="1" applyBorder="1" applyAlignment="1">
      <alignment horizontal="center" vertical="center" shrinkToFit="1"/>
    </xf>
    <xf numFmtId="0" fontId="5" fillId="2" borderId="40" xfId="46" applyFont="1" applyFill="1" applyBorder="1" applyAlignment="1">
      <alignment horizontal="center" vertical="center" shrinkToFit="1"/>
    </xf>
    <xf numFmtId="0" fontId="5" fillId="2" borderId="92" xfId="46" applyFont="1" applyFill="1" applyBorder="1" applyAlignment="1">
      <alignment horizontal="center" vertical="center" shrinkToFit="1"/>
    </xf>
    <xf numFmtId="0" fontId="5" fillId="2" borderId="93" xfId="46" applyFont="1" applyFill="1" applyBorder="1" applyAlignment="1">
      <alignment horizontal="center" vertical="center" shrinkToFit="1"/>
    </xf>
    <xf numFmtId="0" fontId="5" fillId="2" borderId="92" xfId="46" applyFont="1" applyFill="1" applyBorder="1" applyAlignment="1">
      <alignment horizontal="center" vertical="center"/>
    </xf>
    <xf numFmtId="0" fontId="5" fillId="2" borderId="120" xfId="46" applyFont="1" applyFill="1" applyBorder="1" applyAlignment="1">
      <alignment horizontal="center" vertical="center"/>
    </xf>
    <xf numFmtId="0" fontId="5" fillId="2" borderId="93" xfId="46" applyFont="1" applyFill="1" applyBorder="1" applyAlignment="1">
      <alignment horizontal="center" vertical="center"/>
    </xf>
    <xf numFmtId="0" fontId="5" fillId="2" borderId="4" xfId="46" applyFont="1" applyFill="1" applyBorder="1" applyAlignment="1">
      <alignment horizontal="center" vertical="center"/>
    </xf>
    <xf numFmtId="0" fontId="29" fillId="0" borderId="26" xfId="46" applyFont="1" applyBorder="1" applyAlignment="1">
      <alignment horizontal="left" vertical="center" shrinkToFit="1"/>
    </xf>
    <xf numFmtId="0" fontId="29" fillId="0" borderId="30" xfId="46" applyFont="1" applyBorder="1" applyAlignment="1">
      <alignment horizontal="left" vertical="center" shrinkToFit="1"/>
    </xf>
    <xf numFmtId="0" fontId="29" fillId="0" borderId="28" xfId="46" applyFont="1" applyBorder="1" applyAlignment="1">
      <alignment horizontal="left" vertical="center" shrinkToFit="1"/>
    </xf>
    <xf numFmtId="0" fontId="29" fillId="0" borderId="102" xfId="46" applyFont="1" applyBorder="1" applyAlignment="1">
      <alignment horizontal="left" vertical="center" shrinkToFit="1"/>
    </xf>
    <xf numFmtId="0" fontId="29" fillId="0" borderId="6" xfId="46" applyFont="1" applyBorder="1" applyAlignment="1">
      <alignment horizontal="left" vertical="center" shrinkToFit="1"/>
    </xf>
    <xf numFmtId="0" fontId="29" fillId="0" borderId="100" xfId="46" applyFont="1" applyBorder="1" applyAlignment="1">
      <alignment horizontal="left" vertical="center" shrinkToFit="1"/>
    </xf>
    <xf numFmtId="0" fontId="25" fillId="0" borderId="1" xfId="46" applyFont="1" applyBorder="1" applyAlignment="1">
      <alignment horizontal="center" vertical="center" wrapText="1" shrinkToFit="1"/>
    </xf>
    <xf numFmtId="0" fontId="25" fillId="0" borderId="5" xfId="46" applyFont="1" applyBorder="1" applyAlignment="1">
      <alignment horizontal="center" vertical="center" wrapText="1" shrinkToFit="1"/>
    </xf>
    <xf numFmtId="0" fontId="12" fillId="0" borderId="20" xfId="46" applyFont="1" applyBorder="1" applyAlignment="1">
      <alignment horizontal="center" vertical="center" wrapText="1" shrinkToFit="1"/>
    </xf>
    <xf numFmtId="0" fontId="12" fillId="0" borderId="99" xfId="46" applyFont="1" applyBorder="1" applyAlignment="1">
      <alignment horizontal="center" vertical="center" wrapText="1" shrinkToFit="1"/>
    </xf>
    <xf numFmtId="0" fontId="12" fillId="0" borderId="19" xfId="46" applyFont="1" applyBorder="1" applyAlignment="1">
      <alignment horizontal="center" vertical="center" wrapText="1" shrinkToFit="1"/>
    </xf>
    <xf numFmtId="0" fontId="12" fillId="0" borderId="35" xfId="46" applyFont="1" applyBorder="1" applyAlignment="1">
      <alignment horizontal="center" vertical="center" wrapText="1" shrinkToFit="1"/>
    </xf>
    <xf numFmtId="0" fontId="5" fillId="2" borderId="121" xfId="46" applyFont="1" applyFill="1" applyBorder="1" applyAlignment="1">
      <alignment horizontal="center" vertical="center" shrinkToFit="1"/>
    </xf>
    <xf numFmtId="0" fontId="5" fillId="2" borderId="98" xfId="46" applyFont="1" applyFill="1" applyBorder="1" applyAlignment="1">
      <alignment horizontal="center" vertical="center" shrinkToFit="1"/>
    </xf>
    <xf numFmtId="0" fontId="5" fillId="2" borderId="121" xfId="46" applyFont="1" applyFill="1" applyBorder="1" applyAlignment="1">
      <alignment horizontal="center" vertical="center" wrapText="1"/>
    </xf>
    <xf numFmtId="0" fontId="5" fillId="2" borderId="98" xfId="46" applyFont="1" applyFill="1" applyBorder="1" applyAlignment="1">
      <alignment horizontal="center" vertical="center"/>
    </xf>
    <xf numFmtId="0" fontId="25" fillId="0" borderId="125" xfId="46" applyFont="1" applyBorder="1" applyAlignment="1">
      <alignment horizontal="center" vertical="center"/>
    </xf>
    <xf numFmtId="0" fontId="25" fillId="0" borderId="126" xfId="46" applyFont="1" applyBorder="1" applyAlignment="1">
      <alignment horizontal="center" vertical="center"/>
    </xf>
    <xf numFmtId="0" fontId="25" fillId="0" borderId="127" xfId="46" applyFont="1" applyBorder="1" applyAlignment="1">
      <alignment horizontal="center" vertical="center"/>
    </xf>
    <xf numFmtId="0" fontId="25" fillId="0" borderId="39" xfId="46" applyFont="1" applyBorder="1" applyAlignment="1">
      <alignment horizontal="center" vertical="center"/>
    </xf>
    <xf numFmtId="0" fontId="25" fillId="0" borderId="0" xfId="46" applyFont="1" applyAlignment="1">
      <alignment horizontal="center" vertical="center"/>
    </xf>
    <xf numFmtId="0" fontId="25" fillId="0" borderId="90" xfId="46" applyFont="1" applyBorder="1" applyAlignment="1">
      <alignment horizontal="center" vertical="center"/>
    </xf>
    <xf numFmtId="0" fontId="25" fillId="0" borderId="40" xfId="46" applyFont="1" applyBorder="1" applyAlignment="1">
      <alignment horizontal="center" vertical="center"/>
    </xf>
    <xf numFmtId="0" fontId="25" fillId="0" borderId="6" xfId="46" applyFont="1" applyBorder="1" applyAlignment="1">
      <alignment horizontal="center" vertical="center"/>
    </xf>
    <xf numFmtId="0" fontId="25" fillId="0" borderId="101" xfId="46" applyFont="1" applyBorder="1" applyAlignment="1">
      <alignment horizontal="center" vertical="center"/>
    </xf>
    <xf numFmtId="0" fontId="40" fillId="0" borderId="125" xfId="46" applyFont="1" applyBorder="1" applyAlignment="1">
      <alignment horizontal="left" vertical="top" wrapText="1"/>
    </xf>
    <xf numFmtId="0" fontId="40" fillId="0" borderId="126" xfId="46" applyFont="1" applyBorder="1" applyAlignment="1">
      <alignment horizontal="left" vertical="top" wrapText="1"/>
    </xf>
    <xf numFmtId="0" fontId="40" fillId="0" borderId="127" xfId="46" applyFont="1" applyBorder="1" applyAlignment="1">
      <alignment horizontal="left" vertical="top" wrapText="1"/>
    </xf>
    <xf numFmtId="0" fontId="40" fillId="0" borderId="39" xfId="46" applyFont="1" applyBorder="1" applyAlignment="1">
      <alignment horizontal="left" vertical="top" wrapText="1"/>
    </xf>
    <xf numFmtId="0" fontId="40" fillId="0" borderId="0" xfId="46" applyFont="1" applyAlignment="1">
      <alignment horizontal="left" vertical="top" wrapText="1"/>
    </xf>
    <xf numFmtId="0" fontId="40" fillId="0" borderId="90" xfId="46" applyFont="1" applyBorder="1" applyAlignment="1">
      <alignment horizontal="left" vertical="top" wrapText="1"/>
    </xf>
    <xf numFmtId="0" fontId="40" fillId="0" borderId="40" xfId="46" applyFont="1" applyBorder="1" applyAlignment="1">
      <alignment horizontal="left" vertical="top" wrapText="1"/>
    </xf>
    <xf numFmtId="0" fontId="40" fillId="0" borderId="6" xfId="46" applyFont="1" applyBorder="1" applyAlignment="1">
      <alignment horizontal="left" vertical="top" wrapText="1"/>
    </xf>
    <xf numFmtId="0" fontId="40" fillId="0" borderId="101" xfId="46" applyFont="1" applyBorder="1" applyAlignment="1">
      <alignment horizontal="left" vertical="top" wrapText="1"/>
    </xf>
    <xf numFmtId="0" fontId="41" fillId="0" borderId="30" xfId="46" applyFont="1" applyBorder="1" applyAlignment="1">
      <alignment horizontal="left" vertical="center"/>
    </xf>
    <xf numFmtId="0" fontId="41" fillId="0" borderId="160" xfId="46" applyFont="1" applyBorder="1" applyAlignment="1">
      <alignment horizontal="left" vertical="center"/>
    </xf>
    <xf numFmtId="0" fontId="41" fillId="0" borderId="6" xfId="46" applyFont="1" applyBorder="1" applyAlignment="1">
      <alignment horizontal="left" vertical="center"/>
    </xf>
    <xf numFmtId="0" fontId="41" fillId="0" borderId="101" xfId="46" applyFont="1" applyBorder="1" applyAlignment="1">
      <alignment horizontal="left" vertical="center"/>
    </xf>
    <xf numFmtId="0" fontId="5" fillId="2" borderId="121" xfId="46" applyFont="1" applyFill="1" applyBorder="1" applyAlignment="1">
      <alignment horizontal="center" vertical="center"/>
    </xf>
    <xf numFmtId="0" fontId="42" fillId="0" borderId="83" xfId="46" applyFont="1" applyBorder="1" applyAlignment="1">
      <alignment horizontal="center" vertical="center"/>
    </xf>
    <xf numFmtId="0" fontId="42" fillId="0" borderId="6" xfId="46" applyFont="1" applyBorder="1" applyAlignment="1">
      <alignment horizontal="center" vertical="center"/>
    </xf>
    <xf numFmtId="188" fontId="29" fillId="0" borderId="88" xfId="46" applyNumberFormat="1" applyFont="1" applyBorder="1" applyAlignment="1">
      <alignment horizontal="center" vertical="center" shrinkToFit="1"/>
    </xf>
    <xf numFmtId="188" fontId="29" fillId="0" borderId="101" xfId="46" applyNumberFormat="1" applyFont="1" applyBorder="1" applyAlignment="1">
      <alignment horizontal="center" vertical="center" shrinkToFit="1"/>
    </xf>
    <xf numFmtId="188" fontId="29" fillId="0" borderId="166" xfId="46" applyNumberFormat="1" applyFont="1" applyBorder="1" applyAlignment="1">
      <alignment horizontal="center" vertical="center" shrinkToFit="1"/>
    </xf>
    <xf numFmtId="188" fontId="29" fillId="0" borderId="102" xfId="46" applyNumberFormat="1" applyFont="1" applyBorder="1" applyAlignment="1">
      <alignment horizontal="center" vertical="center" shrinkToFit="1"/>
    </xf>
    <xf numFmtId="0" fontId="5" fillId="2" borderId="10" xfId="46" applyFont="1" applyFill="1" applyBorder="1" applyAlignment="1">
      <alignment horizontal="center" vertical="center" shrinkToFit="1"/>
    </xf>
    <xf numFmtId="0" fontId="5" fillId="2" borderId="85" xfId="46" applyFont="1" applyFill="1" applyBorder="1" applyAlignment="1">
      <alignment horizontal="center" vertical="center" shrinkToFit="1"/>
    </xf>
    <xf numFmtId="0" fontId="29" fillId="0" borderId="15" xfId="46" applyFont="1" applyBorder="1" applyAlignment="1">
      <alignment horizontal="center" vertical="center" shrinkToFit="1"/>
    </xf>
    <xf numFmtId="0" fontId="29" fillId="0" borderId="94" xfId="46" applyFont="1" applyBorder="1" applyAlignment="1">
      <alignment horizontal="center" vertical="center" shrinkToFit="1"/>
    </xf>
    <xf numFmtId="0" fontId="25" fillId="0" borderId="84" xfId="46" applyFont="1" applyBorder="1" applyAlignment="1">
      <alignment horizontal="right" vertical="center"/>
    </xf>
    <xf numFmtId="0" fontId="5" fillId="2" borderId="17" xfId="46" applyFont="1" applyFill="1" applyBorder="1" applyAlignment="1">
      <alignment horizontal="center" vertical="center"/>
    </xf>
    <xf numFmtId="0" fontId="29" fillId="0" borderId="105" xfId="46" applyFont="1" applyBorder="1" applyAlignment="1">
      <alignment horizontal="center" vertical="center"/>
    </xf>
    <xf numFmtId="0" fontId="29" fillId="0" borderId="129" xfId="46" applyFont="1" applyBorder="1" applyAlignment="1">
      <alignment horizontal="center" vertical="center"/>
    </xf>
    <xf numFmtId="0" fontId="29" fillId="0" borderId="5" xfId="46" applyFont="1" applyBorder="1" applyAlignment="1">
      <alignment horizontal="center" vertical="center" shrinkToFit="1"/>
    </xf>
    <xf numFmtId="0" fontId="29" fillId="0" borderId="35" xfId="46" applyFont="1" applyBorder="1" applyAlignment="1">
      <alignment horizontal="center" vertical="center" shrinkToFit="1"/>
    </xf>
    <xf numFmtId="0" fontId="29" fillId="0" borderId="105" xfId="46" applyFont="1" applyBorder="1" applyAlignment="1">
      <alignment horizontal="center" vertical="center" shrinkToFit="1"/>
    </xf>
    <xf numFmtId="0" fontId="29" fillId="0" borderId="129" xfId="46" applyFont="1" applyBorder="1" applyAlignment="1">
      <alignment horizontal="center" vertical="center" shrinkToFit="1"/>
    </xf>
    <xf numFmtId="0" fontId="5" fillId="2" borderId="104" xfId="46" applyFont="1" applyFill="1" applyBorder="1" applyAlignment="1">
      <alignment horizontal="center" vertical="center"/>
    </xf>
    <xf numFmtId="0" fontId="5" fillId="2" borderId="87" xfId="46" applyFont="1" applyFill="1" applyBorder="1" applyAlignment="1">
      <alignment horizontal="center" vertical="center"/>
    </xf>
    <xf numFmtId="0" fontId="12" fillId="0" borderId="1" xfId="46" applyFont="1" applyBorder="1" applyAlignment="1">
      <alignment horizontal="center" vertical="center" wrapText="1" shrinkToFit="1"/>
    </xf>
    <xf numFmtId="0" fontId="12" fillId="0" borderId="5" xfId="46" applyFont="1" applyBorder="1" applyAlignment="1">
      <alignment horizontal="center" vertical="center" wrapText="1" shrinkToFit="1"/>
    </xf>
    <xf numFmtId="0" fontId="5" fillId="2" borderId="122" xfId="46" applyFont="1" applyFill="1" applyBorder="1" applyAlignment="1">
      <alignment horizontal="center" vertical="center"/>
    </xf>
    <xf numFmtId="0" fontId="5" fillId="2" borderId="85" xfId="46" applyFont="1" applyFill="1" applyBorder="1" applyAlignment="1">
      <alignment horizontal="center" vertical="center"/>
    </xf>
    <xf numFmtId="0" fontId="5" fillId="2" borderId="10" xfId="46" applyFont="1" applyFill="1" applyBorder="1" applyAlignment="1">
      <alignment horizontal="center" vertical="center"/>
    </xf>
    <xf numFmtId="0" fontId="29" fillId="0" borderId="38" xfId="46" applyFont="1" applyBorder="1" applyAlignment="1">
      <alignment horizontal="center" vertical="center" shrinkToFit="1"/>
    </xf>
    <xf numFmtId="0" fontId="29" fillId="0" borderId="103" xfId="46" applyFont="1" applyBorder="1" applyAlignment="1">
      <alignment horizontal="center" vertical="center" shrinkToFit="1"/>
    </xf>
    <xf numFmtId="176" fontId="0" fillId="0" borderId="0" xfId="0" applyNumberFormat="1" applyAlignment="1">
      <alignment horizontal="left" vertical="center"/>
    </xf>
    <xf numFmtId="0" fontId="0" fillId="17" borderId="20" xfId="0" applyFill="1" applyBorder="1" applyAlignment="1">
      <alignment horizontal="center" vertical="center" wrapText="1"/>
    </xf>
    <xf numFmtId="0" fontId="0" fillId="17" borderId="2" xfId="0" applyFill="1" applyBorder="1" applyAlignment="1">
      <alignment horizontal="center" vertical="center" wrapText="1"/>
    </xf>
    <xf numFmtId="0" fontId="0" fillId="17" borderId="99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99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9" xfId="0" applyBorder="1" applyAlignment="1">
      <alignment horizontal="center" vertical="center"/>
    </xf>
    <xf numFmtId="0" fontId="0" fillId="3" borderId="40" xfId="0" applyFill="1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4" fillId="0" borderId="130" xfId="45" applyFont="1" applyBorder="1" applyAlignment="1">
      <alignment horizontal="center" vertical="center" wrapText="1"/>
    </xf>
    <xf numFmtId="0" fontId="4" fillId="0" borderId="122" xfId="45" applyFont="1" applyBorder="1" applyAlignment="1">
      <alignment horizontal="center" vertical="center" wrapText="1"/>
    </xf>
    <xf numFmtId="0" fontId="4" fillId="0" borderId="131" xfId="45" applyFont="1" applyBorder="1" applyAlignment="1">
      <alignment horizontal="center" vertical="center" wrapText="1"/>
    </xf>
    <xf numFmtId="0" fontId="4" fillId="0" borderId="98" xfId="45" applyFont="1" applyBorder="1" applyAlignment="1">
      <alignment horizontal="center" vertical="center" wrapText="1"/>
    </xf>
    <xf numFmtId="0" fontId="4" fillId="0" borderId="92" xfId="45" applyFont="1" applyBorder="1" applyAlignment="1">
      <alignment horizontal="center" vertical="center" wrapText="1"/>
    </xf>
    <xf numFmtId="0" fontId="4" fillId="0" borderId="120" xfId="45" applyFont="1" applyBorder="1" applyAlignment="1">
      <alignment horizontal="center" vertical="center" wrapText="1"/>
    </xf>
    <xf numFmtId="0" fontId="4" fillId="0" borderId="118" xfId="45" applyFont="1" applyBorder="1" applyAlignment="1">
      <alignment horizontal="center" vertical="center" wrapText="1"/>
    </xf>
  </cellXfs>
  <cellStyles count="51">
    <cellStyle name="_【関西】商品マスタメンテナンス登録申請書_ｖ2.5" xfId="2" xr:uid="{00000000-0005-0000-0000-000000000000}"/>
    <cellStyle name="_【関西】商品マスタメンテナンス登録申請書_ｖ2.5_【酒】商品マスタメンテナンス登録申請書_ｖ3.0" xfId="3" xr:uid="{00000000-0005-0000-0000-000001000000}"/>
    <cellStyle name="_【関西】商品マスタメンテナンス登録申請書_ｖ2.5_202006商品案内変更3" xfId="4" xr:uid="{00000000-0005-0000-0000-000002000000}"/>
    <cellStyle name="_【関西】商品マスタメンテナンス登録申請書_ｖ2.5_348008-348009_200602金子⑧ﾋﾞｰﾙ･RTD（99.99ｻｲﾀﾞｰ、ｻｯﾎﾟｯﾗｶﾞｰ）" xfId="5" xr:uid="{00000000-0005-0000-0000-000003000000}"/>
    <cellStyle name="_【新シス】価格変更（即時）登録申請書_ｖ2.0" xfId="6" xr:uid="{00000000-0005-0000-0000-000004000000}"/>
    <cellStyle name="_【新シス】価格変更（即時）登録申請書_ｖ2.0_【酒】商品マスタメンテナンス登録申請書_ｖ3.0" xfId="7" xr:uid="{00000000-0005-0000-0000-000005000000}"/>
    <cellStyle name="_【新シス】価格変更（即時）登録申請書_ｖ2.0_202006商品案内変更3" xfId="8" xr:uid="{00000000-0005-0000-0000-000006000000}"/>
    <cellStyle name="_【新シス】価格変更（即時）登録申請書_ｖ2.0_348008-348009_200602金子⑧ﾋﾞｰﾙ･RTD（99.99ｻｲﾀﾞｰ、ｻｯﾎﾟｯﾗｶﾞｰ）" xfId="9" xr:uid="{00000000-0005-0000-0000-000007000000}"/>
    <cellStyle name="_マスタ申請マニュアル" xfId="10" xr:uid="{00000000-0005-0000-0000-000008000000}"/>
    <cellStyle name="_マスタ申請マニュアル_【酒】商品マスタメンテナンス登録申請書_ｖ3.0" xfId="11" xr:uid="{00000000-0005-0000-0000-000009000000}"/>
    <cellStyle name="_マスタ申請マニュアル_202006商品案内変更3" xfId="12" xr:uid="{00000000-0005-0000-0000-00000A000000}"/>
    <cellStyle name="_マスタ申請マニュアル_348008-348009_200602金子⑧ﾋﾞｰﾙ･RTD（99.99ｻｲﾀﾞｰ、ｻｯﾎﾟｯﾗｶﾞｰ）" xfId="13" xr:uid="{00000000-0005-0000-0000-00000B000000}"/>
    <cellStyle name="_改定中＿商品マスタメンテナンス登録申請書_20160325_ｖ1.2" xfId="14" xr:uid="{00000000-0005-0000-0000-00000C000000}"/>
    <cellStyle name="_改定中＿商品マスタメンテナンス登録申請書_20160325_ｖ1.2_【関西】商品マスタメンテナンス登録申請書_ｖ2.5" xfId="15" xr:uid="{00000000-0005-0000-0000-00000D000000}"/>
    <cellStyle name="_改定中＿商品マスタメンテナンス登録申請書_20160325_ｖ1.2_【関西】商品マスタメンテナンス登録申請書_ｖ2.5_【酒】商品マスタメンテナンス登録申請書_ｖ3.0" xfId="16" xr:uid="{00000000-0005-0000-0000-00000E000000}"/>
    <cellStyle name="_改定中＿商品マスタメンテナンス登録申請書_20160325_ｖ1.2_【関西】商品マスタメンテナンス登録申請書_ｖ2.5_202006商品案内変更3" xfId="17" xr:uid="{00000000-0005-0000-0000-00000F000000}"/>
    <cellStyle name="_改定中＿商品マスタメンテナンス登録申請書_20160325_ｖ1.2_【関西】商品マスタメンテナンス登録申請書_ｖ2.5_348008-348009_200602金子⑧ﾋﾞｰﾙ･RTD（99.99ｻｲﾀﾞｰ、ｻｯﾎﾟｯﾗｶﾞｰ）" xfId="18" xr:uid="{00000000-0005-0000-0000-000010000000}"/>
    <cellStyle name="_改定中＿商品マスタメンテナンス登録申請書_20160325_ｖ1.2_【新シス】価格変更（即時）登録申請書_ｖ2.0" xfId="19" xr:uid="{00000000-0005-0000-0000-000011000000}"/>
    <cellStyle name="_改定中＿商品マスタメンテナンス登録申請書_20160325_ｖ1.2_【新シス】価格変更（即時）登録申請書_ｖ2.0_【酒】商品マスタメンテナンス登録申請書_ｖ3.0" xfId="20" xr:uid="{00000000-0005-0000-0000-000012000000}"/>
    <cellStyle name="_改定中＿商品マスタメンテナンス登録申請書_20160325_ｖ1.2_【新シス】価格変更（即時）登録申請書_ｖ2.0_202006商品案内変更3" xfId="21" xr:uid="{00000000-0005-0000-0000-000013000000}"/>
    <cellStyle name="_改定中＿商品マスタメンテナンス登録申請書_20160325_ｖ1.2_【新シス】価格変更（即時）登録申請書_ｖ2.0_348008-348009_200602金子⑧ﾋﾞｰﾙ･RTD（99.99ｻｲﾀﾞｰ、ｻｯﾎﾟｯﾗｶﾞｰ）" xfId="22" xr:uid="{00000000-0005-0000-0000-000014000000}"/>
    <cellStyle name="_改定中＿商品マスタメンテナンス登録申請書_20160325_ｖ1.2_マスタ申請マニュアル" xfId="23" xr:uid="{00000000-0005-0000-0000-000015000000}"/>
    <cellStyle name="_改定中＿商品マスタメンテナンス登録申請書_20160325_ｖ1.2_マスタ申請マニュアル_【酒】商品マスタメンテナンス登録申請書_ｖ3.0" xfId="24" xr:uid="{00000000-0005-0000-0000-000016000000}"/>
    <cellStyle name="_改定中＿商品マスタメンテナンス登録申請書_20160325_ｖ1.2_マスタ申請マニュアル_202006商品案内変更3" xfId="25" xr:uid="{00000000-0005-0000-0000-000017000000}"/>
    <cellStyle name="_改定中＿商品マスタメンテナンス登録申請書_20160325_ｖ1.2_マスタ申請マニュアル_348008-348009_200602金子⑧ﾋﾞｰﾙ･RTD（99.99ｻｲﾀﾞｰ、ｻｯﾎﾟｯﾗｶﾞｰ）" xfId="26" xr:uid="{00000000-0005-0000-0000-000018000000}"/>
    <cellStyle name="_改定中＿商品マスタメンテナンス登録申請書_20160325_ｖ1.2_商品マスタメンテナンス登録申請書_ｖ2.2" xfId="27" xr:uid="{00000000-0005-0000-0000-000019000000}"/>
    <cellStyle name="_改定中＿商品マスタメンテナンス登録申請書_20160325_ｖ1.2_商品マスタメンテナンス登録申請書_ｖ2.2_【酒】商品マスタメンテナンス登録申請書_ｖ3.0" xfId="28" xr:uid="{00000000-0005-0000-0000-00001A000000}"/>
    <cellStyle name="_改定中＿商品マスタメンテナンス登録申請書_20160325_ｖ1.2_商品マスタメンテナンス登録申請書_ｖ2.2_202006商品案内変更3" xfId="29" xr:uid="{00000000-0005-0000-0000-00001B000000}"/>
    <cellStyle name="_改定中＿商品マスタメンテナンス登録申請書_20160325_ｖ1.2_商品マスタメンテナンス登録申請書_ｖ2.2_348008-348009_200602金子⑧ﾋﾞｰﾙ･RTD（99.99ｻｲﾀﾞｰ、ｻｯﾎﾟｯﾗｶﾞｰ）" xfId="30" xr:uid="{00000000-0005-0000-0000-00001C000000}"/>
    <cellStyle name="_改訂中_商品マスタメンテナンス登録申請書_20160325_ｖ1.2" xfId="31" xr:uid="{00000000-0005-0000-0000-00001D000000}"/>
    <cellStyle name="_改訂中_商品マスタメンテナンス登録申請書_20160325_ｖ1.2_【酒】商品マスタメンテナンス登録申請書_ｖ3.0" xfId="32" xr:uid="{00000000-0005-0000-0000-00001E000000}"/>
    <cellStyle name="_改訂中_商品マスタメンテナンス登録申請書_20160325_ｖ1.2_202006商品案内変更3" xfId="33" xr:uid="{00000000-0005-0000-0000-00001F000000}"/>
    <cellStyle name="_改訂中_商品マスタメンテナンス登録申請書_20160325_ｖ1.2_348008-348009_200602金子⑧ﾋﾞｰﾙ･RTD（99.99ｻｲﾀﾞｰ、ｻｯﾎﾟｯﾗｶﾞｰ）" xfId="34" xr:uid="{00000000-0005-0000-0000-000020000000}"/>
    <cellStyle name="_商品マスタメンテナンス登録申請書_ｖ2.2" xfId="35" xr:uid="{00000000-0005-0000-0000-000021000000}"/>
    <cellStyle name="_商品マスタメンテナンス登録申請書_ｖ2.2_【酒】商品マスタメンテナンス登録申請書_ｖ3.0" xfId="36" xr:uid="{00000000-0005-0000-0000-000022000000}"/>
    <cellStyle name="_商品マスタメンテナンス登録申請書_ｖ2.2_202006商品案内変更3" xfId="37" xr:uid="{00000000-0005-0000-0000-000023000000}"/>
    <cellStyle name="_商品マスタメンテナンス登録申請書_ｖ2.2_348008-348009_200602金子⑧ﾋﾞｰﾙ･RTD（99.99ｻｲﾀﾞｰ、ｻｯﾎﾟｯﾗｶﾞｰ）" xfId="38" xr:uid="{00000000-0005-0000-0000-000024000000}"/>
    <cellStyle name="スタイル 1" xfId="1" xr:uid="{00000000-0005-0000-0000-000025000000}"/>
    <cellStyle name="パーセント" xfId="39" builtinId="5"/>
    <cellStyle name="パーセント 2 2" xfId="40" xr:uid="{00000000-0005-0000-0000-000027000000}"/>
    <cellStyle name="ハイパーリンク 2" xfId="41" xr:uid="{00000000-0005-0000-0000-000028000000}"/>
    <cellStyle name="桁区切り" xfId="42" builtinId="6"/>
    <cellStyle name="桁区切り 2" xfId="43" xr:uid="{00000000-0005-0000-0000-00002A000000}"/>
    <cellStyle name="桁区切り 3" xfId="50" xr:uid="{00000000-0005-0000-0000-00002B000000}"/>
    <cellStyle name="標準" xfId="0" builtinId="0"/>
    <cellStyle name="標準 2" xfId="49" xr:uid="{00000000-0005-0000-0000-00002D000000}"/>
    <cellStyle name="標準 2 2" xfId="44" xr:uid="{00000000-0005-0000-0000-00002E000000}"/>
    <cellStyle name="標準_★浅野井さんへ＿商品マスタメンテナンス登録申請書_20160422" xfId="45" xr:uid="{00000000-0005-0000-0000-00002F000000}"/>
    <cellStyle name="標準_120814ＭＭ新商品案内【フォーム】 2" xfId="46" xr:uid="{00000000-0005-0000-0000-000030000000}"/>
    <cellStyle name="標準_改定中＿商品マスタメンテナンス登録申請書_20160325_ｖ1.2" xfId="47" xr:uid="{00000000-0005-0000-0000-000031000000}"/>
    <cellStyle name="標準_改定中＿商品マスタメンテナンス登録申請書_20160325_ｖ1.2_【酒】商品マスタ登録申請書_ｖ1.0 ﾜｲﾝ" xfId="48" xr:uid="{00000000-0005-0000-0000-000032000000}"/>
  </cellStyles>
  <dxfs count="86"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indexed="13"/>
        </patternFill>
      </fill>
    </dxf>
    <dxf>
      <font>
        <condense val="0"/>
        <extend val="0"/>
        <color indexed="41"/>
      </font>
    </dxf>
    <dxf>
      <fill>
        <patternFill>
          <bgColor rgb="FFFFFF00"/>
        </patternFill>
      </fill>
    </dxf>
    <dxf>
      <fill>
        <patternFill>
          <bgColor indexed="13"/>
        </patternFill>
      </fill>
    </dxf>
    <dxf>
      <fill>
        <patternFill>
          <bgColor rgb="FFFFFF00"/>
        </patternFill>
      </fill>
    </dxf>
    <dxf>
      <fill>
        <patternFill>
          <bgColor indexed="13"/>
        </patternFill>
      </fill>
    </dxf>
    <dxf>
      <fill>
        <patternFill>
          <bgColor rgb="FFFFFF00"/>
        </patternFill>
      </fill>
    </dxf>
    <dxf>
      <fill>
        <patternFill>
          <bgColor indexed="13"/>
        </patternFill>
      </fill>
    </dxf>
    <dxf>
      <fill>
        <patternFill>
          <bgColor rgb="FFFFFF00"/>
        </patternFill>
      </fill>
    </dxf>
    <dxf>
      <fill>
        <patternFill>
          <bgColor indexed="13"/>
        </patternFill>
      </fill>
    </dxf>
    <dxf>
      <fill>
        <patternFill>
          <bgColor rgb="FFFFFF0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rgb="FFFFFF0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rgb="FFFFFF00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</dxfs>
  <tableStyles count="0" defaultTableStyle="TableStyleMedium2" defaultPivotStyle="PivotStyleLight16"/>
  <colors>
    <mruColors>
      <color rgb="FF900C3F"/>
      <color rgb="FFDAF7A6"/>
      <color rgb="FFFFC300"/>
      <color rgb="FFFF5733"/>
      <color rgb="FFBEB9A6"/>
      <color rgb="FFF77300"/>
      <color rgb="FFBF9B30"/>
      <color rgb="FFFFD447"/>
      <color rgb="FFFFE878"/>
      <color rgb="FFFFB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1280160</xdr:colOff>
          <xdr:row>1</xdr:row>
          <xdr:rowOff>220980</xdr:rowOff>
        </xdr:from>
        <xdr:to>
          <xdr:col>4</xdr:col>
          <xdr:colOff>160020</xdr:colOff>
          <xdr:row>3</xdr:row>
          <xdr:rowOff>7620</xdr:rowOff>
        </xdr:to>
        <xdr:sp macro="" textlink="">
          <xdr:nvSpPr>
            <xdr:cNvPr id="11356" name="Check Box 92" hidden="1">
              <a:extLst>
                <a:ext uri="{63B3BB69-23CF-44E3-9099-C40C66FF867C}">
                  <a14:compatExt spid="_x0000_s11356"/>
                </a:ext>
                <a:ext uri="{FF2B5EF4-FFF2-40B4-BE49-F238E27FC236}">
                  <a16:creationId xmlns:a16="http://schemas.microsoft.com/office/drawing/2014/main" id="{00000000-0008-0000-0000-00005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1280160</xdr:colOff>
          <xdr:row>2</xdr:row>
          <xdr:rowOff>220980</xdr:rowOff>
        </xdr:from>
        <xdr:to>
          <xdr:col>4</xdr:col>
          <xdr:colOff>160020</xdr:colOff>
          <xdr:row>4</xdr:row>
          <xdr:rowOff>0</xdr:rowOff>
        </xdr:to>
        <xdr:sp macro="" textlink="">
          <xdr:nvSpPr>
            <xdr:cNvPr id="11357" name="Check Box 93" hidden="1">
              <a:extLst>
                <a:ext uri="{63B3BB69-23CF-44E3-9099-C40C66FF867C}">
                  <a14:compatExt spid="_x0000_s11357"/>
                </a:ext>
                <a:ext uri="{FF2B5EF4-FFF2-40B4-BE49-F238E27FC236}">
                  <a16:creationId xmlns:a16="http://schemas.microsoft.com/office/drawing/2014/main" id="{00000000-0008-0000-0000-00005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1280160</xdr:colOff>
          <xdr:row>1</xdr:row>
          <xdr:rowOff>220980</xdr:rowOff>
        </xdr:from>
        <xdr:to>
          <xdr:col>6</xdr:col>
          <xdr:colOff>160020</xdr:colOff>
          <xdr:row>3</xdr:row>
          <xdr:rowOff>7620</xdr:rowOff>
        </xdr:to>
        <xdr:sp macro="" textlink="">
          <xdr:nvSpPr>
            <xdr:cNvPr id="11358" name="Check Box 94" hidden="1">
              <a:extLst>
                <a:ext uri="{63B3BB69-23CF-44E3-9099-C40C66FF867C}">
                  <a14:compatExt spid="_x0000_s11358"/>
                </a:ext>
                <a:ext uri="{FF2B5EF4-FFF2-40B4-BE49-F238E27FC236}">
                  <a16:creationId xmlns:a16="http://schemas.microsoft.com/office/drawing/2014/main" id="{00000000-0008-0000-0000-00005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1280160</xdr:colOff>
          <xdr:row>2</xdr:row>
          <xdr:rowOff>220980</xdr:rowOff>
        </xdr:from>
        <xdr:to>
          <xdr:col>6</xdr:col>
          <xdr:colOff>160020</xdr:colOff>
          <xdr:row>4</xdr:row>
          <xdr:rowOff>0</xdr:rowOff>
        </xdr:to>
        <xdr:sp macro="" textlink="">
          <xdr:nvSpPr>
            <xdr:cNvPr id="11359" name="Check Box 95" hidden="1">
              <a:extLst>
                <a:ext uri="{63B3BB69-23CF-44E3-9099-C40C66FF867C}">
                  <a14:compatExt spid="_x0000_s11359"/>
                </a:ext>
                <a:ext uri="{FF2B5EF4-FFF2-40B4-BE49-F238E27FC236}">
                  <a16:creationId xmlns:a16="http://schemas.microsoft.com/office/drawing/2014/main" id="{00000000-0008-0000-0000-00005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1280160</xdr:colOff>
          <xdr:row>1</xdr:row>
          <xdr:rowOff>220980</xdr:rowOff>
        </xdr:from>
        <xdr:to>
          <xdr:col>8</xdr:col>
          <xdr:colOff>160020</xdr:colOff>
          <xdr:row>3</xdr:row>
          <xdr:rowOff>7620</xdr:rowOff>
        </xdr:to>
        <xdr:sp macro="" textlink="">
          <xdr:nvSpPr>
            <xdr:cNvPr id="11360" name="Check Box 96" hidden="1">
              <a:extLst>
                <a:ext uri="{63B3BB69-23CF-44E3-9099-C40C66FF867C}">
                  <a14:compatExt spid="_x0000_s11360"/>
                </a:ext>
                <a:ext uri="{FF2B5EF4-FFF2-40B4-BE49-F238E27FC236}">
                  <a16:creationId xmlns:a16="http://schemas.microsoft.com/office/drawing/2014/main" id="{00000000-0008-0000-0000-00006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1280160</xdr:colOff>
          <xdr:row>2</xdr:row>
          <xdr:rowOff>213360</xdr:rowOff>
        </xdr:from>
        <xdr:to>
          <xdr:col>8</xdr:col>
          <xdr:colOff>160020</xdr:colOff>
          <xdr:row>3</xdr:row>
          <xdr:rowOff>220980</xdr:rowOff>
        </xdr:to>
        <xdr:sp macro="" textlink="">
          <xdr:nvSpPr>
            <xdr:cNvPr id="11361" name="Check Box 97" hidden="1">
              <a:extLst>
                <a:ext uri="{63B3BB69-23CF-44E3-9099-C40C66FF867C}">
                  <a14:compatExt spid="_x0000_s11361"/>
                </a:ext>
                <a:ext uri="{FF2B5EF4-FFF2-40B4-BE49-F238E27FC236}">
                  <a16:creationId xmlns:a16="http://schemas.microsoft.com/office/drawing/2014/main" id="{00000000-0008-0000-0000-00006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1287780</xdr:colOff>
          <xdr:row>1</xdr:row>
          <xdr:rowOff>220980</xdr:rowOff>
        </xdr:from>
        <xdr:to>
          <xdr:col>11</xdr:col>
          <xdr:colOff>0</xdr:colOff>
          <xdr:row>3</xdr:row>
          <xdr:rowOff>7620</xdr:rowOff>
        </xdr:to>
        <xdr:sp macro="" textlink="">
          <xdr:nvSpPr>
            <xdr:cNvPr id="11366" name="Check Box 102" hidden="1">
              <a:extLst>
                <a:ext uri="{63B3BB69-23CF-44E3-9099-C40C66FF867C}">
                  <a14:compatExt spid="_x0000_s11366"/>
                </a:ext>
                <a:ext uri="{FF2B5EF4-FFF2-40B4-BE49-F238E27FC236}">
                  <a16:creationId xmlns:a16="http://schemas.microsoft.com/office/drawing/2014/main" id="{00000000-0008-0000-0000-00006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1287780</xdr:colOff>
          <xdr:row>2</xdr:row>
          <xdr:rowOff>213360</xdr:rowOff>
        </xdr:from>
        <xdr:to>
          <xdr:col>11</xdr:col>
          <xdr:colOff>0</xdr:colOff>
          <xdr:row>3</xdr:row>
          <xdr:rowOff>220980</xdr:rowOff>
        </xdr:to>
        <xdr:sp macro="" textlink="">
          <xdr:nvSpPr>
            <xdr:cNvPr id="11367" name="Check Box 103" hidden="1">
              <a:extLst>
                <a:ext uri="{63B3BB69-23CF-44E3-9099-C40C66FF867C}">
                  <a14:compatExt spid="_x0000_s11367"/>
                </a:ext>
                <a:ext uri="{FF2B5EF4-FFF2-40B4-BE49-F238E27FC236}">
                  <a16:creationId xmlns:a16="http://schemas.microsoft.com/office/drawing/2014/main" id="{00000000-0008-0000-0000-00006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68035</xdr:colOff>
      <xdr:row>2</xdr:row>
      <xdr:rowOff>27212</xdr:rowOff>
    </xdr:from>
    <xdr:to>
      <xdr:col>14</xdr:col>
      <xdr:colOff>872196</xdr:colOff>
      <xdr:row>4</xdr:row>
      <xdr:rowOff>109390</xdr:rowOff>
    </xdr:to>
    <xdr:sp macro="[0]!入力データ登録" textlink="">
      <xdr:nvSpPr>
        <xdr:cNvPr id="2" name="フローチャート: 代替処理 1">
          <a:extLst>
            <a:ext uri="{FF2B5EF4-FFF2-40B4-BE49-F238E27FC236}">
              <a16:creationId xmlns:a16="http://schemas.microsoft.com/office/drawing/2014/main" id="{5BFEC129-952C-EA9E-615C-9A0690FDCCF0}"/>
            </a:ext>
          </a:extLst>
        </xdr:cNvPr>
        <xdr:cNvSpPr/>
      </xdr:nvSpPr>
      <xdr:spPr bwMode="auto">
        <a:xfrm>
          <a:off x="8164285" y="544283"/>
          <a:ext cx="1260000" cy="504000"/>
        </a:xfrm>
        <a:prstGeom prst="flowChartAlternateProcess">
          <a:avLst/>
        </a:prstGeom>
        <a:solidFill>
          <a:srgbClr val="FF5733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r="4500000" sx="97000" sy="97000" algn="ctr" rotWithShape="0">
            <a:schemeClr val="tx1">
              <a:lumMod val="65000"/>
              <a:lumOff val="35000"/>
            </a:schemeClr>
          </a:outerShdw>
        </a:effectLst>
        <a:scene3d>
          <a:camera prst="orthographicFront"/>
          <a:lightRig rig="threePt" dir="t"/>
        </a:scene3d>
        <a:sp3d prstMaterial="flat">
          <a:bevelT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1100" b="1" kern="12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申請書データ登録</a:t>
          </a:r>
        </a:p>
      </xdr:txBody>
    </xdr:sp>
    <xdr:clientData/>
  </xdr:twoCellAnchor>
  <xdr:twoCellAnchor>
    <xdr:from>
      <xdr:col>13</xdr:col>
      <xdr:colOff>68035</xdr:colOff>
      <xdr:row>5</xdr:row>
      <xdr:rowOff>261935</xdr:rowOff>
    </xdr:from>
    <xdr:to>
      <xdr:col>14</xdr:col>
      <xdr:colOff>872196</xdr:colOff>
      <xdr:row>8</xdr:row>
      <xdr:rowOff>37953</xdr:rowOff>
    </xdr:to>
    <xdr:sp macro="[0]!登録データCSV出力" textlink="">
      <xdr:nvSpPr>
        <xdr:cNvPr id="5" name="フローチャート: 代替処理 4">
          <a:extLst>
            <a:ext uri="{FF2B5EF4-FFF2-40B4-BE49-F238E27FC236}">
              <a16:creationId xmlns:a16="http://schemas.microsoft.com/office/drawing/2014/main" id="{0BF4B8D7-4457-4447-99BE-FCC46C529F51}"/>
            </a:ext>
          </a:extLst>
        </xdr:cNvPr>
        <xdr:cNvSpPr/>
      </xdr:nvSpPr>
      <xdr:spPr bwMode="auto">
        <a:xfrm>
          <a:off x="8164285" y="1411739"/>
          <a:ext cx="1260000" cy="504000"/>
        </a:xfrm>
        <a:prstGeom prst="flowChartAlternateProcess">
          <a:avLst/>
        </a:prstGeom>
        <a:solidFill>
          <a:srgbClr val="FFC3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r="4500000" algn="ctr" rotWithShape="0">
            <a:schemeClr val="tx1">
              <a:lumMod val="65000"/>
              <a:lumOff val="35000"/>
            </a:schemeClr>
          </a:outerShdw>
        </a:effectLst>
        <a:scene3d>
          <a:camera prst="orthographicFront"/>
          <a:lightRig rig="threePt" dir="t"/>
        </a:scene3d>
        <a:sp3d prstMaterial="flat">
          <a:bevelT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1100" b="1" kern="12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登録データ</a:t>
          </a:r>
          <a:endParaRPr kumimoji="1" lang="en-US" altLang="ja-JP" sz="1100" b="1" kern="1200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en-US" altLang="ja-JP" sz="1100" b="1" kern="12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CSV</a:t>
          </a:r>
          <a:r>
            <a:rPr kumimoji="1" lang="ja-JP" altLang="en-US" sz="1100" b="1" kern="12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出力</a:t>
          </a:r>
        </a:p>
      </xdr:txBody>
    </xdr:sp>
    <xdr:clientData/>
  </xdr:twoCellAnchor>
  <xdr:twoCellAnchor>
    <xdr:from>
      <xdr:col>13</xdr:col>
      <xdr:colOff>68035</xdr:colOff>
      <xdr:row>9</xdr:row>
      <xdr:rowOff>95249</xdr:rowOff>
    </xdr:from>
    <xdr:to>
      <xdr:col>14</xdr:col>
      <xdr:colOff>872196</xdr:colOff>
      <xdr:row>11</xdr:row>
      <xdr:rowOff>184231</xdr:rowOff>
    </xdr:to>
    <xdr:sp macro="[0]!データクリア" textlink="">
      <xdr:nvSpPr>
        <xdr:cNvPr id="6" name="フローチャート: 代替処理 5">
          <a:extLst>
            <a:ext uri="{FF2B5EF4-FFF2-40B4-BE49-F238E27FC236}">
              <a16:creationId xmlns:a16="http://schemas.microsoft.com/office/drawing/2014/main" id="{7F4BDD84-93C2-4686-9ADC-9EC780321CB6}"/>
            </a:ext>
          </a:extLst>
        </xdr:cNvPr>
        <xdr:cNvSpPr/>
      </xdr:nvSpPr>
      <xdr:spPr bwMode="auto">
        <a:xfrm>
          <a:off x="8164285" y="2279195"/>
          <a:ext cx="1260000" cy="504000"/>
        </a:xfrm>
        <a:prstGeom prst="flowChartAlternateProcess">
          <a:avLst/>
        </a:prstGeom>
        <a:solidFill>
          <a:srgbClr val="DAF7A6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r="4500000" algn="ctr" rotWithShape="0">
            <a:schemeClr val="tx1">
              <a:lumMod val="65000"/>
              <a:lumOff val="35000"/>
            </a:schemeClr>
          </a:outerShdw>
        </a:effectLst>
        <a:scene3d>
          <a:camera prst="orthographicFront"/>
          <a:lightRig rig="threePt" dir="t"/>
        </a:scene3d>
        <a:sp3d prstMaterial="flat">
          <a:bevelT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1100" b="1" kern="1200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登録データクリア</a:t>
          </a:r>
        </a:p>
      </xdr:txBody>
    </xdr:sp>
    <xdr:clientData/>
  </xdr:twoCellAnchor>
  <xdr:twoCellAnchor>
    <xdr:from>
      <xdr:col>14</xdr:col>
      <xdr:colOff>21704</xdr:colOff>
      <xdr:row>16</xdr:row>
      <xdr:rowOff>408215</xdr:rowOff>
    </xdr:from>
    <xdr:to>
      <xdr:col>14</xdr:col>
      <xdr:colOff>867456</xdr:colOff>
      <xdr:row>17</xdr:row>
      <xdr:rowOff>445150</xdr:rowOff>
    </xdr:to>
    <xdr:sp macro="[0]!CopyPasteValues" textlink="">
      <xdr:nvSpPr>
        <xdr:cNvPr id="3" name="フローチャート: 代替処理 2">
          <a:extLst>
            <a:ext uri="{FF2B5EF4-FFF2-40B4-BE49-F238E27FC236}">
              <a16:creationId xmlns:a16="http://schemas.microsoft.com/office/drawing/2014/main" id="{4C20444E-298D-4A67-85EE-19FDD01DDE7A}"/>
            </a:ext>
          </a:extLst>
        </xdr:cNvPr>
        <xdr:cNvSpPr/>
      </xdr:nvSpPr>
      <xdr:spPr bwMode="auto">
        <a:xfrm>
          <a:off x="8602708" y="4022612"/>
          <a:ext cx="845752" cy="479167"/>
        </a:xfrm>
        <a:prstGeom prst="flowChartAlternateProcess">
          <a:avLst/>
        </a:prstGeom>
        <a:solidFill>
          <a:srgbClr val="900C3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r="4500000" algn="ctr" rotWithShape="0">
            <a:schemeClr val="tx1">
              <a:lumMod val="65000"/>
              <a:lumOff val="35000"/>
            </a:schemeClr>
          </a:outerShdw>
        </a:effectLst>
        <a:scene3d>
          <a:camera prst="orthographicFront"/>
          <a:lightRig rig="threePt" dir="t"/>
        </a:scene3d>
        <a:sp3d prstMaterial="flat">
          <a:bevelT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1100" b="1" kern="1200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データ</a:t>
          </a:r>
          <a:endParaRPr kumimoji="1" lang="en-US" altLang="ja-JP" sz="1100" b="1" kern="1200">
            <a:solidFill>
              <a:sysClr val="windowText" lastClr="000000"/>
            </a:solidFill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1100" b="1" kern="1200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ペースト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18433" name="Picture 1">
          <a:extLst>
            <a:ext uri="{FF2B5EF4-FFF2-40B4-BE49-F238E27FC236}">
              <a16:creationId xmlns:a16="http://schemas.microsoft.com/office/drawing/2014/main" id="{00000000-0008-0000-0600-0000014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171450</xdr:rowOff>
    </xdr:from>
    <xdr:to>
      <xdr:col>4</xdr:col>
      <xdr:colOff>28575</xdr:colOff>
      <xdr:row>1</xdr:row>
      <xdr:rowOff>295275</xdr:rowOff>
    </xdr:to>
    <xdr:sp macro="" textlink="">
      <xdr:nvSpPr>
        <xdr:cNvPr id="12291" name="Text Box 3">
          <a:extLst>
            <a:ext uri="{FF2B5EF4-FFF2-40B4-BE49-F238E27FC236}">
              <a16:creationId xmlns:a16="http://schemas.microsoft.com/office/drawing/2014/main" id="{00000000-0008-0000-0900-000003300000}"/>
            </a:ext>
          </a:extLst>
        </xdr:cNvPr>
        <xdr:cNvSpPr txBox="1">
          <a:spLocks noChangeArrowheads="1"/>
        </xdr:cNvSpPr>
      </xdr:nvSpPr>
      <xdr:spPr bwMode="auto">
        <a:xfrm>
          <a:off x="38100" y="171450"/>
          <a:ext cx="3133725" cy="304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商品マスタメンテナンス　登録申請書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17</xdr:row>
      <xdr:rowOff>56031</xdr:rowOff>
    </xdr:from>
    <xdr:to>
      <xdr:col>4</xdr:col>
      <xdr:colOff>504264</xdr:colOff>
      <xdr:row>29</xdr:row>
      <xdr:rowOff>81913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4336" t="50829" r="41007" b="25616"/>
        <a:stretch/>
      </xdr:blipFill>
      <xdr:spPr>
        <a:xfrm>
          <a:off x="1762125" y="2627781"/>
          <a:ext cx="2266389" cy="1740382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17</xdr:row>
      <xdr:rowOff>33619</xdr:rowOff>
    </xdr:from>
    <xdr:to>
      <xdr:col>6</xdr:col>
      <xdr:colOff>885264</xdr:colOff>
      <xdr:row>25</xdr:row>
      <xdr:rowOff>89647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2459" t="34886" r="76589" b="44341"/>
        <a:stretch/>
      </xdr:blipFill>
      <xdr:spPr>
        <a:xfrm>
          <a:off x="4629150" y="2605369"/>
          <a:ext cx="885264" cy="1199028"/>
        </a:xfrm>
        <a:prstGeom prst="rect">
          <a:avLst/>
        </a:prstGeom>
      </xdr:spPr>
    </xdr:pic>
    <xdr:clientData/>
  </xdr:twoCellAnchor>
  <xdr:twoCellAnchor editAs="oneCell">
    <xdr:from>
      <xdr:col>2</xdr:col>
      <xdr:colOff>1552015</xdr:colOff>
      <xdr:row>29</xdr:row>
      <xdr:rowOff>78441</xdr:rowOff>
    </xdr:from>
    <xdr:to>
      <xdr:col>6</xdr:col>
      <xdr:colOff>412918</xdr:colOff>
      <xdr:row>39</xdr:row>
      <xdr:rowOff>134471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0273" t="55939" r="73226" b="26001"/>
        <a:stretch/>
      </xdr:blipFill>
      <xdr:spPr>
        <a:xfrm>
          <a:off x="3314140" y="4364691"/>
          <a:ext cx="1727928" cy="1484780"/>
        </a:xfrm>
        <a:prstGeom prst="rect">
          <a:avLst/>
        </a:prstGeom>
      </xdr:spPr>
    </xdr:pic>
    <xdr:clientData/>
  </xdr:twoCellAnchor>
  <xdr:twoCellAnchor editAs="oneCell">
    <xdr:from>
      <xdr:col>7</xdr:col>
      <xdr:colOff>112059</xdr:colOff>
      <xdr:row>26</xdr:row>
      <xdr:rowOff>112057</xdr:rowOff>
    </xdr:from>
    <xdr:to>
      <xdr:col>9</xdr:col>
      <xdr:colOff>56860</xdr:colOff>
      <xdr:row>43</xdr:row>
      <xdr:rowOff>123264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10203" t="43204" r="72883" b="19567"/>
        <a:stretch/>
      </xdr:blipFill>
      <xdr:spPr>
        <a:xfrm>
          <a:off x="5703234" y="3969682"/>
          <a:ext cx="1411651" cy="2440082"/>
        </a:xfrm>
        <a:prstGeom prst="rect">
          <a:avLst/>
        </a:prstGeom>
      </xdr:spPr>
    </xdr:pic>
    <xdr:clientData/>
  </xdr:twoCellAnchor>
  <xdr:twoCellAnchor editAs="oneCell">
    <xdr:from>
      <xdr:col>9</xdr:col>
      <xdr:colOff>67236</xdr:colOff>
      <xdr:row>17</xdr:row>
      <xdr:rowOff>67236</xdr:rowOff>
    </xdr:from>
    <xdr:to>
      <xdr:col>12</xdr:col>
      <xdr:colOff>220190</xdr:colOff>
      <xdr:row>26</xdr:row>
      <xdr:rowOff>22412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12573" t="63588" r="70239" b="15163"/>
        <a:stretch/>
      </xdr:blipFill>
      <xdr:spPr>
        <a:xfrm>
          <a:off x="7125261" y="2638986"/>
          <a:ext cx="1400729" cy="1241051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46</xdr:row>
      <xdr:rowOff>136511</xdr:rowOff>
    </xdr:from>
    <xdr:to>
      <xdr:col>2</xdr:col>
      <xdr:colOff>234152</xdr:colOff>
      <xdr:row>75</xdr:row>
      <xdr:rowOff>87139</xdr:rowOff>
    </xdr:to>
    <xdr:grpSp>
      <xdr:nvGrpSpPr>
        <xdr:cNvPr id="7" name="グループ化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pSpPr/>
      </xdr:nvGrpSpPr>
      <xdr:grpSpPr>
        <a:xfrm>
          <a:off x="0" y="6583031"/>
          <a:ext cx="1819112" cy="3928268"/>
          <a:chOff x="3221181" y="9015428"/>
          <a:chExt cx="3030682" cy="3983182"/>
        </a:xfrm>
      </xdr:grpSpPr>
      <xdr:pic>
        <xdr:nvPicPr>
          <xdr:cNvPr id="8" name="図 7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l="34346" t="43021" r="40847" b="14145"/>
          <a:stretch/>
        </xdr:blipFill>
        <xdr:spPr>
          <a:xfrm>
            <a:off x="3221181" y="9015428"/>
            <a:ext cx="3030682" cy="3983182"/>
          </a:xfrm>
          <a:prstGeom prst="rect">
            <a:avLst/>
          </a:prstGeom>
        </xdr:spPr>
      </xdr:pic>
      <xdr:pic>
        <xdr:nvPicPr>
          <xdr:cNvPr id="9" name="図 8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l="34379" t="63573" r="40902" b="14052"/>
          <a:stretch/>
        </xdr:blipFill>
        <xdr:spPr>
          <a:xfrm>
            <a:off x="3221181" y="9934526"/>
            <a:ext cx="3013364" cy="2182091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iabl\Downloads\&#12304;&#37202;&#12305;&#21830;&#21697;&#30331;&#37682;&#30003;&#35531;&#26360;_&#65366;7.5_&#12510;&#12483;&#12500;&#12531;&#12464;&#29992;%20_4%20(1).xlsm" TargetMode="External"/><Relationship Id="rId1" Type="http://schemas.openxmlformats.org/officeDocument/2006/relationships/externalLinkPath" Target="&#12304;&#37202;&#12305;&#21830;&#21697;&#30331;&#37682;&#30003;&#35531;&#26360;_&#65366;7.5_&#12510;&#12483;&#12500;&#12531;&#12464;&#29992;%20_4%20(1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Library" Target="NANDEMOKUN_MT.xla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2304;&#37202;&#12305;&#21830;&#21697;&#30331;&#37682;&#30003;&#35531;&#26360;_&#65366;7.5&#12390;&#12377;&#1239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①商品マスタ 申請入力用"/>
      <sheetName val="リンク用シート"/>
      <sheetName val="①マッピング用"/>
      <sheetName val="登録データ"/>
      <sheetName val="②仕入単価・発注情報"/>
      <sheetName val="NEW③Ｎ単価・売価情報"/>
      <sheetName val="NEW③Ｎ単価・売価情報（関東以外）"/>
      <sheetName val="④ＰＯＰ情報"/>
      <sheetName val="⑤店舗商品導入書"/>
      <sheetName val="⑥セット商品登録申請書"/>
      <sheetName val="→参照"/>
      <sheetName val="MT商品ﾏｽﾀ参照シート"/>
      <sheetName val="管理課使用（申請書）"/>
      <sheetName val="参照_POP情報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0酒類</v>
          </cell>
          <cell r="B2" t="str">
            <v>01本</v>
          </cell>
          <cell r="D2" t="str">
            <v>1001純米大吟醸</v>
          </cell>
          <cell r="E2" t="str">
            <v>0001清酒 大吟醸 純米大吟醸</v>
          </cell>
          <cell r="H2" t="str">
            <v>0設定なし</v>
          </cell>
          <cell r="J2" t="str">
            <v>10001日本</v>
          </cell>
          <cell r="K2" t="str">
            <v>00001北海道</v>
          </cell>
          <cell r="L2" t="str">
            <v>0通年</v>
          </cell>
          <cell r="M2" t="str">
            <v>1定番</v>
          </cell>
          <cell r="N2" t="str">
            <v>1冷凍</v>
          </cell>
          <cell r="O2" t="str">
            <v>0在庫品</v>
          </cell>
          <cell r="P2" t="str">
            <v>可</v>
          </cell>
          <cell r="Y2" t="str">
            <v>0する</v>
          </cell>
          <cell r="Z2" t="str">
            <v>0外税</v>
          </cell>
          <cell r="AA2">
            <v>8</v>
          </cell>
          <cell r="AB2" t="str">
            <v>0国産</v>
          </cell>
          <cell r="AE2" t="str">
            <v>回収する</v>
          </cell>
        </row>
        <row r="3">
          <cell r="A3" t="str">
            <v>1酒類以外</v>
          </cell>
          <cell r="B3" t="str">
            <v>02C/S</v>
          </cell>
          <cell r="D3" t="str">
            <v>1002純米吟醸</v>
          </cell>
          <cell r="E3" t="str">
            <v>0002清酒 吟醸 純米吟醸</v>
          </cell>
          <cell r="H3" t="str">
            <v>1中口</v>
          </cell>
          <cell r="J3" t="str">
            <v>10002中国</v>
          </cell>
          <cell r="K3" t="str">
            <v>00002青森県</v>
          </cell>
          <cell r="L3" t="str">
            <v>1春季限定</v>
          </cell>
          <cell r="M3" t="str">
            <v>2直送</v>
          </cell>
          <cell r="N3" t="str">
            <v>2常温</v>
          </cell>
          <cell r="O3" t="str">
            <v>1取り寄せ品</v>
          </cell>
          <cell r="P3" t="str">
            <v>不可</v>
          </cell>
          <cell r="Y3" t="str">
            <v>1しない</v>
          </cell>
          <cell r="Z3" t="str">
            <v>1内税</v>
          </cell>
          <cell r="AA3">
            <v>10</v>
          </cell>
          <cell r="AB3" t="str">
            <v>1輸入</v>
          </cell>
          <cell r="AD3" t="str">
            <v>0しない</v>
          </cell>
          <cell r="AF3" t="str">
            <v>1オーガニック</v>
          </cell>
          <cell r="AG3" t="str">
            <v>1ノンフィルター</v>
          </cell>
          <cell r="AH3" t="str">
            <v>1下限値</v>
          </cell>
          <cell r="AJ3" t="str">
            <v>1スクリューキャップ</v>
          </cell>
        </row>
        <row r="4">
          <cell r="A4" t="str">
            <v>2空容器</v>
          </cell>
          <cell r="B4" t="str">
            <v>03ﾎﾞｰﾙ</v>
          </cell>
          <cell r="D4" t="str">
            <v>1003純米</v>
          </cell>
          <cell r="E4" t="str">
            <v>0003清酒 純米</v>
          </cell>
          <cell r="H4" t="str">
            <v>2やや重口</v>
          </cell>
          <cell r="J4" t="str">
            <v>10003韓国</v>
          </cell>
          <cell r="K4" t="str">
            <v>00003岩手県</v>
          </cell>
          <cell r="L4" t="str">
            <v>2夏季限定</v>
          </cell>
          <cell r="M4" t="str">
            <v>8業務不可</v>
          </cell>
          <cell r="N4" t="str">
            <v>3チルド</v>
          </cell>
          <cell r="O4" t="str">
            <v>2直送品</v>
          </cell>
          <cell r="Z4" t="str">
            <v>2非課税</v>
          </cell>
          <cell r="AD4" t="str">
            <v>1する</v>
          </cell>
          <cell r="AF4" t="str">
            <v>2ビオディナミ</v>
          </cell>
          <cell r="AG4" t="str">
            <v>2SO2フリー</v>
          </cell>
          <cell r="AJ4" t="str">
            <v>2ラベルレス</v>
          </cell>
        </row>
        <row r="5">
          <cell r="A5" t="str">
            <v>3空函</v>
          </cell>
          <cell r="B5" t="str">
            <v>04箱</v>
          </cell>
          <cell r="D5" t="str">
            <v>1101大吟醸</v>
          </cell>
          <cell r="E5" t="str">
            <v>0004清酒 本醸造</v>
          </cell>
          <cell r="H5" t="str">
            <v>3重口</v>
          </cell>
          <cell r="J5" t="str">
            <v>10004台湾</v>
          </cell>
          <cell r="K5" t="str">
            <v>00004宮城県</v>
          </cell>
          <cell r="L5" t="str">
            <v>3秋季限定</v>
          </cell>
          <cell r="M5" t="str">
            <v>9店頭不可</v>
          </cell>
          <cell r="AF5" t="str">
            <v>3ヴィーガン</v>
          </cell>
          <cell r="AG5" t="str">
            <v>3ノンフィルター/SO2フリー</v>
          </cell>
        </row>
        <row r="6">
          <cell r="A6" t="str">
            <v>5パッケージ商品</v>
          </cell>
          <cell r="B6" t="str">
            <v>05個</v>
          </cell>
          <cell r="D6" t="str">
            <v>1102吟醸</v>
          </cell>
          <cell r="E6" t="str">
            <v>0005清酒 普通</v>
          </cell>
          <cell r="H6" t="str">
            <v>4やや軽口</v>
          </cell>
          <cell r="J6" t="str">
            <v>10005インド</v>
          </cell>
          <cell r="K6" t="str">
            <v>00005秋田県</v>
          </cell>
          <cell r="L6" t="str">
            <v>4冬季限定</v>
          </cell>
          <cell r="AF6" t="str">
            <v>4オーガニック/ビオディナミ/ヴィーガン</v>
          </cell>
        </row>
        <row r="7">
          <cell r="A7" t="str">
            <v>9その他(諸口)</v>
          </cell>
          <cell r="B7" t="str">
            <v>06ﾀﾞｰｽ</v>
          </cell>
          <cell r="D7" t="str">
            <v>1103本醸造</v>
          </cell>
          <cell r="E7" t="str">
            <v>0006清酒 経済酒</v>
          </cell>
          <cell r="H7" t="str">
            <v>5軽口</v>
          </cell>
          <cell r="J7" t="str">
            <v>10006インドネシア</v>
          </cell>
          <cell r="K7" t="str">
            <v>00006山形県</v>
          </cell>
          <cell r="L7" t="str">
            <v>5期間限定</v>
          </cell>
          <cell r="AF7" t="str">
            <v>5オーガニック/ビオディナミ</v>
          </cell>
        </row>
        <row r="8">
          <cell r="B8" t="str">
            <v>08枚</v>
          </cell>
          <cell r="D8" t="str">
            <v>1201普通経済酒 瓶</v>
          </cell>
          <cell r="E8" t="str">
            <v>0007清酒 生酒 生貯蔵酒</v>
          </cell>
          <cell r="H8" t="str">
            <v>6やや辛口</v>
          </cell>
          <cell r="J8" t="str">
            <v>10007タイ</v>
          </cell>
          <cell r="K8" t="str">
            <v>00007福島県</v>
          </cell>
          <cell r="L8" t="str">
            <v>6抽選割当</v>
          </cell>
          <cell r="AF8" t="str">
            <v>6オーガニック/ヴィーガン</v>
          </cell>
        </row>
        <row r="9">
          <cell r="B9" t="str">
            <v>09缶</v>
          </cell>
          <cell r="D9" t="str">
            <v>1202普通経済酒 パック</v>
          </cell>
          <cell r="E9" t="str">
            <v>0008にごりおり</v>
          </cell>
          <cell r="H9" t="str">
            <v>7辛口</v>
          </cell>
          <cell r="J9" t="str">
            <v>10008ベトナム</v>
          </cell>
          <cell r="K9" t="str">
            <v>00008茨城県</v>
          </cell>
          <cell r="AF9" t="str">
            <v>7ビオディナミ/ヴィーガン</v>
          </cell>
        </row>
        <row r="10">
          <cell r="B10" t="str">
            <v>07半ﾀﾞｰｽ</v>
          </cell>
          <cell r="D10" t="str">
            <v>1203普通経済酒 テナー</v>
          </cell>
          <cell r="E10" t="str">
            <v>0009清酒 菰かぶり</v>
          </cell>
          <cell r="H10" t="str">
            <v>8超辛口</v>
          </cell>
          <cell r="J10" t="str">
            <v>10009フィリピン</v>
          </cell>
          <cell r="K10" t="str">
            <v>00009栃木県</v>
          </cell>
        </row>
        <row r="11">
          <cell r="B11" t="str">
            <v>10袋</v>
          </cell>
          <cell r="D11" t="str">
            <v>1905清酒 ギフト・セット</v>
          </cell>
          <cell r="E11" t="str">
            <v>0010清酒 ギフト</v>
          </cell>
          <cell r="H11" t="str">
            <v>9やや甘口</v>
          </cell>
          <cell r="J11" t="str">
            <v>10010シンガポール</v>
          </cell>
          <cell r="K11" t="str">
            <v>00010群馬県</v>
          </cell>
        </row>
        <row r="12">
          <cell r="B12" t="str">
            <v>12kｇ</v>
          </cell>
          <cell r="D12" t="str">
            <v>1908微アルコール清酒テイスト飲料</v>
          </cell>
          <cell r="E12" t="str">
            <v>0011清酒 その他</v>
          </cell>
          <cell r="H12" t="str">
            <v>10甘口</v>
          </cell>
          <cell r="J12" t="str">
            <v>10011オーストラリア</v>
          </cell>
          <cell r="K12" t="str">
            <v>00011埼玉県</v>
          </cell>
        </row>
        <row r="13">
          <cell r="B13" t="str">
            <v>13ｶｰﾄﾝ</v>
          </cell>
          <cell r="D13" t="str">
            <v>1909清酒テイスト飲料</v>
          </cell>
          <cell r="E13" t="str">
            <v>0012合成酒</v>
          </cell>
          <cell r="H13" t="str">
            <v>11超甘口</v>
          </cell>
          <cell r="J13" t="str">
            <v>10012ニュージーランド</v>
          </cell>
          <cell r="K13" t="str">
            <v>00012千葉県</v>
          </cell>
        </row>
        <row r="14">
          <cell r="B14" t="str">
            <v>14ｾｯﾄ</v>
          </cell>
          <cell r="D14" t="str">
            <v>1901生酒・生貯蔵酒</v>
          </cell>
          <cell r="E14" t="str">
            <v>0101焼酎 甲類 ２０％</v>
          </cell>
          <cell r="H14" t="str">
            <v>12極甘口</v>
          </cell>
          <cell r="J14" t="str">
            <v>10099アジア・オセアニア</v>
          </cell>
          <cell r="K14" t="str">
            <v>00013東京都</v>
          </cell>
        </row>
        <row r="15">
          <cell r="B15" t="str">
            <v>15ﾊﾟｯｸ</v>
          </cell>
          <cell r="D15" t="str">
            <v>1902発泡清酒</v>
          </cell>
          <cell r="E15" t="str">
            <v>0102焼酎 甲類 ２５％</v>
          </cell>
          <cell r="H15" t="str">
            <v>13旨口</v>
          </cell>
          <cell r="J15" t="str">
            <v>10101アメリカ</v>
          </cell>
          <cell r="K15" t="str">
            <v>00014神奈川県</v>
          </cell>
        </row>
        <row r="16">
          <cell r="B16" t="str">
            <v>11－</v>
          </cell>
          <cell r="D16" t="str">
            <v>1903にごりおり</v>
          </cell>
          <cell r="E16" t="str">
            <v>0103焼酎 甲類 ３５％</v>
          </cell>
          <cell r="J16" t="str">
            <v>10102カナダ</v>
          </cell>
          <cell r="K16" t="str">
            <v>00015山梨県</v>
          </cell>
        </row>
        <row r="17">
          <cell r="B17" t="str">
            <v>00設定なし</v>
          </cell>
          <cell r="D17" t="str">
            <v>1904菰かぶり</v>
          </cell>
          <cell r="E17" t="str">
            <v>0104焼酎 甲類 その他</v>
          </cell>
          <cell r="J17" t="str">
            <v>10103キューバ</v>
          </cell>
          <cell r="K17" t="str">
            <v>00016新潟県</v>
          </cell>
        </row>
        <row r="18">
          <cell r="D18" t="str">
            <v>1906合成酒</v>
          </cell>
          <cell r="E18" t="str">
            <v>0105焼酎 乙類 麦</v>
          </cell>
          <cell r="J18" t="str">
            <v>10104メキシコ</v>
          </cell>
          <cell r="K18" t="str">
            <v>00017長野県</v>
          </cell>
        </row>
        <row r="19">
          <cell r="D19" t="str">
            <v>1907古酒</v>
          </cell>
          <cell r="E19" t="str">
            <v>0106焼酎 乙類 そば</v>
          </cell>
          <cell r="J19" t="str">
            <v>10105ブラジル</v>
          </cell>
          <cell r="K19" t="str">
            <v>00018富山県</v>
          </cell>
        </row>
        <row r="20">
          <cell r="D20" t="str">
            <v>1999清酒 その他</v>
          </cell>
          <cell r="E20" t="str">
            <v>0107焼酎 乙類 米</v>
          </cell>
          <cell r="J20" t="str">
            <v>10106ペルー</v>
          </cell>
          <cell r="K20" t="str">
            <v>00019石川県</v>
          </cell>
        </row>
        <row r="21">
          <cell r="D21" t="str">
            <v>2001甲類 20％ 瓶</v>
          </cell>
          <cell r="E21" t="str">
            <v>0108焼酎 乙類 芋</v>
          </cell>
          <cell r="J21" t="str">
            <v>10108アルゼンチン</v>
          </cell>
          <cell r="K21" t="str">
            <v>00020福井県</v>
          </cell>
        </row>
        <row r="22">
          <cell r="D22" t="str">
            <v>2002甲類 20％ ペット</v>
          </cell>
          <cell r="E22" t="str">
            <v>0109焼酎 乙類 胡麻</v>
          </cell>
          <cell r="J22" t="str">
            <v>10109チリ</v>
          </cell>
          <cell r="K22" t="str">
            <v>00021岐阜県</v>
          </cell>
        </row>
        <row r="23">
          <cell r="D23" t="str">
            <v>2003甲類 20％ パック</v>
          </cell>
          <cell r="E23" t="str">
            <v>0110焼酎 乙類 泡盛</v>
          </cell>
          <cell r="J23" t="str">
            <v>10199北中南米</v>
          </cell>
          <cell r="K23" t="str">
            <v>00022静岡県</v>
          </cell>
        </row>
        <row r="24">
          <cell r="D24" t="str">
            <v>2004甲類 20％ テナー</v>
          </cell>
          <cell r="E24" t="str">
            <v>0111焼酎 乙類 その他</v>
          </cell>
          <cell r="J24" t="str">
            <v>10201ドイツ</v>
          </cell>
          <cell r="K24" t="str">
            <v>00023愛知県</v>
          </cell>
        </row>
        <row r="25">
          <cell r="D25" t="str">
            <v>2101甲類 25％ 瓶</v>
          </cell>
          <cell r="E25" t="str">
            <v>0112焼酎 甲乙混合</v>
          </cell>
          <cell r="J25" t="str">
            <v>10202オーストリア</v>
          </cell>
          <cell r="K25" t="str">
            <v>00024三重県</v>
          </cell>
        </row>
        <row r="26">
          <cell r="D26" t="str">
            <v>2102甲類 25％ ペット</v>
          </cell>
          <cell r="E26" t="str">
            <v>0201味醂</v>
          </cell>
          <cell r="J26" t="str">
            <v>10203チェコ</v>
          </cell>
          <cell r="K26" t="str">
            <v>00025滋賀県</v>
          </cell>
        </row>
        <row r="27">
          <cell r="D27" t="str">
            <v>2103甲類 25％ パック</v>
          </cell>
          <cell r="E27" t="str">
            <v>0301本直し</v>
          </cell>
          <cell r="J27" t="str">
            <v>10204ベルギー</v>
          </cell>
          <cell r="K27" t="str">
            <v>00026京都府</v>
          </cell>
        </row>
        <row r="28">
          <cell r="D28" t="str">
            <v>2104甲類 25％ テナー</v>
          </cell>
          <cell r="E28" t="str">
            <v>0401国産 瓶ビール</v>
          </cell>
          <cell r="J28" t="str">
            <v>10205オランダ</v>
          </cell>
          <cell r="K28" t="str">
            <v>00027大阪府</v>
          </cell>
        </row>
        <row r="29">
          <cell r="D29" t="str">
            <v>2201甲類その他 瓶</v>
          </cell>
          <cell r="E29" t="str">
            <v>0402国産 缶ビール 小樽</v>
          </cell>
          <cell r="J29" t="str">
            <v>10206スイス</v>
          </cell>
          <cell r="K29" t="str">
            <v>00028兵庫県</v>
          </cell>
        </row>
        <row r="30">
          <cell r="D30" t="str">
            <v>2202甲類その他 ペット</v>
          </cell>
          <cell r="E30" t="str">
            <v>0403業務用 樽生ビール</v>
          </cell>
          <cell r="J30" t="str">
            <v>10207デンマーク</v>
          </cell>
          <cell r="K30" t="str">
            <v>00029奈良県</v>
          </cell>
        </row>
        <row r="31">
          <cell r="D31" t="str">
            <v>2203甲類その他 パック</v>
          </cell>
          <cell r="E31" t="str">
            <v>0404輸入ﾋﾞｰﾙ・海外ﾌﾞﾗﾝﾄﾞ ﾋﾞｰﾙ</v>
          </cell>
          <cell r="J31" t="str">
            <v>10208イギリス</v>
          </cell>
          <cell r="K31" t="str">
            <v>00030和歌山県</v>
          </cell>
        </row>
        <row r="32">
          <cell r="D32" t="str">
            <v>2204甲類その他 テナー</v>
          </cell>
          <cell r="E32" t="str">
            <v>0405ビール ギフト</v>
          </cell>
          <cell r="J32" t="str">
            <v>10209フランス</v>
          </cell>
          <cell r="K32" t="str">
            <v>00031鳥取県</v>
          </cell>
        </row>
        <row r="33">
          <cell r="D33" t="str">
            <v>2301麦</v>
          </cell>
          <cell r="E33" t="str">
            <v>0406ビール その他</v>
          </cell>
          <cell r="J33" t="str">
            <v>10210イタリア</v>
          </cell>
          <cell r="K33" t="str">
            <v>00032島根県</v>
          </cell>
        </row>
        <row r="34">
          <cell r="D34" t="str">
            <v>2302そば</v>
          </cell>
          <cell r="E34" t="str">
            <v>0501国産ワイン 赤</v>
          </cell>
          <cell r="J34" t="str">
            <v>10211スペイン</v>
          </cell>
          <cell r="K34" t="str">
            <v>00033岡山県</v>
          </cell>
        </row>
        <row r="35">
          <cell r="D35" t="str">
            <v>2303米</v>
          </cell>
          <cell r="E35" t="str">
            <v>0502国産ワイン 白</v>
          </cell>
          <cell r="J35" t="str">
            <v>10212ポルトガル</v>
          </cell>
          <cell r="K35" t="str">
            <v>00034広島県</v>
          </cell>
        </row>
        <row r="36">
          <cell r="D36" t="str">
            <v>2304芋</v>
          </cell>
          <cell r="E36" t="str">
            <v>0503国産ワイン ロゼ</v>
          </cell>
          <cell r="J36" t="str">
            <v>10213ギリシャ</v>
          </cell>
          <cell r="K36" t="str">
            <v>00035山口県</v>
          </cell>
        </row>
        <row r="37">
          <cell r="D37" t="str">
            <v>2305胡麻</v>
          </cell>
          <cell r="E37" t="str">
            <v>0504フランスワイン 赤</v>
          </cell>
          <cell r="J37" t="str">
            <v>10214トルコ</v>
          </cell>
          <cell r="K37" t="str">
            <v>00036高知県</v>
          </cell>
        </row>
        <row r="38">
          <cell r="D38" t="str">
            <v>2306黒糖</v>
          </cell>
          <cell r="E38" t="str">
            <v>0505フランスワイン 白</v>
          </cell>
          <cell r="J38" t="str">
            <v>10215ロシア</v>
          </cell>
          <cell r="K38" t="str">
            <v>00037徳島県</v>
          </cell>
        </row>
        <row r="39">
          <cell r="D39" t="str">
            <v>2307泡盛</v>
          </cell>
          <cell r="E39" t="str">
            <v>0506フランスワイン ロゼ</v>
          </cell>
          <cell r="J39" t="str">
            <v>10216モルドヴァ</v>
          </cell>
          <cell r="K39" t="str">
            <v>00038愛媛県</v>
          </cell>
        </row>
        <row r="40">
          <cell r="D40" t="str">
            <v>2308乙類 その他</v>
          </cell>
          <cell r="E40" t="str">
            <v>0507ドイツワイン 赤</v>
          </cell>
          <cell r="J40" t="str">
            <v>10217フィンランド</v>
          </cell>
          <cell r="K40" t="str">
            <v>00039香川県</v>
          </cell>
        </row>
        <row r="41">
          <cell r="D41" t="str">
            <v>2401甲乙混合 芋</v>
          </cell>
          <cell r="E41" t="str">
            <v>0508ドイツワイン 白</v>
          </cell>
          <cell r="J41" t="str">
            <v>10218ルーマニア</v>
          </cell>
          <cell r="K41" t="str">
            <v>00040福岡県</v>
          </cell>
        </row>
        <row r="42">
          <cell r="D42" t="str">
            <v>2402甲乙混合 麦</v>
          </cell>
          <cell r="E42" t="str">
            <v>0509ドイツワイン ロゼ</v>
          </cell>
          <cell r="J42" t="str">
            <v>10219アイルランド</v>
          </cell>
          <cell r="K42" t="str">
            <v>00041佐賀県</v>
          </cell>
        </row>
        <row r="43">
          <cell r="D43" t="str">
            <v>2499甲乙混合 その他</v>
          </cell>
          <cell r="E43" t="str">
            <v>0510イタリアワイン 赤</v>
          </cell>
          <cell r="J43" t="str">
            <v>10220ウクライナ</v>
          </cell>
          <cell r="K43" t="str">
            <v>00042長崎県</v>
          </cell>
        </row>
        <row r="44">
          <cell r="D44" t="str">
            <v>2901焼酎 ギフト・セット</v>
          </cell>
          <cell r="E44" t="str">
            <v>0511イタリアワイン 白</v>
          </cell>
          <cell r="J44" t="str">
            <v>10221ブルガリア</v>
          </cell>
          <cell r="K44" t="str">
            <v>00043熊本県</v>
          </cell>
        </row>
        <row r="45">
          <cell r="D45" t="str">
            <v>2979微アルコール焼酎テイスト飲料</v>
          </cell>
          <cell r="E45" t="str">
            <v>0512イタリアワイン ロゼ</v>
          </cell>
          <cell r="J45" t="str">
            <v>10222アルメニア共和国</v>
          </cell>
          <cell r="K45" t="str">
            <v>00044大分県</v>
          </cell>
        </row>
        <row r="46">
          <cell r="D46" t="str">
            <v>2980焼酎テイスト飲料</v>
          </cell>
          <cell r="E46" t="str">
            <v>0513スペインワイン 赤</v>
          </cell>
          <cell r="J46" t="str">
            <v>10223ハンガリー</v>
          </cell>
          <cell r="K46" t="str">
            <v>00045宮崎県</v>
          </cell>
        </row>
        <row r="47">
          <cell r="D47" t="str">
            <v>9007みりん</v>
          </cell>
          <cell r="E47" t="str">
            <v>0514スペインワイン 白</v>
          </cell>
          <cell r="J47" t="str">
            <v>10224スロヴァキア</v>
          </cell>
          <cell r="K47" t="str">
            <v>00046鹿児島県</v>
          </cell>
        </row>
        <row r="48">
          <cell r="D48" t="str">
            <v>3001ビール 瓶</v>
          </cell>
          <cell r="E48" t="str">
            <v>0515スペインワイン ロゼ</v>
          </cell>
          <cell r="J48" t="str">
            <v>10225ジョージア</v>
          </cell>
          <cell r="K48" t="str">
            <v>00047沖縄県</v>
          </cell>
        </row>
        <row r="49">
          <cell r="D49" t="str">
            <v>3002ビール 缶</v>
          </cell>
          <cell r="J49" t="str">
            <v>10226スロヴェニア</v>
          </cell>
          <cell r="K49" t="str">
            <v>20101ボルドー地方</v>
          </cell>
        </row>
        <row r="50">
          <cell r="D50" t="str">
            <v>3003ビール 樽</v>
          </cell>
          <cell r="J50" t="str">
            <v>10299ヨーロッパ</v>
          </cell>
          <cell r="K50" t="str">
            <v>20102ブルゴーニュ地方</v>
          </cell>
        </row>
        <row r="51">
          <cell r="D51" t="str">
            <v>3099ビール その他</v>
          </cell>
          <cell r="J51" t="str">
            <v>10301南アフリカ</v>
          </cell>
          <cell r="K51" t="str">
            <v>20103シャンパーニュ地方</v>
          </cell>
        </row>
        <row r="52">
          <cell r="D52" t="str">
            <v>3101発泡酒 瓶</v>
          </cell>
          <cell r="J52" t="str">
            <v>10302エジプト</v>
          </cell>
          <cell r="K52" t="str">
            <v>20104ｺｰﾄ ﾃﾞｭ ﾛｰﾇ地方</v>
          </cell>
        </row>
        <row r="53">
          <cell r="D53" t="str">
            <v>3102発泡酒 缶</v>
          </cell>
          <cell r="J53" t="str">
            <v>10399アフリカ</v>
          </cell>
          <cell r="K53" t="str">
            <v>20105アルザス地方</v>
          </cell>
        </row>
        <row r="54">
          <cell r="D54" t="str">
            <v>3103発泡酒 樽</v>
          </cell>
          <cell r="J54" t="str">
            <v>10499中近東</v>
          </cell>
          <cell r="K54" t="str">
            <v>20106ジュラ地方</v>
          </cell>
        </row>
        <row r="55">
          <cell r="D55" t="str">
            <v>3199発泡酒 その他</v>
          </cell>
          <cell r="K55" t="str">
            <v>20107サヴォワ地方</v>
          </cell>
        </row>
        <row r="56">
          <cell r="D56" t="str">
            <v>3201新ジャンル</v>
          </cell>
          <cell r="K56" t="str">
            <v>20108コルス</v>
          </cell>
        </row>
        <row r="57">
          <cell r="D57" t="str">
            <v>3202新ジャンル 樽詰</v>
          </cell>
          <cell r="K57" t="str">
            <v>20109南西地方</v>
          </cell>
        </row>
        <row r="58">
          <cell r="D58" t="str">
            <v>3299新ジャンル その他</v>
          </cell>
          <cell r="K58" t="str">
            <v>20110ロワール地方</v>
          </cell>
        </row>
        <row r="59">
          <cell r="D59" t="str">
            <v>3301海外ﾌﾞﾗﾝﾄﾞﾋﾞｰﾙ 瓶</v>
          </cell>
          <cell r="K59" t="str">
            <v>20111ﾗﾝｸﾞﾄﾞｯｸ ﾙｰｼｮﾝ地方</v>
          </cell>
        </row>
        <row r="60">
          <cell r="D60" t="str">
            <v>3302海外ﾌﾞﾗﾝﾄﾞﾋﾞｰﾙ 缶</v>
          </cell>
          <cell r="K60" t="str">
            <v>20112プロヴァンス地方</v>
          </cell>
        </row>
        <row r="61">
          <cell r="D61" t="str">
            <v>3303海外ﾌﾞﾗﾝﾄﾞﾋﾞｰﾙ 樽</v>
          </cell>
          <cell r="K61" t="str">
            <v>20113フランス その他</v>
          </cell>
        </row>
        <row r="62">
          <cell r="D62" t="str">
            <v>3901ビール セット</v>
          </cell>
          <cell r="K62" t="str">
            <v>20201ｳﾞｧｯﾚ ﾀﾞｵｽﾀ州</v>
          </cell>
        </row>
        <row r="63">
          <cell r="D63" t="str">
            <v>3903ビール ギフト</v>
          </cell>
          <cell r="K63" t="str">
            <v>20202ピエモンテ州</v>
          </cell>
        </row>
        <row r="64">
          <cell r="D64" t="str">
            <v>8900微アルコールビールテイスト飲料</v>
          </cell>
          <cell r="K64" t="str">
            <v>20203リグーリア州</v>
          </cell>
        </row>
        <row r="65">
          <cell r="D65" t="str">
            <v>8901ビールテイスト飲料</v>
          </cell>
          <cell r="K65" t="str">
            <v>20204ロンバルディーア州</v>
          </cell>
        </row>
        <row r="66">
          <cell r="D66" t="str">
            <v>3902ビール チルド</v>
          </cell>
          <cell r="K66" t="str">
            <v>20205ﾄﾚﾝﾃｨｰﾉｱﾙﾄｱﾃﾞｨｼﾞｪ州</v>
          </cell>
        </row>
        <row r="67">
          <cell r="D67" t="str">
            <v>3999ビール その他</v>
          </cell>
          <cell r="K67" t="str">
            <v>20206ヴェネト州</v>
          </cell>
        </row>
        <row r="68">
          <cell r="D68" t="str">
            <v>4001指定 赤ワイン</v>
          </cell>
          <cell r="K68" t="str">
            <v>20207ﾌﾘｳﾘｳﾞｪﾈﾂｨｱｼﾞｭｰﾘｱ州</v>
          </cell>
        </row>
        <row r="69">
          <cell r="D69" t="str">
            <v>4002指定 白ワイン</v>
          </cell>
          <cell r="K69" t="str">
            <v>20208ｴﾐﾘｱ ﾛﾏｰﾆｬ州</v>
          </cell>
        </row>
        <row r="70">
          <cell r="D70" t="str">
            <v>4003指定 ロゼワイン</v>
          </cell>
          <cell r="K70" t="str">
            <v>20209トスカーナ州</v>
          </cell>
        </row>
        <row r="71">
          <cell r="D71" t="str">
            <v>4004指定 スパークリング</v>
          </cell>
          <cell r="K71" t="str">
            <v>20210ウンブリア州</v>
          </cell>
        </row>
        <row r="72">
          <cell r="D72" t="str">
            <v>4005指定 その他</v>
          </cell>
          <cell r="K72" t="str">
            <v>20211マルケ州</v>
          </cell>
        </row>
        <row r="73">
          <cell r="D73" t="str">
            <v>4101赤 フランス</v>
          </cell>
          <cell r="K73" t="str">
            <v>20212ラツィオ州</v>
          </cell>
        </row>
        <row r="74">
          <cell r="D74" t="str">
            <v>4102赤 ドイツ</v>
          </cell>
          <cell r="K74" t="str">
            <v>20213アブルッツオ州</v>
          </cell>
        </row>
        <row r="75">
          <cell r="D75" t="str">
            <v>4103赤 イタリア</v>
          </cell>
          <cell r="K75" t="str">
            <v>20214モリーゼ州</v>
          </cell>
        </row>
        <row r="76">
          <cell r="D76" t="str">
            <v>4104赤 スペイン</v>
          </cell>
          <cell r="K76" t="str">
            <v>20215カンパーニャ州</v>
          </cell>
        </row>
        <row r="77">
          <cell r="D77" t="str">
            <v>4105赤 ポルトガル</v>
          </cell>
          <cell r="K77" t="str">
            <v>20216プーリア州</v>
          </cell>
        </row>
        <row r="78">
          <cell r="D78" t="str">
            <v>4106赤 ギリシャ</v>
          </cell>
          <cell r="K78" t="str">
            <v>20217バジリカータ州</v>
          </cell>
        </row>
        <row r="79">
          <cell r="D79" t="str">
            <v>4107赤 ハンガリー</v>
          </cell>
          <cell r="K79" t="str">
            <v>20218カラーブリア州</v>
          </cell>
        </row>
        <row r="80">
          <cell r="D80" t="str">
            <v>4108赤 オーストリア</v>
          </cell>
          <cell r="K80" t="str">
            <v>20219シチーリア州</v>
          </cell>
        </row>
        <row r="81">
          <cell r="D81" t="str">
            <v>4110赤 アメリカ</v>
          </cell>
          <cell r="K81" t="str">
            <v>20220サルディーニャ州</v>
          </cell>
        </row>
        <row r="82">
          <cell r="D82" t="str">
            <v>4111赤 チリ</v>
          </cell>
          <cell r="K82" t="str">
            <v>20221イタリア その他</v>
          </cell>
        </row>
        <row r="83">
          <cell r="D83" t="str">
            <v>4112赤 アルゼンチン</v>
          </cell>
          <cell r="K83" t="str">
            <v>20301ｶﾘﾌｫﾙﾆｱ州ﾅﾊﾟ</v>
          </cell>
        </row>
        <row r="84">
          <cell r="D84" t="str">
            <v>4114赤 南アフリカ</v>
          </cell>
          <cell r="K84" t="str">
            <v>20302ｶﾘﾌｫﾙﾆｱ州ｿﾉﾏ</v>
          </cell>
        </row>
        <row r="85">
          <cell r="D85" t="str">
            <v>4116赤 オーストラリア</v>
          </cell>
          <cell r="K85" t="str">
            <v>20303ｶﾘﾌｫﾙﾆｱ州その他</v>
          </cell>
        </row>
        <row r="86">
          <cell r="D86" t="str">
            <v>4117赤 ニュージーランド</v>
          </cell>
          <cell r="K86" t="str">
            <v>20304オレゴン州</v>
          </cell>
        </row>
        <row r="87">
          <cell r="D87" t="str">
            <v>4120赤 ブルガリア</v>
          </cell>
          <cell r="K87" t="str">
            <v>20305ワシントン州</v>
          </cell>
        </row>
        <row r="88">
          <cell r="D88" t="str">
            <v>4121赤 クロアチア</v>
          </cell>
          <cell r="K88" t="str">
            <v>20306ニューヨーク州</v>
          </cell>
        </row>
        <row r="89">
          <cell r="D89" t="str">
            <v>4122赤 ジョージア</v>
          </cell>
          <cell r="K89" t="str">
            <v>20307アメリカ その他</v>
          </cell>
        </row>
        <row r="90">
          <cell r="D90" t="str">
            <v>4123赤 ルクセンブルグ</v>
          </cell>
        </row>
        <row r="91">
          <cell r="D91" t="str">
            <v>4124赤 モルドバ</v>
          </cell>
        </row>
        <row r="92">
          <cell r="D92" t="str">
            <v>4125赤 ルーマニア</v>
          </cell>
        </row>
        <row r="93">
          <cell r="D93" t="str">
            <v>4126赤 イギリス</v>
          </cell>
        </row>
        <row r="94">
          <cell r="D94" t="str">
            <v>4127赤 スロヴェニア</v>
          </cell>
        </row>
        <row r="95">
          <cell r="D95" t="str">
            <v>4128赤 スイス</v>
          </cell>
        </row>
        <row r="96">
          <cell r="D96" t="str">
            <v>4129赤 カナダ</v>
          </cell>
        </row>
        <row r="97">
          <cell r="D97" t="str">
            <v>4130赤 日本ワイン</v>
          </cell>
        </row>
        <row r="98">
          <cell r="D98" t="str">
            <v>4131赤 日本国内製造ワイン</v>
          </cell>
        </row>
        <row r="99">
          <cell r="D99" t="str">
            <v>4199赤 その他</v>
          </cell>
        </row>
        <row r="100">
          <cell r="D100" t="str">
            <v>4201白 フランス</v>
          </cell>
        </row>
        <row r="101">
          <cell r="D101" t="str">
            <v>4202白 ドイツ</v>
          </cell>
        </row>
        <row r="102">
          <cell r="D102" t="str">
            <v>4203白 イタリア</v>
          </cell>
        </row>
        <row r="103">
          <cell r="D103" t="str">
            <v>4204白 スペイン</v>
          </cell>
        </row>
        <row r="104">
          <cell r="D104" t="str">
            <v>4205白 ポルトガル</v>
          </cell>
        </row>
        <row r="105">
          <cell r="D105" t="str">
            <v>4206白 ギリシャ</v>
          </cell>
        </row>
        <row r="106">
          <cell r="D106" t="str">
            <v>4207白 ハンガリー</v>
          </cell>
        </row>
        <row r="107">
          <cell r="D107" t="str">
            <v>4208白 オーストリア</v>
          </cell>
        </row>
        <row r="108">
          <cell r="D108" t="str">
            <v>4220白 ブルガリア</v>
          </cell>
        </row>
        <row r="109">
          <cell r="D109" t="str">
            <v>4221白 クロアチア</v>
          </cell>
        </row>
        <row r="110">
          <cell r="D110" t="str">
            <v>4222白 ジョージア</v>
          </cell>
        </row>
        <row r="111">
          <cell r="D111" t="str">
            <v>4223白 ルクセンブルグ</v>
          </cell>
        </row>
        <row r="112">
          <cell r="D112" t="str">
            <v>4224白 モルドバ</v>
          </cell>
        </row>
        <row r="113">
          <cell r="D113" t="str">
            <v>4225白 ルーマニア</v>
          </cell>
        </row>
        <row r="114">
          <cell r="D114" t="str">
            <v>4226白 イギリス</v>
          </cell>
        </row>
        <row r="115">
          <cell r="D115" t="str">
            <v>4227白 スロヴェニア</v>
          </cell>
        </row>
        <row r="116">
          <cell r="D116" t="str">
            <v>4228白 スイス</v>
          </cell>
        </row>
        <row r="117">
          <cell r="D117" t="str">
            <v>4210白 アメリカ</v>
          </cell>
        </row>
        <row r="118">
          <cell r="D118" t="str">
            <v>4229白 カナダ</v>
          </cell>
        </row>
        <row r="119">
          <cell r="D119" t="str">
            <v>4211白 チリ</v>
          </cell>
        </row>
        <row r="120">
          <cell r="D120" t="str">
            <v>4212白 アルゼンチン</v>
          </cell>
        </row>
        <row r="121">
          <cell r="D121" t="str">
            <v>4214白 南アフリカ</v>
          </cell>
        </row>
        <row r="122">
          <cell r="D122" t="str">
            <v>4216白 オーストラリア</v>
          </cell>
        </row>
        <row r="123">
          <cell r="D123" t="str">
            <v>4217白 ニュージーランド</v>
          </cell>
        </row>
        <row r="124">
          <cell r="D124" t="str">
            <v>4230白 日本ワイン</v>
          </cell>
        </row>
        <row r="125">
          <cell r="D125" t="str">
            <v>4231白 日本国内製造ワイン</v>
          </cell>
        </row>
        <row r="126">
          <cell r="D126" t="str">
            <v>4299白 その他</v>
          </cell>
        </row>
        <row r="127">
          <cell r="D127" t="str">
            <v>4301ﾛｾﾞ フランス</v>
          </cell>
        </row>
        <row r="128">
          <cell r="D128" t="str">
            <v>4302ﾛｾﾞ ドイツ</v>
          </cell>
        </row>
        <row r="129">
          <cell r="D129" t="str">
            <v>4303ﾛｾﾞ イタリア</v>
          </cell>
        </row>
        <row r="130">
          <cell r="D130" t="str">
            <v>4304ﾛｾﾞ スペイン</v>
          </cell>
        </row>
        <row r="131">
          <cell r="D131" t="str">
            <v>4305ﾛｾﾞ ポルトガル</v>
          </cell>
        </row>
        <row r="132">
          <cell r="D132" t="str">
            <v>4306ﾛｾﾞ ギリシャ</v>
          </cell>
        </row>
        <row r="133">
          <cell r="D133" t="str">
            <v>4307ﾛｾﾞ ハンガリー</v>
          </cell>
        </row>
        <row r="134">
          <cell r="D134" t="str">
            <v>4308ﾛｾﾞ オーストリア</v>
          </cell>
        </row>
        <row r="135">
          <cell r="D135" t="str">
            <v>4320ﾛｾﾞ ブルガリア</v>
          </cell>
        </row>
        <row r="136">
          <cell r="D136" t="str">
            <v>4321ﾛｾﾞ クロアチア</v>
          </cell>
        </row>
        <row r="137">
          <cell r="D137" t="str">
            <v>4322ﾛｾﾞ ジョージア</v>
          </cell>
        </row>
        <row r="138">
          <cell r="D138" t="str">
            <v>4323ﾛｾﾞ ルクセンブルグ</v>
          </cell>
        </row>
        <row r="139">
          <cell r="D139" t="str">
            <v>4324ﾛｾﾞ モルドバ</v>
          </cell>
        </row>
        <row r="140">
          <cell r="D140" t="str">
            <v>4325ﾛｾﾞ ルーマニア</v>
          </cell>
        </row>
        <row r="141">
          <cell r="D141" t="str">
            <v>4326ﾛｾﾞ イギリス</v>
          </cell>
        </row>
        <row r="142">
          <cell r="D142" t="str">
            <v>4327ﾛｾﾞ スロヴェニア</v>
          </cell>
        </row>
        <row r="143">
          <cell r="D143" t="str">
            <v>4328ﾛｾﾞ スイス</v>
          </cell>
        </row>
        <row r="144">
          <cell r="D144" t="str">
            <v>4310ﾛｾﾞ アメリカ</v>
          </cell>
        </row>
        <row r="145">
          <cell r="D145" t="str">
            <v>4329ﾛｾﾞ カナダ</v>
          </cell>
        </row>
        <row r="146">
          <cell r="D146" t="str">
            <v>4311ﾛｾﾞ チリ</v>
          </cell>
        </row>
        <row r="147">
          <cell r="D147" t="str">
            <v>4312ﾛｾﾞ アルゼンチン</v>
          </cell>
        </row>
        <row r="148">
          <cell r="D148" t="str">
            <v>4314ﾛｾﾞ 南アフリカ</v>
          </cell>
        </row>
        <row r="149">
          <cell r="D149" t="str">
            <v>4316ﾛｾﾞ オーストラリア</v>
          </cell>
        </row>
        <row r="150">
          <cell r="D150" t="str">
            <v>4317ﾛｾﾞ ニュージーランド</v>
          </cell>
        </row>
        <row r="151">
          <cell r="D151" t="str">
            <v>4330ﾛｾﾞ 日本ワイン</v>
          </cell>
        </row>
        <row r="152">
          <cell r="D152" t="str">
            <v>4331ﾛｾﾞ 日本国内製造ワイン</v>
          </cell>
        </row>
        <row r="153">
          <cell r="D153" t="str">
            <v>4399ﾛｾﾞ その他</v>
          </cell>
        </row>
        <row r="154">
          <cell r="D154" t="str">
            <v>6501ＯＷ フランス</v>
          </cell>
        </row>
        <row r="155">
          <cell r="D155" t="str">
            <v>6502ＯＷ ドイツ</v>
          </cell>
        </row>
        <row r="156">
          <cell r="D156" t="str">
            <v>6503ＯＷ イタリア</v>
          </cell>
        </row>
        <row r="157">
          <cell r="D157" t="str">
            <v>6504ＯＷ スペイン</v>
          </cell>
        </row>
        <row r="158">
          <cell r="D158" t="str">
            <v>6505ＯＷ ポルトガル</v>
          </cell>
        </row>
        <row r="159">
          <cell r="D159" t="str">
            <v>6506ＯＷ ギリシャ</v>
          </cell>
        </row>
        <row r="160">
          <cell r="D160" t="str">
            <v>6507ＯＷ ハンガリー</v>
          </cell>
        </row>
        <row r="161">
          <cell r="D161" t="str">
            <v>6508ＯＷ オーストリア</v>
          </cell>
        </row>
      </sheetData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NANDEMOKUN_MT"/>
    </sheetNames>
    <definedNames>
      <definedName name="M帳合先_現在"/>
      <definedName name="M発注先_現在"/>
      <definedName name="POS_BT"/>
      <definedName name="POS_BT_Osaka"/>
      <definedName name="POS_CS"/>
      <definedName name="POS_CS_Osaka"/>
      <definedName name="sHT空容器回収"/>
      <definedName name="sITFコード"/>
      <definedName name="sJANケースコード"/>
      <definedName name="sJANコード"/>
      <definedName name="sKYLFC単価TB"/>
      <definedName name="sKYLFC単価TC"/>
      <definedName name="sKYL単価b"/>
      <definedName name="sKYL単価c"/>
      <definedName name="sN1単価"/>
      <definedName name="sN1単価BT_関西"/>
      <definedName name="sN1単価CS"/>
      <definedName name="sN1単価CS_関西"/>
      <definedName name="sN2単価"/>
      <definedName name="sN2単価BT_関西"/>
      <definedName name="sN2単価CS"/>
      <definedName name="sN2単価CS_関西"/>
      <definedName name="sN3単価"/>
      <definedName name="sN3単価BT_関西"/>
      <definedName name="sN3単価CS"/>
      <definedName name="sN3単価CS_関西"/>
      <definedName name="sPB区分"/>
      <definedName name="sPOS商品カナ名"/>
      <definedName name="sPOS商品名"/>
      <definedName name="sR1売価"/>
      <definedName name="sR1売価BT_関西"/>
      <definedName name="sR1売価CS"/>
      <definedName name="sR1売価CS_関西"/>
      <definedName name="sR2売価"/>
      <definedName name="sR2売価BT_関西"/>
      <definedName name="sR2売価CS"/>
      <definedName name="sR2売価CS_関西"/>
      <definedName name="sR3売価"/>
      <definedName name="sR3売価BT_関西"/>
      <definedName name="sR3売価CS"/>
      <definedName name="sR3売価CS_関西"/>
      <definedName name="sSDPコード"/>
      <definedName name="sアルコール度数下限"/>
      <definedName name="sアルコール度数上限"/>
      <definedName name="sギフト直送品"/>
      <definedName name="sケース単位"/>
      <definedName name="sコルクPOS単価BT"/>
      <definedName name="sコルクPOS単価CS"/>
      <definedName name="sダンガミバーコードフラグ"/>
      <definedName name="sデポ当日発注区分"/>
      <definedName name="sパッケージ構成商品コード"/>
      <definedName name="sパッケージ構成数"/>
      <definedName name="sバラ単位"/>
      <definedName name="sメーカーコード"/>
      <definedName name="sメーカー名"/>
      <definedName name="s飲口区分"/>
      <definedName name="s飲口区分名"/>
      <definedName name="s横持ピック対象"/>
      <definedName name="s卸価格"/>
      <definedName name="s卸価格BT_関西"/>
      <definedName name="s卸価格CS"/>
      <definedName name="s卸価格CS_関西"/>
      <definedName name="s温度帯区分"/>
      <definedName name="s課税区分"/>
      <definedName name="s既存商品コード"/>
      <definedName name="s季節限定区分"/>
      <definedName name="s規格"/>
      <definedName name="s空函コード"/>
      <definedName name="s空容器コード"/>
      <definedName name="s国産輸入"/>
      <definedName name="s在庫管理"/>
      <definedName name="s産地国コード"/>
      <definedName name="s産地国名"/>
      <definedName name="s産地地方コード"/>
      <definedName name="s産地地方名"/>
      <definedName name="s自然派ワイン①"/>
      <definedName name="s自然派ワイン②"/>
      <definedName name="s取扱開始日"/>
      <definedName name="s種別コード"/>
      <definedName name="s種別名"/>
      <definedName name="s酒類コード"/>
      <definedName name="s酒類名"/>
      <definedName name="s終売"/>
      <definedName name="s重量ケース"/>
      <definedName name="s重量バラ"/>
      <definedName name="s純アルコール量"/>
      <definedName name="s商品カナ名"/>
      <definedName name="s商品区分"/>
      <definedName name="s商品登録申請者"/>
      <definedName name="s商品発売日"/>
      <definedName name="s商品名"/>
      <definedName name="s小売価格"/>
      <definedName name="s小売価格BT_関西"/>
      <definedName name="s小売価格CS"/>
      <definedName name="s小売価格CS_関西"/>
      <definedName name="s小分類コード"/>
      <definedName name="s小分類名"/>
      <definedName name="s消費税率"/>
      <definedName name="s賞味期限日数"/>
      <definedName name="s正規並行区分"/>
      <definedName name="s生販BT"/>
      <definedName name="s生販BT_関西"/>
      <definedName name="s生販CS"/>
      <definedName name="s生販CS_関西"/>
      <definedName name="s直送品納品リードタイム"/>
      <definedName name="s店舗取り扱い区分"/>
      <definedName name="s伝発分類コード"/>
      <definedName name="s伝発分類名"/>
      <definedName name="s度数"/>
      <definedName name="s特定商品備考コード"/>
      <definedName name="s入数"/>
      <definedName name="s買上単価寄贈品"/>
      <definedName name="s買上単価寄贈品BT_関西"/>
      <definedName name="s買上単価寄贈品CS"/>
      <definedName name="s買上単価寄贈品CS_関西"/>
      <definedName name="s買上単価不良品"/>
      <definedName name="s買上単価不良品BT_関西"/>
      <definedName name="s買上単価不良品CS"/>
      <definedName name="s買上単価不良品CS_関西"/>
      <definedName name="s麦芽使用率"/>
      <definedName name="s物流区分"/>
      <definedName name="s分類コード"/>
      <definedName name="s分類名"/>
      <definedName name="s予備区分3"/>
      <definedName name="s予備区分8"/>
      <definedName name="s容器区分"/>
      <definedName name="s容量"/>
      <definedName name="T担当者"/>
      <definedName name="t得意先名"/>
      <definedName name="仕入先単価BT"/>
      <definedName name="仕入先単価CS"/>
    </definedNames>
    <sheetDataSet>
      <sheetData sheetId="0"/>
      <sheetData sheetId="1"/>
      <sheetData sheetId="2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参照_POP情報用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solidFill>
          <a:srgbClr val="F773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rtlCol="0" anchor="ctr" upright="1"/>
      <a:lstStyle>
        <a:defPPr algn="l">
          <a:defRPr kumimoji="1" sz="1100" kern="1200"/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03"/>
  <sheetViews>
    <sheetView topLeftCell="A52" zoomScale="112" zoomScaleNormal="112" zoomScaleSheetLayoutView="100" workbookViewId="0">
      <selection activeCell="H61" sqref="H61"/>
    </sheetView>
  </sheetViews>
  <sheetFormatPr defaultColWidth="9" defaultRowHeight="10.8" outlineLevelRow="1" x14ac:dyDescent="0.15"/>
  <cols>
    <col min="1" max="1" width="2.21875" style="319" bestFit="1" customWidth="1"/>
    <col min="2" max="2" width="14.6640625" style="21" customWidth="1"/>
    <col min="3" max="3" width="6.6640625" style="22" customWidth="1"/>
    <col min="4" max="4" width="17.33203125" style="22" customWidth="1"/>
    <col min="5" max="5" width="2.21875" style="22" customWidth="1"/>
    <col min="6" max="6" width="17.33203125" style="22" customWidth="1"/>
    <col min="7" max="7" width="2.21875" style="22" customWidth="1"/>
    <col min="8" max="8" width="17.33203125" style="22" customWidth="1"/>
    <col min="9" max="9" width="2.21875" style="22" customWidth="1"/>
    <col min="10" max="10" width="17.33203125" style="22" customWidth="1"/>
    <col min="11" max="11" width="2.21875" style="22" customWidth="1"/>
    <col min="12" max="12" width="1.6640625" style="22" customWidth="1"/>
    <col min="13" max="13" width="14.6640625" style="21" customWidth="1"/>
    <col min="14" max="14" width="6.6640625" style="22" customWidth="1"/>
    <col min="15" max="15" width="17.33203125" style="22" customWidth="1"/>
    <col min="16" max="16" width="2.21875" style="22" customWidth="1"/>
    <col min="17" max="17" width="17.33203125" style="22" customWidth="1"/>
    <col min="18" max="18" width="2.21875" style="22" customWidth="1"/>
    <col min="19" max="19" width="17.33203125" style="22" customWidth="1"/>
    <col min="20" max="20" width="2.21875" style="22" customWidth="1"/>
    <col min="21" max="21" width="17.33203125" style="22" customWidth="1"/>
    <col min="22" max="22" width="2.21875" style="22" customWidth="1"/>
    <col min="23" max="16384" width="9" style="22"/>
  </cols>
  <sheetData>
    <row r="1" spans="1:22" s="366" customFormat="1" ht="13.8" thickBot="1" x14ac:dyDescent="0.25">
      <c r="A1" s="364"/>
      <c r="B1" s="365" t="s">
        <v>1080</v>
      </c>
      <c r="M1" s="365" t="s">
        <v>1412</v>
      </c>
    </row>
    <row r="2" spans="1:22" s="362" customFormat="1" ht="27" thickBot="1" x14ac:dyDescent="0.25">
      <c r="A2" s="364"/>
      <c r="B2" s="363" t="s">
        <v>1063</v>
      </c>
      <c r="C2" s="367"/>
      <c r="D2" s="451"/>
      <c r="F2" s="363" t="s">
        <v>1414</v>
      </c>
      <c r="H2" s="452"/>
      <c r="I2" s="598" t="e">
        <f ca="1">[2]!T担当者(H2)</f>
        <v>#NAME?</v>
      </c>
      <c r="J2" s="599"/>
      <c r="K2" s="600"/>
      <c r="M2" s="368"/>
      <c r="N2" s="367"/>
      <c r="O2" s="369"/>
      <c r="Q2" s="367"/>
      <c r="S2" s="370"/>
    </row>
    <row r="3" spans="1:22" s="109" customFormat="1" ht="16.8" outlineLevel="1" thickBot="1" x14ac:dyDescent="0.25">
      <c r="A3" s="613" t="s">
        <v>1105</v>
      </c>
      <c r="B3" s="593" t="s">
        <v>1084</v>
      </c>
      <c r="C3" s="585" t="s">
        <v>1061</v>
      </c>
      <c r="D3" s="312" t="s">
        <v>1060</v>
      </c>
      <c r="E3" s="313"/>
      <c r="F3" s="312" t="s">
        <v>1060</v>
      </c>
      <c r="G3" s="313"/>
      <c r="H3" s="312" t="s">
        <v>1060</v>
      </c>
      <c r="I3" s="313"/>
      <c r="J3" s="312" t="s">
        <v>1060</v>
      </c>
      <c r="K3" s="313"/>
      <c r="M3" s="29"/>
      <c r="N3" s="108"/>
      <c r="O3" s="308"/>
      <c r="Q3" s="108"/>
      <c r="S3" s="309"/>
    </row>
    <row r="4" spans="1:22" s="109" customFormat="1" ht="16.8" outlineLevel="1" thickBot="1" x14ac:dyDescent="0.25">
      <c r="A4" s="613"/>
      <c r="B4" s="595"/>
      <c r="C4" s="585"/>
      <c r="D4" s="312" t="s">
        <v>1066</v>
      </c>
      <c r="E4" s="313"/>
      <c r="F4" s="312" t="s">
        <v>1066</v>
      </c>
      <c r="G4" s="313"/>
      <c r="H4" s="312" t="s">
        <v>1066</v>
      </c>
      <c r="I4" s="313"/>
      <c r="J4" s="312" t="s">
        <v>1066</v>
      </c>
      <c r="K4" s="313"/>
      <c r="M4" s="29"/>
      <c r="N4" s="108"/>
      <c r="O4" s="308"/>
      <c r="Q4" s="108"/>
      <c r="S4" s="309"/>
    </row>
    <row r="5" spans="1:22" s="109" customFormat="1" ht="16.8" outlineLevel="1" thickBot="1" x14ac:dyDescent="0.25">
      <c r="A5" s="613" t="s">
        <v>1105</v>
      </c>
      <c r="B5" s="593" t="s">
        <v>1073</v>
      </c>
      <c r="C5" s="585" t="s">
        <v>1062</v>
      </c>
      <c r="D5" s="589"/>
      <c r="E5" s="590"/>
      <c r="F5" s="589"/>
      <c r="G5" s="590"/>
      <c r="H5" s="589"/>
      <c r="I5" s="590"/>
      <c r="J5" s="589"/>
      <c r="K5" s="590"/>
      <c r="M5" s="29"/>
      <c r="N5" s="108"/>
      <c r="O5" s="308"/>
      <c r="Q5" s="108"/>
      <c r="S5" s="309"/>
    </row>
    <row r="6" spans="1:22" s="109" customFormat="1" ht="24" customHeight="1" outlineLevel="1" thickBot="1" x14ac:dyDescent="0.25">
      <c r="A6" s="613"/>
      <c r="B6" s="594"/>
      <c r="C6" s="585"/>
      <c r="D6" s="591" t="e">
        <f ca="1">[2]!s商品名(D5)</f>
        <v>#NAME?</v>
      </c>
      <c r="E6" s="592"/>
      <c r="F6" s="591" t="e">
        <f ca="1">[2]!s商品名(F5)</f>
        <v>#NAME?</v>
      </c>
      <c r="G6" s="592"/>
      <c r="H6" s="591" t="e">
        <f ca="1">[2]!s商品名(H5)</f>
        <v>#NAME?</v>
      </c>
      <c r="I6" s="592"/>
      <c r="J6" s="591" t="e">
        <f ca="1">[2]!s商品名(J5)</f>
        <v>#NAME?</v>
      </c>
      <c r="K6" s="592"/>
      <c r="M6" s="29"/>
      <c r="N6" s="108"/>
      <c r="O6" s="308"/>
      <c r="Q6" s="108"/>
      <c r="S6" s="309"/>
    </row>
    <row r="7" spans="1:22" s="109" customFormat="1" ht="16.8" outlineLevel="1" thickBot="1" x14ac:dyDescent="0.25">
      <c r="A7" s="613"/>
      <c r="B7" s="595"/>
      <c r="C7" s="585"/>
      <c r="D7" s="596" t="e">
        <f ca="1">[2]!s度数(D5)&amp;[2]!s規格(D5)&amp;[2]!s入数(D5)</f>
        <v>#NAME?</v>
      </c>
      <c r="E7" s="597"/>
      <c r="F7" s="596" t="e">
        <f ca="1">[2]!s度数(F5)&amp;[2]!s規格(F5)&amp;[2]!s入数(F5)</f>
        <v>#NAME?</v>
      </c>
      <c r="G7" s="597"/>
      <c r="H7" s="596" t="e">
        <f ca="1">[2]!s度数(H5)&amp;[2]!s規格(H5)&amp;[2]!s入数(H5)</f>
        <v>#NAME?</v>
      </c>
      <c r="I7" s="597"/>
      <c r="J7" s="596" t="e">
        <f ca="1">[2]!s度数(J5)&amp;[2]!s規格(J5)&amp;[2]!s入数(J5)</f>
        <v>#NAME?</v>
      </c>
      <c r="K7" s="597"/>
      <c r="M7" s="29"/>
      <c r="N7" s="108"/>
      <c r="O7" s="308"/>
      <c r="Q7" s="108"/>
      <c r="S7" s="309"/>
    </row>
    <row r="8" spans="1:22" s="109" customFormat="1" ht="16.8" outlineLevel="1" thickBot="1" x14ac:dyDescent="0.25">
      <c r="A8" s="613" t="s">
        <v>1105</v>
      </c>
      <c r="B8" s="593" t="s">
        <v>1074</v>
      </c>
      <c r="C8" s="585" t="s">
        <v>1075</v>
      </c>
      <c r="D8" s="589"/>
      <c r="E8" s="590"/>
      <c r="F8" s="589"/>
      <c r="G8" s="590"/>
      <c r="H8" s="589"/>
      <c r="I8" s="590"/>
      <c r="J8" s="589"/>
      <c r="K8" s="590"/>
      <c r="M8" s="29"/>
      <c r="N8" s="108"/>
      <c r="O8" s="308"/>
      <c r="Q8" s="108"/>
      <c r="S8" s="309"/>
    </row>
    <row r="9" spans="1:22" s="109" customFormat="1" ht="24" customHeight="1" outlineLevel="1" thickBot="1" x14ac:dyDescent="0.25">
      <c r="A9" s="613"/>
      <c r="B9" s="594"/>
      <c r="C9" s="585"/>
      <c r="D9" s="591" t="e">
        <f ca="1">[2]!s商品名(D8)&amp;[2]!s規格(D8)</f>
        <v>#NAME?</v>
      </c>
      <c r="E9" s="592"/>
      <c r="F9" s="591" t="e">
        <f ca="1">[2]!s商品名(F8)&amp;[2]!s規格(F8)</f>
        <v>#NAME?</v>
      </c>
      <c r="G9" s="592"/>
      <c r="H9" s="591" t="e">
        <f ca="1">[2]!s商品名(H8)&amp;[2]!s規格(H8)</f>
        <v>#NAME?</v>
      </c>
      <c r="I9" s="592"/>
      <c r="J9" s="591" t="e">
        <f ca="1">[2]!s商品名(J8)&amp;[2]!s規格(J8)</f>
        <v>#NAME?</v>
      </c>
      <c r="K9" s="592"/>
      <c r="M9" s="29"/>
      <c r="N9" s="108"/>
      <c r="O9" s="308"/>
      <c r="Q9" s="108"/>
      <c r="S9" s="309"/>
    </row>
    <row r="10" spans="1:22" s="109" customFormat="1" ht="16.8" outlineLevel="1" thickBot="1" x14ac:dyDescent="0.25">
      <c r="A10" s="613"/>
      <c r="B10" s="595"/>
      <c r="C10" s="585"/>
      <c r="D10" s="596" t="e">
        <f ca="1">[2]!s度数(D8)&amp;[2]!s規格(D8)&amp;[2]!s入数(D8)</f>
        <v>#NAME?</v>
      </c>
      <c r="E10" s="597"/>
      <c r="F10" s="596" t="e">
        <f ca="1">[2]!s度数(F8)&amp;[2]!s規格(F8)&amp;[2]!s入数(F8)</f>
        <v>#NAME?</v>
      </c>
      <c r="G10" s="597"/>
      <c r="H10" s="596" t="e">
        <f ca="1">[2]!s度数(H8)&amp;[2]!s規格(H8)&amp;[2]!s入数(H8)</f>
        <v>#NAME?</v>
      </c>
      <c r="I10" s="597"/>
      <c r="J10" s="596" t="e">
        <f ca="1">[2]!s度数(J8)&amp;[2]!s規格(J8)&amp;[2]!s入数(J8)</f>
        <v>#NAME?</v>
      </c>
      <c r="K10" s="597"/>
      <c r="M10" s="29"/>
      <c r="N10" s="108"/>
      <c r="O10" s="308"/>
      <c r="Q10" s="108"/>
      <c r="S10" s="309"/>
    </row>
    <row r="11" spans="1:22" s="109" customFormat="1" ht="16.2" outlineLevel="1" x14ac:dyDescent="0.2">
      <c r="A11" s="613" t="s">
        <v>1105</v>
      </c>
      <c r="B11" s="582" t="s">
        <v>1086</v>
      </c>
      <c r="C11" s="585" t="s">
        <v>1088</v>
      </c>
      <c r="D11" s="586" t="s">
        <v>1083</v>
      </c>
      <c r="E11" s="587"/>
      <c r="F11" s="587"/>
      <c r="G11" s="587"/>
      <c r="H11" s="587"/>
      <c r="I11" s="587"/>
      <c r="J11" s="587"/>
      <c r="K11" s="588"/>
      <c r="M11" s="29"/>
      <c r="N11" s="108"/>
      <c r="O11" s="308"/>
      <c r="Q11" s="108"/>
      <c r="S11" s="309"/>
    </row>
    <row r="12" spans="1:22" s="109" customFormat="1" ht="16.8" outlineLevel="1" thickBot="1" x14ac:dyDescent="0.25">
      <c r="A12" s="613"/>
      <c r="B12" s="583"/>
      <c r="C12" s="585"/>
      <c r="D12" s="610" t="s">
        <v>1087</v>
      </c>
      <c r="E12" s="611"/>
      <c r="F12" s="611"/>
      <c r="G12" s="611"/>
      <c r="H12" s="611"/>
      <c r="I12" s="611"/>
      <c r="J12" s="611"/>
      <c r="K12" s="612"/>
      <c r="M12" s="29"/>
      <c r="N12" s="108"/>
      <c r="O12" s="308"/>
      <c r="Q12" s="108"/>
      <c r="S12" s="309"/>
    </row>
    <row r="13" spans="1:22" s="109" customFormat="1" ht="24" customHeight="1" outlineLevel="1" thickBot="1" x14ac:dyDescent="0.25">
      <c r="A13" s="613"/>
      <c r="B13" s="584"/>
      <c r="C13" s="585"/>
      <c r="D13" s="580"/>
      <c r="E13" s="581"/>
      <c r="F13" s="580"/>
      <c r="G13" s="581"/>
      <c r="H13" s="580"/>
      <c r="I13" s="581"/>
      <c r="J13" s="580"/>
      <c r="K13" s="581"/>
      <c r="M13" s="29"/>
      <c r="N13" s="108"/>
      <c r="O13" s="308"/>
      <c r="Q13" s="108"/>
      <c r="S13" s="309"/>
    </row>
    <row r="14" spans="1:22" s="28" customFormat="1" ht="11.25" customHeight="1" outlineLevel="1" x14ac:dyDescent="0.2">
      <c r="A14" s="613" t="s">
        <v>1105</v>
      </c>
      <c r="B14" s="614" t="s">
        <v>1085</v>
      </c>
      <c r="C14" s="311" t="s">
        <v>1068</v>
      </c>
      <c r="D14" s="579"/>
      <c r="E14" s="579"/>
      <c r="F14" s="579"/>
      <c r="G14" s="579"/>
      <c r="H14" s="579"/>
      <c r="I14" s="579"/>
      <c r="J14" s="579"/>
      <c r="K14" s="579"/>
      <c r="M14" s="29"/>
      <c r="N14" s="108"/>
      <c r="O14" s="308"/>
      <c r="P14" s="109"/>
      <c r="Q14" s="108"/>
      <c r="R14" s="109"/>
      <c r="S14" s="309"/>
      <c r="T14" s="109"/>
      <c r="U14" s="109"/>
      <c r="V14" s="109"/>
    </row>
    <row r="15" spans="1:22" s="28" customFormat="1" ht="11.25" customHeight="1" outlineLevel="1" thickBot="1" x14ac:dyDescent="0.25">
      <c r="A15" s="613"/>
      <c r="B15" s="615"/>
      <c r="C15" s="311" t="s">
        <v>1069</v>
      </c>
      <c r="D15" s="578" t="e">
        <f ca="1">[2]!T担当者(D14)</f>
        <v>#NAME?</v>
      </c>
      <c r="E15" s="578"/>
      <c r="F15" s="578" t="e">
        <f ca="1">[2]!T担当者(F14)</f>
        <v>#NAME?</v>
      </c>
      <c r="G15" s="578"/>
      <c r="H15" s="578" t="e">
        <f ca="1">[2]!T担当者(H14)</f>
        <v>#NAME?</v>
      </c>
      <c r="I15" s="578"/>
      <c r="J15" s="578" t="e">
        <f ca="1">[2]!T担当者(J14)</f>
        <v>#NAME?</v>
      </c>
      <c r="K15" s="578"/>
      <c r="M15" s="29"/>
      <c r="N15" s="108"/>
      <c r="O15" s="308"/>
      <c r="P15" s="109"/>
      <c r="Q15" s="108"/>
      <c r="R15" s="109"/>
      <c r="S15" s="309"/>
      <c r="T15" s="109"/>
      <c r="U15" s="109"/>
      <c r="V15" s="109"/>
    </row>
    <row r="16" spans="1:22" s="28" customFormat="1" ht="16.2" outlineLevel="1" x14ac:dyDescent="0.2">
      <c r="A16" s="613"/>
      <c r="B16" s="615"/>
      <c r="C16" s="320" t="s">
        <v>1070</v>
      </c>
      <c r="D16" s="607"/>
      <c r="E16" s="607"/>
      <c r="F16" s="607"/>
      <c r="G16" s="607"/>
      <c r="H16" s="607"/>
      <c r="I16" s="607"/>
      <c r="J16" s="607"/>
      <c r="K16" s="607"/>
      <c r="M16" s="29"/>
      <c r="N16" s="108"/>
      <c r="O16" s="308"/>
      <c r="P16" s="109"/>
      <c r="Q16" s="108"/>
      <c r="R16" s="109"/>
      <c r="S16" s="309"/>
      <c r="T16" s="109"/>
      <c r="U16" s="109"/>
      <c r="V16" s="109"/>
    </row>
    <row r="17" spans="1:22" s="28" customFormat="1" ht="34.5" customHeight="1" outlineLevel="1" thickBot="1" x14ac:dyDescent="0.25">
      <c r="A17" s="613"/>
      <c r="B17" s="616"/>
      <c r="C17" s="311" t="s">
        <v>1071</v>
      </c>
      <c r="D17" s="578" t="e">
        <f ca="1">[2]!t得意先名(D16)</f>
        <v>#NAME?</v>
      </c>
      <c r="E17" s="578"/>
      <c r="F17" s="578" t="e">
        <f ca="1">[2]!t得意先名(F16)</f>
        <v>#NAME?</v>
      </c>
      <c r="G17" s="578"/>
      <c r="H17" s="578" t="e">
        <f ca="1">[2]!t得意先名(H16)</f>
        <v>#NAME?</v>
      </c>
      <c r="I17" s="578"/>
      <c r="J17" s="578" t="e">
        <f ca="1">[2]!t得意先名(J16)</f>
        <v>#NAME?</v>
      </c>
      <c r="K17" s="578"/>
      <c r="M17" s="29"/>
      <c r="N17" s="108"/>
      <c r="O17" s="308"/>
      <c r="P17" s="109"/>
      <c r="Q17" s="108"/>
      <c r="R17" s="109"/>
      <c r="S17" s="309"/>
      <c r="T17" s="109"/>
      <c r="U17" s="109"/>
      <c r="V17" s="109"/>
    </row>
    <row r="18" spans="1:22" s="28" customFormat="1" ht="42.75" customHeight="1" outlineLevel="1" thickBot="1" x14ac:dyDescent="0.25">
      <c r="A18" s="361" t="s">
        <v>1105</v>
      </c>
      <c r="B18" s="443" t="s">
        <v>1081</v>
      </c>
      <c r="C18" s="311" t="s">
        <v>1089</v>
      </c>
      <c r="D18" s="608">
        <f>D27*(D60/100)*0.8</f>
        <v>0.10800000000000001</v>
      </c>
      <c r="E18" s="609"/>
      <c r="F18" s="608">
        <f>F27*(F60/100)*0.8</f>
        <v>1.08</v>
      </c>
      <c r="G18" s="609"/>
      <c r="H18" s="608">
        <f>H27*(H60/100)*0.8</f>
        <v>10.8</v>
      </c>
      <c r="I18" s="609"/>
      <c r="J18" s="608">
        <f>J27*(J60/100)*0.8</f>
        <v>108</v>
      </c>
      <c r="K18" s="609"/>
      <c r="M18" s="29"/>
      <c r="N18" s="108"/>
      <c r="O18" s="308"/>
      <c r="P18" s="109"/>
      <c r="Q18" s="108"/>
      <c r="R18" s="109"/>
      <c r="S18" s="309"/>
      <c r="T18" s="109"/>
      <c r="U18" s="109"/>
      <c r="V18" s="109"/>
    </row>
    <row r="19" spans="1:22" ht="24" customHeight="1" outlineLevel="1" thickTop="1" thickBot="1" x14ac:dyDescent="0.2">
      <c r="B19" s="310" t="s">
        <v>1072</v>
      </c>
      <c r="C19" s="411" t="s">
        <v>1146</v>
      </c>
      <c r="D19" s="604"/>
      <c r="E19" s="605"/>
      <c r="F19" s="605"/>
      <c r="G19" s="605"/>
      <c r="H19" s="605"/>
      <c r="I19" s="605"/>
      <c r="J19" s="605"/>
      <c r="K19" s="606"/>
      <c r="M19" s="151"/>
      <c r="N19" s="152" t="s">
        <v>376</v>
      </c>
      <c r="O19" s="601" t="str">
        <f>IF(D19="","",D19)</f>
        <v/>
      </c>
      <c r="P19" s="602"/>
      <c r="Q19" s="602"/>
      <c r="R19" s="602"/>
      <c r="S19" s="602"/>
      <c r="T19" s="602"/>
      <c r="U19" s="602"/>
      <c r="V19" s="603"/>
    </row>
    <row r="20" spans="1:22" s="24" customFormat="1" x14ac:dyDescent="0.15">
      <c r="A20" s="319"/>
      <c r="B20" s="23"/>
      <c r="D20" s="25" t="s">
        <v>168</v>
      </c>
      <c r="E20" s="25"/>
      <c r="F20" s="25" t="s">
        <v>90</v>
      </c>
      <c r="G20" s="25"/>
      <c r="H20" s="25" t="s">
        <v>2</v>
      </c>
      <c r="I20" s="25"/>
      <c r="J20" s="25" t="s">
        <v>3</v>
      </c>
      <c r="M20" s="23"/>
      <c r="O20" s="25" t="s">
        <v>168</v>
      </c>
      <c r="P20" s="25"/>
      <c r="Q20" s="25" t="s">
        <v>90</v>
      </c>
      <c r="R20" s="25"/>
      <c r="S20" s="25" t="s">
        <v>2</v>
      </c>
      <c r="T20" s="25"/>
      <c r="U20" s="25" t="s">
        <v>3</v>
      </c>
    </row>
    <row r="21" spans="1:22" ht="24" customHeight="1" x14ac:dyDescent="0.15">
      <c r="A21" s="319">
        <v>1</v>
      </c>
      <c r="B21" s="355" t="s">
        <v>355</v>
      </c>
      <c r="C21" s="147"/>
      <c r="D21" s="527">
        <v>414898</v>
      </c>
      <c r="E21" s="112" t="s">
        <v>128</v>
      </c>
      <c r="F21" s="527">
        <v>414898</v>
      </c>
      <c r="G21" s="112" t="s">
        <v>128</v>
      </c>
      <c r="H21" s="527">
        <v>414898</v>
      </c>
      <c r="I21" s="112" t="s">
        <v>128</v>
      </c>
      <c r="J21" s="527">
        <v>414898</v>
      </c>
      <c r="K21" s="112" t="s">
        <v>128</v>
      </c>
      <c r="M21" s="357" t="s">
        <v>355</v>
      </c>
      <c r="N21" s="147"/>
      <c r="O21" s="558">
        <f>IF(D21="","",D21)</f>
        <v>414898</v>
      </c>
      <c r="P21" s="112" t="s">
        <v>128</v>
      </c>
      <c r="Q21" s="558">
        <f>IF(F21="","",F21)</f>
        <v>414898</v>
      </c>
      <c r="R21" s="112" t="s">
        <v>128</v>
      </c>
      <c r="S21" s="558">
        <f>IF(H21="","",H21)</f>
        <v>414898</v>
      </c>
      <c r="T21" s="112" t="s">
        <v>128</v>
      </c>
      <c r="U21" s="558">
        <f>IF(J21="","",J21)</f>
        <v>414898</v>
      </c>
      <c r="V21" s="112" t="s">
        <v>128</v>
      </c>
    </row>
    <row r="22" spans="1:22" ht="17.25" customHeight="1" x14ac:dyDescent="0.15">
      <c r="A22" s="319">
        <v>1</v>
      </c>
      <c r="B22" s="356" t="s">
        <v>278</v>
      </c>
      <c r="C22" s="147"/>
      <c r="D22" s="150"/>
      <c r="E22" s="154"/>
      <c r="F22" s="150"/>
      <c r="G22" s="154"/>
      <c r="H22" s="150"/>
      <c r="I22" s="154"/>
      <c r="J22" s="150"/>
      <c r="K22" s="154"/>
      <c r="M22" s="324" t="s">
        <v>278</v>
      </c>
      <c r="N22" s="147"/>
      <c r="O22" s="559" t="e">
        <f ca="1">[2]!s商品区分(O21)</f>
        <v>#NAME?</v>
      </c>
      <c r="P22" s="154"/>
      <c r="Q22" s="559" t="e">
        <f ca="1">[2]!s商品区分(Q21)</f>
        <v>#NAME?</v>
      </c>
      <c r="R22" s="154"/>
      <c r="S22" s="559" t="e">
        <f ca="1">[2]!s商品区分(S21)</f>
        <v>#NAME?</v>
      </c>
      <c r="T22" s="154"/>
      <c r="U22" s="559" t="e">
        <f ca="1">[2]!s商品区分(U21)</f>
        <v>#NAME?</v>
      </c>
      <c r="V22" s="154"/>
    </row>
    <row r="23" spans="1:22" s="28" customFormat="1" ht="36" customHeight="1" x14ac:dyDescent="0.2">
      <c r="A23" s="319">
        <v>1</v>
      </c>
      <c r="B23" s="356" t="s">
        <v>279</v>
      </c>
      <c r="C23" s="147"/>
      <c r="D23" s="448" t="s">
        <v>415</v>
      </c>
      <c r="E23" s="553">
        <f t="shared" ref="E23:E25" si="0">LENB(D23)</f>
        <v>0</v>
      </c>
      <c r="F23" s="448" t="s">
        <v>415</v>
      </c>
      <c r="G23" s="553">
        <f t="shared" ref="G23:G25" si="1">LENB(F23)</f>
        <v>0</v>
      </c>
      <c r="H23" s="448" t="s">
        <v>415</v>
      </c>
      <c r="I23" s="553">
        <f>LENB(H23)</f>
        <v>0</v>
      </c>
      <c r="J23" s="448" t="s">
        <v>415</v>
      </c>
      <c r="K23" s="555">
        <f>LENB(J23)</f>
        <v>0</v>
      </c>
      <c r="M23" s="324" t="s">
        <v>279</v>
      </c>
      <c r="N23" s="147"/>
      <c r="O23" s="560" t="e">
        <f ca="1">[2]!s商品名(O21)</f>
        <v>#NAME?</v>
      </c>
      <c r="P23" s="553" t="e">
        <f ca="1">LENB(O23)</f>
        <v>#NAME?</v>
      </c>
      <c r="Q23" s="560" t="e">
        <f ca="1">[2]!s商品名(Q21)</f>
        <v>#NAME?</v>
      </c>
      <c r="R23" s="553" t="e">
        <f ca="1">LENB(Q23)</f>
        <v>#NAME?</v>
      </c>
      <c r="S23" s="560" t="e">
        <f ca="1">[2]!s商品名(S21)</f>
        <v>#NAME?</v>
      </c>
      <c r="T23" s="553" t="e">
        <f t="shared" ref="T23:T28" ca="1" si="2">LENB(S23)</f>
        <v>#NAME?</v>
      </c>
      <c r="U23" s="560" t="e">
        <f ca="1">[2]!s商品名(U21)</f>
        <v>#NAME?</v>
      </c>
      <c r="V23" s="555" t="e">
        <f t="shared" ref="V23:V28" ca="1" si="3">LENB(U23)</f>
        <v>#NAME?</v>
      </c>
    </row>
    <row r="24" spans="1:22" s="28" customFormat="1" ht="36" customHeight="1" x14ac:dyDescent="0.2">
      <c r="A24" s="319">
        <v>1</v>
      </c>
      <c r="B24" s="356" t="s">
        <v>356</v>
      </c>
      <c r="C24" s="147"/>
      <c r="D24" s="449"/>
      <c r="E24" s="553">
        <f t="shared" si="0"/>
        <v>0</v>
      </c>
      <c r="F24" s="449"/>
      <c r="G24" s="553">
        <f t="shared" si="1"/>
        <v>0</v>
      </c>
      <c r="H24" s="449"/>
      <c r="I24" s="553">
        <f>LENB(H24)</f>
        <v>0</v>
      </c>
      <c r="J24" s="449"/>
      <c r="K24" s="555">
        <f>LENB(J24)</f>
        <v>0</v>
      </c>
      <c r="M24" s="324" t="s">
        <v>356</v>
      </c>
      <c r="N24" s="147"/>
      <c r="O24" s="560" t="e">
        <f ca="1">[2]!s商品カナ名(O21)</f>
        <v>#NAME?</v>
      </c>
      <c r="P24" s="553" t="e">
        <f ca="1">LENB(O24)</f>
        <v>#NAME?</v>
      </c>
      <c r="Q24" s="560" t="e">
        <f ca="1">[2]!s商品カナ名(Q21)</f>
        <v>#NAME?</v>
      </c>
      <c r="R24" s="553" t="e">
        <f ca="1">LENB(Q24)</f>
        <v>#NAME?</v>
      </c>
      <c r="S24" s="560" t="e">
        <f ca="1">[2]!s商品カナ名(S21)</f>
        <v>#NAME?</v>
      </c>
      <c r="T24" s="553" t="e">
        <f t="shared" ca="1" si="2"/>
        <v>#NAME?</v>
      </c>
      <c r="U24" s="560" t="e">
        <f ca="1">[2]!s商品カナ名(U21)</f>
        <v>#NAME?</v>
      </c>
      <c r="V24" s="555" t="e">
        <f t="shared" ca="1" si="3"/>
        <v>#NAME?</v>
      </c>
    </row>
    <row r="25" spans="1:22" s="28" customFormat="1" ht="24" customHeight="1" x14ac:dyDescent="0.2">
      <c r="A25" s="319">
        <v>1</v>
      </c>
      <c r="B25" s="356" t="s">
        <v>358</v>
      </c>
      <c r="C25" s="147"/>
      <c r="D25" s="449"/>
      <c r="E25" s="553">
        <f t="shared" si="0"/>
        <v>0</v>
      </c>
      <c r="F25" s="449"/>
      <c r="G25" s="553">
        <f t="shared" si="1"/>
        <v>0</v>
      </c>
      <c r="H25" s="449"/>
      <c r="I25" s="553">
        <f>LENB(H25)</f>
        <v>0</v>
      </c>
      <c r="J25" s="449"/>
      <c r="K25" s="555">
        <f>LENB(J25)</f>
        <v>0</v>
      </c>
      <c r="M25" s="324" t="s">
        <v>358</v>
      </c>
      <c r="N25" s="147"/>
      <c r="O25" s="560" t="e">
        <f ca="1">[2]!sPOS商品名(O21)</f>
        <v>#NAME?</v>
      </c>
      <c r="P25" s="553" t="e">
        <f ca="1">LENB(O25)</f>
        <v>#NAME?</v>
      </c>
      <c r="Q25" s="560" t="e">
        <f ca="1">[2]!sPOS商品名(Q21)</f>
        <v>#NAME?</v>
      </c>
      <c r="R25" s="553" t="e">
        <f ca="1">LENB(Q25)</f>
        <v>#NAME?</v>
      </c>
      <c r="S25" s="560" t="e">
        <f ca="1">[2]!sPOS商品名(S21)</f>
        <v>#NAME?</v>
      </c>
      <c r="T25" s="553" t="e">
        <f t="shared" ca="1" si="2"/>
        <v>#NAME?</v>
      </c>
      <c r="U25" s="560" t="e">
        <f ca="1">[2]!sPOS商品名(U21)</f>
        <v>#NAME?</v>
      </c>
      <c r="V25" s="555" t="e">
        <f t="shared" ca="1" si="3"/>
        <v>#NAME?</v>
      </c>
    </row>
    <row r="26" spans="1:22" s="28" customFormat="1" ht="24" customHeight="1" x14ac:dyDescent="0.2">
      <c r="A26" s="319">
        <v>1</v>
      </c>
      <c r="B26" s="355" t="s">
        <v>357</v>
      </c>
      <c r="C26" s="147"/>
      <c r="D26" s="450"/>
      <c r="E26" s="554">
        <f>LENB(D26)</f>
        <v>0</v>
      </c>
      <c r="F26" s="450"/>
      <c r="G26" s="554">
        <f>LENB(F26)</f>
        <v>0</v>
      </c>
      <c r="H26" s="450"/>
      <c r="I26" s="554">
        <f>LENB(H26)</f>
        <v>0</v>
      </c>
      <c r="J26" s="450"/>
      <c r="K26" s="556">
        <f>LENB(J26)</f>
        <v>0</v>
      </c>
      <c r="M26" s="357" t="s">
        <v>357</v>
      </c>
      <c r="N26" s="147"/>
      <c r="O26" s="561" t="e">
        <f ca="1">[2]!sPOS商品カナ名(O21)</f>
        <v>#NAME?</v>
      </c>
      <c r="P26" s="554" t="e">
        <f ca="1">LENB(O26)</f>
        <v>#NAME?</v>
      </c>
      <c r="Q26" s="561" t="e">
        <f ca="1">[2]!sPOS商品カナ名(Q21)</f>
        <v>#NAME?</v>
      </c>
      <c r="R26" s="554" t="e">
        <f ca="1">LENB(Q26)</f>
        <v>#NAME?</v>
      </c>
      <c r="S26" s="561" t="e">
        <f ca="1">[2]!sPOS商品カナ名(S21)</f>
        <v>#NAME?</v>
      </c>
      <c r="T26" s="554" t="e">
        <f ca="1">LENB(S26)</f>
        <v>#NAME?</v>
      </c>
      <c r="U26" s="561" t="e">
        <f ca="1">[2]!sPOS商品カナ名(U21)</f>
        <v>#NAME?</v>
      </c>
      <c r="V26" s="556" t="e">
        <f ca="1">LENB(U26)</f>
        <v>#NAME?</v>
      </c>
    </row>
    <row r="27" spans="1:22" s="28" customFormat="1" ht="11.25" customHeight="1" x14ac:dyDescent="0.2">
      <c r="A27" s="319">
        <v>1</v>
      </c>
      <c r="B27" s="356" t="s">
        <v>359</v>
      </c>
      <c r="C27" s="137" t="s">
        <v>360</v>
      </c>
      <c r="D27" s="523">
        <v>1</v>
      </c>
      <c r="E27" s="156"/>
      <c r="F27" s="523">
        <v>10</v>
      </c>
      <c r="G27" s="156"/>
      <c r="H27" s="523">
        <v>100</v>
      </c>
      <c r="I27" s="156"/>
      <c r="J27" s="523">
        <v>1000</v>
      </c>
      <c r="K27" s="156"/>
      <c r="M27" s="356" t="s">
        <v>359</v>
      </c>
      <c r="N27" s="137" t="s">
        <v>360</v>
      </c>
      <c r="O27" s="562" t="e">
        <f ca="1">[2]!s容量(O21)</f>
        <v>#NAME?</v>
      </c>
      <c r="P27" s="156"/>
      <c r="Q27" s="562" t="e">
        <f ca="1">[2]!s容量(Q21)</f>
        <v>#NAME?</v>
      </c>
      <c r="R27" s="156"/>
      <c r="S27" s="562" t="e">
        <f ca="1">[2]!s容量(S21)</f>
        <v>#NAME?</v>
      </c>
      <c r="T27" s="156"/>
      <c r="U27" s="562" t="e">
        <f ca="1">[2]!s容量(U21)</f>
        <v>#NAME?</v>
      </c>
      <c r="V27" s="156"/>
    </row>
    <row r="28" spans="1:22" s="28" customFormat="1" ht="32.4" x14ac:dyDescent="0.2">
      <c r="A28" s="319">
        <v>1</v>
      </c>
      <c r="B28" s="356" t="s">
        <v>268</v>
      </c>
      <c r="C28" s="153" t="s">
        <v>378</v>
      </c>
      <c r="D28" s="60"/>
      <c r="E28" s="155"/>
      <c r="F28" s="60"/>
      <c r="G28" s="155"/>
      <c r="H28" s="60"/>
      <c r="I28" s="155"/>
      <c r="J28" s="60"/>
      <c r="K28" s="557">
        <f>LENB(J28)</f>
        <v>0</v>
      </c>
      <c r="M28" s="356" t="s">
        <v>268</v>
      </c>
      <c r="N28" s="153" t="s">
        <v>378</v>
      </c>
      <c r="O28" s="563" t="e">
        <f ca="1">[2]!s規格(O21)</f>
        <v>#NAME?</v>
      </c>
      <c r="P28" s="557" t="e">
        <f ca="1">LENB(O28)</f>
        <v>#NAME?</v>
      </c>
      <c r="Q28" s="563" t="e">
        <f ca="1">[2]!s規格(Q21)</f>
        <v>#NAME?</v>
      </c>
      <c r="R28" s="557" t="e">
        <f ca="1">LENB(Q28)</f>
        <v>#NAME?</v>
      </c>
      <c r="S28" s="563" t="e">
        <f ca="1">[2]!s規格(S21)</f>
        <v>#NAME?</v>
      </c>
      <c r="T28" s="557" t="e">
        <f t="shared" ca="1" si="2"/>
        <v>#NAME?</v>
      </c>
      <c r="U28" s="563" t="e">
        <f ca="1">[2]!s規格(U21)</f>
        <v>#NAME?</v>
      </c>
      <c r="V28" s="557" t="e">
        <f t="shared" ca="1" si="3"/>
        <v>#NAME?</v>
      </c>
    </row>
    <row r="29" spans="1:22" s="28" customFormat="1" ht="11.25" customHeight="1" thickBot="1" x14ac:dyDescent="0.25">
      <c r="A29" s="319">
        <v>1</v>
      </c>
      <c r="B29" s="358" t="s">
        <v>269</v>
      </c>
      <c r="C29" s="315"/>
      <c r="D29" s="316">
        <v>1</v>
      </c>
      <c r="E29" s="317"/>
      <c r="F29" s="316">
        <v>11</v>
      </c>
      <c r="G29" s="317"/>
      <c r="H29" s="316">
        <v>111</v>
      </c>
      <c r="I29" s="317"/>
      <c r="J29" s="316">
        <v>1111</v>
      </c>
      <c r="K29" s="317"/>
      <c r="L29" s="318"/>
      <c r="M29" s="358" t="s">
        <v>269</v>
      </c>
      <c r="N29" s="315"/>
      <c r="O29" s="564" t="e">
        <f ca="1">[2]!s入数(O21)</f>
        <v>#NAME?</v>
      </c>
      <c r="P29" s="317"/>
      <c r="Q29" s="564" t="e">
        <f ca="1">[2]!s入数(Q21)</f>
        <v>#NAME?</v>
      </c>
      <c r="R29" s="317"/>
      <c r="S29" s="564" t="e">
        <f ca="1">[2]!s入数(S21)</f>
        <v>#NAME?</v>
      </c>
      <c r="T29" s="317"/>
      <c r="U29" s="564" t="e">
        <f ca="1">[2]!s入数(U21)</f>
        <v>#NAME?</v>
      </c>
      <c r="V29" s="317"/>
    </row>
    <row r="30" spans="1:22" s="28" customFormat="1" ht="22.2" thickTop="1" x14ac:dyDescent="0.2">
      <c r="A30" s="319">
        <v>1</v>
      </c>
      <c r="B30" s="359" t="s">
        <v>280</v>
      </c>
      <c r="C30" s="147"/>
      <c r="D30" s="524" t="s">
        <v>1632</v>
      </c>
      <c r="E30" s="157"/>
      <c r="F30" s="524" t="s">
        <v>1632</v>
      </c>
      <c r="G30" s="157"/>
      <c r="H30" s="524" t="s">
        <v>1632</v>
      </c>
      <c r="I30" s="157"/>
      <c r="J30" s="524" t="s">
        <v>1632</v>
      </c>
      <c r="K30" s="157"/>
      <c r="M30" s="359" t="s">
        <v>280</v>
      </c>
      <c r="N30" s="147"/>
      <c r="O30" s="565" t="e">
        <f ca="1">[2]!s重量ケース(O21)</f>
        <v>#NAME?</v>
      </c>
      <c r="P30" s="157"/>
      <c r="Q30" s="565" t="e">
        <f ca="1">[2]!s重量ケース(Q21)</f>
        <v>#NAME?</v>
      </c>
      <c r="R30" s="157"/>
      <c r="S30" s="565" t="e">
        <f ca="1">[2]!s重量ケース(S21)</f>
        <v>#NAME?</v>
      </c>
      <c r="T30" s="157"/>
      <c r="U30" s="565" t="e">
        <f ca="1">[2]!s重量ケース(U21)</f>
        <v>#NAME?</v>
      </c>
      <c r="V30" s="157"/>
    </row>
    <row r="31" spans="1:22" s="28" customFormat="1" x14ac:dyDescent="0.2">
      <c r="A31" s="319">
        <v>1</v>
      </c>
      <c r="B31" s="356" t="s">
        <v>281</v>
      </c>
      <c r="C31" s="147"/>
      <c r="D31" s="525" t="s">
        <v>1633</v>
      </c>
      <c r="E31" s="157"/>
      <c r="F31" s="525" t="s">
        <v>1633</v>
      </c>
      <c r="G31" s="157"/>
      <c r="H31" s="525" t="s">
        <v>1633</v>
      </c>
      <c r="I31" s="157"/>
      <c r="J31" s="525" t="s">
        <v>1633</v>
      </c>
      <c r="K31" s="157"/>
      <c r="M31" s="356" t="s">
        <v>281</v>
      </c>
      <c r="N31" s="147"/>
      <c r="O31" s="566" t="e">
        <f ca="1">[2]!s重量バラ(O21)</f>
        <v>#NAME?</v>
      </c>
      <c r="P31" s="157"/>
      <c r="Q31" s="566" t="e">
        <f ca="1">[2]!s重量バラ(Q21)</f>
        <v>#NAME?</v>
      </c>
      <c r="R31" s="157"/>
      <c r="S31" s="566" t="e">
        <f ca="1">[2]!s重量バラ(S21)</f>
        <v>#NAME?</v>
      </c>
      <c r="T31" s="157"/>
      <c r="U31" s="566" t="e">
        <f ca="1">[2]!s重量バラ(U21)</f>
        <v>#NAME?</v>
      </c>
      <c r="V31" s="157"/>
    </row>
    <row r="32" spans="1:22" s="28" customFormat="1" x14ac:dyDescent="0.2">
      <c r="A32" s="319">
        <v>1</v>
      </c>
      <c r="B32" s="356" t="s">
        <v>282</v>
      </c>
      <c r="C32" s="147"/>
      <c r="D32" s="60" t="s">
        <v>1082</v>
      </c>
      <c r="E32" s="157"/>
      <c r="F32" s="60" t="s">
        <v>1082</v>
      </c>
      <c r="G32" s="157"/>
      <c r="H32" s="60" t="s">
        <v>1082</v>
      </c>
      <c r="I32" s="157"/>
      <c r="J32" s="60" t="s">
        <v>1082</v>
      </c>
      <c r="K32" s="157"/>
      <c r="M32" s="356" t="s">
        <v>282</v>
      </c>
      <c r="N32" s="147"/>
      <c r="O32" s="563" t="e">
        <f ca="1">[2]!sケース単位(O21)</f>
        <v>#NAME?</v>
      </c>
      <c r="P32" s="157"/>
      <c r="Q32" s="563" t="e">
        <f ca="1">[2]!sケース単位(Q21)</f>
        <v>#NAME?</v>
      </c>
      <c r="R32" s="157"/>
      <c r="S32" s="563" t="e">
        <f ca="1">[2]!sケース単位(S21)</f>
        <v>#NAME?</v>
      </c>
      <c r="T32" s="157"/>
      <c r="U32" s="563" t="e">
        <f ca="1">[2]!sケース単位(U21)</f>
        <v>#NAME?</v>
      </c>
      <c r="V32" s="157"/>
    </row>
    <row r="33" spans="1:22" s="28" customFormat="1" x14ac:dyDescent="0.2">
      <c r="A33" s="319">
        <v>1</v>
      </c>
      <c r="B33" s="356" t="s">
        <v>283</v>
      </c>
      <c r="C33" s="147"/>
      <c r="D33" s="60" t="s">
        <v>1405</v>
      </c>
      <c r="E33" s="157"/>
      <c r="F33" s="60" t="s">
        <v>1405</v>
      </c>
      <c r="G33" s="157"/>
      <c r="H33" s="60" t="s">
        <v>1405</v>
      </c>
      <c r="I33" s="157"/>
      <c r="J33" s="60" t="s">
        <v>1405</v>
      </c>
      <c r="K33" s="157"/>
      <c r="M33" s="356" t="s">
        <v>283</v>
      </c>
      <c r="N33" s="147"/>
      <c r="O33" s="563" t="e">
        <f ca="1">[2]!sバラ単位(O21)</f>
        <v>#NAME?</v>
      </c>
      <c r="P33" s="157"/>
      <c r="Q33" s="563" t="e">
        <f ca="1">[2]!sバラ単位(Q21)</f>
        <v>#NAME?</v>
      </c>
      <c r="R33" s="157"/>
      <c r="S33" s="563" t="e">
        <f ca="1">[2]!sバラ単位(S21)</f>
        <v>#NAME?</v>
      </c>
      <c r="T33" s="157"/>
      <c r="U33" s="563" t="e">
        <f ca="1">[2]!sバラ単位(U21)</f>
        <v>#NAME?</v>
      </c>
      <c r="V33" s="157"/>
    </row>
    <row r="34" spans="1:22" s="28" customFormat="1" x14ac:dyDescent="0.2">
      <c r="A34" s="319">
        <v>1</v>
      </c>
      <c r="B34" s="326" t="s">
        <v>362</v>
      </c>
      <c r="C34" s="147"/>
      <c r="D34" s="60" t="s">
        <v>493</v>
      </c>
      <c r="E34" s="157"/>
      <c r="F34" s="60" t="s">
        <v>493</v>
      </c>
      <c r="G34" s="157"/>
      <c r="H34" s="60" t="s">
        <v>493</v>
      </c>
      <c r="I34" s="157"/>
      <c r="J34" s="60" t="s">
        <v>493</v>
      </c>
      <c r="K34" s="157"/>
      <c r="M34" s="326" t="s">
        <v>362</v>
      </c>
      <c r="N34" s="147"/>
      <c r="O34" s="563" t="e">
        <f ca="1">[2]!s在庫管理(O21)</f>
        <v>#NAME?</v>
      </c>
      <c r="P34" s="157"/>
      <c r="Q34" s="563" t="e">
        <f ca="1">[2]!s在庫管理(Q21)</f>
        <v>#NAME?</v>
      </c>
      <c r="R34" s="157"/>
      <c r="S34" s="563" t="e">
        <f ca="1">[2]!s在庫管理(S21)</f>
        <v>#NAME?</v>
      </c>
      <c r="T34" s="157"/>
      <c r="U34" s="563" t="e">
        <f ca="1">[2]!s在庫管理(U21)</f>
        <v>#NAME?</v>
      </c>
      <c r="V34" s="157"/>
    </row>
    <row r="35" spans="1:22" s="28" customFormat="1" x14ac:dyDescent="0.2">
      <c r="A35" s="319">
        <v>1</v>
      </c>
      <c r="B35" s="327" t="s">
        <v>361</v>
      </c>
      <c r="C35" s="147"/>
      <c r="D35" s="146">
        <v>45639</v>
      </c>
      <c r="E35" s="158"/>
      <c r="F35" s="146">
        <v>45640</v>
      </c>
      <c r="G35" s="158"/>
      <c r="H35" s="146">
        <v>45641</v>
      </c>
      <c r="I35" s="158"/>
      <c r="J35" s="146">
        <v>45642</v>
      </c>
      <c r="K35" s="158"/>
      <c r="M35" s="327" t="s">
        <v>361</v>
      </c>
      <c r="N35" s="147"/>
      <c r="O35" s="567" t="e">
        <f ca="1">[2]!s商品発売日(O21)</f>
        <v>#NAME?</v>
      </c>
      <c r="P35" s="158"/>
      <c r="Q35" s="567" t="e">
        <f ca="1">[2]!s商品発売日(Q21)</f>
        <v>#NAME?</v>
      </c>
      <c r="R35" s="158"/>
      <c r="S35" s="567" t="e">
        <f ca="1">[2]!s商品発売日(S21)</f>
        <v>#NAME?</v>
      </c>
      <c r="T35" s="158"/>
      <c r="U35" s="567" t="e">
        <f ca="1">[2]!s商品発売日(U21)</f>
        <v>#NAME?</v>
      </c>
      <c r="V35" s="158"/>
    </row>
    <row r="36" spans="1:22" s="28" customFormat="1" x14ac:dyDescent="0.2">
      <c r="A36" s="319">
        <v>1</v>
      </c>
      <c r="B36" s="360" t="s">
        <v>491</v>
      </c>
      <c r="C36" s="220" t="s">
        <v>492</v>
      </c>
      <c r="D36" s="170" t="s">
        <v>1636</v>
      </c>
      <c r="E36" s="157"/>
      <c r="F36" s="170" t="s">
        <v>1636</v>
      </c>
      <c r="G36" s="157"/>
      <c r="H36" s="170" t="s">
        <v>1636</v>
      </c>
      <c r="I36" s="157"/>
      <c r="J36" s="170" t="s">
        <v>1636</v>
      </c>
      <c r="K36" s="157"/>
      <c r="M36" s="360" t="s">
        <v>491</v>
      </c>
      <c r="N36" s="220" t="s">
        <v>492</v>
      </c>
      <c r="O36" s="563" t="e">
        <f ca="1">[2]!s賞味期限日数(O21)</f>
        <v>#NAME?</v>
      </c>
      <c r="P36" s="157"/>
      <c r="Q36" s="563" t="e">
        <f ca="1">[2]!s賞味期限日数(Q21)</f>
        <v>#NAME?</v>
      </c>
      <c r="R36" s="157"/>
      <c r="S36" s="563" t="e">
        <f ca="1">[2]!s賞味期限日数(S21)</f>
        <v>#NAME?</v>
      </c>
      <c r="T36" s="157"/>
      <c r="U36" s="563" t="e">
        <f ca="1">[2]!s賞味期限日数(U21)</f>
        <v>#NAME?</v>
      </c>
      <c r="V36" s="157"/>
    </row>
    <row r="37" spans="1:22" s="28" customFormat="1" x14ac:dyDescent="0.2">
      <c r="A37" s="319">
        <v>1</v>
      </c>
      <c r="B37" s="327" t="s">
        <v>58</v>
      </c>
      <c r="C37" s="147"/>
      <c r="D37" s="146">
        <v>45624</v>
      </c>
      <c r="E37" s="158"/>
      <c r="F37" s="146">
        <v>45624</v>
      </c>
      <c r="G37" s="158"/>
      <c r="H37" s="146">
        <v>45624</v>
      </c>
      <c r="I37" s="158"/>
      <c r="J37" s="146">
        <v>45624</v>
      </c>
      <c r="K37" s="158"/>
      <c r="M37" s="327" t="s">
        <v>58</v>
      </c>
      <c r="N37" s="147"/>
      <c r="O37" s="567" t="e">
        <f ca="1">[2]!s取扱開始日(O21)</f>
        <v>#NAME?</v>
      </c>
      <c r="P37" s="158"/>
      <c r="Q37" s="567" t="e">
        <f ca="1">[2]!s取扱開始日(Q21)</f>
        <v>#NAME?</v>
      </c>
      <c r="R37" s="158"/>
      <c r="S37" s="567" t="e">
        <f ca="1">[2]!s取扱開始日(S21)</f>
        <v>#NAME?</v>
      </c>
      <c r="T37" s="158"/>
      <c r="U37" s="567" t="e">
        <f ca="1">[2]!s取扱開始日(U21)</f>
        <v>#NAME?</v>
      </c>
      <c r="V37" s="158"/>
    </row>
    <row r="38" spans="1:22" s="28" customFormat="1" x14ac:dyDescent="0.2">
      <c r="A38" s="319">
        <v>1</v>
      </c>
      <c r="B38" s="327" t="s">
        <v>1065</v>
      </c>
      <c r="C38" s="311"/>
      <c r="D38" s="146"/>
      <c r="E38" s="158"/>
      <c r="F38" s="146"/>
      <c r="G38" s="158"/>
      <c r="H38" s="146"/>
      <c r="I38" s="158"/>
      <c r="J38" s="146"/>
      <c r="K38" s="158"/>
      <c r="M38" s="327" t="s">
        <v>1065</v>
      </c>
      <c r="N38" s="311"/>
      <c r="O38" s="567" t="e">
        <f ca="1">[2]!s終売(O21)</f>
        <v>#NAME?</v>
      </c>
      <c r="P38" s="158"/>
      <c r="Q38" s="567" t="e">
        <f ca="1">[2]!s終売(Q21)</f>
        <v>#NAME?</v>
      </c>
      <c r="R38" s="158"/>
      <c r="S38" s="567" t="e">
        <f ca="1">[2]!s終売(S21)</f>
        <v>#NAME?</v>
      </c>
      <c r="T38" s="158"/>
      <c r="U38" s="567" t="e">
        <f ca="1">[2]!s終売(U21)</f>
        <v>#NAME?</v>
      </c>
      <c r="V38" s="158"/>
    </row>
    <row r="39" spans="1:22" s="28" customFormat="1" x14ac:dyDescent="0.2">
      <c r="A39" s="319">
        <v>1</v>
      </c>
      <c r="B39" s="357" t="s">
        <v>1101</v>
      </c>
      <c r="C39" s="147"/>
      <c r="D39" s="145" t="s">
        <v>416</v>
      </c>
      <c r="E39" s="158"/>
      <c r="F39" s="145" t="s">
        <v>416</v>
      </c>
      <c r="G39" s="158"/>
      <c r="H39" s="145" t="s">
        <v>416</v>
      </c>
      <c r="I39" s="158"/>
      <c r="J39" s="145" t="s">
        <v>416</v>
      </c>
      <c r="K39" s="158"/>
      <c r="M39" s="357" t="s">
        <v>1101</v>
      </c>
      <c r="N39" s="147"/>
      <c r="O39" s="568" t="e">
        <f ca="1">[2]!s課税区分(O21)</f>
        <v>#NAME?</v>
      </c>
      <c r="P39" s="158"/>
      <c r="Q39" s="568" t="e">
        <f ca="1">[2]!s課税区分(Q21)</f>
        <v>#NAME?</v>
      </c>
      <c r="R39" s="158"/>
      <c r="S39" s="568" t="e">
        <f ca="1">[2]!s課税区分(S21)</f>
        <v>#NAME?</v>
      </c>
      <c r="T39" s="158"/>
      <c r="U39" s="568" t="e">
        <f ca="1">[2]!s課税区分(U21)</f>
        <v>#NAME?</v>
      </c>
      <c r="V39" s="158"/>
    </row>
    <row r="40" spans="1:22" s="28" customFormat="1" x14ac:dyDescent="0.2">
      <c r="A40" s="319">
        <v>1</v>
      </c>
      <c r="B40" s="357" t="s">
        <v>1096</v>
      </c>
      <c r="C40" s="147"/>
      <c r="D40" s="60">
        <v>10</v>
      </c>
      <c r="E40" s="158"/>
      <c r="F40" s="60">
        <v>10</v>
      </c>
      <c r="G40" s="158"/>
      <c r="H40" s="60">
        <v>10</v>
      </c>
      <c r="I40" s="158"/>
      <c r="J40" s="60">
        <v>10</v>
      </c>
      <c r="K40" s="158"/>
      <c r="M40" s="357" t="s">
        <v>1096</v>
      </c>
      <c r="N40" s="147"/>
      <c r="O40" s="563" t="e">
        <f ca="1">[2]!s消費税率(O21)</f>
        <v>#NAME?</v>
      </c>
      <c r="P40" s="158"/>
      <c r="Q40" s="563" t="e">
        <f ca="1">[2]!s消費税率(Q21)</f>
        <v>#NAME?</v>
      </c>
      <c r="R40" s="158"/>
      <c r="S40" s="563" t="e">
        <f ca="1">[2]!s消費税率(S21)</f>
        <v>#NAME?</v>
      </c>
      <c r="T40" s="158"/>
      <c r="U40" s="563" t="e">
        <f ca="1">[2]!s消費税率(U21)</f>
        <v>#NAME?</v>
      </c>
      <c r="V40" s="158"/>
    </row>
    <row r="41" spans="1:22" s="28" customFormat="1" ht="27" customHeight="1" x14ac:dyDescent="0.2">
      <c r="A41" s="319">
        <v>1</v>
      </c>
      <c r="B41" s="324" t="s">
        <v>270</v>
      </c>
      <c r="C41" s="311"/>
      <c r="D41" s="60" t="s">
        <v>1871</v>
      </c>
      <c r="E41" s="157"/>
      <c r="F41" s="60" t="s">
        <v>706</v>
      </c>
      <c r="G41" s="157"/>
      <c r="H41" s="60" t="s">
        <v>1872</v>
      </c>
      <c r="I41" s="157"/>
      <c r="J41" s="60" t="s">
        <v>222</v>
      </c>
      <c r="K41" s="157"/>
      <c r="M41" s="324" t="s">
        <v>270</v>
      </c>
      <c r="N41" s="147"/>
      <c r="O41" s="563" t="e">
        <f ca="1">[2]!s種別コード(O21)&amp;[2]!s種別名(O21)</f>
        <v>#NAME?</v>
      </c>
      <c r="P41" s="157"/>
      <c r="Q41" s="563" t="e">
        <f ca="1">[2]!s種別コード(Q21)&amp;[2]!s種別名(Q21)</f>
        <v>#NAME?</v>
      </c>
      <c r="R41" s="157"/>
      <c r="S41" s="563" t="e">
        <f ca="1">[2]!s種別コード(S21)&amp;[2]!s種別名(S21)</f>
        <v>#NAME?</v>
      </c>
      <c r="T41" s="157"/>
      <c r="U41" s="563" t="e">
        <f ca="1">[2]!s種別コード(U21)&amp;[2]!s種別名(U21)</f>
        <v>#NAME?</v>
      </c>
      <c r="V41" s="157"/>
    </row>
    <row r="42" spans="1:22" s="241" customFormat="1" x14ac:dyDescent="0.2">
      <c r="A42" s="319">
        <v>1</v>
      </c>
      <c r="B42" s="347" t="s">
        <v>85</v>
      </c>
      <c r="C42" s="147"/>
      <c r="D42" s="117" t="s">
        <v>1109</v>
      </c>
      <c r="E42" s="157"/>
      <c r="F42" s="117" t="s">
        <v>1109</v>
      </c>
      <c r="G42" s="157"/>
      <c r="H42" s="117" t="s">
        <v>1109</v>
      </c>
      <c r="I42" s="157"/>
      <c r="J42" s="117" t="s">
        <v>1109</v>
      </c>
      <c r="K42" s="157"/>
      <c r="M42" s="347" t="s">
        <v>85</v>
      </c>
      <c r="N42" s="147"/>
      <c r="O42" s="569" t="e">
        <f ca="1">[2]!s温度帯区分(O21)</f>
        <v>#NAME?</v>
      </c>
      <c r="P42" s="157"/>
      <c r="Q42" s="569" t="e">
        <f ca="1">[2]!s温度帯区分(Q21)</f>
        <v>#NAME?</v>
      </c>
      <c r="R42" s="157"/>
      <c r="S42" s="569" t="e">
        <f ca="1">[2]!s温度帯区分(S21)</f>
        <v>#NAME?</v>
      </c>
      <c r="T42" s="157"/>
      <c r="U42" s="569" t="e">
        <f ca="1">[2]!s温度帯区分(U21)</f>
        <v>#NAME?</v>
      </c>
      <c r="V42" s="157"/>
    </row>
    <row r="43" spans="1:22" x14ac:dyDescent="0.15">
      <c r="A43" s="319">
        <v>1</v>
      </c>
      <c r="B43" s="354" t="s">
        <v>83</v>
      </c>
      <c r="C43" s="24"/>
      <c r="D43" s="117" t="s">
        <v>1110</v>
      </c>
      <c r="E43" s="157"/>
      <c r="F43" s="117" t="s">
        <v>1110</v>
      </c>
      <c r="G43" s="157"/>
      <c r="H43" s="117" t="s">
        <v>1110</v>
      </c>
      <c r="I43" s="157"/>
      <c r="J43" s="117" t="s">
        <v>1110</v>
      </c>
      <c r="K43" s="157"/>
      <c r="M43" s="354" t="s">
        <v>83</v>
      </c>
      <c r="N43" s="24"/>
      <c r="O43" s="569" t="e">
        <f ca="1">[2]!s物流区分(O21)</f>
        <v>#NAME?</v>
      </c>
      <c r="P43" s="157"/>
      <c r="Q43" s="569" t="e">
        <f ca="1">[2]!s物流区分(Q21)</f>
        <v>#NAME?</v>
      </c>
      <c r="R43" s="157"/>
      <c r="S43" s="569" t="e">
        <f ca="1">[2]!s物流区分(S21)</f>
        <v>#NAME?</v>
      </c>
      <c r="T43" s="157"/>
      <c r="U43" s="569" t="e">
        <f ca="1">[2]!s物流区分(U21)</f>
        <v>#NAME?</v>
      </c>
      <c r="V43" s="157"/>
    </row>
    <row r="44" spans="1:22" x14ac:dyDescent="0.15">
      <c r="A44" s="319">
        <v>1</v>
      </c>
      <c r="B44" s="326" t="s">
        <v>84</v>
      </c>
      <c r="C44" s="24"/>
      <c r="D44" s="117" t="s">
        <v>648</v>
      </c>
      <c r="E44" s="157"/>
      <c r="F44" s="117" t="s">
        <v>648</v>
      </c>
      <c r="G44" s="157"/>
      <c r="H44" s="117" t="s">
        <v>648</v>
      </c>
      <c r="I44" s="157"/>
      <c r="J44" s="117" t="s">
        <v>648</v>
      </c>
      <c r="K44" s="157"/>
      <c r="M44" s="326" t="s">
        <v>84</v>
      </c>
      <c r="N44" s="24"/>
      <c r="O44" s="569" t="e">
        <f ca="1">[2]!sデポ当日発注区分(O21)</f>
        <v>#NAME?</v>
      </c>
      <c r="P44" s="157"/>
      <c r="Q44" s="569" t="e">
        <f ca="1">[2]!sデポ当日発注区分(Q21)</f>
        <v>#NAME?</v>
      </c>
      <c r="R44" s="157"/>
      <c r="S44" s="569" t="e">
        <f ca="1">[2]!sデポ当日発注区分(S21)</f>
        <v>#NAME?</v>
      </c>
      <c r="T44" s="157"/>
      <c r="U44" s="569" t="e">
        <f ca="1">[2]!sデポ当日発注区分(U21)</f>
        <v>#NAME?</v>
      </c>
      <c r="V44" s="157"/>
    </row>
    <row r="45" spans="1:22" x14ac:dyDescent="0.15">
      <c r="A45" s="319">
        <v>1</v>
      </c>
      <c r="B45" s="328" t="s">
        <v>363</v>
      </c>
      <c r="C45" s="147" t="s">
        <v>1102</v>
      </c>
      <c r="D45" s="170" t="s">
        <v>1640</v>
      </c>
      <c r="E45" s="157"/>
      <c r="F45" s="170" t="s">
        <v>1640</v>
      </c>
      <c r="G45" s="157"/>
      <c r="H45" s="170" t="s">
        <v>1640</v>
      </c>
      <c r="I45" s="157"/>
      <c r="J45" s="170" t="s">
        <v>1640</v>
      </c>
      <c r="K45" s="157"/>
      <c r="M45" s="328" t="s">
        <v>363</v>
      </c>
      <c r="N45" s="147" t="s">
        <v>1102</v>
      </c>
      <c r="O45" s="563" t="e">
        <f ca="1">[2]!s直送品納品リードタイム(O21)</f>
        <v>#NAME?</v>
      </c>
      <c r="P45" s="157"/>
      <c r="Q45" s="563" t="e">
        <f ca="1">[2]!s直送品納品リードタイム(Q21)</f>
        <v>#NAME?</v>
      </c>
      <c r="R45" s="157"/>
      <c r="S45" s="563" t="e">
        <f ca="1">[2]!s直送品納品リードタイム(S21)</f>
        <v>#NAME?</v>
      </c>
      <c r="T45" s="157"/>
      <c r="U45" s="563" t="e">
        <f ca="1">[2]!s直送品納品リードタイム(U21)</f>
        <v>#NAME?</v>
      </c>
      <c r="V45" s="157"/>
    </row>
    <row r="46" spans="1:22" x14ac:dyDescent="0.15">
      <c r="A46" s="319">
        <v>1</v>
      </c>
      <c r="B46" s="328" t="s">
        <v>1091</v>
      </c>
      <c r="C46" s="147" t="s">
        <v>1102</v>
      </c>
      <c r="D46" s="414" t="s">
        <v>1641</v>
      </c>
      <c r="E46" s="157"/>
      <c r="F46" s="414" t="s">
        <v>1641</v>
      </c>
      <c r="G46" s="157"/>
      <c r="H46" s="414" t="s">
        <v>1641</v>
      </c>
      <c r="I46" s="157"/>
      <c r="J46" s="414" t="s">
        <v>1641</v>
      </c>
      <c r="K46" s="157"/>
      <c r="M46" s="328" t="s">
        <v>1091</v>
      </c>
      <c r="N46" s="147" t="s">
        <v>1102</v>
      </c>
      <c r="O46" s="563" t="e">
        <f ca="1">[2]!sギフト直送品(O21)</f>
        <v>#NAME?</v>
      </c>
      <c r="P46" s="157"/>
      <c r="Q46" s="563" t="e">
        <f ca="1">[2]!sギフト直送品(Q21)</f>
        <v>#NAME?</v>
      </c>
      <c r="R46" s="157"/>
      <c r="S46" s="563" t="e">
        <f ca="1">[2]!sギフト直送品(S21)</f>
        <v>#NAME?</v>
      </c>
      <c r="T46" s="157"/>
      <c r="U46" s="563" t="e">
        <f ca="1">[2]!sギフト直送品(U21)</f>
        <v>#NAME?</v>
      </c>
      <c r="V46" s="157"/>
    </row>
    <row r="47" spans="1:22" ht="21.6" x14ac:dyDescent="0.15">
      <c r="A47" s="319">
        <v>1</v>
      </c>
      <c r="B47" s="324" t="s">
        <v>659</v>
      </c>
      <c r="C47" s="311" t="s">
        <v>1149</v>
      </c>
      <c r="D47" s="59">
        <v>0</v>
      </c>
      <c r="E47" s="158"/>
      <c r="F47" s="59">
        <v>0</v>
      </c>
      <c r="G47" s="158"/>
      <c r="H47" s="59">
        <v>0</v>
      </c>
      <c r="I47" s="158"/>
      <c r="J47" s="59">
        <v>0</v>
      </c>
      <c r="K47" s="158"/>
      <c r="M47" s="324" t="s">
        <v>659</v>
      </c>
      <c r="N47" s="147" t="s">
        <v>1102</v>
      </c>
      <c r="O47" s="569" t="e">
        <f ca="1">[2]!sパッケージ構成商品コード(O21)</f>
        <v>#NAME?</v>
      </c>
      <c r="P47" s="158"/>
      <c r="Q47" s="569" t="e">
        <f ca="1">[2]!sパッケージ構成商品コード(Q21)</f>
        <v>#NAME?</v>
      </c>
      <c r="R47" s="158"/>
      <c r="S47" s="569" t="e">
        <f ca="1">[2]!sパッケージ構成商品コード(S21)</f>
        <v>#NAME?</v>
      </c>
      <c r="T47" s="158"/>
      <c r="U47" s="569" t="e">
        <f ca="1">[2]!sパッケージ構成商品コード(U21)</f>
        <v>#NAME?</v>
      </c>
      <c r="V47" s="158"/>
    </row>
    <row r="48" spans="1:22" x14ac:dyDescent="0.15">
      <c r="A48" s="319">
        <v>1</v>
      </c>
      <c r="B48" s="412" t="s">
        <v>365</v>
      </c>
      <c r="C48" s="147" t="s">
        <v>1090</v>
      </c>
      <c r="D48" s="59">
        <v>100</v>
      </c>
      <c r="E48" s="158"/>
      <c r="F48" s="59">
        <v>100</v>
      </c>
      <c r="G48" s="158"/>
      <c r="H48" s="59">
        <v>100</v>
      </c>
      <c r="I48" s="158"/>
      <c r="J48" s="59">
        <v>100</v>
      </c>
      <c r="K48" s="158"/>
      <c r="M48" s="412" t="s">
        <v>365</v>
      </c>
      <c r="N48" s="147" t="s">
        <v>1102</v>
      </c>
      <c r="O48" s="569" t="e">
        <f ca="1">[2]!sパッケージ構成数(O21)</f>
        <v>#NAME?</v>
      </c>
      <c r="P48" s="158"/>
      <c r="Q48" s="569" t="e">
        <f ca="1">[2]!sパッケージ構成数(Q21)</f>
        <v>#NAME?</v>
      </c>
      <c r="R48" s="158"/>
      <c r="S48" s="569" t="e">
        <f ca="1">[2]!sパッケージ構成数(S21)</f>
        <v>#NAME?</v>
      </c>
      <c r="T48" s="158"/>
      <c r="U48" s="569" t="e">
        <f ca="1">[2]!sパッケージ構成数(U21)</f>
        <v>#NAME?</v>
      </c>
      <c r="V48" s="158"/>
    </row>
    <row r="49" spans="1:23" s="28" customFormat="1" ht="27" customHeight="1" x14ac:dyDescent="0.2">
      <c r="A49" s="319">
        <v>1</v>
      </c>
      <c r="B49" s="356" t="s">
        <v>285</v>
      </c>
      <c r="C49" s="348"/>
      <c r="D49" s="314" t="s">
        <v>755</v>
      </c>
      <c r="E49" s="159"/>
      <c r="F49" s="314" t="s">
        <v>755</v>
      </c>
      <c r="G49" s="159"/>
      <c r="H49" s="314" t="s">
        <v>755</v>
      </c>
      <c r="I49" s="159"/>
      <c r="J49" s="314" t="s">
        <v>755</v>
      </c>
      <c r="K49" s="159"/>
      <c r="M49" s="356" t="s">
        <v>285</v>
      </c>
      <c r="N49" s="138"/>
      <c r="O49" s="43" t="e">
        <f ca="1">[2]!s小分類コード(O21)&amp;[2]!s小分類名(O21)</f>
        <v>#NAME?</v>
      </c>
      <c r="P49" s="159"/>
      <c r="Q49" s="43" t="e">
        <f ca="1">[2]!s小分類コード(Q21)&amp;[2]!s小分類名(Q21)</f>
        <v>#NAME?</v>
      </c>
      <c r="R49" s="159"/>
      <c r="S49" s="43" t="e">
        <f ca="1">[2]!s小分類コード(S21)&amp;[2]!s小分類名(S21)</f>
        <v>#NAME?</v>
      </c>
      <c r="T49" s="159"/>
      <c r="U49" s="43" t="e">
        <f ca="1">[2]!s小分類コード(U21)&amp;[2]!s小分類名(U21)</f>
        <v>#NAME?</v>
      </c>
      <c r="V49" s="159"/>
    </row>
    <row r="50" spans="1:23" s="28" customFormat="1" ht="27" customHeight="1" x14ac:dyDescent="0.2">
      <c r="A50" s="241">
        <v>2</v>
      </c>
      <c r="B50" s="356" t="s">
        <v>55</v>
      </c>
      <c r="C50" s="147"/>
      <c r="D50" s="60" t="s">
        <v>953</v>
      </c>
      <c r="E50" s="157"/>
      <c r="F50" s="60" t="s">
        <v>911</v>
      </c>
      <c r="G50" s="157"/>
      <c r="H50" s="60" t="s">
        <v>708</v>
      </c>
      <c r="I50" s="157"/>
      <c r="J50" s="60" t="s">
        <v>961</v>
      </c>
      <c r="K50" s="157"/>
      <c r="M50" s="356" t="s">
        <v>55</v>
      </c>
      <c r="N50" s="147"/>
      <c r="O50" s="563" t="e">
        <f ca="1">[2]!s分類コード(O21)&amp;[2]!s分類名(O21)</f>
        <v>#NAME?</v>
      </c>
      <c r="P50" s="157"/>
      <c r="Q50" s="563" t="e">
        <f ca="1">[2]!s分類コード(Q21)&amp;[2]!s分類名(Q21)</f>
        <v>#NAME?</v>
      </c>
      <c r="R50" s="157"/>
      <c r="S50" s="563" t="e">
        <f ca="1">[2]!s分類コード(S21)&amp;[2]!s分類名(S21)</f>
        <v>#NAME?</v>
      </c>
      <c r="T50" s="157"/>
      <c r="U50" s="563" t="e">
        <f ca="1">[2]!s分類コード(U21)&amp;[2]!s分類名(U21)</f>
        <v>#NAME?</v>
      </c>
      <c r="V50" s="157"/>
    </row>
    <row r="51" spans="1:23" s="28" customFormat="1" x14ac:dyDescent="0.2">
      <c r="A51" s="241">
        <v>2</v>
      </c>
      <c r="B51" s="326" t="s">
        <v>660</v>
      </c>
      <c r="C51" s="147" t="s">
        <v>1090</v>
      </c>
      <c r="D51" s="59">
        <v>12345678</v>
      </c>
      <c r="E51" s="157"/>
      <c r="F51" s="59">
        <v>12345678</v>
      </c>
      <c r="G51" s="157"/>
      <c r="H51" s="59">
        <v>12345678</v>
      </c>
      <c r="I51" s="157"/>
      <c r="J51" s="59">
        <v>12345678</v>
      </c>
      <c r="K51" s="157"/>
      <c r="M51" s="326" t="s">
        <v>125</v>
      </c>
      <c r="N51" s="149"/>
      <c r="O51" s="563" t="e">
        <f ca="1">[2]!s空容器コード(O21)</f>
        <v>#NAME?</v>
      </c>
      <c r="P51" s="157"/>
      <c r="Q51" s="563" t="e">
        <f ca="1">[2]!s空容器コード(Q21)</f>
        <v>#NAME?</v>
      </c>
      <c r="R51" s="157"/>
      <c r="S51" s="563" t="e">
        <f ca="1">[2]!s空容器コード(S21)</f>
        <v>#NAME?</v>
      </c>
      <c r="T51" s="157"/>
      <c r="U51" s="563" t="e">
        <f ca="1">[2]!s空容器コード(U21)</f>
        <v>#NAME?</v>
      </c>
      <c r="V51" s="157"/>
    </row>
    <row r="52" spans="1:23" s="28" customFormat="1" x14ac:dyDescent="0.2">
      <c r="A52" s="241">
        <v>2</v>
      </c>
      <c r="B52" s="326" t="s">
        <v>661</v>
      </c>
      <c r="C52" s="147" t="s">
        <v>1090</v>
      </c>
      <c r="D52" s="59">
        <v>12345678</v>
      </c>
      <c r="E52" s="157"/>
      <c r="F52" s="59">
        <v>12345678</v>
      </c>
      <c r="G52" s="157"/>
      <c r="H52" s="59">
        <v>12345678</v>
      </c>
      <c r="I52" s="157"/>
      <c r="J52" s="59">
        <v>12345678</v>
      </c>
      <c r="K52" s="157"/>
      <c r="M52" s="326" t="s">
        <v>403</v>
      </c>
      <c r="N52" s="147"/>
      <c r="O52" s="563" t="e">
        <f ca="1">[2]!s空函コード(O21)</f>
        <v>#NAME?</v>
      </c>
      <c r="P52" s="157"/>
      <c r="Q52" s="563" t="e">
        <f ca="1">[2]!s空函コード(Q21)</f>
        <v>#NAME?</v>
      </c>
      <c r="R52" s="157"/>
      <c r="S52" s="563" t="e">
        <f ca="1">[2]!s空函コード(S21)</f>
        <v>#NAME?</v>
      </c>
      <c r="T52" s="157"/>
      <c r="U52" s="563" t="e">
        <f ca="1">[2]!s空函コード(U21)</f>
        <v>#NAME?</v>
      </c>
      <c r="V52" s="157"/>
    </row>
    <row r="53" spans="1:23" s="28" customFormat="1" x14ac:dyDescent="0.2">
      <c r="A53" s="241">
        <v>2</v>
      </c>
      <c r="B53" s="326" t="s">
        <v>404</v>
      </c>
      <c r="C53" s="147" t="s">
        <v>1090</v>
      </c>
      <c r="D53" s="59"/>
      <c r="E53" s="157"/>
      <c r="F53" s="59"/>
      <c r="G53" s="157"/>
      <c r="H53" s="59"/>
      <c r="I53" s="157"/>
      <c r="J53" s="59"/>
      <c r="K53" s="157"/>
      <c r="M53" s="326" t="s">
        <v>404</v>
      </c>
      <c r="N53" s="147"/>
      <c r="O53" s="563" t="e">
        <f ca="1">[2]!s容器区分(O21)</f>
        <v>#NAME?</v>
      </c>
      <c r="P53" s="157"/>
      <c r="Q53" s="563" t="e">
        <f ca="1">[2]!s容器区分(Q21)</f>
        <v>#NAME?</v>
      </c>
      <c r="R53" s="157"/>
      <c r="S53" s="563" t="e">
        <f ca="1">[2]!s容器区分(S21)</f>
        <v>#NAME?</v>
      </c>
      <c r="T53" s="157"/>
      <c r="U53" s="563" t="e">
        <f ca="1">[2]!s容器区分(U21)</f>
        <v>#NAME?</v>
      </c>
      <c r="V53" s="157"/>
    </row>
    <row r="54" spans="1:23" s="28" customFormat="1" x14ac:dyDescent="0.2">
      <c r="A54" s="241">
        <v>2</v>
      </c>
      <c r="B54" s="326" t="s">
        <v>405</v>
      </c>
      <c r="C54" s="147" t="s">
        <v>1092</v>
      </c>
      <c r="D54" s="60" t="s">
        <v>200</v>
      </c>
      <c r="E54" s="157"/>
      <c r="F54" s="60" t="s">
        <v>200</v>
      </c>
      <c r="G54" s="157"/>
      <c r="H54" s="60" t="s">
        <v>200</v>
      </c>
      <c r="I54" s="157"/>
      <c r="J54" s="60" t="s">
        <v>200</v>
      </c>
      <c r="K54" s="157"/>
      <c r="M54" s="326" t="s">
        <v>405</v>
      </c>
      <c r="N54" s="147"/>
      <c r="O54" s="563" t="e">
        <f ca="1">[2]!sHT空容器回収(O21)</f>
        <v>#NAME?</v>
      </c>
      <c r="P54" s="157"/>
      <c r="Q54" s="563" t="e">
        <f ca="1">[2]!sHT空容器回収(Q21)</f>
        <v>#NAME?</v>
      </c>
      <c r="R54" s="157"/>
      <c r="S54" s="563" t="e">
        <f ca="1">[2]!sHT空容器回収(S21)</f>
        <v>#NAME?</v>
      </c>
      <c r="T54" s="157"/>
      <c r="U54" s="563" t="e">
        <f ca="1">[2]!sHT空容器回収(U21)</f>
        <v>#NAME?</v>
      </c>
      <c r="V54" s="157"/>
    </row>
    <row r="55" spans="1:23" s="28" customFormat="1" ht="21.6" x14ac:dyDescent="0.2">
      <c r="A55" s="241">
        <v>2</v>
      </c>
      <c r="B55" s="324" t="s">
        <v>1106</v>
      </c>
      <c r="C55" s="348"/>
      <c r="D55" s="170" t="s">
        <v>1643</v>
      </c>
      <c r="E55" s="157"/>
      <c r="F55" s="170" t="s">
        <v>1643</v>
      </c>
      <c r="G55" s="157"/>
      <c r="H55" s="170" t="s">
        <v>1643</v>
      </c>
      <c r="I55" s="157"/>
      <c r="J55" s="170" t="s">
        <v>1643</v>
      </c>
      <c r="K55" s="157"/>
      <c r="M55" s="324" t="s">
        <v>1106</v>
      </c>
      <c r="N55" s="138"/>
      <c r="O55" s="563" t="e">
        <f ca="1">[2]!sSDPコード(O21)</f>
        <v>#NAME?</v>
      </c>
      <c r="P55" s="157"/>
      <c r="Q55" s="563" t="e">
        <f ca="1">[2]!sSDPコード(Q21)</f>
        <v>#NAME?</v>
      </c>
      <c r="R55" s="157"/>
      <c r="S55" s="563" t="e">
        <f ca="1">[2]!sSDPコード(S21)</f>
        <v>#NAME?</v>
      </c>
      <c r="T55" s="157"/>
      <c r="U55" s="563" t="e">
        <f ca="1">[2]!sSDPコード(U21)</f>
        <v>#NAME?</v>
      </c>
      <c r="V55" s="157"/>
    </row>
    <row r="56" spans="1:23" s="28" customFormat="1" ht="27" customHeight="1" x14ac:dyDescent="0.2">
      <c r="A56" s="241">
        <v>2</v>
      </c>
      <c r="B56" s="356" t="s">
        <v>284</v>
      </c>
      <c r="C56" s="348"/>
      <c r="D56" s="60" t="s">
        <v>986</v>
      </c>
      <c r="E56" s="157"/>
      <c r="F56" s="60" t="s">
        <v>1310</v>
      </c>
      <c r="G56" s="157"/>
      <c r="H56" s="60" t="s">
        <v>1309</v>
      </c>
      <c r="I56" s="157"/>
      <c r="J56" s="60" t="s">
        <v>1312</v>
      </c>
      <c r="K56" s="157"/>
      <c r="M56" s="356" t="s">
        <v>284</v>
      </c>
      <c r="N56" s="138"/>
      <c r="O56" s="563" t="e">
        <f ca="1">[2]!s伝発分類コード(O21)&amp;[2]!s伝発分類名(O21)</f>
        <v>#NAME?</v>
      </c>
      <c r="P56" s="157"/>
      <c r="Q56" s="563" t="e">
        <f ca="1">[2]!s伝発分類コード(Q21)&amp;[2]!s伝発分類名(Q21)</f>
        <v>#NAME?</v>
      </c>
      <c r="R56" s="157"/>
      <c r="S56" s="563" t="e">
        <f ca="1">[2]!s伝発分類コード(S21)&amp;[2]!s伝発分類名(S21)</f>
        <v>#NAME?</v>
      </c>
      <c r="T56" s="157"/>
      <c r="U56" s="563" t="e">
        <f ca="1">[2]!s伝発分類コード(U21)&amp;[2]!s伝発分類名(U21)</f>
        <v>#NAME?</v>
      </c>
      <c r="V56" s="157"/>
    </row>
    <row r="57" spans="1:23" s="28" customFormat="1" ht="27" customHeight="1" x14ac:dyDescent="0.2">
      <c r="A57" s="241">
        <v>2</v>
      </c>
      <c r="B57" s="356" t="s">
        <v>267</v>
      </c>
      <c r="C57" s="350" t="s">
        <v>377</v>
      </c>
      <c r="D57" s="60" t="s">
        <v>1313</v>
      </c>
      <c r="E57" s="157"/>
      <c r="F57" s="60" t="s">
        <v>1323</v>
      </c>
      <c r="G57" s="157"/>
      <c r="H57" s="60" t="s">
        <v>1319</v>
      </c>
      <c r="I57" s="157"/>
      <c r="J57" s="60" t="s">
        <v>1324</v>
      </c>
      <c r="K57" s="157"/>
      <c r="M57" s="356" t="s">
        <v>267</v>
      </c>
      <c r="N57" s="148" t="s">
        <v>377</v>
      </c>
      <c r="O57" s="563" t="e">
        <f ca="1">[2]!s酒類コード(O21)&amp;[2]!s酒類名(O21)</f>
        <v>#NAME?</v>
      </c>
      <c r="P57" s="157"/>
      <c r="Q57" s="563" t="e">
        <f ca="1">[2]!s酒類コード(Q21)&amp;[2]!s酒類名(Q21)</f>
        <v>#NAME?</v>
      </c>
      <c r="R57" s="157"/>
      <c r="S57" s="563" t="e">
        <f ca="1">[2]!s酒類コード(S21)&amp;[2]!s酒類名(S21)</f>
        <v>#NAME?</v>
      </c>
      <c r="T57" s="157"/>
      <c r="U57" s="563" t="e">
        <f ca="1">[2]!s酒類コード(U21)&amp;[2]!s酒類名(U21)</f>
        <v>#NAME?</v>
      </c>
      <c r="V57" s="157"/>
    </row>
    <row r="58" spans="1:23" s="28" customFormat="1" ht="11.25" customHeight="1" x14ac:dyDescent="0.2">
      <c r="A58" s="241">
        <v>2</v>
      </c>
      <c r="B58" s="116" t="s">
        <v>366</v>
      </c>
      <c r="C58" s="348"/>
      <c r="D58" s="60" t="s">
        <v>208</v>
      </c>
      <c r="E58" s="157"/>
      <c r="F58" s="60" t="s">
        <v>208</v>
      </c>
      <c r="G58" s="157"/>
      <c r="H58" s="60" t="s">
        <v>208</v>
      </c>
      <c r="I58" s="157"/>
      <c r="J58" s="60" t="s">
        <v>208</v>
      </c>
      <c r="K58" s="157"/>
      <c r="M58" s="116" t="s">
        <v>366</v>
      </c>
      <c r="N58" s="147"/>
      <c r="O58" s="563" t="e">
        <f ca="1">[2]!s国産輸入(O21)</f>
        <v>#NAME?</v>
      </c>
      <c r="P58" s="157"/>
      <c r="Q58" s="563" t="e">
        <f ca="1">[2]!s国産輸入(Q21)</f>
        <v>#NAME?</v>
      </c>
      <c r="R58" s="157"/>
      <c r="S58" s="563" t="e">
        <f ca="1">[2]!s国産輸入(S21)</f>
        <v>#NAME?</v>
      </c>
      <c r="T58" s="157"/>
      <c r="U58" s="563" t="e">
        <f ca="1">[2]!s国産輸入(U21)</f>
        <v>#NAME?</v>
      </c>
      <c r="V58" s="157"/>
    </row>
    <row r="59" spans="1:23" s="28" customFormat="1" x14ac:dyDescent="0.2">
      <c r="A59" s="241">
        <v>2</v>
      </c>
      <c r="B59" s="324" t="s">
        <v>1103</v>
      </c>
      <c r="C59" s="350"/>
      <c r="D59" s="60">
        <v>13.5</v>
      </c>
      <c r="E59" s="157"/>
      <c r="F59" s="60">
        <v>13.5</v>
      </c>
      <c r="G59" s="157"/>
      <c r="H59" s="60">
        <v>13.5</v>
      </c>
      <c r="I59" s="157"/>
      <c r="J59" s="60">
        <v>13.5</v>
      </c>
      <c r="K59" s="157"/>
      <c r="M59" s="324" t="s">
        <v>1103</v>
      </c>
      <c r="N59" s="148"/>
      <c r="O59" s="570" t="e">
        <f ca="1">[2]!sアルコール度数下限(O21)</f>
        <v>#NAME?</v>
      </c>
      <c r="P59" s="157"/>
      <c r="Q59" s="570" t="e">
        <f ca="1">[2]!sアルコール度数下限(Q21)</f>
        <v>#NAME?</v>
      </c>
      <c r="R59" s="157"/>
      <c r="S59" s="570" t="e">
        <f ca="1">[2]!sアルコール度数下限(S21)</f>
        <v>#NAME?</v>
      </c>
      <c r="T59" s="157"/>
      <c r="U59" s="570" t="e">
        <f ca="1">[2]!sアルコール度数下限(U21)</f>
        <v>#NAME?</v>
      </c>
      <c r="V59" s="157"/>
    </row>
    <row r="60" spans="1:23" s="28" customFormat="1" x14ac:dyDescent="0.2">
      <c r="A60" s="241"/>
      <c r="B60" s="324" t="s">
        <v>1104</v>
      </c>
      <c r="C60" s="350"/>
      <c r="D60" s="60">
        <v>13.5</v>
      </c>
      <c r="E60" s="157"/>
      <c r="F60" s="60">
        <v>13.5</v>
      </c>
      <c r="G60" s="157"/>
      <c r="H60" s="60">
        <v>13.5</v>
      </c>
      <c r="I60" s="157"/>
      <c r="J60" s="60">
        <v>13.5</v>
      </c>
      <c r="K60" s="157"/>
      <c r="M60" s="324" t="s">
        <v>1104</v>
      </c>
      <c r="N60" s="148"/>
      <c r="O60" s="570" t="e">
        <f ca="1">[2]!sアルコール度数上限(O21)</f>
        <v>#NAME?</v>
      </c>
      <c r="P60" s="157"/>
      <c r="Q60" s="570" t="e">
        <f ca="1">[2]!sアルコール度数上限(Q21)</f>
        <v>#NAME?</v>
      </c>
      <c r="R60" s="157"/>
      <c r="S60" s="570" t="e">
        <f ca="1">[2]!sアルコール度数上限(S21)</f>
        <v>#NAME?</v>
      </c>
      <c r="T60" s="157"/>
      <c r="U60" s="570" t="e">
        <f ca="1">[2]!sアルコール度数上限(U21)</f>
        <v>#NAME?</v>
      </c>
      <c r="V60" s="157"/>
    </row>
    <row r="61" spans="1:23" s="28" customFormat="1" ht="27" customHeight="1" x14ac:dyDescent="0.2">
      <c r="A61" s="241">
        <v>2</v>
      </c>
      <c r="B61" s="356" t="s">
        <v>367</v>
      </c>
      <c r="C61" s="350"/>
      <c r="D61" s="60" t="s">
        <v>1651</v>
      </c>
      <c r="E61" s="157"/>
      <c r="F61" s="60" t="s">
        <v>1651</v>
      </c>
      <c r="G61" s="157"/>
      <c r="H61" s="60" t="s">
        <v>1651</v>
      </c>
      <c r="I61" s="157"/>
      <c r="J61" s="60" t="s">
        <v>1651</v>
      </c>
      <c r="K61" s="157"/>
      <c r="M61" s="356" t="s">
        <v>367</v>
      </c>
      <c r="N61" s="148"/>
      <c r="O61" s="563" t="e">
        <f ca="1">[2]!s産地国コード(O21)&amp;[2]!s産地国名(O21)</f>
        <v>#NAME?</v>
      </c>
      <c r="P61" s="157"/>
      <c r="Q61" s="563" t="e">
        <f ca="1">[2]!s産地国コード(Q21)&amp;[2]!s産地国名(Q21)</f>
        <v>#NAME?</v>
      </c>
      <c r="R61" s="157"/>
      <c r="S61" s="563" t="e">
        <f ca="1">[2]!s産地国コード(S21)&amp;[2]!s産地国名(S21)</f>
        <v>#NAME?</v>
      </c>
      <c r="T61" s="157"/>
      <c r="U61" s="563" t="e">
        <f ca="1">[2]!s産地国コード(U21)&amp;[2]!s産地国名(U21)</f>
        <v>#NAME?</v>
      </c>
      <c r="V61" s="157"/>
    </row>
    <row r="62" spans="1:23" s="28" customFormat="1" ht="27" customHeight="1" x14ac:dyDescent="0.2">
      <c r="A62" s="241">
        <v>2</v>
      </c>
      <c r="B62" s="356" t="s">
        <v>368</v>
      </c>
      <c r="C62" s="350" t="s">
        <v>369</v>
      </c>
      <c r="D62" s="60" t="s">
        <v>1374</v>
      </c>
      <c r="E62" s="157"/>
      <c r="F62" s="60" t="s">
        <v>532</v>
      </c>
      <c r="G62" s="157"/>
      <c r="H62" s="60" t="s">
        <v>596</v>
      </c>
      <c r="I62" s="157"/>
      <c r="J62" s="60" t="s">
        <v>520</v>
      </c>
      <c r="K62" s="157"/>
      <c r="M62" s="356" t="s">
        <v>368</v>
      </c>
      <c r="N62" s="148" t="s">
        <v>369</v>
      </c>
      <c r="O62" s="563" t="e">
        <f ca="1">[2]!s産地地方コード(O21)&amp;[2]!s産地地方名(O21)</f>
        <v>#NAME?</v>
      </c>
      <c r="P62" s="157"/>
      <c r="Q62" s="563" t="e">
        <f ca="1">[2]!s産地地方コード(Q21)&amp;[2]!s産地地方名(Q21)</f>
        <v>#NAME?</v>
      </c>
      <c r="R62" s="157"/>
      <c r="S62" s="563" t="e">
        <f ca="1">[2]!s産地地方コード(S21)&amp;[2]!s産地地方名(S21)</f>
        <v>#NAME?</v>
      </c>
      <c r="T62" s="157"/>
      <c r="U62" s="563" t="e">
        <f ca="1">[2]!s産地地方コード(U21)&amp;[2]!s産地地方名(U21)</f>
        <v>#NAME?</v>
      </c>
      <c r="V62" s="157"/>
    </row>
    <row r="63" spans="1:23" s="28" customFormat="1" x14ac:dyDescent="0.15">
      <c r="A63" s="241">
        <v>2</v>
      </c>
      <c r="B63" s="116" t="s">
        <v>1114</v>
      </c>
      <c r="C63" s="350"/>
      <c r="D63" s="415">
        <v>0</v>
      </c>
      <c r="E63" s="157"/>
      <c r="F63" s="415">
        <v>0</v>
      </c>
      <c r="G63" s="157"/>
      <c r="H63" s="415">
        <v>0</v>
      </c>
      <c r="I63" s="157"/>
      <c r="J63" s="415">
        <v>0</v>
      </c>
      <c r="K63" s="157"/>
      <c r="M63" s="116" t="s">
        <v>1114</v>
      </c>
      <c r="N63" s="137"/>
      <c r="O63" s="571" t="e">
        <f ca="1">[2]!s正規並行区分(O21)</f>
        <v>#NAME?</v>
      </c>
      <c r="P63" s="157"/>
      <c r="Q63" s="571" t="e">
        <f ca="1">[2]!s正規並行区分(Q21)</f>
        <v>#NAME?</v>
      </c>
      <c r="R63" s="157"/>
      <c r="S63" s="571" t="e">
        <f ca="1">[2]!s正規並行区分(S21)</f>
        <v>#NAME?</v>
      </c>
      <c r="T63" s="157"/>
      <c r="U63" s="571" t="e">
        <f ca="1">[2]!s正規並行区分(U21)</f>
        <v>#NAME?</v>
      </c>
      <c r="V63" s="157"/>
      <c r="W63" s="28" t="s">
        <v>1155</v>
      </c>
    </row>
    <row r="64" spans="1:23" s="28" customFormat="1" x14ac:dyDescent="0.2">
      <c r="A64" s="241">
        <v>2</v>
      </c>
      <c r="B64" s="356" t="s">
        <v>373</v>
      </c>
      <c r="C64" s="350" t="s">
        <v>372</v>
      </c>
      <c r="D64" s="60" t="s">
        <v>1652</v>
      </c>
      <c r="E64" s="157"/>
      <c r="F64" s="60" t="s">
        <v>1652</v>
      </c>
      <c r="G64" s="157"/>
      <c r="H64" s="60" t="s">
        <v>1652</v>
      </c>
      <c r="I64" s="157"/>
      <c r="J64" s="60" t="s">
        <v>1652</v>
      </c>
      <c r="K64" s="157"/>
      <c r="M64" s="356" t="s">
        <v>373</v>
      </c>
      <c r="N64" s="137" t="s">
        <v>372</v>
      </c>
      <c r="O64" s="563" t="e">
        <f ca="1">[2]!s飲口区分(O21)&amp;[2]!s飲口区分名(O21)</f>
        <v>#NAME?</v>
      </c>
      <c r="P64" s="157"/>
      <c r="Q64" s="563" t="e">
        <f ca="1">[2]!s飲口区分(Q21)&amp;[2]!s飲口区分名(Q21)</f>
        <v>#NAME?</v>
      </c>
      <c r="R64" s="157"/>
      <c r="S64" s="563" t="e">
        <f ca="1">[2]!s飲口区分(S21)&amp;[2]!s飲口区分名(S21)</f>
        <v>#NAME?</v>
      </c>
      <c r="T64" s="157"/>
      <c r="U64" s="563" t="e">
        <f ca="1">[2]!s飲口区分(U21)&amp;[2]!s飲口区分名(U21)</f>
        <v>#NAME?</v>
      </c>
      <c r="V64" s="157"/>
    </row>
    <row r="65" spans="1:23" s="28" customFormat="1" x14ac:dyDescent="0.2">
      <c r="A65" s="241">
        <v>3</v>
      </c>
      <c r="B65" s="356" t="s">
        <v>370</v>
      </c>
      <c r="C65" s="350"/>
      <c r="D65" s="60">
        <v>2903</v>
      </c>
      <c r="E65" s="157"/>
      <c r="F65" s="60">
        <v>2903</v>
      </c>
      <c r="G65" s="157"/>
      <c r="H65" s="60">
        <v>2903</v>
      </c>
      <c r="I65" s="157"/>
      <c r="J65" s="60">
        <v>2903</v>
      </c>
      <c r="K65" s="157"/>
      <c r="M65" s="356" t="s">
        <v>370</v>
      </c>
      <c r="N65" s="148"/>
      <c r="O65" s="563" t="e">
        <f ca="1">[2]!sメーカーコード(O21)</f>
        <v>#NAME?</v>
      </c>
      <c r="P65" s="157"/>
      <c r="Q65" s="563" t="e">
        <f ca="1">[2]!sメーカーコード(Q21)</f>
        <v>#NAME?</v>
      </c>
      <c r="R65" s="157"/>
      <c r="S65" s="563" t="e">
        <f ca="1">[2]!sメーカーコード(S21)</f>
        <v>#NAME?</v>
      </c>
      <c r="T65" s="157"/>
      <c r="U65" s="563" t="e">
        <f ca="1">[2]!sメーカーコード(U21)</f>
        <v>#NAME?</v>
      </c>
      <c r="V65" s="157"/>
    </row>
    <row r="66" spans="1:23" s="28" customFormat="1" ht="27" customHeight="1" x14ac:dyDescent="0.2">
      <c r="A66" s="241">
        <v>3</v>
      </c>
      <c r="B66" s="144" t="s">
        <v>371</v>
      </c>
      <c r="C66" s="349"/>
      <c r="D66" s="59" t="s">
        <v>1653</v>
      </c>
      <c r="E66" s="157"/>
      <c r="F66" s="59" t="s">
        <v>1653</v>
      </c>
      <c r="G66" s="157"/>
      <c r="H66" s="59" t="s">
        <v>1653</v>
      </c>
      <c r="I66" s="157"/>
      <c r="J66" s="59" t="s">
        <v>1653</v>
      </c>
      <c r="K66" s="157"/>
      <c r="M66" s="144" t="s">
        <v>371</v>
      </c>
      <c r="N66" s="148"/>
      <c r="O66" s="563" t="e">
        <f ca="1">[2]!sメーカー名(O21)</f>
        <v>#NAME?</v>
      </c>
      <c r="P66" s="157"/>
      <c r="Q66" s="563" t="e">
        <f ca="1">[2]!sメーカー名(Q21)</f>
        <v>#NAME?</v>
      </c>
      <c r="R66" s="157"/>
      <c r="S66" s="563" t="e">
        <f ca="1">[2]!sメーカー名(S21)</f>
        <v>#NAME?</v>
      </c>
      <c r="T66" s="157"/>
      <c r="U66" s="563" t="e">
        <f ca="1">[2]!sメーカー名(U21)</f>
        <v>#NAME?</v>
      </c>
      <c r="V66" s="157"/>
    </row>
    <row r="67" spans="1:23" s="28" customFormat="1" x14ac:dyDescent="0.2">
      <c r="A67" s="241">
        <v>3</v>
      </c>
      <c r="B67" s="354" t="s">
        <v>56</v>
      </c>
      <c r="C67" s="147"/>
      <c r="D67" s="60" t="s">
        <v>498</v>
      </c>
      <c r="E67" s="157"/>
      <c r="F67" s="60" t="s">
        <v>498</v>
      </c>
      <c r="G67" s="157"/>
      <c r="H67" s="60" t="s">
        <v>498</v>
      </c>
      <c r="I67" s="157"/>
      <c r="J67" s="60" t="s">
        <v>498</v>
      </c>
      <c r="K67" s="157"/>
      <c r="M67" s="354" t="s">
        <v>56</v>
      </c>
      <c r="N67" s="147"/>
      <c r="O67" s="563" t="e">
        <f ca="1">[2]!s季節限定区分(O21)</f>
        <v>#NAME?</v>
      </c>
      <c r="P67" s="157"/>
      <c r="Q67" s="563" t="e">
        <f ca="1">[2]!s季節限定区分(Q21)</f>
        <v>#NAME?</v>
      </c>
      <c r="R67" s="157"/>
      <c r="S67" s="563" t="e">
        <f ca="1">[2]!s季節限定区分(S21)</f>
        <v>#NAME?</v>
      </c>
      <c r="T67" s="157"/>
      <c r="U67" s="563" t="e">
        <f ca="1">[2]!s季節限定区分(U21)</f>
        <v>#NAME?</v>
      </c>
      <c r="V67" s="157"/>
    </row>
    <row r="68" spans="1:23" s="28" customFormat="1" x14ac:dyDescent="0.2">
      <c r="A68" s="241">
        <v>3</v>
      </c>
      <c r="B68" s="354" t="s">
        <v>57</v>
      </c>
      <c r="C68" s="147"/>
      <c r="D68" s="60" t="s">
        <v>203</v>
      </c>
      <c r="E68" s="157"/>
      <c r="F68" s="60" t="s">
        <v>203</v>
      </c>
      <c r="G68" s="157"/>
      <c r="H68" s="60" t="s">
        <v>203</v>
      </c>
      <c r="I68" s="157"/>
      <c r="J68" s="60" t="s">
        <v>203</v>
      </c>
      <c r="K68" s="157"/>
      <c r="M68" s="354" t="s">
        <v>57</v>
      </c>
      <c r="N68" s="147"/>
      <c r="O68" s="563" t="e">
        <f ca="1">[2]!s店舗取り扱い区分(O21)</f>
        <v>#NAME?</v>
      </c>
      <c r="P68" s="157"/>
      <c r="Q68" s="563" t="e">
        <f ca="1">[2]!s店舗取り扱い区分(Q21)</f>
        <v>#NAME?</v>
      </c>
      <c r="R68" s="157"/>
      <c r="S68" s="563" t="e">
        <f ca="1">[2]!s店舗取り扱い区分(S21)</f>
        <v>#NAME?</v>
      </c>
      <c r="T68" s="157"/>
      <c r="U68" s="563" t="e">
        <f ca="1">[2]!s店舗取り扱い区分(U21)</f>
        <v>#NAME?</v>
      </c>
      <c r="V68" s="157"/>
    </row>
    <row r="69" spans="1:23" s="28" customFormat="1" x14ac:dyDescent="0.2">
      <c r="A69" s="241">
        <v>4</v>
      </c>
      <c r="B69" s="354" t="s">
        <v>129</v>
      </c>
      <c r="C69" s="137" t="s">
        <v>669</v>
      </c>
      <c r="D69" s="170" t="s">
        <v>1649</v>
      </c>
      <c r="E69" s="572">
        <f>LEN(D69)</f>
        <v>13</v>
      </c>
      <c r="F69" s="170" t="s">
        <v>1649</v>
      </c>
      <c r="G69" s="572">
        <f>LEN(F69)</f>
        <v>13</v>
      </c>
      <c r="H69" s="170" t="s">
        <v>1649</v>
      </c>
      <c r="I69" s="572">
        <f>LEN(H69)</f>
        <v>13</v>
      </c>
      <c r="J69" s="170" t="s">
        <v>1649</v>
      </c>
      <c r="K69" s="572">
        <f>LEN(J69)</f>
        <v>13</v>
      </c>
      <c r="M69" s="354" t="s">
        <v>129</v>
      </c>
      <c r="N69" s="137" t="s">
        <v>669</v>
      </c>
      <c r="O69" s="573" t="e">
        <f ca="1">[2]!sJANケースコード(O21)</f>
        <v>#NAME?</v>
      </c>
      <c r="P69" s="572" t="e">
        <f ca="1">LEN(O69)</f>
        <v>#NAME?</v>
      </c>
      <c r="Q69" s="573" t="e">
        <f ca="1">[2]!sJANケースコード(Q21)</f>
        <v>#NAME?</v>
      </c>
      <c r="R69" s="572" t="e">
        <f ca="1">LEN(Q69)</f>
        <v>#NAME?</v>
      </c>
      <c r="S69" s="573" t="e">
        <f ca="1">[2]!sJANケースコード(S21)</f>
        <v>#NAME?</v>
      </c>
      <c r="T69" s="572" t="e">
        <f ca="1">LEN(S69)</f>
        <v>#NAME?</v>
      </c>
      <c r="U69" s="573" t="e">
        <f ca="1">[2]!sJANケースコード(U21)</f>
        <v>#NAME?</v>
      </c>
      <c r="V69" s="572" t="e">
        <f ca="1">LEN(U69)</f>
        <v>#NAME?</v>
      </c>
    </row>
    <row r="70" spans="1:23" s="28" customFormat="1" x14ac:dyDescent="0.2">
      <c r="A70" s="241">
        <v>4</v>
      </c>
      <c r="B70" s="324" t="s">
        <v>1107</v>
      </c>
      <c r="C70" s="137" t="s">
        <v>669</v>
      </c>
      <c r="D70" s="170" t="s">
        <v>1649</v>
      </c>
      <c r="E70" s="572">
        <f>LEN(D70)</f>
        <v>13</v>
      </c>
      <c r="F70" s="170" t="s">
        <v>1649</v>
      </c>
      <c r="G70" s="572">
        <f>LEN(F70)</f>
        <v>13</v>
      </c>
      <c r="H70" s="170" t="s">
        <v>1649</v>
      </c>
      <c r="I70" s="572">
        <f>LEN(H70)</f>
        <v>13</v>
      </c>
      <c r="J70" s="170" t="s">
        <v>1649</v>
      </c>
      <c r="K70" s="572">
        <f>LEN(J70)</f>
        <v>13</v>
      </c>
      <c r="M70" s="324" t="s">
        <v>1107</v>
      </c>
      <c r="N70" s="137" t="s">
        <v>669</v>
      </c>
      <c r="O70" s="573" t="e">
        <f ca="1">[2]!sJANコード(O21)</f>
        <v>#NAME?</v>
      </c>
      <c r="P70" s="572" t="e">
        <f ca="1">LEN(O70)</f>
        <v>#NAME?</v>
      </c>
      <c r="Q70" s="573" t="e">
        <f ca="1">[2]!sJANコード(Q21)</f>
        <v>#NAME?</v>
      </c>
      <c r="R70" s="572" t="e">
        <f ca="1">LEN(Q70)</f>
        <v>#NAME?</v>
      </c>
      <c r="S70" s="573" t="e">
        <f ca="1">[2]!sJANコード(S21)</f>
        <v>#NAME?</v>
      </c>
      <c r="T70" s="572" t="e">
        <f ca="1">LEN(S70)</f>
        <v>#NAME?</v>
      </c>
      <c r="U70" s="573" t="e">
        <f ca="1">[2]!sJANコード(U21)</f>
        <v>#NAME?</v>
      </c>
      <c r="V70" s="572" t="e">
        <f ca="1">LEN(U70)</f>
        <v>#NAME?</v>
      </c>
    </row>
    <row r="71" spans="1:23" s="28" customFormat="1" ht="21.6" x14ac:dyDescent="0.2">
      <c r="A71" s="241">
        <v>5</v>
      </c>
      <c r="B71" s="416" t="s">
        <v>1123</v>
      </c>
      <c r="C71" s="137"/>
      <c r="D71" s="346" t="s">
        <v>1389</v>
      </c>
      <c r="E71" s="372"/>
      <c r="F71" s="346" t="s">
        <v>1389</v>
      </c>
      <c r="G71" s="372"/>
      <c r="H71" s="346" t="s">
        <v>1389</v>
      </c>
      <c r="I71" s="372"/>
      <c r="J71" s="346" t="s">
        <v>1389</v>
      </c>
      <c r="K71" s="372"/>
      <c r="M71" s="324" t="s">
        <v>1123</v>
      </c>
      <c r="N71" s="137"/>
      <c r="O71" s="573" t="e">
        <f ca="1">[2]!s自然派ワイン①(O21)</f>
        <v>#NAME?</v>
      </c>
      <c r="P71" s="372"/>
      <c r="Q71" s="61"/>
      <c r="R71" s="372"/>
      <c r="S71" s="61"/>
      <c r="T71" s="372"/>
      <c r="U71" s="61"/>
      <c r="V71" s="372"/>
      <c r="W71" s="28" t="s">
        <v>1155</v>
      </c>
    </row>
    <row r="72" spans="1:23" s="28" customFormat="1" ht="21.6" x14ac:dyDescent="0.2">
      <c r="A72" s="241">
        <v>5</v>
      </c>
      <c r="B72" s="416" t="s">
        <v>1124</v>
      </c>
      <c r="C72" s="137"/>
      <c r="D72" s="346" t="s">
        <v>1390</v>
      </c>
      <c r="E72" s="372"/>
      <c r="F72" s="346" t="s">
        <v>1390</v>
      </c>
      <c r="G72" s="372"/>
      <c r="H72" s="346" t="s">
        <v>1390</v>
      </c>
      <c r="I72" s="372"/>
      <c r="J72" s="346" t="s">
        <v>1390</v>
      </c>
      <c r="K72" s="372"/>
      <c r="M72" s="324" t="s">
        <v>1124</v>
      </c>
      <c r="N72" s="137"/>
      <c r="O72" s="573" t="e">
        <f ca="1">[2]!s自然派ワイン②(O21)</f>
        <v>#NAME?</v>
      </c>
      <c r="P72" s="372"/>
      <c r="Q72" s="61"/>
      <c r="R72" s="372"/>
      <c r="S72" s="61"/>
      <c r="T72" s="372"/>
      <c r="U72" s="61"/>
      <c r="V72" s="372"/>
      <c r="W72" s="28" t="s">
        <v>1155</v>
      </c>
    </row>
    <row r="73" spans="1:23" s="28" customFormat="1" x14ac:dyDescent="0.15">
      <c r="A73" s="241">
        <v>5</v>
      </c>
      <c r="B73" s="326" t="s">
        <v>374</v>
      </c>
      <c r="C73" s="147" t="s">
        <v>1090</v>
      </c>
      <c r="D73" s="577" t="s">
        <v>201</v>
      </c>
      <c r="E73" s="157"/>
      <c r="F73" s="577"/>
      <c r="G73" s="157"/>
      <c r="H73" s="577" t="s">
        <v>201</v>
      </c>
      <c r="I73" s="157"/>
      <c r="J73" s="577"/>
      <c r="K73" s="157"/>
      <c r="M73" s="326" t="s">
        <v>374</v>
      </c>
      <c r="N73" s="147" t="s">
        <v>1090</v>
      </c>
      <c r="O73" s="563" t="e">
        <f ca="1">[2]!s予備区分3(O21)</f>
        <v>#NAME?</v>
      </c>
      <c r="P73" s="157"/>
      <c r="Q73" s="563" t="e">
        <f ca="1">[2]!s予備区分3(Q21)</f>
        <v>#NAME?</v>
      </c>
      <c r="R73" s="157"/>
      <c r="S73" s="563" t="e">
        <f ca="1">[2]!s予備区分3(S21)</f>
        <v>#NAME?</v>
      </c>
      <c r="T73" s="157"/>
      <c r="U73" s="563" t="e">
        <f ca="1">[2]!s予備区分3(U21)</f>
        <v>#NAME?</v>
      </c>
      <c r="V73" s="157"/>
    </row>
    <row r="74" spans="1:23" s="28" customFormat="1" ht="21.6" x14ac:dyDescent="0.2">
      <c r="A74" s="241">
        <v>5</v>
      </c>
      <c r="B74" s="324" t="s">
        <v>1125</v>
      </c>
      <c r="C74" s="351" t="s">
        <v>1093</v>
      </c>
      <c r="D74" s="170" t="s">
        <v>1654</v>
      </c>
      <c r="E74" s="157"/>
      <c r="F74" s="170" t="s">
        <v>1654</v>
      </c>
      <c r="G74" s="157"/>
      <c r="H74" s="170" t="s">
        <v>1654</v>
      </c>
      <c r="I74" s="157"/>
      <c r="J74" s="170" t="s">
        <v>1654</v>
      </c>
      <c r="K74" s="157"/>
      <c r="M74" s="324" t="s">
        <v>1125</v>
      </c>
      <c r="N74" s="351" t="s">
        <v>1093</v>
      </c>
      <c r="O74" s="563" t="e">
        <f ca="1">[2]!sPB区分(O21)</f>
        <v>#NAME?</v>
      </c>
      <c r="P74" s="157"/>
      <c r="Q74" s="563" t="e">
        <f ca="1">[2]!sPB区分(Q21)</f>
        <v>#NAME?</v>
      </c>
      <c r="R74" s="157"/>
      <c r="S74" s="563" t="e">
        <f ca="1">[2]!sPB区分(S21)</f>
        <v>#NAME?</v>
      </c>
      <c r="T74" s="157"/>
      <c r="U74" s="563" t="e">
        <f ca="1">[2]!sPB区分(U21)</f>
        <v>#NAME?</v>
      </c>
      <c r="V74" s="157"/>
    </row>
    <row r="75" spans="1:23" s="28" customFormat="1" ht="21.6" x14ac:dyDescent="0.2">
      <c r="A75" s="241">
        <v>5</v>
      </c>
      <c r="B75" s="324" t="s">
        <v>1126</v>
      </c>
      <c r="C75" s="351" t="s">
        <v>1093</v>
      </c>
      <c r="D75" s="60" t="s">
        <v>1655</v>
      </c>
      <c r="E75" s="157"/>
      <c r="F75" s="60" t="s">
        <v>1655</v>
      </c>
      <c r="G75" s="157"/>
      <c r="H75" s="60" t="s">
        <v>1655</v>
      </c>
      <c r="I75" s="157"/>
      <c r="J75" s="60" t="s">
        <v>1655</v>
      </c>
      <c r="K75" s="157"/>
      <c r="M75" s="324" t="s">
        <v>1126</v>
      </c>
      <c r="N75" s="351" t="s">
        <v>1093</v>
      </c>
      <c r="O75" s="563" t="e">
        <f ca="1">[2]!s予備区分8(O21)</f>
        <v>#NAME?</v>
      </c>
      <c r="P75" s="157"/>
      <c r="Q75" s="563" t="e">
        <f ca="1">[2]!s予備区分8(Q21)</f>
        <v>#NAME?</v>
      </c>
      <c r="R75" s="157"/>
      <c r="S75" s="563" t="e">
        <f ca="1">[2]!s予備区分8(S21)</f>
        <v>#NAME?</v>
      </c>
      <c r="T75" s="157"/>
      <c r="U75" s="563" t="e">
        <f ca="1">[2]!s予備区分8(U21)</f>
        <v>#NAME?</v>
      </c>
      <c r="V75" s="157"/>
    </row>
    <row r="76" spans="1:23" s="28" customFormat="1" x14ac:dyDescent="0.15">
      <c r="A76" s="241">
        <v>5</v>
      </c>
      <c r="B76" s="116" t="s">
        <v>1094</v>
      </c>
      <c r="C76" s="147"/>
      <c r="D76" s="371">
        <v>1</v>
      </c>
      <c r="E76" s="157"/>
      <c r="F76" s="371">
        <v>1</v>
      </c>
      <c r="G76" s="157"/>
      <c r="H76" s="371">
        <v>1</v>
      </c>
      <c r="I76" s="157"/>
      <c r="J76" s="371">
        <v>1</v>
      </c>
      <c r="K76" s="157"/>
      <c r="M76" s="116" t="s">
        <v>1094</v>
      </c>
      <c r="N76" s="147"/>
      <c r="O76" s="59"/>
      <c r="P76" s="157"/>
      <c r="Q76" s="59"/>
      <c r="R76" s="157"/>
      <c r="S76" s="59"/>
      <c r="T76" s="157"/>
      <c r="U76" s="59"/>
      <c r="V76" s="157"/>
    </row>
    <row r="77" spans="1:23" s="28" customFormat="1" ht="21.6" x14ac:dyDescent="0.2">
      <c r="A77" s="241">
        <v>5</v>
      </c>
      <c r="B77" s="416" t="s">
        <v>1145</v>
      </c>
      <c r="C77" s="351"/>
      <c r="D77" s="417">
        <v>1</v>
      </c>
      <c r="E77" s="157"/>
      <c r="F77" s="417">
        <v>1</v>
      </c>
      <c r="G77" s="157"/>
      <c r="H77" s="417">
        <v>1</v>
      </c>
      <c r="I77" s="157"/>
      <c r="J77" s="417">
        <v>1</v>
      </c>
      <c r="K77" s="157"/>
      <c r="M77" s="324" t="s">
        <v>1145</v>
      </c>
      <c r="N77" s="351"/>
      <c r="O77" s="346"/>
      <c r="P77" s="157"/>
      <c r="Q77" s="346"/>
      <c r="R77" s="157"/>
      <c r="S77" s="346"/>
      <c r="T77" s="157"/>
      <c r="U77" s="346"/>
      <c r="V77" s="157"/>
      <c r="W77" s="28" t="s">
        <v>1155</v>
      </c>
    </row>
    <row r="78" spans="1:23" s="28" customFormat="1" x14ac:dyDescent="0.15">
      <c r="A78" s="241">
        <v>5</v>
      </c>
      <c r="B78" s="116" t="s">
        <v>1095</v>
      </c>
      <c r="C78" s="147"/>
      <c r="D78" s="371">
        <v>1</v>
      </c>
      <c r="E78" s="157"/>
      <c r="F78" s="371">
        <v>1</v>
      </c>
      <c r="G78" s="157"/>
      <c r="H78" s="371">
        <v>1</v>
      </c>
      <c r="I78" s="157"/>
      <c r="J78" s="371">
        <v>1</v>
      </c>
      <c r="K78" s="157"/>
      <c r="M78" s="116" t="s">
        <v>1095</v>
      </c>
      <c r="N78" s="147"/>
      <c r="O78" s="59"/>
      <c r="P78" s="157"/>
      <c r="Q78" s="59"/>
      <c r="R78" s="157"/>
      <c r="S78" s="59"/>
      <c r="T78" s="157"/>
      <c r="U78" s="59"/>
      <c r="V78" s="157"/>
    </row>
    <row r="79" spans="1:23" x14ac:dyDescent="0.15">
      <c r="A79" s="241">
        <v>5</v>
      </c>
      <c r="B79" s="216" t="s">
        <v>375</v>
      </c>
      <c r="C79" s="147"/>
      <c r="D79" s="117" t="s">
        <v>1656</v>
      </c>
      <c r="E79" s="158"/>
      <c r="F79" s="117" t="s">
        <v>1656</v>
      </c>
      <c r="G79" s="158"/>
      <c r="H79" s="117" t="s">
        <v>1656</v>
      </c>
      <c r="I79" s="158"/>
      <c r="J79" s="117" t="s">
        <v>1656</v>
      </c>
      <c r="K79" s="158"/>
      <c r="M79" s="216" t="s">
        <v>375</v>
      </c>
      <c r="N79" s="147"/>
      <c r="O79" s="569" t="e">
        <f ca="1">[2]!s横持ピック対象(O21)</f>
        <v>#NAME?</v>
      </c>
      <c r="P79" s="158"/>
      <c r="Q79" s="569" t="e">
        <f ca="1">[2]!s横持ピック対象(Q21)</f>
        <v>#NAME?</v>
      </c>
      <c r="R79" s="158"/>
      <c r="S79" s="569" t="e">
        <f ca="1">[2]!s横持ピック対象(S21)</f>
        <v>#NAME?</v>
      </c>
      <c r="T79" s="158"/>
      <c r="U79" s="569" t="e">
        <f ca="1">[2]!s横持ピック対象(U21)</f>
        <v>#NAME?</v>
      </c>
      <c r="V79" s="158"/>
    </row>
    <row r="80" spans="1:23" s="28" customFormat="1" ht="21.6" x14ac:dyDescent="0.2">
      <c r="A80" s="241">
        <v>5</v>
      </c>
      <c r="B80" s="324" t="s">
        <v>1108</v>
      </c>
      <c r="C80" s="311" t="s">
        <v>1149</v>
      </c>
      <c r="D80" s="574">
        <f>D13</f>
        <v>0</v>
      </c>
      <c r="E80" s="157"/>
      <c r="F80" s="574">
        <f>F13</f>
        <v>0</v>
      </c>
      <c r="G80" s="157"/>
      <c r="H80" s="574">
        <f>H13</f>
        <v>0</v>
      </c>
      <c r="I80" s="157"/>
      <c r="J80" s="574">
        <f>J13</f>
        <v>0</v>
      </c>
      <c r="K80" s="157"/>
      <c r="M80" s="324" t="s">
        <v>1108</v>
      </c>
      <c r="N80" s="147"/>
      <c r="O80" s="571" t="e">
        <f ca="1">[2]!s麦芽使用率(O21)</f>
        <v>#NAME?</v>
      </c>
      <c r="P80" s="157"/>
      <c r="Q80" s="571" t="e">
        <f ca="1">[2]!s麦芽使用率(Q21)</f>
        <v>#NAME?</v>
      </c>
      <c r="R80" s="157"/>
      <c r="S80" s="571" t="e">
        <f ca="1">[2]!s麦芽使用率(S21)</f>
        <v>#NAME?</v>
      </c>
      <c r="T80" s="157"/>
      <c r="U80" s="571" t="e">
        <f ca="1">[2]!s麦芽使用率(U21)</f>
        <v>#NAME?</v>
      </c>
      <c r="V80" s="157"/>
    </row>
    <row r="81" spans="1:23" s="28" customFormat="1" x14ac:dyDescent="0.2">
      <c r="A81" s="241">
        <v>5</v>
      </c>
      <c r="B81" s="354" t="s">
        <v>1067</v>
      </c>
      <c r="C81" s="147"/>
      <c r="D81" s="346"/>
      <c r="E81" s="157"/>
      <c r="F81" s="346"/>
      <c r="G81" s="157"/>
      <c r="H81" s="346"/>
      <c r="I81" s="157"/>
      <c r="J81" s="346"/>
      <c r="K81" s="157"/>
      <c r="M81" s="354" t="s">
        <v>1067</v>
      </c>
      <c r="N81" s="147"/>
      <c r="O81" s="563" t="e">
        <f ca="1">[2]!sダンガミバーコードフラグ(O21)</f>
        <v>#NAME?</v>
      </c>
      <c r="P81" s="157"/>
      <c r="Q81" s="563" t="e">
        <f ca="1">[2]!sダンガミバーコードフラグ(Q21)</f>
        <v>#NAME?</v>
      </c>
      <c r="R81" s="157"/>
      <c r="S81" s="563" t="e">
        <f ca="1">[2]!sダンガミバーコードフラグ(S21)</f>
        <v>#NAME?</v>
      </c>
      <c r="T81" s="157"/>
      <c r="U81" s="563" t="e">
        <f ca="1">[2]!sダンガミバーコードフラグ(U21)</f>
        <v>#NAME?</v>
      </c>
      <c r="V81" s="157"/>
      <c r="W81" s="28" t="s">
        <v>1155</v>
      </c>
    </row>
    <row r="82" spans="1:23" s="28" customFormat="1" ht="21.6" x14ac:dyDescent="0.2">
      <c r="A82" s="241">
        <v>5</v>
      </c>
      <c r="B82" s="324" t="s">
        <v>1127</v>
      </c>
      <c r="C82" s="311" t="s">
        <v>1149</v>
      </c>
      <c r="D82" s="575">
        <f>D5</f>
        <v>0</v>
      </c>
      <c r="E82" s="157"/>
      <c r="F82" s="575">
        <f>F5</f>
        <v>0</v>
      </c>
      <c r="G82" s="157"/>
      <c r="H82" s="575">
        <f>H5</f>
        <v>0</v>
      </c>
      <c r="I82" s="157"/>
      <c r="J82" s="575">
        <f>J5</f>
        <v>0</v>
      </c>
      <c r="K82" s="157"/>
      <c r="M82" s="324" t="s">
        <v>1127</v>
      </c>
      <c r="N82" s="147"/>
      <c r="O82" s="563" t="e">
        <f ca="1">[2]!s既存商品コード(O21)</f>
        <v>#NAME?</v>
      </c>
      <c r="P82" s="157"/>
      <c r="Q82" s="563" t="e">
        <f ca="1">[2]!s既存商品コード(Q21)</f>
        <v>#NAME?</v>
      </c>
      <c r="R82" s="157"/>
      <c r="S82" s="563" t="e">
        <f ca="1">[2]!s既存商品コード(S21)</f>
        <v>#NAME?</v>
      </c>
      <c r="T82" s="157"/>
      <c r="U82" s="563" t="e">
        <f ca="1">[2]!s既存商品コード(U21)</f>
        <v>#NAME?</v>
      </c>
      <c r="V82" s="157"/>
    </row>
    <row r="83" spans="1:23" s="28" customFormat="1" x14ac:dyDescent="0.2">
      <c r="A83" s="241">
        <v>5</v>
      </c>
      <c r="B83" s="326" t="s">
        <v>1097</v>
      </c>
      <c r="C83" s="147" t="s">
        <v>1092</v>
      </c>
      <c r="D83" s="59"/>
      <c r="E83" s="157"/>
      <c r="F83" s="59"/>
      <c r="G83" s="157"/>
      <c r="H83" s="59"/>
      <c r="I83" s="157"/>
      <c r="J83" s="59"/>
      <c r="K83" s="157"/>
      <c r="M83" s="326" t="s">
        <v>1097</v>
      </c>
      <c r="N83" s="147" t="s">
        <v>1092</v>
      </c>
      <c r="O83" s="563" t="e">
        <f ca="1">[2]!s特定商品備考コード(O21)</f>
        <v>#NAME?</v>
      </c>
      <c r="P83" s="157"/>
      <c r="Q83" s="563" t="e">
        <f ca="1">[2]!s特定商品備考コード(Q21)</f>
        <v>#NAME?</v>
      </c>
      <c r="R83" s="157"/>
      <c r="S83" s="563" t="e">
        <f ca="1">[2]!s特定商品備考コード(S21)</f>
        <v>#NAME?</v>
      </c>
      <c r="T83" s="157"/>
      <c r="U83" s="563" t="e">
        <f ca="1">[2]!s特定商品備考コード(U21)</f>
        <v>#NAME?</v>
      </c>
      <c r="V83" s="157"/>
    </row>
    <row r="84" spans="1:23" s="28" customFormat="1" x14ac:dyDescent="0.2">
      <c r="A84" s="241"/>
      <c r="B84" s="326" t="s">
        <v>1098</v>
      </c>
      <c r="C84" s="147" t="s">
        <v>1092</v>
      </c>
      <c r="D84" s="59"/>
      <c r="E84" s="157"/>
      <c r="F84" s="59"/>
      <c r="G84" s="157"/>
      <c r="H84" s="59"/>
      <c r="I84" s="157"/>
      <c r="J84" s="59"/>
      <c r="K84" s="157"/>
      <c r="M84" s="326" t="s">
        <v>1098</v>
      </c>
      <c r="N84" s="147" t="s">
        <v>1092</v>
      </c>
      <c r="O84" s="59"/>
      <c r="P84" s="157"/>
      <c r="Q84" s="59"/>
      <c r="R84" s="157"/>
      <c r="S84" s="59"/>
      <c r="T84" s="157"/>
      <c r="U84" s="59"/>
      <c r="V84" s="157"/>
    </row>
    <row r="85" spans="1:23" s="28" customFormat="1" ht="32.4" x14ac:dyDescent="0.2">
      <c r="A85" s="241">
        <v>5</v>
      </c>
      <c r="B85" s="324" t="s">
        <v>1128</v>
      </c>
      <c r="C85" s="311" t="s">
        <v>1151</v>
      </c>
      <c r="D85" s="576">
        <f>D18</f>
        <v>0.10800000000000001</v>
      </c>
      <c r="E85" s="157"/>
      <c r="F85" s="576">
        <f>F18</f>
        <v>1.08</v>
      </c>
      <c r="G85" s="157"/>
      <c r="H85" s="576">
        <f>H18</f>
        <v>10.8</v>
      </c>
      <c r="I85" s="157"/>
      <c r="J85" s="576">
        <f>J18</f>
        <v>108</v>
      </c>
      <c r="K85" s="157"/>
      <c r="M85" s="324" t="s">
        <v>1128</v>
      </c>
      <c r="N85" s="147"/>
      <c r="O85" s="563" t="e">
        <f ca="1">[2]!s純アルコール量(O21)</f>
        <v>#NAME?</v>
      </c>
      <c r="P85" s="157"/>
      <c r="Q85" s="563" t="e">
        <f ca="1">[2]!s純アルコール量(Q21)</f>
        <v>#NAME?</v>
      </c>
      <c r="R85" s="157"/>
      <c r="S85" s="563" t="e">
        <f ca="1">[2]!s純アルコール量(S21)</f>
        <v>#NAME?</v>
      </c>
      <c r="T85" s="157"/>
      <c r="U85" s="563" t="e">
        <f ca="1">[2]!s純アルコール量(U21)</f>
        <v>#NAME?</v>
      </c>
      <c r="V85" s="157"/>
    </row>
    <row r="86" spans="1:23" s="28" customFormat="1" ht="43.2" x14ac:dyDescent="0.2">
      <c r="A86" s="241">
        <v>5</v>
      </c>
      <c r="B86" s="324" t="s">
        <v>1408</v>
      </c>
      <c r="C86" s="147"/>
      <c r="D86" s="574" t="str">
        <f>CONCATENATE(D14,"：",D16)</f>
        <v>：</v>
      </c>
      <c r="E86" s="157"/>
      <c r="F86" s="574" t="str">
        <f>CONCATENATE(F14,"：",F16)</f>
        <v>：</v>
      </c>
      <c r="G86" s="157"/>
      <c r="H86" s="574" t="str">
        <f>CONCATENATE(H14,"：",H16)</f>
        <v>：</v>
      </c>
      <c r="I86" s="157"/>
      <c r="J86" s="574" t="str">
        <f>CONCATENATE(J14,"：",J16)</f>
        <v>：</v>
      </c>
      <c r="K86" s="157"/>
      <c r="M86" s="324" t="s">
        <v>1408</v>
      </c>
      <c r="N86" s="147"/>
      <c r="O86" s="563" t="e">
        <f ca="1">[2]!s商品登録申請者(O21)</f>
        <v>#NAME?</v>
      </c>
      <c r="P86" s="157"/>
      <c r="Q86" s="563" t="e">
        <f ca="1">[2]!s商品登録申請者(Q21)</f>
        <v>#NAME?</v>
      </c>
      <c r="R86" s="157"/>
      <c r="S86" s="563" t="e">
        <f ca="1">[2]!s商品登録申請者(S21)</f>
        <v>#NAME?</v>
      </c>
      <c r="T86" s="157"/>
      <c r="U86" s="563" t="e">
        <f ca="1">[2]!s商品登録申請者(U21)</f>
        <v>#NAME?</v>
      </c>
      <c r="V86" s="157"/>
    </row>
    <row r="87" spans="1:23" s="28" customFormat="1" x14ac:dyDescent="0.2">
      <c r="A87" s="241">
        <v>6</v>
      </c>
      <c r="B87" s="324" t="s">
        <v>1099</v>
      </c>
      <c r="C87" s="137" t="s">
        <v>668</v>
      </c>
      <c r="D87" s="170"/>
      <c r="E87" s="572">
        <f>LEN(D87)</f>
        <v>0</v>
      </c>
      <c r="F87" s="170"/>
      <c r="G87" s="572">
        <f>LEN(F87)</f>
        <v>0</v>
      </c>
      <c r="H87" s="170"/>
      <c r="I87" s="572">
        <f>LEN(H87)</f>
        <v>0</v>
      </c>
      <c r="J87" s="170"/>
      <c r="K87" s="572">
        <f>LEN(J87)</f>
        <v>0</v>
      </c>
      <c r="M87" s="324" t="s">
        <v>1099</v>
      </c>
      <c r="N87" s="137" t="s">
        <v>668</v>
      </c>
      <c r="O87" s="573" t="e">
        <f ca="1">[2]!sITFコード(O21)</f>
        <v>#NAME?</v>
      </c>
      <c r="P87" s="572" t="e">
        <f ca="1">LEN(O87)</f>
        <v>#NAME?</v>
      </c>
      <c r="Q87" s="573" t="e">
        <f ca="1">[2]!sITFコード(Q21)</f>
        <v>#NAME?</v>
      </c>
      <c r="R87" s="572" t="e">
        <f ca="1">LEN(Q87)</f>
        <v>#NAME?</v>
      </c>
      <c r="S87" s="573" t="e">
        <f ca="1">[2]!sITFコード(S21)</f>
        <v>#NAME?</v>
      </c>
      <c r="T87" s="572" t="e">
        <f ca="1">LEN(S87)</f>
        <v>#NAME?</v>
      </c>
      <c r="U87" s="573" t="e">
        <f ca="1">[2]!sITFコード(U21)</f>
        <v>#NAME?</v>
      </c>
      <c r="V87" s="572" t="e">
        <f ca="1">LEN(U87)</f>
        <v>#NAME?</v>
      </c>
    </row>
    <row r="88" spans="1:23" x14ac:dyDescent="0.15">
      <c r="A88" s="147" t="s">
        <v>1100</v>
      </c>
      <c r="B88" s="147" t="s">
        <v>1100</v>
      </c>
      <c r="C88" s="147" t="s">
        <v>1100</v>
      </c>
      <c r="D88" s="147" t="s">
        <v>1100</v>
      </c>
      <c r="E88" s="147" t="s">
        <v>1100</v>
      </c>
      <c r="F88" s="147" t="s">
        <v>1100</v>
      </c>
      <c r="G88" s="147" t="s">
        <v>1100</v>
      </c>
      <c r="H88" s="147" t="s">
        <v>1100</v>
      </c>
      <c r="I88" s="147" t="s">
        <v>1100</v>
      </c>
      <c r="J88" s="147" t="s">
        <v>1100</v>
      </c>
      <c r="K88" s="147" t="s">
        <v>1100</v>
      </c>
      <c r="M88" s="352"/>
      <c r="N88" s="322"/>
      <c r="O88" s="353"/>
      <c r="P88" s="353"/>
      <c r="Q88" s="353"/>
      <c r="R88" s="353"/>
      <c r="S88" s="353"/>
      <c r="T88" s="353"/>
      <c r="U88" s="353"/>
      <c r="V88" s="353"/>
    </row>
    <row r="89" spans="1:23" x14ac:dyDescent="0.15">
      <c r="A89" s="147" t="s">
        <v>1100</v>
      </c>
      <c r="B89" s="168" t="s">
        <v>15</v>
      </c>
      <c r="C89" s="221" t="s">
        <v>406</v>
      </c>
      <c r="D89" s="59"/>
      <c r="E89" s="157"/>
      <c r="F89" s="59"/>
      <c r="G89" s="157"/>
      <c r="H89" s="59"/>
      <c r="I89" s="157"/>
      <c r="J89" s="59"/>
      <c r="K89" s="157"/>
      <c r="M89" s="168" t="s">
        <v>15</v>
      </c>
      <c r="N89" s="322" t="s">
        <v>406</v>
      </c>
      <c r="O89" s="169"/>
      <c r="P89" s="157"/>
      <c r="Q89" s="169"/>
      <c r="R89" s="157"/>
      <c r="S89" s="169"/>
      <c r="T89" s="157"/>
      <c r="U89" s="169"/>
      <c r="V89" s="157"/>
    </row>
    <row r="90" spans="1:23" ht="21.6" x14ac:dyDescent="0.15">
      <c r="A90" s="147" t="s">
        <v>1100</v>
      </c>
      <c r="B90" s="325" t="s">
        <v>1076</v>
      </c>
      <c r="C90" s="321" t="s">
        <v>406</v>
      </c>
      <c r="D90" s="575">
        <f>D8</f>
        <v>0</v>
      </c>
      <c r="E90" s="158"/>
      <c r="F90" s="575">
        <f>F8</f>
        <v>0</v>
      </c>
      <c r="G90" s="158"/>
      <c r="H90" s="575">
        <f>H8</f>
        <v>0</v>
      </c>
      <c r="I90" s="158"/>
      <c r="J90" s="575">
        <f>J8</f>
        <v>0</v>
      </c>
      <c r="K90" s="158"/>
      <c r="M90" s="325" t="s">
        <v>1076</v>
      </c>
      <c r="N90" s="323" t="s">
        <v>406</v>
      </c>
      <c r="O90" s="569" t="e">
        <f ca="1">[2]!sパッケージ構成商品コード(O21)</f>
        <v>#NAME?</v>
      </c>
      <c r="P90" s="158"/>
      <c r="Q90" s="569" t="e">
        <f ca="1">[2]!sパッケージ構成商品コード(Q21)</f>
        <v>#NAME?</v>
      </c>
      <c r="R90" s="158"/>
      <c r="S90" s="569" t="e">
        <f ca="1">[2]!sパッケージ構成商品コード(S21)</f>
        <v>#NAME?</v>
      </c>
      <c r="T90" s="158"/>
      <c r="U90" s="569" t="e">
        <f ca="1">[2]!sパッケージ構成商品コード(U21)</f>
        <v>#NAME?</v>
      </c>
      <c r="V90" s="158"/>
    </row>
    <row r="91" spans="1:23" x14ac:dyDescent="0.15">
      <c r="A91" s="147" t="s">
        <v>1100</v>
      </c>
      <c r="B91" s="217" t="s">
        <v>365</v>
      </c>
      <c r="C91" s="221" t="s">
        <v>406</v>
      </c>
      <c r="D91" s="62"/>
      <c r="E91" s="158"/>
      <c r="F91" s="62"/>
      <c r="G91" s="158"/>
      <c r="H91" s="62"/>
      <c r="I91" s="158"/>
      <c r="J91" s="62"/>
      <c r="K91" s="158"/>
      <c r="M91" s="217" t="s">
        <v>365</v>
      </c>
      <c r="N91" s="322" t="s">
        <v>406</v>
      </c>
      <c r="O91" s="569" t="e">
        <f ca="1">[2]!sパッケージ構成数(O21)</f>
        <v>#NAME?</v>
      </c>
      <c r="P91" s="158"/>
      <c r="Q91" s="569" t="e">
        <f ca="1">[2]!sパッケージ構成数(Q21)</f>
        <v>#NAME?</v>
      </c>
      <c r="R91" s="158"/>
      <c r="S91" s="569" t="e">
        <f ca="1">[2]!sパッケージ構成数(S21)</f>
        <v>#NAME?</v>
      </c>
      <c r="T91" s="158"/>
      <c r="U91" s="569" t="e">
        <f ca="1">[2]!sパッケージ構成数(U21)</f>
        <v>#NAME?</v>
      </c>
      <c r="V91" s="158"/>
    </row>
    <row r="92" spans="1:23" x14ac:dyDescent="0.15">
      <c r="A92" s="147" t="s">
        <v>1100</v>
      </c>
      <c r="B92" s="168" t="s">
        <v>16</v>
      </c>
      <c r="C92" s="221" t="s">
        <v>406</v>
      </c>
      <c r="D92" s="59"/>
      <c r="E92" s="157"/>
      <c r="F92" s="59"/>
      <c r="G92" s="157"/>
      <c r="H92" s="59"/>
      <c r="I92" s="157"/>
      <c r="J92" s="59"/>
      <c r="K92" s="157"/>
      <c r="M92" s="168" t="s">
        <v>16</v>
      </c>
      <c r="N92" s="322" t="s">
        <v>406</v>
      </c>
      <c r="O92" s="169"/>
      <c r="P92" s="157"/>
      <c r="Q92" s="169"/>
      <c r="R92" s="157"/>
      <c r="S92" s="169"/>
      <c r="T92" s="157"/>
      <c r="U92" s="169"/>
      <c r="V92" s="157"/>
    </row>
    <row r="93" spans="1:23" x14ac:dyDescent="0.15">
      <c r="A93" s="147" t="s">
        <v>1100</v>
      </c>
      <c r="B93" s="216" t="s">
        <v>364</v>
      </c>
      <c r="C93" s="221" t="s">
        <v>406</v>
      </c>
      <c r="D93" s="62"/>
      <c r="E93" s="158"/>
      <c r="F93" s="62"/>
      <c r="G93" s="158"/>
      <c r="H93" s="62"/>
      <c r="I93" s="158"/>
      <c r="J93" s="62"/>
      <c r="K93" s="158"/>
      <c r="M93" s="216" t="s">
        <v>364</v>
      </c>
      <c r="N93" s="322" t="s">
        <v>406</v>
      </c>
      <c r="O93" s="569" t="e">
        <f ca="1">[2]!sパッケージ構成商品コード(O21)</f>
        <v>#NAME?</v>
      </c>
      <c r="P93" s="158"/>
      <c r="Q93" s="569" t="e">
        <f ca="1">[2]!sパッケージ構成商品コード(Q21)</f>
        <v>#NAME?</v>
      </c>
      <c r="R93" s="158"/>
      <c r="S93" s="569" t="e">
        <f ca="1">[2]!sパッケージ構成商品コード(S21)</f>
        <v>#NAME?</v>
      </c>
      <c r="T93" s="158"/>
      <c r="U93" s="569" t="e">
        <f ca="1">[2]!sパッケージ構成商品コード(U21)</f>
        <v>#NAME?</v>
      </c>
      <c r="V93" s="158"/>
    </row>
    <row r="94" spans="1:23" x14ac:dyDescent="0.15">
      <c r="A94" s="147" t="s">
        <v>1100</v>
      </c>
      <c r="B94" s="217" t="s">
        <v>365</v>
      </c>
      <c r="C94" s="221" t="s">
        <v>406</v>
      </c>
      <c r="D94" s="62"/>
      <c r="E94" s="158"/>
      <c r="F94" s="62"/>
      <c r="G94" s="158"/>
      <c r="H94" s="62"/>
      <c r="I94" s="158"/>
      <c r="J94" s="62"/>
      <c r="K94" s="158"/>
      <c r="M94" s="217" t="s">
        <v>365</v>
      </c>
      <c r="N94" s="322" t="s">
        <v>406</v>
      </c>
      <c r="O94" s="569" t="e">
        <f ca="1">[2]!sパッケージ構成数(O21)</f>
        <v>#NAME?</v>
      </c>
      <c r="P94" s="158"/>
      <c r="Q94" s="569" t="e">
        <f ca="1">[2]!sパッケージ構成数(Q21)</f>
        <v>#NAME?</v>
      </c>
      <c r="R94" s="158"/>
      <c r="S94" s="569" t="e">
        <f ca="1">[2]!sパッケージ構成数(S21)</f>
        <v>#NAME?</v>
      </c>
      <c r="T94" s="158"/>
      <c r="U94" s="569" t="e">
        <f ca="1">[2]!sパッケージ構成数(U21)</f>
        <v>#NAME?</v>
      </c>
      <c r="V94" s="158"/>
    </row>
    <row r="103" spans="15:15" x14ac:dyDescent="0.15">
      <c r="O103" s="22" t="e">
        <f ca="1">[2]!sPB区分(O21)</f>
        <v>#NAME?</v>
      </c>
    </row>
  </sheetData>
  <sheetProtection selectLockedCells="1"/>
  <customSheetViews>
    <customSheetView guid="{E144E3A1-E29C-410D-8925-3F260910373E}" showRuler="0">
      <selection activeCell="E3" sqref="E3"/>
      <pageMargins left="0.75" right="0.75" top="1" bottom="1" header="0.51200000000000001" footer="0.51200000000000001"/>
      <headerFooter alignWithMargins="0"/>
    </customSheetView>
  </customSheetViews>
  <mergeCells count="67">
    <mergeCell ref="A11:A13"/>
    <mergeCell ref="A14:A17"/>
    <mergeCell ref="C5:C7"/>
    <mergeCell ref="C8:C10"/>
    <mergeCell ref="A3:A4"/>
    <mergeCell ref="A5:A7"/>
    <mergeCell ref="A8:A10"/>
    <mergeCell ref="B5:B7"/>
    <mergeCell ref="B3:B4"/>
    <mergeCell ref="C3:C4"/>
    <mergeCell ref="B14:B17"/>
    <mergeCell ref="H10:I10"/>
    <mergeCell ref="J10:K10"/>
    <mergeCell ref="D18:E18"/>
    <mergeCell ref="F18:G18"/>
    <mergeCell ref="H18:I18"/>
    <mergeCell ref="J18:K18"/>
    <mergeCell ref="F16:G16"/>
    <mergeCell ref="H16:I16"/>
    <mergeCell ref="J16:K16"/>
    <mergeCell ref="F17:G17"/>
    <mergeCell ref="H17:I17"/>
    <mergeCell ref="J17:K17"/>
    <mergeCell ref="J15:K15"/>
    <mergeCell ref="D12:K12"/>
    <mergeCell ref="D13:E13"/>
    <mergeCell ref="F13:G13"/>
    <mergeCell ref="I2:K2"/>
    <mergeCell ref="O19:V19"/>
    <mergeCell ref="D19:K19"/>
    <mergeCell ref="J5:K5"/>
    <mergeCell ref="D6:E6"/>
    <mergeCell ref="F6:G6"/>
    <mergeCell ref="H6:I6"/>
    <mergeCell ref="J6:K6"/>
    <mergeCell ref="D7:E7"/>
    <mergeCell ref="F7:G7"/>
    <mergeCell ref="H7:I7"/>
    <mergeCell ref="J7:K7"/>
    <mergeCell ref="H5:I5"/>
    <mergeCell ref="D14:E14"/>
    <mergeCell ref="D15:E15"/>
    <mergeCell ref="D16:E16"/>
    <mergeCell ref="D5:E5"/>
    <mergeCell ref="F5:G5"/>
    <mergeCell ref="B8:B10"/>
    <mergeCell ref="D8:E8"/>
    <mergeCell ref="F8:G8"/>
    <mergeCell ref="D10:E10"/>
    <mergeCell ref="F10:G10"/>
    <mergeCell ref="H8:I8"/>
    <mergeCell ref="J8:K8"/>
    <mergeCell ref="D9:E9"/>
    <mergeCell ref="F9:G9"/>
    <mergeCell ref="H9:I9"/>
    <mergeCell ref="J9:K9"/>
    <mergeCell ref="H13:I13"/>
    <mergeCell ref="J13:K13"/>
    <mergeCell ref="B11:B13"/>
    <mergeCell ref="C11:C13"/>
    <mergeCell ref="D11:K11"/>
    <mergeCell ref="D17:E17"/>
    <mergeCell ref="F14:G14"/>
    <mergeCell ref="H14:I14"/>
    <mergeCell ref="J14:K14"/>
    <mergeCell ref="F15:G15"/>
    <mergeCell ref="H15:I15"/>
  </mergeCells>
  <phoneticPr fontId="3"/>
  <conditionalFormatting sqref="D22 F22">
    <cfRule type="cellIs" dxfId="85" priority="56" stopIfTrue="1" operator="notEqual">
      <formula>O22</formula>
    </cfRule>
  </conditionalFormatting>
  <conditionalFormatting sqref="D27:D46 F27:F46">
    <cfRule type="cellIs" dxfId="84" priority="52" stopIfTrue="1" operator="notEqual">
      <formula>O27</formula>
    </cfRule>
  </conditionalFormatting>
  <conditionalFormatting sqref="D48">
    <cfRule type="cellIs" dxfId="83" priority="14" operator="notEqual">
      <formula>$O$48</formula>
    </cfRule>
  </conditionalFormatting>
  <conditionalFormatting sqref="D49:D51 F49:F51">
    <cfRule type="cellIs" dxfId="82" priority="51" stopIfTrue="1" operator="notEqual">
      <formula>O49</formula>
    </cfRule>
  </conditionalFormatting>
  <conditionalFormatting sqref="D54 H54 J54">
    <cfRule type="cellIs" dxfId="81" priority="92" stopIfTrue="1" operator="notEqual">
      <formula>$O$54</formula>
    </cfRule>
  </conditionalFormatting>
  <conditionalFormatting sqref="D55:D62 F55:F62">
    <cfRule type="cellIs" dxfId="80" priority="47" stopIfTrue="1" operator="notEqual">
      <formula>O55</formula>
    </cfRule>
  </conditionalFormatting>
  <conditionalFormatting sqref="D64:D65 F64:F65">
    <cfRule type="cellIs" dxfId="79" priority="45" stopIfTrue="1" operator="notEqual">
      <formula>O64</formula>
    </cfRule>
  </conditionalFormatting>
  <conditionalFormatting sqref="D67:D72">
    <cfRule type="cellIs" dxfId="78" priority="40" stopIfTrue="1" operator="notEqual">
      <formula>O67</formula>
    </cfRule>
  </conditionalFormatting>
  <conditionalFormatting sqref="E23:E24 G23:G24 I23:I24">
    <cfRule type="cellIs" dxfId="77" priority="84" stopIfTrue="1" operator="greaterThan">
      <formula>52</formula>
    </cfRule>
  </conditionalFormatting>
  <conditionalFormatting sqref="E25:E26 G25:G26 I25:I26">
    <cfRule type="cellIs" dxfId="76" priority="85" stopIfTrue="1" operator="greaterThan">
      <formula>20</formula>
    </cfRule>
  </conditionalFormatting>
  <conditionalFormatting sqref="E29 G29 I29 K29 P29 R29 T29 V29">
    <cfRule type="cellIs" dxfId="75" priority="89" stopIfTrue="1" operator="greaterThan">
      <formula>10</formula>
    </cfRule>
  </conditionalFormatting>
  <conditionalFormatting sqref="F48 H48 J48">
    <cfRule type="cellIs" dxfId="74" priority="13" operator="notEqual">
      <formula>$O$48</formula>
    </cfRule>
  </conditionalFormatting>
  <conditionalFormatting sqref="F54">
    <cfRule type="cellIs" dxfId="73" priority="87" stopIfTrue="1" operator="notEqual">
      <formula>$O$54</formula>
    </cfRule>
  </conditionalFormatting>
  <conditionalFormatting sqref="F67:F72 H67:H72 J67:J72">
    <cfRule type="cellIs" dxfId="72" priority="20" stopIfTrue="1" operator="notEqual">
      <formula>Q67</formula>
    </cfRule>
  </conditionalFormatting>
  <conditionalFormatting sqref="F79">
    <cfRule type="cellIs" dxfId="71" priority="19" stopIfTrue="1" operator="notEqual">
      <formula>Q79</formula>
    </cfRule>
  </conditionalFormatting>
  <conditionalFormatting sqref="H22 J22 H64:H65 J64:J65 D74:D75 F74:F75 H74:H75 J74:J75 D79">
    <cfRule type="cellIs" dxfId="70" priority="88" stopIfTrue="1" operator="notEqual">
      <formula>O22</formula>
    </cfRule>
  </conditionalFormatting>
  <conditionalFormatting sqref="H27:H46 J27:J46">
    <cfRule type="cellIs" dxfId="69" priority="9" stopIfTrue="1" operator="notEqual">
      <formula>S27</formula>
    </cfRule>
  </conditionalFormatting>
  <conditionalFormatting sqref="H49:H51 J49:J51">
    <cfRule type="cellIs" dxfId="68" priority="80" stopIfTrue="1" operator="notEqual">
      <formula>S49</formula>
    </cfRule>
  </conditionalFormatting>
  <conditionalFormatting sqref="H55:H62 J55:J62">
    <cfRule type="cellIs" dxfId="67" priority="74" stopIfTrue="1" operator="notEqual">
      <formula>S55</formula>
    </cfRule>
  </conditionalFormatting>
  <conditionalFormatting sqref="H79">
    <cfRule type="cellIs" dxfId="66" priority="17" stopIfTrue="1" operator="notEqual">
      <formula>S79</formula>
    </cfRule>
  </conditionalFormatting>
  <conditionalFormatting sqref="J79">
    <cfRule type="cellIs" dxfId="65" priority="16" stopIfTrue="1" operator="notEqual">
      <formula>U79</formula>
    </cfRule>
  </conditionalFormatting>
  <conditionalFormatting sqref="K23:K24 P23:P24 R23:R24 T23:T24 V23:V24">
    <cfRule type="cellIs" dxfId="64" priority="90" stopIfTrue="1" operator="greaterThan">
      <formula>52</formula>
    </cfRule>
  </conditionalFormatting>
  <conditionalFormatting sqref="K25:K26 P25:P26 R25:R26 T25:T26 V25:V26">
    <cfRule type="cellIs" dxfId="63" priority="91" stopIfTrue="1" operator="greaterThan">
      <formula>20</formula>
    </cfRule>
  </conditionalFormatting>
  <conditionalFormatting sqref="O63">
    <cfRule type="cellIs" dxfId="62" priority="31" operator="notEqual">
      <formula>$O$63</formula>
    </cfRule>
  </conditionalFormatting>
  <conditionalFormatting sqref="D87">
    <cfRule type="cellIs" dxfId="61" priority="8" stopIfTrue="1" operator="notEqual">
      <formula>O87</formula>
    </cfRule>
  </conditionalFormatting>
  <conditionalFormatting sqref="D80">
    <cfRule type="cellIs" dxfId="60" priority="7" operator="notEqual">
      <formula>$O$80</formula>
    </cfRule>
  </conditionalFormatting>
  <conditionalFormatting sqref="F87">
    <cfRule type="cellIs" dxfId="59" priority="6" stopIfTrue="1" operator="notEqual">
      <formula>Q87</formula>
    </cfRule>
  </conditionalFormatting>
  <conditionalFormatting sqref="F80">
    <cfRule type="cellIs" dxfId="58" priority="5" operator="notEqual">
      <formula>$O$80</formula>
    </cfRule>
  </conditionalFormatting>
  <conditionalFormatting sqref="H87">
    <cfRule type="cellIs" dxfId="57" priority="4" stopIfTrue="1" operator="notEqual">
      <formula>S87</formula>
    </cfRule>
  </conditionalFormatting>
  <conditionalFormatting sqref="H80">
    <cfRule type="cellIs" dxfId="56" priority="3" operator="notEqual">
      <formula>$O$80</formula>
    </cfRule>
  </conditionalFormatting>
  <conditionalFormatting sqref="J87">
    <cfRule type="cellIs" dxfId="55" priority="2" stopIfTrue="1" operator="notEqual">
      <formula>U87</formula>
    </cfRule>
  </conditionalFormatting>
  <conditionalFormatting sqref="J80">
    <cfRule type="cellIs" dxfId="54" priority="1" operator="notEqual">
      <formula>$O$80</formula>
    </cfRule>
  </conditionalFormatting>
  <dataValidations xWindow="786" yWindow="494" count="35">
    <dataValidation type="list" allowBlank="1" showInputMessage="1" showErrorMessage="1" sqref="H67 F67 D67 J67" xr:uid="{00000000-0002-0000-0000-000000000000}">
      <formula1>季節区分</formula1>
    </dataValidation>
    <dataValidation type="list" allowBlank="1" showInputMessage="1" showErrorMessage="1" sqref="H68 J68 D68 F68" xr:uid="{00000000-0002-0000-0000-000001000000}">
      <formula1>店舗取扱区分</formula1>
    </dataValidation>
    <dataValidation type="list" allowBlank="1" showInputMessage="1" showErrorMessage="1" sqref="H61 J61 D61 F61" xr:uid="{00000000-0002-0000-0000-000002000000}">
      <formula1>産地_国</formula1>
    </dataValidation>
    <dataValidation type="list" allowBlank="1" showInputMessage="1" showErrorMessage="1" sqref="J62 H62 F62 D62" xr:uid="{00000000-0002-0000-0000-000003000000}">
      <formula1>産地_地域</formula1>
    </dataValidation>
    <dataValidation type="list" allowBlank="1" showInputMessage="1" showErrorMessage="1" sqref="F44 J44 H44 D44" xr:uid="{00000000-0002-0000-0000-000004000000}">
      <formula1>デポ当日発注</formula1>
    </dataValidation>
    <dataValidation type="list" allowBlank="1" showInputMessage="1" showErrorMessage="1" sqref="H43 J43 F43 D43" xr:uid="{00000000-0002-0000-0000-000005000000}">
      <formula1>物流区分</formula1>
    </dataValidation>
    <dataValidation type="list" allowBlank="1" showInputMessage="1" showErrorMessage="1" sqref="F42 J42 H42 D42" xr:uid="{00000000-0002-0000-0000-000006000000}">
      <formula1>温度帯</formula1>
    </dataValidation>
    <dataValidation type="custom" allowBlank="1" showInputMessage="1" showErrorMessage="1" sqref="R24:R26 V24:V26 P24:P26 T24:T26 V28 R28 T28 P28 K28 O23:V23 E28 G28 D23:K26 I28" xr:uid="{00000000-0002-0000-0000-000007000000}">
      <formula1>LENB(D23)&lt;=52</formula1>
    </dataValidation>
    <dataValidation type="custom" allowBlank="1" showInputMessage="1" showErrorMessage="1" sqref="U29 D29 O29 Q29 H29 J29 S29 F29" xr:uid="{00000000-0002-0000-0000-000008000000}">
      <formula1>LEN(D29)&lt;=10</formula1>
    </dataValidation>
    <dataValidation type="list" allowBlank="1" showInputMessage="1" showErrorMessage="1" sqref="F32:F33 D32:D33 H32:H33 J32:J33" xr:uid="{00000000-0002-0000-0000-000009000000}">
      <formula1>単位</formula1>
    </dataValidation>
    <dataValidation type="list" allowBlank="1" showInputMessage="1" showErrorMessage="1" sqref="F41 J41 H41 D41" xr:uid="{00000000-0002-0000-0000-00000A000000}">
      <formula1>商品種別</formula1>
    </dataValidation>
    <dataValidation type="list" allowBlank="1" showInputMessage="1" showErrorMessage="1" sqref="H64 J64 D64 F64" xr:uid="{00000000-0002-0000-0000-00000B000000}">
      <formula1>飲み口</formula1>
    </dataValidation>
    <dataValidation type="custom" allowBlank="1" showInputMessage="1" showErrorMessage="1" prompt="単位は_x000a_半角大文字で！" sqref="U28 S28 O28 Q28 D28 J28 H28 F28" xr:uid="{00000000-0002-0000-0000-00000C000000}">
      <formula1>LEN(D28)&lt;=10</formula1>
    </dataValidation>
    <dataValidation type="list" allowBlank="1" showInputMessage="1" showErrorMessage="1" sqref="H22 F22 J22 D22" xr:uid="{00000000-0002-0000-0000-00000D000000}">
      <formula1>商品区分</formula1>
    </dataValidation>
    <dataValidation type="whole" allowBlank="1" showInputMessage="1" showErrorMessage="1" sqref="H21 D21 F21 J21" xr:uid="{00000000-0002-0000-0000-00000E000000}">
      <formula1>1</formula1>
      <formula2>99999999</formula2>
    </dataValidation>
    <dataValidation type="custom" errorStyle="warning" allowBlank="1" showInputMessage="1" showErrorMessage="1" error="byte数を越えています" sqref="S25:S26 U25:U26 O25:O26 Q25:Q26" xr:uid="{00000000-0002-0000-0000-00000F000000}">
      <formula1>LENB(O25)&lt;=20</formula1>
    </dataValidation>
    <dataValidation type="custom" errorStyle="warning" allowBlank="1" showInputMessage="1" showErrorMessage="1" error="byte数を越えています" sqref="O24 S24 Q24 U24" xr:uid="{00000000-0002-0000-0000-000010000000}">
      <formula1>LENB(O24)&lt;=52</formula1>
    </dataValidation>
    <dataValidation allowBlank="1" showInputMessage="1" showErrorMessage="1" prompt="入力は_x000a_数字のみ" sqref="J27 D27 H27 F27" xr:uid="{00000000-0002-0000-0000-000011000000}"/>
    <dataValidation allowBlank="1" showInputMessage="1" showErrorMessage="1" prompt="入力は_x000a_○○度～○○度で" sqref="J59:J60 D59:D60 H59:H60 F59:F60" xr:uid="{00000000-0002-0000-0000-000012000000}"/>
    <dataValidation type="list" allowBlank="1" showInputMessage="1" showErrorMessage="1" sqref="J34 H34 F34 D34" xr:uid="{00000000-0002-0000-0000-000013000000}">
      <formula1>在庫管理</formula1>
    </dataValidation>
    <dataValidation type="list" allowBlank="1" showInputMessage="1" showErrorMessage="1" sqref="H39 F39 J39 D39" xr:uid="{00000000-0002-0000-0000-000014000000}">
      <formula1>課税区分</formula1>
    </dataValidation>
    <dataValidation type="list" allowBlank="1" showInputMessage="1" showErrorMessage="1" sqref="J58 H58 D58 F58" xr:uid="{00000000-0002-0000-0000-000015000000}">
      <formula1>国産輸入</formula1>
    </dataValidation>
    <dataValidation type="list" allowBlank="1" showInputMessage="1" showErrorMessage="1" sqref="J79 H79 D79 F79" xr:uid="{00000000-0002-0000-0000-000016000000}">
      <formula1>横持ピック</formula1>
    </dataValidation>
    <dataValidation type="list" allowBlank="1" showInputMessage="1" showErrorMessage="1" sqref="J54 H54 D54 F54" xr:uid="{00000000-0002-0000-0000-000017000000}">
      <formula1>HT容器回収</formula1>
    </dataValidation>
    <dataValidation type="list" allowBlank="1" showInputMessage="1" showErrorMessage="1" sqref="J40 H40 F40 D40" xr:uid="{00000000-0002-0000-0000-000018000000}">
      <formula1>消費税率コード</formula1>
    </dataValidation>
    <dataValidation type="list" allowBlank="1" showInputMessage="1" showErrorMessage="1" sqref="D49 F49 H49 J49" xr:uid="{00000000-0002-0000-0000-000019000000}">
      <formula1>小分類</formula1>
    </dataValidation>
    <dataValidation type="list" allowBlank="1" showInputMessage="1" showErrorMessage="1" sqref="D50 F50 H50 J50" xr:uid="{00000000-0002-0000-0000-00001A000000}">
      <formula1>商品分類</formula1>
    </dataValidation>
    <dataValidation type="list" allowBlank="1" showInputMessage="1" showErrorMessage="1" sqref="H56 J56 D56 F56" xr:uid="{00000000-0002-0000-0000-00001B000000}">
      <formula1>伝発分類</formula1>
    </dataValidation>
    <dataValidation type="list" allowBlank="1" showInputMessage="1" showErrorMessage="1" sqref="H57 J57 D57 F57" xr:uid="{00000000-0002-0000-0000-00001C000000}">
      <formula1>酒税分類</formula1>
    </dataValidation>
    <dataValidation type="list" allowBlank="1" showInputMessage="1" showErrorMessage="1" sqref="D75 F75 H75 J75" xr:uid="{00000000-0002-0000-0000-00001D000000}">
      <formula1>予備区分8</formula1>
    </dataValidation>
    <dataValidation type="list" allowBlank="1" showInputMessage="1" showErrorMessage="1" sqref="F46 J46 H46" xr:uid="{00000000-0002-0000-0000-00001E000000}">
      <formula1>$AI$2:$AI$3</formula1>
    </dataValidation>
    <dataValidation type="list" allowBlank="1" showInputMessage="1" showErrorMessage="1" sqref="H63 J63" xr:uid="{00000000-0002-0000-0000-000021000000}">
      <formula1>$AJ$2:$AJ$3</formula1>
    </dataValidation>
    <dataValidation type="list" allowBlank="1" showInputMessage="1" showErrorMessage="1" sqref="D73 F73 H73 J73" xr:uid="{00000000-0002-0000-0000-000026000000}">
      <formula1>予備区分3</formula1>
    </dataValidation>
    <dataValidation type="list" allowBlank="1" showInputMessage="1" showErrorMessage="1" sqref="D71 F71 H71 J71" xr:uid="{00000000-0002-0000-0000-000027000000}">
      <formula1>予備区分1</formula1>
    </dataValidation>
    <dataValidation type="list" allowBlank="1" showInputMessage="1" showErrorMessage="1" sqref="D72 F72 H72 J72" xr:uid="{00000000-0002-0000-0000-000028000000}">
      <formula1>予備区分2</formula1>
    </dataValidation>
  </dataValidations>
  <printOptions horizontalCentered="1"/>
  <pageMargins left="0" right="0" top="0.39370078740157483" bottom="0.39370078740157483" header="0.19685039370078741" footer="0.19685039370078741"/>
  <pageSetup paperSize="9" scale="93" orientation="portrait" verticalDpi="1200" r:id="rId1"/>
  <headerFooter alignWithMargins="0">
    <oddFooter>&amp;P / &amp;N ページ</oddFoot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56" r:id="rId4" name="Check Box 92">
              <controlPr defaultSize="0" autoFill="0" autoLine="0" autoPict="0">
                <anchor moveWithCells="1">
                  <from>
                    <xdr:col>3</xdr:col>
                    <xdr:colOff>1280160</xdr:colOff>
                    <xdr:row>1</xdr:row>
                    <xdr:rowOff>220980</xdr:rowOff>
                  </from>
                  <to>
                    <xdr:col>4</xdr:col>
                    <xdr:colOff>160020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7" r:id="rId5" name="Check Box 93">
              <controlPr defaultSize="0" autoFill="0" autoLine="0" autoPict="0">
                <anchor moveWithCells="1">
                  <from>
                    <xdr:col>3</xdr:col>
                    <xdr:colOff>1280160</xdr:colOff>
                    <xdr:row>2</xdr:row>
                    <xdr:rowOff>220980</xdr:rowOff>
                  </from>
                  <to>
                    <xdr:col>4</xdr:col>
                    <xdr:colOff>160020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8" r:id="rId6" name="Check Box 94">
              <controlPr defaultSize="0" autoFill="0" autoLine="0" autoPict="0">
                <anchor moveWithCells="1">
                  <from>
                    <xdr:col>5</xdr:col>
                    <xdr:colOff>1280160</xdr:colOff>
                    <xdr:row>1</xdr:row>
                    <xdr:rowOff>220980</xdr:rowOff>
                  </from>
                  <to>
                    <xdr:col>6</xdr:col>
                    <xdr:colOff>160020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9" r:id="rId7" name="Check Box 95">
              <controlPr defaultSize="0" autoFill="0" autoLine="0" autoPict="0">
                <anchor moveWithCells="1">
                  <from>
                    <xdr:col>5</xdr:col>
                    <xdr:colOff>1280160</xdr:colOff>
                    <xdr:row>2</xdr:row>
                    <xdr:rowOff>220980</xdr:rowOff>
                  </from>
                  <to>
                    <xdr:col>6</xdr:col>
                    <xdr:colOff>160020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0" r:id="rId8" name="Check Box 96">
              <controlPr defaultSize="0" autoFill="0" autoLine="0" autoPict="0">
                <anchor moveWithCells="1">
                  <from>
                    <xdr:col>7</xdr:col>
                    <xdr:colOff>1280160</xdr:colOff>
                    <xdr:row>1</xdr:row>
                    <xdr:rowOff>220980</xdr:rowOff>
                  </from>
                  <to>
                    <xdr:col>8</xdr:col>
                    <xdr:colOff>160020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1" r:id="rId9" name="Check Box 97">
              <controlPr defaultSize="0" autoFill="0" autoLine="0" autoPict="0">
                <anchor moveWithCells="1">
                  <from>
                    <xdr:col>7</xdr:col>
                    <xdr:colOff>1280160</xdr:colOff>
                    <xdr:row>2</xdr:row>
                    <xdr:rowOff>213360</xdr:rowOff>
                  </from>
                  <to>
                    <xdr:col>8</xdr:col>
                    <xdr:colOff>160020</xdr:colOff>
                    <xdr:row>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" r:id="rId10" name="Check Box 102">
              <controlPr defaultSize="0" autoFill="0" autoLine="0" autoPict="0">
                <anchor moveWithCells="1">
                  <from>
                    <xdr:col>9</xdr:col>
                    <xdr:colOff>1287780</xdr:colOff>
                    <xdr:row>1</xdr:row>
                    <xdr:rowOff>220980</xdr:rowOff>
                  </from>
                  <to>
                    <xdr:col>11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" r:id="rId11" name="Check Box 103">
              <controlPr defaultSize="0" autoFill="0" autoLine="0" autoPict="0">
                <anchor moveWithCells="1">
                  <from>
                    <xdr:col>9</xdr:col>
                    <xdr:colOff>1287780</xdr:colOff>
                    <xdr:row>2</xdr:row>
                    <xdr:rowOff>213360</xdr:rowOff>
                  </from>
                  <to>
                    <xdr:col>11</xdr:col>
                    <xdr:colOff>0</xdr:colOff>
                    <xdr:row>3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786" yWindow="494" count="4">
        <x14:dataValidation type="list" allowBlank="1" showInputMessage="1" showErrorMessage="1" xr:uid="{00000000-0002-0000-0000-000029000000}">
          <x14:formula1>
            <xm:f>MT商品ﾏｽﾀ参照シート!$AK$2:$AK$3</xm:f>
          </x14:formula1>
          <xm:sqref>D46</xm:sqref>
        </x14:dataValidation>
        <x14:dataValidation type="list" allowBlank="1" showInputMessage="1" showErrorMessage="1" xr:uid="{00000000-0002-0000-0000-00002A000000}">
          <x14:formula1>
            <xm:f>MT商品ﾏｽﾀ参照シート!$AL$2:$AL$3</xm:f>
          </x14:formula1>
          <xm:sqref>D77 F77 H77 J77</xm:sqref>
        </x14:dataValidation>
        <x14:dataValidation type="list" allowBlank="1" showInputMessage="1" showErrorMessage="1" xr:uid="{00000000-0002-0000-0000-00002C000000}">
          <x14:formula1>
            <xm:f>MT商品ﾏｽﾀ参照シート!$AC$2:$AC$3</xm:f>
          </x14:formula1>
          <xm:sqref>F63 D63</xm:sqref>
        </x14:dataValidation>
        <x14:dataValidation type="list" allowBlank="1" showInputMessage="1" showErrorMessage="1" xr:uid="{00000000-0002-0000-0000-00002D000000}">
          <x14:formula1>
            <xm:f>MT商品ﾏｽﾀ参照シート!$AI$2:$AI$7</xm:f>
          </x14:formula1>
          <xm:sqref>D74 J74 H74 F74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indexed="10"/>
  </sheetPr>
  <dimension ref="A2:AU13"/>
  <sheetViews>
    <sheetView zoomScaleNormal="10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M4" sqref="M4"/>
    </sheetView>
  </sheetViews>
  <sheetFormatPr defaultColWidth="4.88671875" defaultRowHeight="10.8" x14ac:dyDescent="0.2"/>
  <cols>
    <col min="1" max="1" width="8.44140625" style="80" customWidth="1"/>
    <col min="2" max="2" width="3.21875" style="80" customWidth="1"/>
    <col min="3" max="3" width="14.21875" style="80" customWidth="1"/>
    <col min="4" max="4" width="12.6640625" style="80" customWidth="1"/>
    <col min="5" max="5" width="4.21875" style="80" customWidth="1"/>
    <col min="6" max="6" width="3.44140625" style="80" customWidth="1"/>
    <col min="7" max="7" width="3.33203125" style="80" customWidth="1"/>
    <col min="8" max="9" width="4" style="80" customWidth="1"/>
    <col min="10" max="10" width="3.109375" style="80" customWidth="1"/>
    <col min="11" max="12" width="3.21875" style="80" customWidth="1"/>
    <col min="13" max="13" width="5.77734375" style="80" customWidth="1"/>
    <col min="14" max="14" width="3.21875" style="80" customWidth="1"/>
    <col min="15" max="15" width="7" style="80" customWidth="1"/>
    <col min="16" max="16" width="5.33203125" style="80" customWidth="1"/>
    <col min="17" max="18" width="7.109375" style="80" customWidth="1"/>
    <col min="19" max="19" width="7.6640625" style="80" customWidth="1"/>
    <col min="20" max="20" width="6.44140625" style="80" customWidth="1"/>
    <col min="21" max="21" width="7.21875" style="80" customWidth="1"/>
    <col min="22" max="25" width="4.21875" style="80" customWidth="1"/>
    <col min="26" max="27" width="3.21875" style="80" customWidth="1"/>
    <col min="28" max="29" width="11.77734375" style="80" bestFit="1" customWidth="1"/>
    <col min="30" max="30" width="11" style="80" customWidth="1"/>
    <col min="31" max="43" width="4.88671875" style="80" customWidth="1"/>
    <col min="44" max="44" width="6.21875" style="80" bestFit="1" customWidth="1"/>
    <col min="45" max="45" width="4.88671875" style="80" customWidth="1"/>
    <col min="46" max="46" width="8.88671875" style="80" customWidth="1"/>
    <col min="47" max="16384" width="4.88671875" style="80"/>
  </cols>
  <sheetData>
    <row r="2" spans="1:47" s="1" customFormat="1" ht="45.75" customHeight="1" x14ac:dyDescent="0.2">
      <c r="A2" s="1" t="s">
        <v>93</v>
      </c>
      <c r="B2" s="63">
        <v>2</v>
      </c>
      <c r="C2" s="63">
        <v>3</v>
      </c>
      <c r="D2" s="63">
        <v>4</v>
      </c>
      <c r="E2" s="63">
        <v>5</v>
      </c>
      <c r="F2" s="63">
        <v>6</v>
      </c>
      <c r="G2" s="63">
        <v>7</v>
      </c>
      <c r="H2" s="63">
        <v>8</v>
      </c>
      <c r="I2" s="63">
        <v>9</v>
      </c>
      <c r="J2" s="63">
        <v>10</v>
      </c>
      <c r="K2" s="63">
        <v>11</v>
      </c>
      <c r="L2" s="63">
        <v>12</v>
      </c>
      <c r="M2" s="63">
        <v>13</v>
      </c>
      <c r="N2" s="63">
        <v>14</v>
      </c>
      <c r="O2" s="63">
        <v>15</v>
      </c>
      <c r="P2" s="63">
        <v>16</v>
      </c>
      <c r="Q2" s="63">
        <v>17</v>
      </c>
      <c r="R2" s="63">
        <v>18</v>
      </c>
      <c r="S2" s="63">
        <v>19</v>
      </c>
      <c r="T2" s="63">
        <v>20</v>
      </c>
      <c r="U2" s="63">
        <v>21</v>
      </c>
      <c r="V2" s="63">
        <v>22</v>
      </c>
      <c r="W2" s="63">
        <v>23</v>
      </c>
      <c r="X2" s="63">
        <v>24</v>
      </c>
      <c r="Y2" s="63">
        <v>25</v>
      </c>
      <c r="Z2" s="63">
        <v>26</v>
      </c>
      <c r="AA2" s="63">
        <v>27</v>
      </c>
      <c r="AB2" s="63">
        <v>28</v>
      </c>
      <c r="AC2" s="63">
        <v>29</v>
      </c>
      <c r="AD2" s="63">
        <v>30</v>
      </c>
      <c r="AE2" s="63">
        <v>31</v>
      </c>
      <c r="AF2" s="63">
        <v>32</v>
      </c>
      <c r="AG2" s="63">
        <v>33</v>
      </c>
      <c r="AH2" s="63">
        <v>34</v>
      </c>
      <c r="AI2" s="63">
        <v>35</v>
      </c>
      <c r="AJ2" s="63">
        <v>36</v>
      </c>
      <c r="AK2" s="63">
        <v>37</v>
      </c>
      <c r="AL2" s="63">
        <v>38</v>
      </c>
      <c r="AM2" s="63">
        <v>39</v>
      </c>
      <c r="AN2" s="63">
        <v>40</v>
      </c>
      <c r="AO2" s="63">
        <v>41</v>
      </c>
      <c r="AP2" s="63">
        <v>42</v>
      </c>
      <c r="AQ2" s="63">
        <v>43</v>
      </c>
      <c r="AR2" s="63">
        <v>44</v>
      </c>
      <c r="AS2" s="63">
        <v>45</v>
      </c>
      <c r="AT2" s="63">
        <v>46</v>
      </c>
      <c r="AU2" s="63">
        <v>47</v>
      </c>
    </row>
    <row r="3" spans="1:47" s="70" customFormat="1" ht="49.5" customHeight="1" x14ac:dyDescent="0.15">
      <c r="A3" s="628" t="s">
        <v>103</v>
      </c>
      <c r="B3" s="64" t="s">
        <v>88</v>
      </c>
      <c r="C3" s="65" t="s">
        <v>116</v>
      </c>
      <c r="D3" s="65" t="s">
        <v>117</v>
      </c>
      <c r="E3" s="630" t="s">
        <v>138</v>
      </c>
      <c r="F3" s="66" t="s">
        <v>139</v>
      </c>
      <c r="G3" s="626" t="s">
        <v>80</v>
      </c>
      <c r="H3" s="67"/>
      <c r="I3" s="67"/>
      <c r="J3" s="67"/>
      <c r="K3" s="67"/>
      <c r="L3" s="67" t="s">
        <v>94</v>
      </c>
      <c r="M3" s="67" t="s">
        <v>95</v>
      </c>
      <c r="N3" s="67"/>
      <c r="O3" s="67"/>
      <c r="P3" s="67"/>
      <c r="Q3" s="68"/>
      <c r="R3" s="67"/>
      <c r="S3" s="67" t="s">
        <v>101</v>
      </c>
      <c r="T3" s="627" t="s">
        <v>140</v>
      </c>
      <c r="U3" s="618" t="s">
        <v>5</v>
      </c>
      <c r="V3" s="67"/>
      <c r="W3" s="67"/>
      <c r="X3" s="64"/>
      <c r="Y3" s="67" t="s">
        <v>96</v>
      </c>
      <c r="Z3" s="64"/>
      <c r="AA3" s="64"/>
      <c r="AB3" s="69"/>
      <c r="AC3" s="69"/>
      <c r="AD3" s="623" t="s">
        <v>304</v>
      </c>
      <c r="AE3" s="620" t="s">
        <v>114</v>
      </c>
      <c r="AF3" s="622" t="s">
        <v>115</v>
      </c>
      <c r="AG3" s="625" t="s">
        <v>396</v>
      </c>
      <c r="AH3" s="625"/>
      <c r="AI3" s="625" t="s">
        <v>397</v>
      </c>
      <c r="AJ3" s="625"/>
      <c r="AK3" s="625"/>
      <c r="AL3" s="625"/>
      <c r="AM3" s="617" t="s">
        <v>395</v>
      </c>
      <c r="AN3" s="617"/>
      <c r="AO3" s="617"/>
      <c r="AP3" s="617"/>
      <c r="AQ3" s="617"/>
    </row>
    <row r="4" spans="1:47" ht="60.75" customHeight="1" thickBot="1" x14ac:dyDescent="0.25">
      <c r="A4" s="629"/>
      <c r="B4" s="71" t="s">
        <v>77</v>
      </c>
      <c r="C4" s="72" t="s">
        <v>142</v>
      </c>
      <c r="D4" s="72" t="s">
        <v>141</v>
      </c>
      <c r="E4" s="630"/>
      <c r="F4" s="73" t="s">
        <v>89</v>
      </c>
      <c r="G4" s="626"/>
      <c r="H4" s="67" t="s">
        <v>143</v>
      </c>
      <c r="I4" s="67" t="s">
        <v>81</v>
      </c>
      <c r="J4" s="74" t="s">
        <v>82</v>
      </c>
      <c r="K4" s="74" t="s">
        <v>130</v>
      </c>
      <c r="L4" s="74" t="s">
        <v>86</v>
      </c>
      <c r="M4" s="74" t="s">
        <v>87</v>
      </c>
      <c r="N4" s="74" t="s">
        <v>97</v>
      </c>
      <c r="O4" s="74" t="s">
        <v>105</v>
      </c>
      <c r="P4" s="74" t="s">
        <v>99</v>
      </c>
      <c r="Q4" s="75" t="s">
        <v>78</v>
      </c>
      <c r="R4" s="74" t="s">
        <v>100</v>
      </c>
      <c r="S4" s="74" t="s">
        <v>101</v>
      </c>
      <c r="T4" s="618"/>
      <c r="U4" s="619"/>
      <c r="V4" s="67" t="s">
        <v>136</v>
      </c>
      <c r="W4" s="67" t="s">
        <v>137</v>
      </c>
      <c r="X4" s="76" t="s">
        <v>102</v>
      </c>
      <c r="Y4" s="76" t="s">
        <v>4</v>
      </c>
      <c r="Z4" s="76" t="s">
        <v>391</v>
      </c>
      <c r="AA4" s="76" t="s">
        <v>392</v>
      </c>
      <c r="AB4" s="69" t="s">
        <v>6</v>
      </c>
      <c r="AC4" s="69" t="s">
        <v>7</v>
      </c>
      <c r="AD4" s="624"/>
      <c r="AE4" s="621"/>
      <c r="AF4" s="622"/>
      <c r="AG4" s="77" t="s">
        <v>119</v>
      </c>
      <c r="AH4" s="77" t="s">
        <v>120</v>
      </c>
      <c r="AI4" s="77" t="s">
        <v>382</v>
      </c>
      <c r="AJ4" s="77" t="s">
        <v>381</v>
      </c>
      <c r="AK4" s="77" t="s">
        <v>380</v>
      </c>
      <c r="AL4" s="77" t="s">
        <v>383</v>
      </c>
      <c r="AM4" s="77" t="s">
        <v>121</v>
      </c>
      <c r="AN4" s="77" t="s">
        <v>122</v>
      </c>
      <c r="AO4" s="78" t="s">
        <v>114</v>
      </c>
      <c r="AP4" s="79" t="s">
        <v>393</v>
      </c>
      <c r="AQ4" s="79" t="s">
        <v>394</v>
      </c>
      <c r="AR4" s="80" t="s">
        <v>167</v>
      </c>
      <c r="AS4" s="80" t="s">
        <v>59</v>
      </c>
      <c r="AT4" s="80" t="s">
        <v>384</v>
      </c>
      <c r="AU4" s="80" t="s">
        <v>353</v>
      </c>
    </row>
    <row r="5" spans="1:47" ht="70.5" customHeight="1" x14ac:dyDescent="0.2">
      <c r="A5" s="81" t="str">
        <f>'①商品マスタ 申請入力用'!$D$21&amp;""</f>
        <v>414898</v>
      </c>
      <c r="B5" s="82" t="str">
        <f>'①商品マスタ 申請入力用'!$D$22&amp;""</f>
        <v/>
      </c>
      <c r="C5" s="83" t="str">
        <f>'①商品マスタ 申請入力用'!$D$23&amp;""</f>
        <v/>
      </c>
      <c r="D5" s="71" t="str">
        <f>'①商品マスタ 申請入力用'!$D$25&amp;""</f>
        <v/>
      </c>
      <c r="E5" s="84" t="str">
        <f>'①商品マスタ 申請入力用'!$D$27&amp;""</f>
        <v>1</v>
      </c>
      <c r="F5" s="85">
        <f>'①商品マスタ 申請入力用'!$D$28</f>
        <v>0</v>
      </c>
      <c r="G5" s="85" t="str">
        <f>'①商品マスタ 申請入力用'!$D$29&amp;""</f>
        <v>1</v>
      </c>
      <c r="H5" s="86" t="str">
        <f>'①商品マスタ 申請入力用'!$D$30</f>
        <v>1.0</v>
      </c>
      <c r="I5" s="87" t="str">
        <f>'①商品マスタ 申請入力用'!$D$31</f>
        <v>1500</v>
      </c>
      <c r="J5" s="88" t="str">
        <f>'①商品マスタ 申請入力用'!$D$32&amp;""</f>
        <v>02C/S</v>
      </c>
      <c r="K5" s="88" t="str">
        <f>'①商品マスタ 申請入力用'!$D$33&amp;""</f>
        <v>01本</v>
      </c>
      <c r="L5" s="89" t="str">
        <f>'①商品マスタ 申請入力用'!$D$41&amp;""</f>
        <v>1清酒類</v>
      </c>
      <c r="M5" s="89" t="str">
        <f>'①商品マスタ 申請入力用'!$D$50&amp;""</f>
        <v>1清酒 大吟醸 純米大吟醸</v>
      </c>
      <c r="N5" s="89" t="str">
        <f>'①商品マスタ 申請入力用'!$D$64&amp;""</f>
        <v>1中口</v>
      </c>
      <c r="O5" s="89" t="str">
        <f>'①商品マスタ 申請入力用'!$D$66&amp;""</f>
        <v>㈱ティルブション</v>
      </c>
      <c r="P5" s="90" t="e">
        <f>'①商品マスタ 申請入力用'!#REF!&amp;""</f>
        <v>#REF!</v>
      </c>
      <c r="Q5" s="91" t="str">
        <f>'①商品マスタ 申請入力用'!$D$57&amp;""</f>
        <v>200合成清酒</v>
      </c>
      <c r="R5" s="91" t="str">
        <f>'①商品マスタ 申請入力用'!$D$56&amp;""</f>
        <v>19リキュール</v>
      </c>
      <c r="S5" s="92" t="str">
        <f>'①商品マスタ 申請入力用'!$D$49&amp;""</f>
        <v>4005指定 その他</v>
      </c>
      <c r="T5" s="93" t="str">
        <f>'①商品マスタ 申請入力用'!$D$51&amp;""</f>
        <v>12345678</v>
      </c>
      <c r="U5" s="94" t="str">
        <f>'①商品マスタ 申請入力用'!$D$55&amp;""</f>
        <v>12345678</v>
      </c>
      <c r="V5" s="95" t="str">
        <f>'①商品マスタ 申請入力用'!$D$59&amp;""</f>
        <v>13.5</v>
      </c>
      <c r="W5" s="96" t="e">
        <f>'①商品マスタ 申請入力用'!#REF!&amp;""</f>
        <v>#REF!</v>
      </c>
      <c r="X5" s="97" t="str">
        <f>'①商品マスタ 申請入力用'!$D$61&amp;""</f>
        <v>10002中国</v>
      </c>
      <c r="Y5" s="97" t="str">
        <f>'①商品マスタ 申請入力用'!$D$62&amp;""</f>
        <v>1北海道</v>
      </c>
      <c r="Z5" s="89" t="str">
        <f>'①商品マスタ 申請入力用'!$D$67&amp;""</f>
        <v>0通年</v>
      </c>
      <c r="AA5" s="89" t="str">
        <f>'①商品マスタ 申請入力用'!$D$68&amp;""</f>
        <v>2直送</v>
      </c>
      <c r="AB5" s="98" t="str">
        <f>'①商品マスタ 申請入力用'!$D$69&amp;""</f>
        <v>1234567890123</v>
      </c>
      <c r="AC5" s="99" t="str">
        <f>'①商品マスタ 申請入力用'!$D$70&amp;""</f>
        <v>1234567890123</v>
      </c>
      <c r="AD5" s="100" t="str">
        <f>'①商品マスタ 申請入力用'!$D$75&amp;""</f>
        <v>2ラベルレス</v>
      </c>
      <c r="AE5" s="100"/>
      <c r="AF5" s="101" t="str">
        <f>'①商品マスタ 申請入力用'!$D$36</f>
        <v>00365</v>
      </c>
      <c r="AG5" s="102" t="e">
        <f>#REF!</f>
        <v>#REF!</v>
      </c>
      <c r="AH5" s="102" t="e">
        <f>#REF!</f>
        <v>#REF!</v>
      </c>
      <c r="AI5" s="102" t="e">
        <f>#REF!</f>
        <v>#REF!</v>
      </c>
      <c r="AJ5" s="102" t="e">
        <f>#REF!</f>
        <v>#REF!</v>
      </c>
      <c r="AK5" s="102"/>
      <c r="AL5" s="102"/>
      <c r="AM5" s="102" t="e">
        <f>#REF!</f>
        <v>#REF!</v>
      </c>
      <c r="AN5" s="102" t="e">
        <f>#REF!</f>
        <v>#REF!</v>
      </c>
      <c r="AO5" s="103"/>
      <c r="AP5" s="102"/>
      <c r="AQ5" s="102"/>
      <c r="AR5" s="104" t="e">
        <f>#REF!</f>
        <v>#REF!</v>
      </c>
      <c r="AS5" s="104" t="e">
        <f>#REF!</f>
        <v>#REF!</v>
      </c>
      <c r="AT5" s="136">
        <f>'①商品マスタ 申請入力用'!D35</f>
        <v>45639</v>
      </c>
      <c r="AU5" s="99" t="str">
        <f>'①商品マスタ 申請入力用'!$D$87&amp;""</f>
        <v/>
      </c>
    </row>
    <row r="6" spans="1:47" ht="15.75" customHeight="1" thickBot="1" x14ac:dyDescent="0.25">
      <c r="A6" s="105" t="s">
        <v>171</v>
      </c>
      <c r="B6" s="105" t="s">
        <v>171</v>
      </c>
      <c r="C6" s="105" t="s">
        <v>171</v>
      </c>
      <c r="D6" s="105" t="s">
        <v>171</v>
      </c>
      <c r="E6" s="105" t="s">
        <v>171</v>
      </c>
      <c r="F6" s="105" t="s">
        <v>286</v>
      </c>
      <c r="G6" s="105" t="s">
        <v>171</v>
      </c>
      <c r="H6" s="105" t="s">
        <v>171</v>
      </c>
      <c r="I6" s="105" t="s">
        <v>171</v>
      </c>
      <c r="J6" s="105" t="s">
        <v>171</v>
      </c>
      <c r="K6" s="105" t="s">
        <v>171</v>
      </c>
      <c r="L6" s="105" t="s">
        <v>171</v>
      </c>
      <c r="M6" s="105" t="s">
        <v>171</v>
      </c>
      <c r="N6" s="105" t="s">
        <v>171</v>
      </c>
      <c r="O6" s="105" t="s">
        <v>171</v>
      </c>
      <c r="P6" s="106" t="s">
        <v>171</v>
      </c>
      <c r="Q6" s="105" t="s">
        <v>171</v>
      </c>
      <c r="R6" s="105" t="s">
        <v>171</v>
      </c>
      <c r="S6" s="105" t="s">
        <v>171</v>
      </c>
      <c r="T6" s="105" t="s">
        <v>171</v>
      </c>
      <c r="U6" s="105" t="s">
        <v>171</v>
      </c>
      <c r="V6" s="105" t="s">
        <v>286</v>
      </c>
      <c r="W6" s="105" t="s">
        <v>286</v>
      </c>
      <c r="X6" s="105" t="s">
        <v>171</v>
      </c>
      <c r="Y6" s="105" t="s">
        <v>171</v>
      </c>
      <c r="Z6" s="105" t="s">
        <v>171</v>
      </c>
      <c r="AA6" s="105" t="s">
        <v>171</v>
      </c>
      <c r="AB6" s="105" t="s">
        <v>171</v>
      </c>
      <c r="AC6" s="105" t="s">
        <v>171</v>
      </c>
      <c r="AD6" s="105"/>
      <c r="AE6" s="105" t="s">
        <v>171</v>
      </c>
      <c r="AF6" s="105" t="s">
        <v>171</v>
      </c>
      <c r="AG6" s="107" t="s">
        <v>171</v>
      </c>
      <c r="AH6" s="107" t="s">
        <v>171</v>
      </c>
      <c r="AI6" s="107" t="s">
        <v>171</v>
      </c>
      <c r="AJ6" s="107" t="s">
        <v>171</v>
      </c>
      <c r="AK6" s="107" t="s">
        <v>171</v>
      </c>
      <c r="AL6" s="107" t="s">
        <v>171</v>
      </c>
      <c r="AM6" s="107" t="s">
        <v>171</v>
      </c>
      <c r="AN6" s="107" t="s">
        <v>171</v>
      </c>
      <c r="AO6" s="107" t="s">
        <v>171</v>
      </c>
      <c r="AP6" s="107" t="s">
        <v>171</v>
      </c>
      <c r="AQ6" s="107" t="s">
        <v>171</v>
      </c>
    </row>
    <row r="7" spans="1:47" ht="70.5" customHeight="1" x14ac:dyDescent="0.2">
      <c r="A7" s="81" t="str">
        <f>'①商品マスタ 申請入力用'!$F$21&amp;""</f>
        <v>414898</v>
      </c>
      <c r="B7" s="82" t="str">
        <f>'①商品マスタ 申請入力用'!$F$22&amp;""</f>
        <v/>
      </c>
      <c r="C7" s="83" t="str">
        <f>'①商品マスタ 申請入力用'!$F$23&amp;""</f>
        <v/>
      </c>
      <c r="D7" s="71" t="str">
        <f>'①商品マスタ 申請入力用'!$F$25&amp;""</f>
        <v/>
      </c>
      <c r="E7" s="84" t="str">
        <f>'①商品マスタ 申請入力用'!$F$27&amp;""</f>
        <v>10</v>
      </c>
      <c r="F7" s="85">
        <f>'①商品マスタ 申請入力用'!$F$28</f>
        <v>0</v>
      </c>
      <c r="G7" s="85" t="str">
        <f>'①商品マスタ 申請入力用'!$F$29&amp;""</f>
        <v>11</v>
      </c>
      <c r="H7" s="86" t="str">
        <f>'①商品マスタ 申請入力用'!$F$30</f>
        <v>1.0</v>
      </c>
      <c r="I7" s="87" t="str">
        <f>'①商品マスタ 申請入力用'!$F$31</f>
        <v>1500</v>
      </c>
      <c r="J7" s="88" t="str">
        <f>'①商品マスタ 申請入力用'!$F$32&amp;""</f>
        <v>02C/S</v>
      </c>
      <c r="K7" s="88" t="str">
        <f>'①商品マスタ 申請入力用'!$F$33&amp;""</f>
        <v>01本</v>
      </c>
      <c r="L7" s="89" t="str">
        <f>'①商品マスタ 申請入力用'!$F$41&amp;""</f>
        <v>8食品</v>
      </c>
      <c r="M7" s="89" t="str">
        <f>'①商品マスタ 申請入力用'!$F$50&amp;""</f>
        <v>534その他ワイン</v>
      </c>
      <c r="N7" s="89" t="str">
        <f>'①商品マスタ 申請入力用'!$F$64&amp;""</f>
        <v>1中口</v>
      </c>
      <c r="O7" s="89" t="str">
        <f>'①商品マスタ 申請入力用'!$F$66&amp;""</f>
        <v>㈱ティルブション</v>
      </c>
      <c r="P7" s="90" t="e">
        <f>'①商品マスタ 申請入力用'!#REF!&amp;""</f>
        <v>#REF!</v>
      </c>
      <c r="Q7" s="91" t="str">
        <f>'①商品マスタ 申請入力用'!$F$57&amp;""</f>
        <v>1000原料用アルコール</v>
      </c>
      <c r="R7" s="91" t="str">
        <f>'①商品マスタ 申請入力用'!$F$56&amp;""</f>
        <v>11甘味果実酒･ｽﾊﾟｰｸﾘﾝｸﾞ</v>
      </c>
      <c r="S7" s="92" t="str">
        <f>'①商品マスタ 申請入力用'!$F$49&amp;""</f>
        <v>4005指定 その他</v>
      </c>
      <c r="T7" s="93" t="str">
        <f>'①商品マスタ 申請入力用'!$F$51&amp;""</f>
        <v>12345678</v>
      </c>
      <c r="U7" s="94" t="str">
        <f>'①商品マスタ 申請入力用'!$F$55&amp;""</f>
        <v>12345678</v>
      </c>
      <c r="V7" s="95" t="str">
        <f>'①商品マスタ 申請入力用'!$F$59&amp;""</f>
        <v>13.5</v>
      </c>
      <c r="W7" s="96" t="e">
        <f>'①商品マスタ 申請入力用'!#REF!&amp;""</f>
        <v>#REF!</v>
      </c>
      <c r="X7" s="97" t="str">
        <f>'①商品マスタ 申請入力用'!$F$61&amp;""</f>
        <v>10002中国</v>
      </c>
      <c r="Y7" s="97" t="str">
        <f>'①商品マスタ 申請入力用'!$F$62&amp;""</f>
        <v>14神奈川県</v>
      </c>
      <c r="Z7" s="89" t="str">
        <f>'①商品マスタ 申請入力用'!$F$67&amp;""</f>
        <v>0通年</v>
      </c>
      <c r="AA7" s="89" t="str">
        <f>'①商品マスタ 申請入力用'!$F$68&amp;""</f>
        <v>2直送</v>
      </c>
      <c r="AB7" s="98" t="str">
        <f>'①商品マスタ 申請入力用'!$F$69&amp;""</f>
        <v>1234567890123</v>
      </c>
      <c r="AC7" s="99" t="str">
        <f>'①商品マスタ 申請入力用'!$F$70&amp;""</f>
        <v>1234567890123</v>
      </c>
      <c r="AD7" s="100" t="str">
        <f>'①商品マスタ 申請入力用'!$F$75&amp;""</f>
        <v>2ラベルレス</v>
      </c>
      <c r="AE7" s="100"/>
      <c r="AF7" s="101" t="str">
        <f>'①商品マスタ 申請入力用'!$F$36</f>
        <v>00365</v>
      </c>
      <c r="AG7" s="102" t="e">
        <f>#REF!</f>
        <v>#REF!</v>
      </c>
      <c r="AH7" s="102" t="e">
        <f>#REF!</f>
        <v>#REF!</v>
      </c>
      <c r="AI7" s="102" t="e">
        <f>#REF!</f>
        <v>#REF!</v>
      </c>
      <c r="AJ7" s="102" t="e">
        <f>#REF!</f>
        <v>#REF!</v>
      </c>
      <c r="AK7" s="102"/>
      <c r="AL7" s="102"/>
      <c r="AM7" s="102" t="e">
        <f>#REF!</f>
        <v>#REF!</v>
      </c>
      <c r="AN7" s="102" t="e">
        <f>#REF!</f>
        <v>#REF!</v>
      </c>
      <c r="AO7" s="103"/>
      <c r="AP7" s="102"/>
      <c r="AQ7" s="102"/>
      <c r="AR7" s="104" t="e">
        <f>#REF!</f>
        <v>#REF!</v>
      </c>
      <c r="AS7" s="104" t="e">
        <f>#REF!</f>
        <v>#REF!</v>
      </c>
      <c r="AT7" s="136">
        <f>'①商品マスタ 申請入力用'!F35</f>
        <v>45640</v>
      </c>
      <c r="AU7" s="99" t="str">
        <f>'①商品マスタ 申請入力用'!$F$87&amp;""</f>
        <v/>
      </c>
    </row>
    <row r="8" spans="1:47" ht="15.75" customHeight="1" thickBot="1" x14ac:dyDescent="0.25">
      <c r="A8" s="105" t="s">
        <v>90</v>
      </c>
      <c r="B8" s="105" t="s">
        <v>90</v>
      </c>
      <c r="C8" s="105" t="s">
        <v>90</v>
      </c>
      <c r="D8" s="105" t="s">
        <v>90</v>
      </c>
      <c r="E8" s="105" t="s">
        <v>90</v>
      </c>
      <c r="F8" s="105" t="s">
        <v>287</v>
      </c>
      <c r="G8" s="105" t="s">
        <v>90</v>
      </c>
      <c r="H8" s="105" t="s">
        <v>90</v>
      </c>
      <c r="I8" s="105" t="s">
        <v>90</v>
      </c>
      <c r="J8" s="105" t="s">
        <v>90</v>
      </c>
      <c r="K8" s="105" t="s">
        <v>90</v>
      </c>
      <c r="L8" s="105" t="s">
        <v>90</v>
      </c>
      <c r="M8" s="105" t="s">
        <v>90</v>
      </c>
      <c r="N8" s="105" t="s">
        <v>90</v>
      </c>
      <c r="O8" s="105" t="s">
        <v>90</v>
      </c>
      <c r="P8" s="106" t="s">
        <v>90</v>
      </c>
      <c r="Q8" s="105" t="s">
        <v>90</v>
      </c>
      <c r="R8" s="105" t="s">
        <v>90</v>
      </c>
      <c r="S8" s="105" t="s">
        <v>90</v>
      </c>
      <c r="T8" s="105" t="s">
        <v>90</v>
      </c>
      <c r="U8" s="105" t="s">
        <v>90</v>
      </c>
      <c r="V8" s="105" t="s">
        <v>287</v>
      </c>
      <c r="W8" s="105" t="s">
        <v>287</v>
      </c>
      <c r="X8" s="105" t="s">
        <v>90</v>
      </c>
      <c r="Y8" s="105" t="s">
        <v>90</v>
      </c>
      <c r="Z8" s="105" t="s">
        <v>90</v>
      </c>
      <c r="AA8" s="105" t="s">
        <v>90</v>
      </c>
      <c r="AB8" s="105" t="s">
        <v>90</v>
      </c>
      <c r="AC8" s="105" t="s">
        <v>90</v>
      </c>
      <c r="AD8" s="105"/>
      <c r="AE8" s="105" t="s">
        <v>90</v>
      </c>
      <c r="AF8" s="105" t="s">
        <v>90</v>
      </c>
      <c r="AG8" s="107" t="s">
        <v>172</v>
      </c>
      <c r="AH8" s="107" t="s">
        <v>172</v>
      </c>
      <c r="AI8" s="107" t="s">
        <v>172</v>
      </c>
      <c r="AJ8" s="107" t="s">
        <v>172</v>
      </c>
      <c r="AK8" s="107" t="s">
        <v>172</v>
      </c>
      <c r="AL8" s="107" t="s">
        <v>172</v>
      </c>
      <c r="AM8" s="107" t="s">
        <v>172</v>
      </c>
      <c r="AN8" s="107" t="s">
        <v>172</v>
      </c>
      <c r="AO8" s="107" t="s">
        <v>172</v>
      </c>
      <c r="AP8" s="107" t="s">
        <v>172</v>
      </c>
      <c r="AQ8" s="107" t="s">
        <v>172</v>
      </c>
    </row>
    <row r="9" spans="1:47" ht="70.5" customHeight="1" x14ac:dyDescent="0.2">
      <c r="A9" s="81" t="str">
        <f>'①商品マスタ 申請入力用'!$H$21&amp;""</f>
        <v>414898</v>
      </c>
      <c r="B9" s="82" t="str">
        <f>'①商品マスタ 申請入力用'!$H$22&amp;""</f>
        <v/>
      </c>
      <c r="C9" s="83" t="str">
        <f>'①商品マスタ 申請入力用'!$H$23&amp;""</f>
        <v/>
      </c>
      <c r="D9" s="71" t="str">
        <f>'①商品マスタ 申請入力用'!$H$25&amp;""</f>
        <v/>
      </c>
      <c r="E9" s="84" t="str">
        <f>'①商品マスタ 申請入力用'!$H$27&amp;""</f>
        <v>100</v>
      </c>
      <c r="F9" s="85">
        <f>'①商品マスタ 申請入力用'!$H$28</f>
        <v>0</v>
      </c>
      <c r="G9" s="85" t="str">
        <f>'①商品マスタ 申請入力用'!$H$29&amp;""</f>
        <v>111</v>
      </c>
      <c r="H9" s="86" t="str">
        <f>'①商品マスタ 申請入力用'!$H$30</f>
        <v>1.0</v>
      </c>
      <c r="I9" s="87" t="str">
        <f>'①商品マスタ 申請入力用'!$H$31</f>
        <v>1500</v>
      </c>
      <c r="J9" s="88" t="str">
        <f>'①商品マスタ 申請入力用'!$H$32&amp;""</f>
        <v>02C/S</v>
      </c>
      <c r="K9" s="88" t="str">
        <f>'①商品マスタ 申請入力用'!$H$33&amp;""</f>
        <v>01本</v>
      </c>
      <c r="L9" s="89" t="str">
        <f>'①商品マスタ 申請入力用'!$H$41&amp;""</f>
        <v>2焼酎類</v>
      </c>
      <c r="M9" s="89" t="str">
        <f>'①商品マスタ 申請入力用'!$H$50&amp;""</f>
        <v>1105ビールテイスト飲料(年齢確認品)</v>
      </c>
      <c r="N9" s="89" t="str">
        <f>'①商品マスタ 申請入力用'!$H$64&amp;""</f>
        <v>1中口</v>
      </c>
      <c r="O9" s="89" t="str">
        <f>'①商品マスタ 申請入力用'!$H$66&amp;""</f>
        <v>㈱ティルブション</v>
      </c>
      <c r="P9" s="90" t="e">
        <f>'①商品マスタ 申請入力用'!#REF!&amp;""</f>
        <v>#REF!</v>
      </c>
      <c r="Q9" s="91" t="str">
        <f>'①商品マスタ 申請入力用'!$H$57&amp;""</f>
        <v>601果実酒</v>
      </c>
      <c r="R9" s="91" t="str">
        <f>'①商品マスタ 申請入力用'!$H$56&amp;""</f>
        <v>9ビ ー ル</v>
      </c>
      <c r="S9" s="92" t="str">
        <f>'①商品マスタ 申請入力用'!$H$49&amp;""</f>
        <v>4005指定 その他</v>
      </c>
      <c r="T9" s="93" t="str">
        <f>'①商品マスタ 申請入力用'!$H$51&amp;""</f>
        <v>12345678</v>
      </c>
      <c r="U9" s="94" t="str">
        <f>'①商品マスタ 申請入力用'!$H$55&amp;""</f>
        <v>12345678</v>
      </c>
      <c r="V9" s="95" t="str">
        <f>'①商品マスタ 申請入力用'!$H$59&amp;""</f>
        <v>13.5</v>
      </c>
      <c r="W9" s="96" t="e">
        <f>'①商品マスタ 申請入力用'!#REF!&amp;""</f>
        <v>#REF!</v>
      </c>
      <c r="X9" s="97" t="str">
        <f>'①商品マスタ 申請入力用'!$H$61&amp;""</f>
        <v>10002中国</v>
      </c>
      <c r="Y9" s="97" t="str">
        <f>'①商品マスタ 申請入力用'!$H$62&amp;""</f>
        <v>20101ボルドー地方</v>
      </c>
      <c r="Z9" s="89" t="str">
        <f>'①商品マスタ 申請入力用'!$H$67&amp;""</f>
        <v>0通年</v>
      </c>
      <c r="AA9" s="89" t="str">
        <f>'①商品マスタ 申請入力用'!$H$68&amp;""</f>
        <v>2直送</v>
      </c>
      <c r="AB9" s="98" t="str">
        <f>'①商品マスタ 申請入力用'!$H$69&amp;""</f>
        <v>1234567890123</v>
      </c>
      <c r="AC9" s="99" t="str">
        <f>'①商品マスタ 申請入力用'!$H$70&amp;""</f>
        <v>1234567890123</v>
      </c>
      <c r="AD9" s="100" t="str">
        <f>'①商品マスタ 申請入力用'!$H$75&amp;""</f>
        <v>2ラベルレス</v>
      </c>
      <c r="AE9" s="100"/>
      <c r="AF9" s="101" t="str">
        <f>'①商品マスタ 申請入力用'!$H$36</f>
        <v>00365</v>
      </c>
      <c r="AG9" s="102" t="e">
        <f>#REF!</f>
        <v>#REF!</v>
      </c>
      <c r="AH9" s="102" t="e">
        <f>#REF!</f>
        <v>#REF!</v>
      </c>
      <c r="AI9" s="102" t="e">
        <f>#REF!</f>
        <v>#REF!</v>
      </c>
      <c r="AJ9" s="102" t="e">
        <f>#REF!</f>
        <v>#REF!</v>
      </c>
      <c r="AK9" s="102"/>
      <c r="AL9" s="102"/>
      <c r="AM9" s="102" t="e">
        <f>#REF!</f>
        <v>#REF!</v>
      </c>
      <c r="AN9" s="102" t="e">
        <f>#REF!</f>
        <v>#REF!</v>
      </c>
      <c r="AO9" s="103"/>
      <c r="AP9" s="102"/>
      <c r="AQ9" s="102"/>
      <c r="AR9" s="104" t="e">
        <f>#REF!</f>
        <v>#REF!</v>
      </c>
      <c r="AS9" s="104" t="e">
        <f>#REF!</f>
        <v>#REF!</v>
      </c>
      <c r="AT9" s="136">
        <f>'①商品マスタ 申請入力用'!H35</f>
        <v>45641</v>
      </c>
      <c r="AU9" s="99" t="str">
        <f>'①商品マスタ 申請入力用'!$H$87&amp;""</f>
        <v/>
      </c>
    </row>
    <row r="10" spans="1:47" ht="15.75" customHeight="1" thickBot="1" x14ac:dyDescent="0.25">
      <c r="A10" s="105" t="s">
        <v>91</v>
      </c>
      <c r="B10" s="105" t="s">
        <v>91</v>
      </c>
      <c r="C10" s="105" t="s">
        <v>91</v>
      </c>
      <c r="D10" s="105" t="s">
        <v>91</v>
      </c>
      <c r="E10" s="105" t="s">
        <v>91</v>
      </c>
      <c r="F10" s="105" t="s">
        <v>288</v>
      </c>
      <c r="G10" s="105" t="s">
        <v>91</v>
      </c>
      <c r="H10" s="105" t="s">
        <v>91</v>
      </c>
      <c r="I10" s="105" t="s">
        <v>91</v>
      </c>
      <c r="J10" s="105" t="s">
        <v>91</v>
      </c>
      <c r="K10" s="105" t="s">
        <v>91</v>
      </c>
      <c r="L10" s="105" t="s">
        <v>91</v>
      </c>
      <c r="M10" s="105" t="s">
        <v>91</v>
      </c>
      <c r="N10" s="105" t="s">
        <v>91</v>
      </c>
      <c r="O10" s="105" t="s">
        <v>91</v>
      </c>
      <c r="P10" s="106" t="s">
        <v>91</v>
      </c>
      <c r="Q10" s="105" t="s">
        <v>91</v>
      </c>
      <c r="R10" s="105" t="s">
        <v>91</v>
      </c>
      <c r="S10" s="105" t="s">
        <v>91</v>
      </c>
      <c r="T10" s="105" t="s">
        <v>91</v>
      </c>
      <c r="U10" s="105" t="s">
        <v>91</v>
      </c>
      <c r="V10" s="105" t="s">
        <v>288</v>
      </c>
      <c r="W10" s="105" t="s">
        <v>288</v>
      </c>
      <c r="X10" s="105" t="s">
        <v>91</v>
      </c>
      <c r="Y10" s="105" t="s">
        <v>91</v>
      </c>
      <c r="Z10" s="105" t="s">
        <v>91</v>
      </c>
      <c r="AA10" s="105" t="s">
        <v>91</v>
      </c>
      <c r="AB10" s="105" t="s">
        <v>91</v>
      </c>
      <c r="AC10" s="105" t="s">
        <v>91</v>
      </c>
      <c r="AD10" s="105"/>
      <c r="AE10" s="105" t="s">
        <v>91</v>
      </c>
      <c r="AF10" s="105" t="s">
        <v>91</v>
      </c>
      <c r="AG10" s="107" t="s">
        <v>2</v>
      </c>
      <c r="AH10" s="107" t="s">
        <v>2</v>
      </c>
      <c r="AI10" s="107" t="s">
        <v>2</v>
      </c>
      <c r="AJ10" s="107" t="s">
        <v>2</v>
      </c>
      <c r="AK10" s="107" t="s">
        <v>2</v>
      </c>
      <c r="AL10" s="107" t="s">
        <v>2</v>
      </c>
      <c r="AM10" s="107" t="s">
        <v>2</v>
      </c>
      <c r="AN10" s="107" t="s">
        <v>2</v>
      </c>
      <c r="AO10" s="107" t="s">
        <v>2</v>
      </c>
      <c r="AP10" s="107" t="s">
        <v>2</v>
      </c>
      <c r="AQ10" s="107" t="s">
        <v>2</v>
      </c>
    </row>
    <row r="11" spans="1:47" ht="70.5" customHeight="1" x14ac:dyDescent="0.2">
      <c r="A11" s="81" t="str">
        <f>'①商品マスタ 申請入力用'!$J$21&amp;""</f>
        <v>414898</v>
      </c>
      <c r="B11" s="82" t="str">
        <f>'①商品マスタ 申請入力用'!$J$22&amp;""</f>
        <v/>
      </c>
      <c r="C11" s="83" t="str">
        <f>'①商品マスタ 申請入力用'!$J$23&amp;""</f>
        <v/>
      </c>
      <c r="D11" s="71" t="str">
        <f>'①商品マスタ 申請入力用'!$J$25&amp;""</f>
        <v/>
      </c>
      <c r="E11" s="84" t="str">
        <f>'①商品マスタ 申請入力用'!$J$27&amp;""</f>
        <v>1000</v>
      </c>
      <c r="F11" s="85">
        <f>'①商品マスタ 申請入力用'!$J$28</f>
        <v>0</v>
      </c>
      <c r="G11" s="85" t="str">
        <f>'①商品マスタ 申請入力用'!$J$29&amp;""</f>
        <v>1111</v>
      </c>
      <c r="H11" s="86" t="str">
        <f>'①商品マスタ 申請入力用'!$J$30</f>
        <v>1.0</v>
      </c>
      <c r="I11" s="87" t="str">
        <f>'①商品マスタ 申請入力用'!$J$31</f>
        <v>1500</v>
      </c>
      <c r="J11" s="88" t="str">
        <f>'①商品マスタ 申請入力用'!$J$32&amp;""</f>
        <v>02C/S</v>
      </c>
      <c r="K11" s="88" t="str">
        <f>'①商品マスタ 申請入力用'!$J$33&amp;""</f>
        <v>01本</v>
      </c>
      <c r="L11" s="89" t="str">
        <f>'①商品マスタ 申請入力用'!$J$41&amp;""</f>
        <v>7その他酒類</v>
      </c>
      <c r="M11" s="89" t="str">
        <f>'①商品マスタ 申請入力用'!$J$50&amp;""</f>
        <v>10清酒 ギフト</v>
      </c>
      <c r="N11" s="89" t="str">
        <f>'①商品マスタ 申請入力用'!$J$64&amp;""</f>
        <v>1中口</v>
      </c>
      <c r="O11" s="89" t="str">
        <f>'①商品マスタ 申請入力用'!$J$66&amp;""</f>
        <v>㈱ティルブション</v>
      </c>
      <c r="P11" s="90" t="e">
        <f>'①商品マスタ 申請入力用'!#REF!&amp;""</f>
        <v>#REF!</v>
      </c>
      <c r="Q11" s="91" t="str">
        <f>'①商品マスタ 申請入力用'!$J$57&amp;""</f>
        <v>1001発泡酒</v>
      </c>
      <c r="R11" s="91" t="str">
        <f>'①商品マスタ 申請入力用'!$J$56&amp;""</f>
        <v>31雑品、飲料類含む</v>
      </c>
      <c r="S11" s="92" t="str">
        <f>'①商品マスタ 申請入力用'!$J$49&amp;""</f>
        <v>4005指定 その他</v>
      </c>
      <c r="T11" s="93" t="str">
        <f>'①商品マスタ 申請入力用'!$J$51&amp;""</f>
        <v>12345678</v>
      </c>
      <c r="U11" s="94" t="str">
        <f>'①商品マスタ 申請入力用'!$J$55&amp;""</f>
        <v>12345678</v>
      </c>
      <c r="V11" s="95" t="str">
        <f>'①商品マスタ 申請入力用'!$J$59&amp;""</f>
        <v>13.5</v>
      </c>
      <c r="W11" s="96" t="e">
        <f>'①商品マスタ 申請入力用'!#REF!&amp;""</f>
        <v>#REF!</v>
      </c>
      <c r="X11" s="97" t="str">
        <f>'①商品マスタ 申請入力用'!$J$61&amp;""</f>
        <v>10002中国</v>
      </c>
      <c r="Y11" s="97" t="str">
        <f>'①商品マスタ 申請入力用'!$J$62&amp;""</f>
        <v>9栃木県</v>
      </c>
      <c r="Z11" s="89" t="str">
        <f>'①商品マスタ 申請入力用'!$J$67&amp;""</f>
        <v>0通年</v>
      </c>
      <c r="AA11" s="89" t="str">
        <f>'①商品マスタ 申請入力用'!$J$68&amp;""</f>
        <v>2直送</v>
      </c>
      <c r="AB11" s="98" t="str">
        <f>'①商品マスタ 申請入力用'!$J$69&amp;""</f>
        <v>1234567890123</v>
      </c>
      <c r="AC11" s="99" t="str">
        <f>'①商品マスタ 申請入力用'!$J$70&amp;""</f>
        <v>1234567890123</v>
      </c>
      <c r="AD11" s="100" t="str">
        <f>'①商品マスタ 申請入力用'!$J$75&amp;""</f>
        <v>2ラベルレス</v>
      </c>
      <c r="AE11" s="100"/>
      <c r="AF11" s="101" t="str">
        <f>'①商品マスタ 申請入力用'!$J$36</f>
        <v>00365</v>
      </c>
      <c r="AG11" s="102" t="e">
        <f>#REF!</f>
        <v>#REF!</v>
      </c>
      <c r="AH11" s="102" t="e">
        <f>#REF!</f>
        <v>#REF!</v>
      </c>
      <c r="AI11" s="102" t="e">
        <f>#REF!</f>
        <v>#REF!</v>
      </c>
      <c r="AJ11" s="102" t="e">
        <f>#REF!</f>
        <v>#REF!</v>
      </c>
      <c r="AK11" s="102"/>
      <c r="AL11" s="102"/>
      <c r="AM11" s="102" t="e">
        <f>#REF!</f>
        <v>#REF!</v>
      </c>
      <c r="AN11" s="102" t="e">
        <f>#REF!</f>
        <v>#REF!</v>
      </c>
      <c r="AO11" s="103"/>
      <c r="AP11" s="102"/>
      <c r="AQ11" s="102"/>
      <c r="AR11" s="104" t="e">
        <f>#REF!</f>
        <v>#REF!</v>
      </c>
      <c r="AS11" s="104" t="e">
        <f>#REF!</f>
        <v>#REF!</v>
      </c>
      <c r="AT11" s="136">
        <f>'①商品マスタ 申請入力用'!J35</f>
        <v>45642</v>
      </c>
      <c r="AU11" s="99" t="str">
        <f>'①商品マスタ 申請入力用'!$J$87&amp;""</f>
        <v/>
      </c>
    </row>
    <row r="12" spans="1:47" ht="15.75" customHeight="1" x14ac:dyDescent="0.2">
      <c r="A12" s="105" t="s">
        <v>92</v>
      </c>
      <c r="B12" s="105" t="s">
        <v>92</v>
      </c>
      <c r="C12" s="105" t="s">
        <v>92</v>
      </c>
      <c r="D12" s="105" t="s">
        <v>92</v>
      </c>
      <c r="E12" s="105" t="s">
        <v>92</v>
      </c>
      <c r="F12" s="105" t="s">
        <v>289</v>
      </c>
      <c r="G12" s="105" t="s">
        <v>92</v>
      </c>
      <c r="H12" s="105" t="s">
        <v>92</v>
      </c>
      <c r="I12" s="105" t="s">
        <v>92</v>
      </c>
      <c r="J12" s="105" t="s">
        <v>92</v>
      </c>
      <c r="K12" s="105" t="s">
        <v>92</v>
      </c>
      <c r="L12" s="105" t="s">
        <v>92</v>
      </c>
      <c r="M12" s="105" t="s">
        <v>92</v>
      </c>
      <c r="N12" s="105" t="s">
        <v>92</v>
      </c>
      <c r="O12" s="105" t="s">
        <v>92</v>
      </c>
      <c r="P12" s="105" t="s">
        <v>92</v>
      </c>
      <c r="Q12" s="105" t="s">
        <v>92</v>
      </c>
      <c r="R12" s="105" t="s">
        <v>92</v>
      </c>
      <c r="S12" s="105" t="s">
        <v>92</v>
      </c>
      <c r="T12" s="105" t="s">
        <v>92</v>
      </c>
      <c r="U12" s="105" t="s">
        <v>92</v>
      </c>
      <c r="V12" s="105" t="s">
        <v>289</v>
      </c>
      <c r="W12" s="105" t="s">
        <v>289</v>
      </c>
      <c r="X12" s="105" t="s">
        <v>92</v>
      </c>
      <c r="Y12" s="105" t="s">
        <v>92</v>
      </c>
      <c r="Z12" s="105" t="s">
        <v>92</v>
      </c>
      <c r="AA12" s="105" t="s">
        <v>92</v>
      </c>
      <c r="AB12" s="105" t="s">
        <v>92</v>
      </c>
      <c r="AC12" s="105" t="s">
        <v>92</v>
      </c>
      <c r="AD12" s="105"/>
      <c r="AE12" s="105" t="s">
        <v>92</v>
      </c>
      <c r="AF12" s="105" t="s">
        <v>92</v>
      </c>
      <c r="AG12" s="107" t="s">
        <v>3</v>
      </c>
      <c r="AH12" s="107" t="s">
        <v>3</v>
      </c>
      <c r="AI12" s="107" t="s">
        <v>3</v>
      </c>
      <c r="AJ12" s="107" t="s">
        <v>3</v>
      </c>
      <c r="AK12" s="107" t="s">
        <v>3</v>
      </c>
      <c r="AL12" s="107" t="s">
        <v>3</v>
      </c>
      <c r="AM12" s="107" t="s">
        <v>3</v>
      </c>
      <c r="AN12" s="107" t="s">
        <v>3</v>
      </c>
      <c r="AO12" s="107" t="s">
        <v>3</v>
      </c>
      <c r="AP12" s="107" t="s">
        <v>3</v>
      </c>
      <c r="AQ12" s="107" t="s">
        <v>3</v>
      </c>
    </row>
    <row r="13" spans="1:47" s="63" customFormat="1" x14ac:dyDescent="0.2"/>
  </sheetData>
  <sheetProtection formatCells="0"/>
  <customSheetViews>
    <customSheetView guid="{E144E3A1-E29C-410D-8925-3F260910373E}" showRuler="0">
      <pane xSplit="4" ySplit="4" topLeftCell="E5" activePane="bottomRight" state="frozen"/>
      <selection pane="bottomRight" activeCell="D5" sqref="D5"/>
      <pageMargins left="0.19685039370078741" right="0.19685039370078741" top="0.19685039370078741" bottom="0.19685039370078741" header="0.19685039370078741" footer="0.27559055118110237"/>
      <pageSetup paperSize="9" orientation="landscape" r:id="rId1"/>
      <headerFooter alignWithMargins="0"/>
    </customSheetView>
  </customSheetViews>
  <mergeCells count="11">
    <mergeCell ref="G3:G4"/>
    <mergeCell ref="T3:T4"/>
    <mergeCell ref="A3:A4"/>
    <mergeCell ref="E3:E4"/>
    <mergeCell ref="AG3:AH3"/>
    <mergeCell ref="AM3:AQ3"/>
    <mergeCell ref="U3:U4"/>
    <mergeCell ref="AE3:AE4"/>
    <mergeCell ref="AF3:AF4"/>
    <mergeCell ref="AD3:AD4"/>
    <mergeCell ref="AI3:AL3"/>
  </mergeCells>
  <phoneticPr fontId="3"/>
  <pageMargins left="0.19685039370078741" right="0.19685039370078741" top="0.19685039370078741" bottom="0.19685039370078741" header="0.19685039370078741" footer="0.27559055118110237"/>
  <pageSetup paperSize="9" orientation="landscape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157F1-4D89-4014-8252-1D81CEBAE714}">
  <sheetPr codeName="Sheet13"/>
  <dimension ref="A1:O130"/>
  <sheetViews>
    <sheetView topLeftCell="A9" zoomScale="85" zoomScaleNormal="85" workbookViewId="0">
      <selection activeCell="C44" sqref="C44"/>
    </sheetView>
  </sheetViews>
  <sheetFormatPr defaultColWidth="8.88671875" defaultRowHeight="13.2" x14ac:dyDescent="0.2"/>
  <cols>
    <col min="1" max="1" width="15" style="532" customWidth="1"/>
    <col min="2" max="2" width="31.5546875" style="532" customWidth="1"/>
    <col min="3" max="3" width="33.33203125" style="532" customWidth="1"/>
    <col min="4" max="4" width="18.33203125" style="532" customWidth="1"/>
    <col min="5" max="5" width="14.21875" style="532" customWidth="1"/>
    <col min="6" max="6" width="14.88671875" style="532" customWidth="1"/>
    <col min="7" max="7" width="14.21875" style="532" customWidth="1"/>
    <col min="8" max="8" width="32.109375" style="532" customWidth="1"/>
    <col min="9" max="16384" width="8.88671875" style="532"/>
  </cols>
  <sheetData>
    <row r="1" spans="1:8" x14ac:dyDescent="0.2">
      <c r="D1" s="533"/>
      <c r="E1" s="534" t="s">
        <v>1657</v>
      </c>
      <c r="F1" s="535"/>
      <c r="G1" s="535"/>
      <c r="H1" s="535"/>
    </row>
    <row r="2" spans="1:8" x14ac:dyDescent="0.2">
      <c r="D2" s="533"/>
      <c r="E2" s="533"/>
    </row>
    <row r="3" spans="1:8" x14ac:dyDescent="0.2">
      <c r="B3" s="536" t="s">
        <v>1658</v>
      </c>
      <c r="C3" s="537" t="s">
        <v>1659</v>
      </c>
      <c r="D3" s="538" t="s">
        <v>1660</v>
      </c>
      <c r="E3" s="538" t="s">
        <v>1661</v>
      </c>
      <c r="F3" s="539" t="s">
        <v>1662</v>
      </c>
      <c r="G3" s="539" t="s">
        <v>1663</v>
      </c>
      <c r="H3" s="536" t="s">
        <v>1664</v>
      </c>
    </row>
    <row r="4" spans="1:8" ht="30" customHeight="1" x14ac:dyDescent="0.2">
      <c r="A4" s="540" t="s">
        <v>1665</v>
      </c>
      <c r="B4" s="541" t="s">
        <v>1666</v>
      </c>
      <c r="C4" s="542" t="s">
        <v>1503</v>
      </c>
      <c r="D4" s="543" t="str">
        <f>'①商品マスタ 申請入力用'!D21&amp;""</f>
        <v>414898</v>
      </c>
      <c r="E4" s="543" t="str">
        <f>'①商品マスタ 申請入力用'!F21&amp;""</f>
        <v>414898</v>
      </c>
      <c r="F4" s="542" t="str">
        <f>'①商品マスタ 申請入力用'!H21&amp;""</f>
        <v>414898</v>
      </c>
      <c r="G4" s="543" t="str">
        <f>'①商品マスタ 申請入力用'!J21&amp;""</f>
        <v>414898</v>
      </c>
      <c r="H4" s="543" t="s">
        <v>1667</v>
      </c>
    </row>
    <row r="5" spans="1:8" x14ac:dyDescent="0.2">
      <c r="B5" s="544" t="s">
        <v>73</v>
      </c>
      <c r="C5" s="545" t="s">
        <v>1532</v>
      </c>
      <c r="D5" s="544" t="str">
        <f>'①商品マスタ 申請入力用'!D22&amp;""</f>
        <v/>
      </c>
      <c r="E5" s="544" t="str">
        <f>'①商品マスタ 申請入力用'!F22&amp;""</f>
        <v/>
      </c>
      <c r="F5" s="532" t="str">
        <f>'①商品マスタ 申請入力用'!H22&amp;""</f>
        <v/>
      </c>
      <c r="G5" s="544" t="str">
        <f>'①商品マスタ 申請入力用'!J22&amp;""</f>
        <v/>
      </c>
      <c r="H5" s="544" t="s">
        <v>1668</v>
      </c>
    </row>
    <row r="6" spans="1:8" x14ac:dyDescent="0.2">
      <c r="B6" s="544" t="s">
        <v>1669</v>
      </c>
      <c r="C6" s="545" t="s">
        <v>1670</v>
      </c>
      <c r="D6" s="545" t="str">
        <f>'①商品マスタ 申請入力用'!D23&amp;""</f>
        <v/>
      </c>
      <c r="E6" s="544" t="str">
        <f>'①商品マスタ 申請入力用'!F23&amp;""</f>
        <v/>
      </c>
      <c r="F6" s="532" t="str">
        <f>'①商品マスタ 申請入力用'!H23&amp;""</f>
        <v/>
      </c>
      <c r="G6" s="544" t="str">
        <f>'①商品マスタ 申請入力用'!J23&amp;""</f>
        <v/>
      </c>
      <c r="H6" s="544"/>
    </row>
    <row r="7" spans="1:8" x14ac:dyDescent="0.2">
      <c r="B7" s="544" t="s">
        <v>1671</v>
      </c>
      <c r="C7" s="545" t="s">
        <v>1672</v>
      </c>
      <c r="D7" s="545" t="str">
        <f>'①商品マスタ 申請入力用'!D24&amp;""</f>
        <v/>
      </c>
      <c r="E7" s="544" t="str">
        <f>'①商品マスタ 申請入力用'!F24&amp;""</f>
        <v/>
      </c>
      <c r="F7" s="532" t="str">
        <f>'①商品マスタ 申請入力用'!H24&amp;""</f>
        <v/>
      </c>
      <c r="G7" s="544" t="str">
        <f>'①商品マスタ 申請入力用'!J24&amp;""</f>
        <v/>
      </c>
      <c r="H7" s="544"/>
    </row>
    <row r="8" spans="1:8" x14ac:dyDescent="0.2">
      <c r="B8" s="544" t="s">
        <v>1673</v>
      </c>
      <c r="C8" s="545" t="s">
        <v>1674</v>
      </c>
      <c r="D8" s="545" t="str">
        <f>'①商品マスタ 申請入力用'!D25&amp;""</f>
        <v/>
      </c>
      <c r="E8" s="544" t="str">
        <f>'①商品マスタ 申請入力用'!F25&amp;""</f>
        <v/>
      </c>
      <c r="F8" s="532" t="str">
        <f>'①商品マスタ 申請入力用'!H25&amp;""</f>
        <v/>
      </c>
      <c r="G8" s="544" t="str">
        <f>'①商品マスタ 申請入力用'!J25&amp;""</f>
        <v/>
      </c>
      <c r="H8" s="544"/>
    </row>
    <row r="9" spans="1:8" x14ac:dyDescent="0.2">
      <c r="B9" s="544" t="s">
        <v>1675</v>
      </c>
      <c r="C9" s="545" t="s">
        <v>1676</v>
      </c>
      <c r="D9" s="545" t="str">
        <f>'①商品マスタ 申請入力用'!D26&amp;""</f>
        <v/>
      </c>
      <c r="E9" s="544" t="str">
        <f>'①商品マスタ 申請入力用'!F26&amp;""</f>
        <v/>
      </c>
      <c r="F9" s="532" t="str">
        <f>'①商品マスタ 申請入力用'!H26&amp;""</f>
        <v/>
      </c>
      <c r="G9" s="544" t="str">
        <f>'①商品マスタ 申請入力用'!J26&amp;""</f>
        <v/>
      </c>
      <c r="H9" s="544"/>
    </row>
    <row r="10" spans="1:8" x14ac:dyDescent="0.2">
      <c r="B10" s="546" t="s">
        <v>1677</v>
      </c>
      <c r="C10" s="545" t="s">
        <v>1678</v>
      </c>
      <c r="D10" s="545" t="str">
        <f>'①商品マスタ 申請入力用'!D27&amp;""</f>
        <v>1</v>
      </c>
      <c r="E10" s="544" t="str">
        <f>'①商品マスタ 申請入力用'!F27&amp;""</f>
        <v>10</v>
      </c>
      <c r="F10" s="532" t="str">
        <f>'①商品マスタ 申請入力用'!H27&amp;""</f>
        <v>100</v>
      </c>
      <c r="G10" s="544" t="str">
        <f>'①商品マスタ 申請入力用'!J27&amp;""</f>
        <v>1000</v>
      </c>
      <c r="H10" s="544"/>
    </row>
    <row r="11" spans="1:8" x14ac:dyDescent="0.2">
      <c r="B11" s="544" t="s">
        <v>1679</v>
      </c>
      <c r="C11" s="545" t="s">
        <v>1680</v>
      </c>
      <c r="D11" s="545" t="str">
        <f>'①商品マスタ 申請入力用'!D28&amp;""</f>
        <v/>
      </c>
      <c r="E11" s="544" t="str">
        <f>'①商品マスタ 申請入力用'!F28&amp;""</f>
        <v/>
      </c>
      <c r="F11" s="532" t="str">
        <f>'①商品マスタ 申請入力用'!H28&amp;""</f>
        <v/>
      </c>
      <c r="G11" s="544" t="str">
        <f>'①商品マスタ 申請入力用'!J28&amp;""</f>
        <v/>
      </c>
      <c r="H11" s="544"/>
    </row>
    <row r="12" spans="1:8" x14ac:dyDescent="0.2">
      <c r="B12" s="544" t="s">
        <v>1681</v>
      </c>
      <c r="C12" s="545" t="s">
        <v>1682</v>
      </c>
      <c r="D12" s="545" t="str">
        <f>'①商品マスタ 申請入力用'!D29&amp;""</f>
        <v>1</v>
      </c>
      <c r="E12" s="544" t="str">
        <f>'①商品マスタ 申請入力用'!F29&amp;""</f>
        <v>11</v>
      </c>
      <c r="F12" s="532" t="str">
        <f>'①商品マスタ 申請入力用'!H29&amp;""</f>
        <v>111</v>
      </c>
      <c r="G12" s="544" t="str">
        <f>'①商品マスタ 申請入力用'!J29&amp;""</f>
        <v>1111</v>
      </c>
      <c r="H12" s="544"/>
    </row>
    <row r="13" spans="1:8" x14ac:dyDescent="0.2">
      <c r="B13" s="544" t="s">
        <v>1683</v>
      </c>
      <c r="C13" s="545" t="s">
        <v>1684</v>
      </c>
      <c r="D13" s="545" t="str">
        <f>'①商品マスタ 申請入力用'!D30&amp;""</f>
        <v>1.0</v>
      </c>
      <c r="E13" s="544" t="str">
        <f>'①商品マスタ 申請入力用'!F30&amp;""</f>
        <v>1.0</v>
      </c>
      <c r="F13" s="532" t="str">
        <f>'①商品マスタ 申請入力用'!H30&amp;""</f>
        <v>1.0</v>
      </c>
      <c r="G13" s="544" t="str">
        <f>'①商品マスタ 申請入力用'!J30&amp;""</f>
        <v>1.0</v>
      </c>
      <c r="H13" s="544"/>
    </row>
    <row r="14" spans="1:8" x14ac:dyDescent="0.2">
      <c r="B14" s="544" t="s">
        <v>1685</v>
      </c>
      <c r="C14" s="545" t="s">
        <v>1686</v>
      </c>
      <c r="D14" s="545" t="str">
        <f>'①商品マスタ 申請入力用'!D31&amp;""</f>
        <v>1500</v>
      </c>
      <c r="E14" s="544" t="str">
        <f>'①商品マスタ 申請入力用'!F31&amp;""</f>
        <v>1500</v>
      </c>
      <c r="F14" s="532" t="str">
        <f>'①商品マスタ 申請入力用'!H31&amp;""</f>
        <v>1500</v>
      </c>
      <c r="G14" s="544" t="str">
        <f>'①商品マスタ 申請入力用'!J31&amp;""</f>
        <v>1500</v>
      </c>
      <c r="H14" s="544"/>
    </row>
    <row r="15" spans="1:8" x14ac:dyDescent="0.2">
      <c r="B15" s="544" t="s">
        <v>1687</v>
      </c>
      <c r="C15" s="545" t="s">
        <v>1688</v>
      </c>
      <c r="D15" s="545" t="str">
        <f>'①商品マスタ 申請入力用'!D32&amp;""</f>
        <v>02C/S</v>
      </c>
      <c r="E15" s="545" t="str">
        <f>'①商品マスタ 申請入力用'!F32&amp;""</f>
        <v>02C/S</v>
      </c>
      <c r="F15" s="544" t="str">
        <f>'①商品マスタ 申請入力用'!H32&amp;""</f>
        <v>02C/S</v>
      </c>
      <c r="G15" s="544" t="str">
        <f>'①商品マスタ 申請入力用'!J32&amp;""</f>
        <v>02C/S</v>
      </c>
      <c r="H15" s="544" t="s">
        <v>1689</v>
      </c>
    </row>
    <row r="16" spans="1:8" x14ac:dyDescent="0.2">
      <c r="B16" s="544" t="s">
        <v>1690</v>
      </c>
      <c r="C16" s="545" t="s">
        <v>1691</v>
      </c>
      <c r="D16" s="545" t="str">
        <f>'①商品マスタ 申請入力用'!D33&amp;""</f>
        <v>01本</v>
      </c>
      <c r="E16" s="545" t="str">
        <f>'①商品マスタ 申請入力用'!F33&amp;""</f>
        <v>01本</v>
      </c>
      <c r="F16" s="544" t="str">
        <f>'①商品マスタ 申請入力用'!H33&amp;""</f>
        <v>01本</v>
      </c>
      <c r="G16" s="544" t="str">
        <f>'①商品マスタ 申請入力用'!J33&amp;""</f>
        <v>01本</v>
      </c>
      <c r="H16" s="544" t="s">
        <v>1689</v>
      </c>
    </row>
    <row r="17" spans="2:8" x14ac:dyDescent="0.2">
      <c r="B17" s="544" t="s">
        <v>1692</v>
      </c>
      <c r="C17" s="545" t="s">
        <v>1693</v>
      </c>
      <c r="D17" s="545" t="str">
        <f>'①商品マスタ 申請入力用'!D34&amp;""</f>
        <v>0する</v>
      </c>
      <c r="E17" s="544" t="str">
        <f>'①商品マスタ 申請入力用'!F34&amp;""</f>
        <v>0する</v>
      </c>
      <c r="F17" s="532" t="str">
        <f>'①商品マスタ 申請入力用'!H34&amp;""</f>
        <v>0する</v>
      </c>
      <c r="G17" s="544" t="str">
        <f>'①商品マスタ 申請入力用'!J34&amp;""</f>
        <v>0する</v>
      </c>
      <c r="H17" s="544" t="s">
        <v>1668</v>
      </c>
    </row>
    <row r="18" spans="2:8" x14ac:dyDescent="0.2">
      <c r="B18" s="544" t="s">
        <v>1694</v>
      </c>
      <c r="C18" s="545" t="s">
        <v>1695</v>
      </c>
      <c r="D18" s="544">
        <f>'①商品マスタ 申請入力用'!D35</f>
        <v>45639</v>
      </c>
      <c r="E18" s="544">
        <f>'①商品マスタ 申請入力用'!F35</f>
        <v>45640</v>
      </c>
      <c r="F18" s="544">
        <f>'①商品マスタ 申請入力用'!H35</f>
        <v>45641</v>
      </c>
      <c r="G18" s="544">
        <f>'①商品マスタ 申請入力用'!J35</f>
        <v>45642</v>
      </c>
      <c r="H18" s="544" t="s">
        <v>1696</v>
      </c>
    </row>
    <row r="19" spans="2:8" x14ac:dyDescent="0.2">
      <c r="B19" s="544" t="s">
        <v>1697</v>
      </c>
      <c r="C19" s="545" t="s">
        <v>1698</v>
      </c>
      <c r="D19" s="545" t="str">
        <f>'①商品マスタ 申請入力用'!D36&amp;""</f>
        <v>00365</v>
      </c>
      <c r="E19" s="544" t="str">
        <f>'①商品マスタ 申請入力用'!F36&amp;""</f>
        <v>00365</v>
      </c>
      <c r="F19" s="532" t="str">
        <f>'①商品マスタ 申請入力用'!H36&amp;""</f>
        <v>00365</v>
      </c>
      <c r="G19" s="544" t="str">
        <f>'①商品マスタ 申請入力用'!J36&amp;""</f>
        <v>00365</v>
      </c>
      <c r="H19" s="544"/>
    </row>
    <row r="20" spans="2:8" x14ac:dyDescent="0.2">
      <c r="B20" s="544" t="s">
        <v>1699</v>
      </c>
      <c r="C20" s="545" t="s">
        <v>1700</v>
      </c>
      <c r="D20" s="545" t="str">
        <f>'①商品マスタ 申請入力用'!D37&amp;""</f>
        <v>45624</v>
      </c>
      <c r="E20" s="544" t="str">
        <f>'①商品マスタ 申請入力用'!F37&amp;""</f>
        <v>45624</v>
      </c>
      <c r="F20" s="532" t="str">
        <f>'①商品マスタ 申請入力用'!H37&amp;""</f>
        <v>45624</v>
      </c>
      <c r="G20" s="544" t="str">
        <f>'①商品マスタ 申請入力用'!J37&amp;""</f>
        <v>45624</v>
      </c>
      <c r="H20" s="544"/>
    </row>
    <row r="21" spans="2:8" x14ac:dyDescent="0.2">
      <c r="B21" s="544" t="s">
        <v>1701</v>
      </c>
      <c r="C21" s="545" t="s">
        <v>1702</v>
      </c>
      <c r="D21" s="545" t="str">
        <f>'①商品マスタ 申請入力用'!D38&amp;""</f>
        <v/>
      </c>
      <c r="E21" s="544" t="str">
        <f>'①商品マスタ 申請入力用'!F38&amp;""</f>
        <v/>
      </c>
      <c r="F21" s="532" t="str">
        <f>'①商品マスタ 申請入力用'!H38&amp;""</f>
        <v/>
      </c>
      <c r="G21" s="544" t="str">
        <f>'①商品マスタ 申請入力用'!J38&amp;""</f>
        <v/>
      </c>
      <c r="H21" s="547" t="s">
        <v>1703</v>
      </c>
    </row>
    <row r="22" spans="2:8" x14ac:dyDescent="0.2">
      <c r="B22" s="544" t="s">
        <v>1704</v>
      </c>
      <c r="C22" s="545" t="s">
        <v>1705</v>
      </c>
      <c r="D22" s="545" t="str">
        <f>'①商品マスタ 申請入力用'!D39&amp;""</f>
        <v>0外税</v>
      </c>
      <c r="E22" s="544" t="str">
        <f>'①商品マスタ 申請入力用'!F39&amp;""</f>
        <v>0外税</v>
      </c>
      <c r="F22" s="532" t="str">
        <f>'①商品マスタ 申請入力用'!H39&amp;""</f>
        <v>0外税</v>
      </c>
      <c r="G22" s="544" t="str">
        <f>'①商品マスタ 申請入力用'!J39&amp;""</f>
        <v>0外税</v>
      </c>
      <c r="H22" s="544" t="s">
        <v>1668</v>
      </c>
    </row>
    <row r="23" spans="2:8" x14ac:dyDescent="0.2">
      <c r="B23" s="544" t="s">
        <v>1706</v>
      </c>
      <c r="C23" s="545" t="s">
        <v>1707</v>
      </c>
      <c r="D23" s="545" t="str">
        <f>'①商品マスタ 申請入力用'!D40&amp;""</f>
        <v>10</v>
      </c>
      <c r="E23" s="544" t="str">
        <f>'①商品マスタ 申請入力用'!F40&amp;""</f>
        <v>10</v>
      </c>
      <c r="F23" s="532" t="str">
        <f>'①商品マスタ 申請入力用'!H40&amp;""</f>
        <v>10</v>
      </c>
      <c r="G23" s="544" t="str">
        <f>'①商品マスタ 申請入力用'!J40&amp;""</f>
        <v>10</v>
      </c>
      <c r="H23" s="544" t="s">
        <v>1708</v>
      </c>
    </row>
    <row r="24" spans="2:8" x14ac:dyDescent="0.2">
      <c r="B24" s="544" t="s">
        <v>1709</v>
      </c>
      <c r="C24" s="545" t="s">
        <v>1523</v>
      </c>
      <c r="D24" s="545" t="str">
        <f>'①商品マスタ 申請入力用'!D41&amp;""</f>
        <v>1清酒類</v>
      </c>
      <c r="E24" s="544" t="str">
        <f>'①商品マスタ 申請入力用'!F41&amp;""</f>
        <v>8食品</v>
      </c>
      <c r="F24" s="532" t="str">
        <f>'①商品マスタ 申請入力用'!H41&amp;""</f>
        <v>2焼酎類</v>
      </c>
      <c r="G24" s="544" t="str">
        <f>'①商品マスタ 申請入力用'!J41&amp;""</f>
        <v>7その他酒類</v>
      </c>
      <c r="H24" s="544" t="s">
        <v>1668</v>
      </c>
    </row>
    <row r="25" spans="2:8" x14ac:dyDescent="0.2">
      <c r="B25" s="544" t="s">
        <v>1710</v>
      </c>
      <c r="C25" s="545" t="s">
        <v>1524</v>
      </c>
      <c r="D25" s="545" t="str">
        <f>'①商品マスタ 申請入力用'!D42&amp;""</f>
        <v>2常温</v>
      </c>
      <c r="E25" s="544" t="str">
        <f>'①商品マスタ 申請入力用'!F42&amp;""</f>
        <v>2常温</v>
      </c>
      <c r="F25" s="532" t="str">
        <f>'①商品マスタ 申請入力用'!H42&amp;""</f>
        <v>2常温</v>
      </c>
      <c r="G25" s="544" t="str">
        <f>'①商品マスタ 申請入力用'!J42&amp;""</f>
        <v>2常温</v>
      </c>
      <c r="H25" s="544" t="s">
        <v>1668</v>
      </c>
    </row>
    <row r="26" spans="2:8" x14ac:dyDescent="0.2">
      <c r="B26" s="544" t="s">
        <v>1711</v>
      </c>
      <c r="C26" s="545" t="s">
        <v>1525</v>
      </c>
      <c r="D26" s="545" t="str">
        <f>'①商品マスタ 申請入力用'!D43&amp;""</f>
        <v>0在庫品</v>
      </c>
      <c r="E26" s="544" t="str">
        <f>'①商品マスタ 申請入力用'!F43&amp;""</f>
        <v>0在庫品</v>
      </c>
      <c r="F26" s="532" t="str">
        <f>'①商品マスタ 申請入力用'!H43&amp;""</f>
        <v>0在庫品</v>
      </c>
      <c r="G26" s="544" t="str">
        <f>'①商品マスタ 申請入力用'!J43&amp;""</f>
        <v>0在庫品</v>
      </c>
      <c r="H26" s="544" t="s">
        <v>1668</v>
      </c>
    </row>
    <row r="27" spans="2:8" x14ac:dyDescent="0.2">
      <c r="B27" s="544" t="s">
        <v>1712</v>
      </c>
      <c r="C27" s="545" t="s">
        <v>1526</v>
      </c>
      <c r="D27" s="545" t="str">
        <f>'①商品マスタ 申請入力用'!D44&amp;""</f>
        <v>不可</v>
      </c>
      <c r="E27" s="544" t="str">
        <f>'①商品マスタ 申請入力用'!F44&amp;""</f>
        <v>不可</v>
      </c>
      <c r="F27" s="532" t="str">
        <f>'①商品マスタ 申請入力用'!H44&amp;""</f>
        <v>不可</v>
      </c>
      <c r="G27" s="544" t="str">
        <f>'①商品マスタ 申請入力用'!J44&amp;""</f>
        <v>不可</v>
      </c>
      <c r="H27" s="544" t="s">
        <v>1713</v>
      </c>
    </row>
    <row r="28" spans="2:8" x14ac:dyDescent="0.2">
      <c r="B28" s="544" t="s">
        <v>1714</v>
      </c>
      <c r="C28" s="545" t="s">
        <v>1527</v>
      </c>
      <c r="D28" s="545" t="str">
        <f>'①商品マスタ 申請入力用'!D45&amp;""</f>
        <v>99</v>
      </c>
      <c r="E28" s="544" t="str">
        <f>'①商品マスタ 申請入力用'!F45&amp;""</f>
        <v>99</v>
      </c>
      <c r="F28" s="532" t="str">
        <f>'①商品マスタ 申請入力用'!H45&amp;""</f>
        <v>99</v>
      </c>
      <c r="G28" s="544" t="str">
        <f>'①商品マスタ 申請入力用'!J45&amp;""</f>
        <v>99</v>
      </c>
      <c r="H28" s="547" t="s">
        <v>1715</v>
      </c>
    </row>
    <row r="29" spans="2:8" x14ac:dyDescent="0.2">
      <c r="B29" s="544" t="s">
        <v>1716</v>
      </c>
      <c r="C29" s="545" t="s">
        <v>1528</v>
      </c>
      <c r="D29" s="545" t="str">
        <f>'①商品マスタ 申請入力用'!D46&amp;""</f>
        <v>00001</v>
      </c>
      <c r="E29" s="544" t="str">
        <f>'①商品マスタ 申請入力用'!F46&amp;""</f>
        <v>00001</v>
      </c>
      <c r="F29" s="532" t="str">
        <f>'①商品マスタ 申請入力用'!H46&amp;""</f>
        <v>00001</v>
      </c>
      <c r="G29" s="544" t="str">
        <f>'①商品マスタ 申請入力用'!J46&amp;""</f>
        <v>00001</v>
      </c>
      <c r="H29" s="547" t="s">
        <v>1717</v>
      </c>
    </row>
    <row r="30" spans="2:8" x14ac:dyDescent="0.2">
      <c r="B30" s="544" t="s">
        <v>1718</v>
      </c>
      <c r="C30" s="545" t="s">
        <v>1529</v>
      </c>
      <c r="D30" s="545" t="str">
        <f>'①商品マスタ 申請入力用'!D47&amp;""</f>
        <v>0</v>
      </c>
      <c r="E30" s="544" t="str">
        <f>'①商品マスタ 申請入力用'!F47&amp;""</f>
        <v>0</v>
      </c>
      <c r="F30" s="532" t="str">
        <f>'①商品マスタ 申請入力用'!H47&amp;""</f>
        <v>0</v>
      </c>
      <c r="G30" s="544" t="str">
        <f>'①商品マスタ 申請入力用'!J47&amp;""</f>
        <v>0</v>
      </c>
      <c r="H30" s="544"/>
    </row>
    <row r="31" spans="2:8" x14ac:dyDescent="0.2">
      <c r="B31" s="544" t="s">
        <v>1719</v>
      </c>
      <c r="C31" s="545" t="s">
        <v>1530</v>
      </c>
      <c r="D31" s="545" t="str">
        <f>'①商品マスタ 申請入力用'!D48&amp;""</f>
        <v>100</v>
      </c>
      <c r="E31" s="544" t="str">
        <f>'①商品マスタ 申請入力用'!F48&amp;""</f>
        <v>100</v>
      </c>
      <c r="F31" s="532" t="str">
        <f>'①商品マスタ 申請入力用'!H48&amp;""</f>
        <v>100</v>
      </c>
      <c r="G31" s="544" t="str">
        <f>'①商品マスタ 申請入力用'!J48&amp;""</f>
        <v>100</v>
      </c>
      <c r="H31" s="547" t="s">
        <v>1720</v>
      </c>
    </row>
    <row r="32" spans="2:8" x14ac:dyDescent="0.2">
      <c r="B32" s="544" t="s">
        <v>1721</v>
      </c>
      <c r="C32" s="545" t="s">
        <v>1722</v>
      </c>
      <c r="D32" s="545" t="str">
        <f>'①商品マスタ 申請入力用'!D49&amp;""</f>
        <v>4005指定 その他</v>
      </c>
      <c r="E32" s="544" t="str">
        <f>'①商品マスタ 申請入力用'!F49&amp;""</f>
        <v>4005指定 その他</v>
      </c>
      <c r="F32" s="532" t="str">
        <f>'①商品マスタ 申請入力用'!H49&amp;""</f>
        <v>4005指定 その他</v>
      </c>
      <c r="G32" s="544" t="str">
        <f>'①商品マスタ 申請入力用'!J49&amp;""</f>
        <v>4005指定 その他</v>
      </c>
      <c r="H32" s="544" t="s">
        <v>1723</v>
      </c>
    </row>
    <row r="33" spans="2:8" x14ac:dyDescent="0.2">
      <c r="B33" s="544" t="s">
        <v>1724</v>
      </c>
      <c r="C33" s="545" t="s">
        <v>1854</v>
      </c>
      <c r="D33" s="545" t="str">
        <f>'①商品マスタ 申請入力用'!D50&amp;""</f>
        <v>1清酒 大吟醸 純米大吟醸</v>
      </c>
      <c r="E33" s="544" t="str">
        <f>'①商品マスタ 申請入力用'!F50&amp;""</f>
        <v>534その他ワイン</v>
      </c>
      <c r="F33" s="532" t="str">
        <f>'①商品マスタ 申請入力用'!H50&amp;""</f>
        <v>1105ビールテイスト飲料(年齢確認品)</v>
      </c>
      <c r="G33" s="544" t="str">
        <f>'①商品マスタ 申請入力用'!J50&amp;""</f>
        <v>10清酒 ギフト</v>
      </c>
      <c r="H33" s="544" t="s">
        <v>1723</v>
      </c>
    </row>
    <row r="34" spans="2:8" x14ac:dyDescent="0.2">
      <c r="B34" s="544" t="s">
        <v>1726</v>
      </c>
      <c r="C34" s="545" t="s">
        <v>1533</v>
      </c>
      <c r="D34" s="545" t="str">
        <f>'①商品マスタ 申請入力用'!D51&amp;""</f>
        <v>12345678</v>
      </c>
      <c r="E34" s="544" t="str">
        <f>'①商品マスタ 申請入力用'!F51&amp;""</f>
        <v>12345678</v>
      </c>
      <c r="F34" s="532" t="str">
        <f>'①商品マスタ 申請入力用'!H51&amp;""</f>
        <v>12345678</v>
      </c>
      <c r="G34" s="544" t="str">
        <f>'①商品マスタ 申請入力用'!J51&amp;""</f>
        <v>12345678</v>
      </c>
      <c r="H34" s="547" t="s">
        <v>1727</v>
      </c>
    </row>
    <row r="35" spans="2:8" x14ac:dyDescent="0.2">
      <c r="B35" s="544" t="s">
        <v>1728</v>
      </c>
      <c r="C35" s="545" t="s">
        <v>1534</v>
      </c>
      <c r="D35" s="545" t="str">
        <f>'①商品マスタ 申請入力用'!D52&amp;""</f>
        <v>12345678</v>
      </c>
      <c r="E35" s="544" t="str">
        <f>'①商品マスタ 申請入力用'!F52&amp;""</f>
        <v>12345678</v>
      </c>
      <c r="F35" s="532" t="str">
        <f>'①商品マスタ 申請入力用'!H52&amp;""</f>
        <v>12345678</v>
      </c>
      <c r="G35" s="544" t="str">
        <f>'①商品マスタ 申請入力用'!J52&amp;""</f>
        <v>12345678</v>
      </c>
      <c r="H35" s="547" t="s">
        <v>1727</v>
      </c>
    </row>
    <row r="36" spans="2:8" x14ac:dyDescent="0.2">
      <c r="B36" s="544" t="s">
        <v>1729</v>
      </c>
      <c r="C36" s="545" t="s">
        <v>1535</v>
      </c>
      <c r="D36" s="545" t="str">
        <f>'①商品マスタ 申請入力用'!D53&amp;""</f>
        <v/>
      </c>
      <c r="E36" s="544" t="str">
        <f>'①商品マスタ 申請入力用'!F53&amp;""</f>
        <v/>
      </c>
      <c r="F36" s="532" t="str">
        <f>'①商品マスタ 申請入力用'!H53&amp;""</f>
        <v/>
      </c>
      <c r="G36" s="544" t="str">
        <f>'①商品マスタ 申請入力用'!J53&amp;""</f>
        <v/>
      </c>
      <c r="H36" s="544"/>
    </row>
    <row r="37" spans="2:8" x14ac:dyDescent="0.2">
      <c r="B37" s="544" t="s">
        <v>1730</v>
      </c>
      <c r="C37" s="545" t="s">
        <v>1731</v>
      </c>
      <c r="D37" s="545" t="str">
        <f>'①商品マスタ 申請入力用'!D54&amp;""</f>
        <v>回収する</v>
      </c>
      <c r="E37" s="544" t="str">
        <f>'①商品マスタ 申請入力用'!F54&amp;""</f>
        <v>回収する</v>
      </c>
      <c r="F37" s="532" t="str">
        <f>'①商品マスタ 申請入力用'!H54&amp;""</f>
        <v>回収する</v>
      </c>
      <c r="G37" s="544" t="str">
        <f>'①商品マスタ 申請入力用'!J54&amp;""</f>
        <v>回収する</v>
      </c>
      <c r="H37" s="547" t="s">
        <v>1732</v>
      </c>
    </row>
    <row r="38" spans="2:8" x14ac:dyDescent="0.2">
      <c r="B38" s="544" t="s">
        <v>1733</v>
      </c>
      <c r="C38" s="545" t="s">
        <v>1537</v>
      </c>
      <c r="D38" s="545" t="str">
        <f>'①商品マスタ 申請入力用'!D55&amp;""</f>
        <v>12345678</v>
      </c>
      <c r="E38" s="544" t="str">
        <f>'①商品マスタ 申請入力用'!F55&amp;""</f>
        <v>12345678</v>
      </c>
      <c r="F38" s="532" t="str">
        <f>'①商品マスタ 申請入力用'!H55&amp;""</f>
        <v>12345678</v>
      </c>
      <c r="G38" s="544" t="str">
        <f>'①商品マスタ 申請入力用'!J55&amp;""</f>
        <v>12345678</v>
      </c>
      <c r="H38" s="544"/>
    </row>
    <row r="39" spans="2:8" x14ac:dyDescent="0.2">
      <c r="B39" s="544" t="s">
        <v>1734</v>
      </c>
      <c r="C39" s="545" t="s">
        <v>1538</v>
      </c>
      <c r="D39" s="545" t="str">
        <f>'①商品マスタ 申請入力用'!D56&amp;""</f>
        <v>19リキュール</v>
      </c>
      <c r="E39" s="544" t="str">
        <f>'①商品マスタ 申請入力用'!F56&amp;""</f>
        <v>11甘味果実酒･ｽﾊﾟｰｸﾘﾝｸﾞ</v>
      </c>
      <c r="F39" s="532" t="str">
        <f>'①商品マスタ 申請入力用'!H56&amp;""</f>
        <v>9ビ ー ル</v>
      </c>
      <c r="G39" s="544" t="str">
        <f>'①商品マスタ 申請入力用'!J56&amp;""</f>
        <v>31雑品、飲料類含む</v>
      </c>
      <c r="H39" s="544" t="s">
        <v>1735</v>
      </c>
    </row>
    <row r="40" spans="2:8" x14ac:dyDescent="0.2">
      <c r="B40" s="544" t="s">
        <v>1736</v>
      </c>
      <c r="C40" s="545" t="s">
        <v>1539</v>
      </c>
      <c r="D40" s="545" t="str">
        <f>'①商品マスタ 申請入力用'!D57&amp;""</f>
        <v>200合成清酒</v>
      </c>
      <c r="E40" s="544" t="str">
        <f>'①商品マスタ 申請入力用'!F57&amp;""</f>
        <v>1000原料用アルコール</v>
      </c>
      <c r="F40" s="532" t="str">
        <f>'①商品マスタ 申請入力用'!H57&amp;""</f>
        <v>601果実酒</v>
      </c>
      <c r="G40" s="544" t="str">
        <f>'①商品マスタ 申請入力用'!J57&amp;""</f>
        <v>1001発泡酒</v>
      </c>
      <c r="H40" s="544" t="s">
        <v>1723</v>
      </c>
    </row>
    <row r="41" spans="2:8" x14ac:dyDescent="0.2">
      <c r="B41" s="544" t="s">
        <v>1737</v>
      </c>
      <c r="C41" s="545" t="s">
        <v>1540</v>
      </c>
      <c r="D41" s="545" t="str">
        <f>'①商品マスタ 申請入力用'!D58&amp;""</f>
        <v>1輸入</v>
      </c>
      <c r="E41" s="544" t="str">
        <f>'①商品マスタ 申請入力用'!F58&amp;""</f>
        <v>1輸入</v>
      </c>
      <c r="F41" s="532" t="str">
        <f>'①商品マスタ 申請入力用'!H58&amp;""</f>
        <v>1輸入</v>
      </c>
      <c r="G41" s="544" t="str">
        <f>'①商品マスタ 申請入力用'!J58&amp;""</f>
        <v>1輸入</v>
      </c>
      <c r="H41" s="544" t="s">
        <v>1668</v>
      </c>
    </row>
    <row r="42" spans="2:8" x14ac:dyDescent="0.2">
      <c r="B42" s="544" t="s">
        <v>1738</v>
      </c>
      <c r="C42" s="545" t="s">
        <v>1541</v>
      </c>
      <c r="D42" s="545" t="str">
        <f>'①商品マスタ 申請入力用'!D59&amp;""</f>
        <v>13.5</v>
      </c>
      <c r="E42" s="544" t="str">
        <f>'①商品マスタ 申請入力用'!F59&amp;""</f>
        <v>13.5</v>
      </c>
      <c r="F42" s="532" t="str">
        <f>'①商品マスタ 申請入力用'!H59&amp;""</f>
        <v>13.5</v>
      </c>
      <c r="G42" s="544" t="str">
        <f>'①商品マスタ 申請入力用'!J59&amp;""</f>
        <v>13.5</v>
      </c>
      <c r="H42" s="544"/>
    </row>
    <row r="43" spans="2:8" x14ac:dyDescent="0.2">
      <c r="B43" s="544" t="s">
        <v>1739</v>
      </c>
      <c r="C43" s="545" t="s">
        <v>1542</v>
      </c>
      <c r="D43" s="545" t="str">
        <f>'①商品マスタ 申請入力用'!D60&amp;""</f>
        <v>13.5</v>
      </c>
      <c r="E43" s="544" t="str">
        <f>'①商品マスタ 申請入力用'!F60&amp;""</f>
        <v>13.5</v>
      </c>
      <c r="F43" s="532" t="str">
        <f>'①商品マスタ 申請入力用'!H60&amp;""</f>
        <v>13.5</v>
      </c>
      <c r="G43" s="544" t="str">
        <f>'①商品マスタ 申請入力用'!J60&amp;""</f>
        <v>13.5</v>
      </c>
      <c r="H43" s="544"/>
    </row>
    <row r="44" spans="2:8" x14ac:dyDescent="0.2">
      <c r="B44" s="544" t="s">
        <v>1740</v>
      </c>
      <c r="C44" s="545" t="s">
        <v>1741</v>
      </c>
      <c r="D44" s="545" t="str">
        <f>'①商品マスタ 申請入力用'!D61&amp;""</f>
        <v>10002中国</v>
      </c>
      <c r="E44" s="544" t="str">
        <f>'①商品マスタ 申請入力用'!F61&amp;""</f>
        <v>10002中国</v>
      </c>
      <c r="F44" s="532" t="str">
        <f>'①商品マスタ 申請入力用'!H61&amp;""</f>
        <v>10002中国</v>
      </c>
      <c r="G44" s="544" t="str">
        <f>'①商品マスタ 申請入力用'!J61&amp;""</f>
        <v>10002中国</v>
      </c>
      <c r="H44" s="544" t="s">
        <v>1742</v>
      </c>
    </row>
    <row r="45" spans="2:8" x14ac:dyDescent="0.2">
      <c r="B45" s="544" t="s">
        <v>1743</v>
      </c>
      <c r="C45" s="545" t="s">
        <v>1544</v>
      </c>
      <c r="D45" s="545" t="str">
        <f>'①商品マスタ 申請入力用'!D62&amp;""</f>
        <v>1北海道</v>
      </c>
      <c r="E45" s="544" t="str">
        <f>'①商品マスタ 申請入力用'!F62&amp;""</f>
        <v>14神奈川県</v>
      </c>
      <c r="F45" s="532" t="str">
        <f>'①商品マスタ 申請入力用'!H62&amp;""</f>
        <v>20101ボルドー地方</v>
      </c>
      <c r="G45" s="544" t="str">
        <f>'①商品マスタ 申請入力用'!J62&amp;""</f>
        <v>9栃木県</v>
      </c>
      <c r="H45" s="544" t="s">
        <v>1742</v>
      </c>
    </row>
    <row r="46" spans="2:8" x14ac:dyDescent="0.2">
      <c r="B46" s="544" t="s">
        <v>1744</v>
      </c>
      <c r="C46" s="545" t="s">
        <v>1545</v>
      </c>
      <c r="D46" s="545" t="str">
        <f>'①商品マスタ 申請入力用'!D63&amp;""</f>
        <v>0</v>
      </c>
      <c r="E46" s="544" t="str">
        <f>'①商品マスタ 申請入力用'!F63&amp;""</f>
        <v>0</v>
      </c>
      <c r="F46" s="532" t="str">
        <f>'①商品マスタ 申請入力用'!H63&amp;""</f>
        <v>0</v>
      </c>
      <c r="G46" s="544" t="str">
        <f>'①商品マスタ 申請入力用'!J63&amp;""</f>
        <v>0</v>
      </c>
      <c r="H46" s="544"/>
    </row>
    <row r="47" spans="2:8" x14ac:dyDescent="0.2">
      <c r="B47" s="544" t="s">
        <v>1745</v>
      </c>
      <c r="C47" s="545" t="s">
        <v>1546</v>
      </c>
      <c r="D47" s="545" t="str">
        <f>'①商品マスタ 申請入力用'!D64&amp;""</f>
        <v>1中口</v>
      </c>
      <c r="E47" s="544" t="str">
        <f>'①商品マスタ 申請入力用'!F64&amp;""</f>
        <v>1中口</v>
      </c>
      <c r="F47" s="532" t="str">
        <f>'①商品マスタ 申請入力用'!H64&amp;""</f>
        <v>1中口</v>
      </c>
      <c r="G47" s="544" t="str">
        <f>'①商品マスタ 申請入力用'!J64&amp;""</f>
        <v>1中口</v>
      </c>
      <c r="H47" s="544" t="s">
        <v>1689</v>
      </c>
    </row>
    <row r="48" spans="2:8" x14ac:dyDescent="0.2">
      <c r="B48" s="544" t="s">
        <v>292</v>
      </c>
      <c r="C48" s="545" t="s">
        <v>1547</v>
      </c>
      <c r="D48" s="545" t="str">
        <f>'①商品マスタ 申請入力用'!D65&amp;""</f>
        <v>2903</v>
      </c>
      <c r="E48" s="544" t="str">
        <f>'①商品マスタ 申請入力用'!F65&amp;""</f>
        <v>2903</v>
      </c>
      <c r="F48" s="532" t="str">
        <f>'①商品マスタ 申請入力用'!H65&amp;""</f>
        <v>2903</v>
      </c>
      <c r="G48" s="544" t="str">
        <f>'①商品マスタ 申請入力用'!J65&amp;""</f>
        <v>2903</v>
      </c>
      <c r="H48" s="547" t="s">
        <v>1746</v>
      </c>
    </row>
    <row r="49" spans="2:15" x14ac:dyDescent="0.2">
      <c r="B49" s="544" t="s">
        <v>1747</v>
      </c>
      <c r="C49" s="545" t="s">
        <v>1548</v>
      </c>
      <c r="D49" s="545" t="str">
        <f>'①商品マスタ 申請入力用'!D67&amp;""</f>
        <v>0通年</v>
      </c>
      <c r="E49" s="544" t="str">
        <f>'①商品マスタ 申請入力用'!F67&amp;""</f>
        <v>0通年</v>
      </c>
      <c r="F49" s="532" t="str">
        <f>'①商品マスタ 申請入力用'!H67&amp;""</f>
        <v>0通年</v>
      </c>
      <c r="G49" s="544" t="str">
        <f>'①商品マスタ 申請入力用'!J67&amp;""</f>
        <v>0通年</v>
      </c>
      <c r="H49" s="547" t="s">
        <v>1748</v>
      </c>
    </row>
    <row r="50" spans="2:15" x14ac:dyDescent="0.2">
      <c r="B50" s="544" t="s">
        <v>1749</v>
      </c>
      <c r="C50" s="545" t="s">
        <v>1549</v>
      </c>
      <c r="D50" s="545" t="str">
        <f>'①商品マスタ 申請入力用'!D68&amp;""</f>
        <v>2直送</v>
      </c>
      <c r="E50" s="544" t="str">
        <f>'①商品マスタ 申請入力用'!F68&amp;""</f>
        <v>2直送</v>
      </c>
      <c r="F50" s="532" t="str">
        <f>'①商品マスタ 申請入力用'!H68&amp;""</f>
        <v>2直送</v>
      </c>
      <c r="G50" s="544" t="str">
        <f>'①商品マスタ 申請入力用'!J68&amp;""</f>
        <v>2直送</v>
      </c>
      <c r="H50" s="547" t="s">
        <v>1748</v>
      </c>
    </row>
    <row r="51" spans="2:15" x14ac:dyDescent="0.2">
      <c r="B51" s="544" t="s">
        <v>129</v>
      </c>
      <c r="C51" s="545" t="s">
        <v>1750</v>
      </c>
      <c r="D51" s="545" t="str">
        <f>'①商品マスタ 申請入力用'!D69&amp;""</f>
        <v>1234567890123</v>
      </c>
      <c r="E51" s="544" t="str">
        <f>'①商品マスタ 申請入力用'!F69&amp;""</f>
        <v>1234567890123</v>
      </c>
      <c r="F51" s="532" t="str">
        <f>'①商品マスタ 申請入力用'!H69&amp;""</f>
        <v>1234567890123</v>
      </c>
      <c r="G51" s="544" t="str">
        <f>'①商品マスタ 申請入力用'!J69&amp;""</f>
        <v>1234567890123</v>
      </c>
      <c r="H51" s="544"/>
    </row>
    <row r="52" spans="2:15" x14ac:dyDescent="0.2">
      <c r="B52" s="544" t="s">
        <v>1751</v>
      </c>
      <c r="C52" s="545" t="s">
        <v>1551</v>
      </c>
      <c r="D52" s="545" t="str">
        <f>'①商品マスタ 申請入力用'!D70&amp;""</f>
        <v>1234567890123</v>
      </c>
      <c r="E52" s="544" t="str">
        <f>'①商品マスタ 申請入力用'!F70&amp;""</f>
        <v>1234567890123</v>
      </c>
      <c r="F52" s="532" t="str">
        <f>'①商品マスタ 申請入力用'!H70&amp;""</f>
        <v>1234567890123</v>
      </c>
      <c r="G52" s="544" t="str">
        <f>'①商品マスタ 申請入力用'!J70&amp;""</f>
        <v>1234567890123</v>
      </c>
      <c r="H52" s="544"/>
    </row>
    <row r="53" spans="2:15" x14ac:dyDescent="0.2">
      <c r="B53" s="544" t="s">
        <v>1752</v>
      </c>
      <c r="C53" s="545" t="s">
        <v>1552</v>
      </c>
      <c r="D53" s="545" t="str">
        <f>'①商品マスタ 申請入力用'!D71&amp;""</f>
        <v>1オーガニック</v>
      </c>
      <c r="E53" s="544" t="str">
        <f>'①商品マスタ 申請入力用'!F71&amp;""</f>
        <v>1オーガニック</v>
      </c>
      <c r="F53" s="532" t="str">
        <f>'①商品マスタ 申請入力用'!H71&amp;""</f>
        <v>1オーガニック</v>
      </c>
      <c r="G53" s="544" t="str">
        <f>'①商品マスタ 申請入力用'!J71&amp;""</f>
        <v>1オーガニック</v>
      </c>
      <c r="H53" s="544" t="s">
        <v>1753</v>
      </c>
    </row>
    <row r="54" spans="2:15" x14ac:dyDescent="0.2">
      <c r="B54" s="544" t="s">
        <v>1754</v>
      </c>
      <c r="C54" s="545" t="s">
        <v>1553</v>
      </c>
      <c r="D54" s="545" t="str">
        <f>'①商品マスタ 申請入力用'!D72&amp;""</f>
        <v>1ノンフィルター</v>
      </c>
      <c r="E54" s="544" t="str">
        <f>'①商品マスタ 申請入力用'!F72&amp;""</f>
        <v>1ノンフィルター</v>
      </c>
      <c r="F54" s="532" t="str">
        <f>'①商品マスタ 申請入力用'!H72&amp;""</f>
        <v>1ノンフィルター</v>
      </c>
      <c r="G54" s="544" t="str">
        <f>'①商品マスタ 申請入力用'!J72&amp;""</f>
        <v>1ノンフィルター</v>
      </c>
      <c r="H54" s="544" t="s">
        <v>1753</v>
      </c>
    </row>
    <row r="55" spans="2:15" x14ac:dyDescent="0.2">
      <c r="B55" s="544" t="s">
        <v>1755</v>
      </c>
      <c r="C55" s="545" t="s">
        <v>1756</v>
      </c>
      <c r="D55" s="545" t="str">
        <f>'①商品マスタ 申請入力用'!D73&amp;""</f>
        <v>1下限値</v>
      </c>
      <c r="E55" s="544" t="str">
        <f>'①商品マスタ 申請入力用'!F73&amp;""</f>
        <v/>
      </c>
      <c r="F55" s="532" t="str">
        <f>'①商品マスタ 申請入力用'!H73&amp;""</f>
        <v>1下限値</v>
      </c>
      <c r="G55" s="544" t="str">
        <f>'①商品マスタ 申請入力用'!J73&amp;""</f>
        <v/>
      </c>
      <c r="H55" s="544" t="s">
        <v>1757</v>
      </c>
      <c r="I55" s="548"/>
      <c r="K55" s="549" t="s">
        <v>374</v>
      </c>
      <c r="L55" s="549"/>
      <c r="M55" s="549" t="s">
        <v>1758</v>
      </c>
      <c r="N55" s="549"/>
      <c r="O55" s="549"/>
    </row>
    <row r="56" spans="2:15" x14ac:dyDescent="0.2">
      <c r="B56" s="544" t="s">
        <v>1759</v>
      </c>
      <c r="C56" s="545" t="s">
        <v>1555</v>
      </c>
      <c r="D56" s="545" t="str">
        <f>'①商品マスタ 申請入力用'!D74&amp;""</f>
        <v>2カクヤスPB</v>
      </c>
      <c r="E56" s="544" t="str">
        <f>'①商品マスタ 申請入力用'!F74&amp;""</f>
        <v>2カクヤスPB</v>
      </c>
      <c r="F56" s="532" t="str">
        <f>'①商品マスタ 申請入力用'!H74&amp;""</f>
        <v>2カクヤスPB</v>
      </c>
      <c r="G56" s="544" t="str">
        <f>'①商品マスタ 申請入力用'!J74&amp;""</f>
        <v>2カクヤスPB</v>
      </c>
      <c r="H56" s="544" t="s">
        <v>1753</v>
      </c>
    </row>
    <row r="57" spans="2:15" x14ac:dyDescent="0.2">
      <c r="B57" s="544" t="s">
        <v>1760</v>
      </c>
      <c r="C57" s="545" t="s">
        <v>1556</v>
      </c>
      <c r="D57" s="545" t="str">
        <f>'①商品マスタ 申請入力用'!D75&amp;""</f>
        <v>2ラベルレス</v>
      </c>
      <c r="E57" s="544" t="str">
        <f>'①商品マスタ 申請入力用'!F75&amp;""</f>
        <v>2ラベルレス</v>
      </c>
      <c r="F57" s="532" t="str">
        <f>'①商品マスタ 申請入力用'!H75&amp;""</f>
        <v>2ラベルレス</v>
      </c>
      <c r="G57" s="544" t="str">
        <f>'①商品マスタ 申請入力用'!J75&amp;""</f>
        <v>2ラベルレス</v>
      </c>
      <c r="H57" s="544" t="s">
        <v>1761</v>
      </c>
      <c r="I57" s="548"/>
    </row>
    <row r="58" spans="2:15" x14ac:dyDescent="0.2">
      <c r="B58" s="544" t="s">
        <v>1762</v>
      </c>
      <c r="C58" s="545" t="s">
        <v>1557</v>
      </c>
      <c r="D58" s="545" t="str">
        <f>'①商品マスタ 申請入力用'!D76&amp;""</f>
        <v>1</v>
      </c>
      <c r="E58" s="544" t="str">
        <f>'①商品マスタ 申請入力用'!F76&amp;""</f>
        <v>1</v>
      </c>
      <c r="F58" s="532" t="str">
        <f>'①商品マスタ 申請入力用'!H76&amp;""</f>
        <v>1</v>
      </c>
      <c r="G58" s="544" t="str">
        <f>'①商品マスタ 申請入力用'!J76&amp;""</f>
        <v>1</v>
      </c>
      <c r="H58" s="547" t="s">
        <v>1748</v>
      </c>
      <c r="I58" s="548"/>
    </row>
    <row r="59" spans="2:15" x14ac:dyDescent="0.2">
      <c r="B59" s="544" t="s">
        <v>1763</v>
      </c>
      <c r="C59" s="545" t="s">
        <v>1558</v>
      </c>
      <c r="D59" s="545" t="str">
        <f>'①商品マスタ 申請入力用'!D77&amp;""</f>
        <v>1</v>
      </c>
      <c r="E59" s="544" t="str">
        <f>'①商品マスタ 申請入力用'!F77&amp;""</f>
        <v>1</v>
      </c>
      <c r="F59" s="532" t="str">
        <f>'①商品マスタ 申請入力用'!H77&amp;""</f>
        <v>1</v>
      </c>
      <c r="G59" s="544" t="str">
        <f>'①商品マスタ 申請入力用'!J77&amp;""</f>
        <v>1</v>
      </c>
      <c r="H59" s="547" t="s">
        <v>1748</v>
      </c>
    </row>
    <row r="60" spans="2:15" x14ac:dyDescent="0.2">
      <c r="B60" s="544" t="s">
        <v>1764</v>
      </c>
      <c r="C60" s="545" t="s">
        <v>1559</v>
      </c>
      <c r="D60" s="545" t="str">
        <f>'①商品マスタ 申請入力用'!D78&amp;""</f>
        <v>1</v>
      </c>
      <c r="E60" s="544" t="str">
        <f>'①商品マスタ 申請入力用'!F78&amp;""</f>
        <v>1</v>
      </c>
      <c r="F60" s="532" t="str">
        <f>'①商品マスタ 申請入力用'!H78&amp;""</f>
        <v>1</v>
      </c>
      <c r="G60" s="544" t="str">
        <f>'①商品マスタ 申請入力用'!J78&amp;""</f>
        <v>1</v>
      </c>
      <c r="H60" s="547" t="s">
        <v>1765</v>
      </c>
      <c r="I60" s="548"/>
    </row>
    <row r="61" spans="2:15" x14ac:dyDescent="0.2">
      <c r="B61" s="544" t="s">
        <v>1766</v>
      </c>
      <c r="C61" s="545" t="s">
        <v>1560</v>
      </c>
      <c r="D61" s="545" t="str">
        <f>'①商品マスタ 申請入力用'!D79&amp;""</f>
        <v>0しない</v>
      </c>
      <c r="E61" s="544" t="str">
        <f>'①商品マスタ 申請入力用'!F79&amp;""</f>
        <v>0しない</v>
      </c>
      <c r="F61" s="532" t="str">
        <f>'①商品マスタ 申請入力用'!H79&amp;""</f>
        <v>0しない</v>
      </c>
      <c r="G61" s="544" t="str">
        <f>'①商品マスタ 申請入力用'!J79&amp;""</f>
        <v>0しない</v>
      </c>
      <c r="H61" s="544" t="s">
        <v>1753</v>
      </c>
    </row>
    <row r="62" spans="2:15" x14ac:dyDescent="0.2">
      <c r="B62" s="544" t="s">
        <v>1767</v>
      </c>
      <c r="C62" s="545" t="s">
        <v>1561</v>
      </c>
      <c r="D62" s="545" t="str">
        <f>'①商品マスタ 申請入力用'!D80&amp;""</f>
        <v>0</v>
      </c>
      <c r="E62" s="544" t="str">
        <f>'①商品マスタ 申請入力用'!F80&amp;""</f>
        <v>0</v>
      </c>
      <c r="F62" s="532" t="str">
        <f>'①商品マスタ 申請入力用'!H80&amp;""</f>
        <v>0</v>
      </c>
      <c r="G62" s="544" t="str">
        <f>'①商品マスタ 申請入力用'!J80&amp;""</f>
        <v>0</v>
      </c>
      <c r="H62" s="544"/>
    </row>
    <row r="63" spans="2:15" x14ac:dyDescent="0.2">
      <c r="B63" s="544" t="s">
        <v>1768</v>
      </c>
      <c r="C63" s="545" t="s">
        <v>1562</v>
      </c>
      <c r="D63" s="545" t="str">
        <f>'①商品マスタ 申請入力用'!D81&amp;""</f>
        <v/>
      </c>
      <c r="E63" s="544" t="str">
        <f>'①商品マスタ 申請入力用'!F81&amp;""</f>
        <v/>
      </c>
      <c r="F63" s="532" t="str">
        <f>'①商品マスタ 申請入力用'!H81&amp;""</f>
        <v/>
      </c>
      <c r="G63" s="545" t="str">
        <f>'①商品マスタ 申請入力用'!J81&amp;""</f>
        <v/>
      </c>
      <c r="H63" s="544"/>
    </row>
    <row r="64" spans="2:15" x14ac:dyDescent="0.2">
      <c r="B64" s="544" t="s">
        <v>1769</v>
      </c>
      <c r="C64" s="545" t="s">
        <v>1563</v>
      </c>
      <c r="D64" s="545" t="str">
        <f>'①商品マスタ 申請入力用'!D82&amp;""</f>
        <v>0</v>
      </c>
      <c r="E64" s="544" t="str">
        <f>'①商品マスタ 申請入力用'!F82&amp;""</f>
        <v>0</v>
      </c>
      <c r="F64" s="532" t="str">
        <f>'①商品マスタ 申請入力用'!H82&amp;""</f>
        <v>0</v>
      </c>
      <c r="G64" s="544" t="str">
        <f>'①商品マスタ 申請入力用'!J82&amp;""</f>
        <v>0</v>
      </c>
      <c r="H64" s="544" t="s">
        <v>1667</v>
      </c>
    </row>
    <row r="65" spans="1:8" x14ac:dyDescent="0.2">
      <c r="B65" s="544" t="s">
        <v>1770</v>
      </c>
      <c r="C65" s="545" t="s">
        <v>1564</v>
      </c>
      <c r="D65" s="545" t="str">
        <f>'①商品マスタ 申請入力用'!D83&amp;""</f>
        <v/>
      </c>
      <c r="E65" s="544" t="str">
        <f>'①商品マスタ 申請入力用'!F83&amp;""</f>
        <v/>
      </c>
      <c r="F65" s="532" t="str">
        <f>'①商品マスタ 申請入力用'!H83&amp;""</f>
        <v/>
      </c>
      <c r="G65" s="544" t="str">
        <f>'①商品マスタ 申請入力用'!J83&amp;""</f>
        <v/>
      </c>
      <c r="H65" s="547" t="s">
        <v>1727</v>
      </c>
    </row>
    <row r="66" spans="1:8" x14ac:dyDescent="0.2">
      <c r="B66" s="544" t="s">
        <v>1771</v>
      </c>
      <c r="C66" s="545" t="s">
        <v>1565</v>
      </c>
      <c r="D66" s="545" t="str">
        <f>'①商品マスタ 申請入力用'!D84&amp;""</f>
        <v/>
      </c>
      <c r="E66" s="544" t="str">
        <f>'①商品マスタ 申請入力用'!F84&amp;""</f>
        <v/>
      </c>
      <c r="F66" s="532" t="str">
        <f>'①商品マスタ 申請入力用'!H84&amp;""</f>
        <v/>
      </c>
      <c r="G66" s="544" t="str">
        <f>'①商品マスタ 申請入力用'!J84&amp;""</f>
        <v/>
      </c>
      <c r="H66" s="547" t="s">
        <v>1772</v>
      </c>
    </row>
    <row r="67" spans="1:8" x14ac:dyDescent="0.2">
      <c r="B67" s="544" t="s">
        <v>1773</v>
      </c>
      <c r="C67" s="545" t="s">
        <v>1566</v>
      </c>
      <c r="D67" s="550" t="str">
        <f>'①商品マスタ 申請入力用'!D85&amp;""</f>
        <v>0.108</v>
      </c>
      <c r="E67" s="544" t="str">
        <f>'①商品マスタ 申請入力用'!F85&amp;""</f>
        <v>1.08</v>
      </c>
      <c r="F67" s="532" t="str">
        <f>'①商品マスタ 申請入力用'!H85&amp;""</f>
        <v>10.8</v>
      </c>
      <c r="G67" s="544" t="str">
        <f>'①商品マスタ 申請入力用'!J85&amp;""</f>
        <v>108</v>
      </c>
      <c r="H67" s="547" t="s">
        <v>1774</v>
      </c>
    </row>
    <row r="68" spans="1:8" ht="39.6" x14ac:dyDescent="0.2">
      <c r="B68" s="551" t="s">
        <v>1775</v>
      </c>
      <c r="C68" s="545" t="s">
        <v>1567</v>
      </c>
      <c r="D68" s="545" t="str">
        <f>'①商品マスタ 申請入力用'!D86&amp;""</f>
        <v>：</v>
      </c>
      <c r="E68" s="544" t="str">
        <f>'①商品マスタ 申請入力用'!F86&amp;""</f>
        <v>：</v>
      </c>
      <c r="F68" s="532" t="str">
        <f>'①商品マスタ 申請入力用'!H86&amp;""</f>
        <v>：</v>
      </c>
      <c r="G68" s="544" t="str">
        <f>'①商品マスタ 申請入力用'!J86&amp;""</f>
        <v>：</v>
      </c>
      <c r="H68" s="544"/>
    </row>
    <row r="69" spans="1:8" x14ac:dyDescent="0.2">
      <c r="B69" s="544" t="s">
        <v>1776</v>
      </c>
      <c r="C69" s="545" t="s">
        <v>1777</v>
      </c>
      <c r="D69" s="545" t="str">
        <f>'①商品マスタ 申請入力用'!D87&amp;""</f>
        <v/>
      </c>
      <c r="E69" s="544" t="str">
        <f>'①商品マスタ 申請入力用'!F87&amp;""</f>
        <v/>
      </c>
      <c r="F69" s="532" t="str">
        <f>'①商品マスタ 申請入力用'!H87&amp;""</f>
        <v/>
      </c>
      <c r="G69" s="544" t="str">
        <f>'①商品マスタ 申請入力用'!J87&amp;""</f>
        <v/>
      </c>
      <c r="H69" s="544"/>
    </row>
    <row r="70" spans="1:8" ht="26.4" x14ac:dyDescent="0.2">
      <c r="A70" s="540" t="s">
        <v>1778</v>
      </c>
      <c r="B70" s="544" t="s">
        <v>1779</v>
      </c>
      <c r="C70" s="545" t="s">
        <v>1569</v>
      </c>
      <c r="D70" s="545"/>
      <c r="E70" s="544"/>
      <c r="G70" s="544"/>
      <c r="H70" s="544" t="s">
        <v>1780</v>
      </c>
    </row>
    <row r="71" spans="1:8" x14ac:dyDescent="0.2">
      <c r="B71" s="544" t="s">
        <v>1781</v>
      </c>
      <c r="C71" s="545" t="s">
        <v>1782</v>
      </c>
      <c r="D71" s="545"/>
      <c r="E71" s="544"/>
      <c r="G71" s="544"/>
      <c r="H71" s="544" t="s">
        <v>1783</v>
      </c>
    </row>
    <row r="72" spans="1:8" x14ac:dyDescent="0.2">
      <c r="B72" s="544" t="s">
        <v>1784</v>
      </c>
      <c r="C72" s="545" t="s">
        <v>1571</v>
      </c>
      <c r="D72" s="545"/>
      <c r="E72" s="544"/>
      <c r="G72" s="544"/>
      <c r="H72" s="544" t="s">
        <v>1780</v>
      </c>
    </row>
    <row r="73" spans="1:8" x14ac:dyDescent="0.2">
      <c r="B73" s="544" t="s">
        <v>1785</v>
      </c>
      <c r="C73" s="544" t="s">
        <v>1572</v>
      </c>
      <c r="D73" s="545"/>
      <c r="E73" s="544"/>
      <c r="G73" s="544"/>
      <c r="H73" s="544" t="s">
        <v>1786</v>
      </c>
    </row>
    <row r="74" spans="1:8" x14ac:dyDescent="0.2">
      <c r="B74" s="544" t="s">
        <v>1787</v>
      </c>
      <c r="C74" s="544" t="s">
        <v>1573</v>
      </c>
      <c r="D74" s="545"/>
      <c r="E74" s="544"/>
      <c r="G74" s="544"/>
      <c r="H74" s="544" t="s">
        <v>1788</v>
      </c>
    </row>
    <row r="75" spans="1:8" x14ac:dyDescent="0.2">
      <c r="B75" s="544" t="s">
        <v>1789</v>
      </c>
      <c r="C75" s="544" t="s">
        <v>1574</v>
      </c>
      <c r="D75" s="545"/>
      <c r="E75" s="544"/>
      <c r="G75" s="544"/>
      <c r="H75" s="544" t="s">
        <v>1790</v>
      </c>
    </row>
    <row r="76" spans="1:8" x14ac:dyDescent="0.2">
      <c r="B76" s="544" t="s">
        <v>1791</v>
      </c>
      <c r="C76" s="544" t="s">
        <v>1575</v>
      </c>
      <c r="D76" s="545"/>
      <c r="E76" s="544"/>
      <c r="G76" s="544"/>
      <c r="H76" s="544" t="s">
        <v>1792</v>
      </c>
    </row>
    <row r="77" spans="1:8" x14ac:dyDescent="0.2">
      <c r="B77" s="544" t="s">
        <v>1793</v>
      </c>
      <c r="C77" s="544" t="s">
        <v>1794</v>
      </c>
      <c r="D77" s="545"/>
      <c r="E77" s="544"/>
      <c r="G77" s="544"/>
      <c r="H77" s="544"/>
    </row>
    <row r="78" spans="1:8" x14ac:dyDescent="0.2">
      <c r="A78" s="540"/>
      <c r="B78" s="544" t="s">
        <v>1795</v>
      </c>
      <c r="C78" s="544" t="s">
        <v>1577</v>
      </c>
      <c r="D78" s="545"/>
      <c r="E78" s="544"/>
      <c r="G78" s="544"/>
      <c r="H78" s="544"/>
    </row>
    <row r="79" spans="1:8" x14ac:dyDescent="0.2">
      <c r="A79" s="540"/>
      <c r="B79" s="544" t="s">
        <v>1796</v>
      </c>
      <c r="C79" s="544" t="s">
        <v>1578</v>
      </c>
      <c r="D79" s="545"/>
      <c r="E79" s="544"/>
      <c r="G79" s="544"/>
      <c r="H79" s="544"/>
    </row>
    <row r="80" spans="1:8" x14ac:dyDescent="0.2">
      <c r="A80" s="540"/>
      <c r="B80" s="544" t="s">
        <v>1797</v>
      </c>
      <c r="C80" s="544" t="s">
        <v>1579</v>
      </c>
      <c r="D80" s="545"/>
      <c r="E80" s="544"/>
      <c r="G80" s="544"/>
      <c r="H80" s="544"/>
    </row>
    <row r="81" spans="1:8" x14ac:dyDescent="0.2">
      <c r="A81" s="540"/>
      <c r="B81" s="544" t="s">
        <v>1798</v>
      </c>
      <c r="C81" s="544" t="s">
        <v>1580</v>
      </c>
      <c r="D81" s="545"/>
      <c r="E81" s="544"/>
      <c r="G81" s="544"/>
      <c r="H81" s="544"/>
    </row>
    <row r="82" spans="1:8" x14ac:dyDescent="0.2">
      <c r="B82" s="544" t="s">
        <v>1799</v>
      </c>
      <c r="C82" s="544" t="s">
        <v>1581</v>
      </c>
      <c r="D82" s="545"/>
      <c r="E82" s="544"/>
      <c r="G82" s="544"/>
      <c r="H82" s="544"/>
    </row>
    <row r="83" spans="1:8" x14ac:dyDescent="0.2">
      <c r="B83" s="544" t="s">
        <v>1800</v>
      </c>
      <c r="C83" s="544" t="s">
        <v>1582</v>
      </c>
      <c r="D83" s="545"/>
      <c r="E83" s="544"/>
      <c r="G83" s="544"/>
      <c r="H83" s="544"/>
    </row>
    <row r="84" spans="1:8" x14ac:dyDescent="0.2">
      <c r="B84" s="544" t="s">
        <v>1801</v>
      </c>
      <c r="C84" s="544" t="s">
        <v>1583</v>
      </c>
      <c r="D84" s="545"/>
      <c r="E84" s="544"/>
      <c r="G84" s="544"/>
      <c r="H84" s="544"/>
    </row>
    <row r="85" spans="1:8" x14ac:dyDescent="0.2">
      <c r="B85" s="544" t="s">
        <v>1802</v>
      </c>
      <c r="C85" s="544" t="s">
        <v>1584</v>
      </c>
      <c r="D85" s="545"/>
      <c r="E85" s="544"/>
      <c r="G85" s="544"/>
      <c r="H85" s="544"/>
    </row>
    <row r="86" spans="1:8" x14ac:dyDescent="0.2">
      <c r="B86" s="544" t="s">
        <v>1803</v>
      </c>
      <c r="C86" s="544" t="s">
        <v>1585</v>
      </c>
      <c r="D86" s="545"/>
      <c r="E86" s="544"/>
      <c r="G86" s="544"/>
      <c r="H86" s="544"/>
    </row>
    <row r="87" spans="1:8" x14ac:dyDescent="0.2">
      <c r="B87" s="544" t="s">
        <v>1804</v>
      </c>
      <c r="C87" s="544" t="s">
        <v>1586</v>
      </c>
      <c r="D87" s="545"/>
      <c r="E87" s="544"/>
      <c r="G87" s="544"/>
      <c r="H87" s="544"/>
    </row>
    <row r="88" spans="1:8" x14ac:dyDescent="0.2">
      <c r="B88" s="544" t="s">
        <v>1805</v>
      </c>
      <c r="C88" s="544" t="s">
        <v>1587</v>
      </c>
      <c r="D88" s="545"/>
      <c r="E88" s="544"/>
      <c r="G88" s="544"/>
      <c r="H88" s="544"/>
    </row>
    <row r="89" spans="1:8" x14ac:dyDescent="0.2">
      <c r="B89" s="544" t="s">
        <v>1806</v>
      </c>
      <c r="C89" s="544" t="s">
        <v>1588</v>
      </c>
      <c r="D89" s="545"/>
      <c r="E89" s="544"/>
      <c r="G89" s="544"/>
      <c r="H89" s="544"/>
    </row>
    <row r="90" spans="1:8" x14ac:dyDescent="0.2">
      <c r="B90" s="544" t="s">
        <v>1807</v>
      </c>
      <c r="C90" s="544" t="s">
        <v>1589</v>
      </c>
      <c r="D90" s="545"/>
      <c r="E90" s="544"/>
      <c r="G90" s="544"/>
      <c r="H90" s="544"/>
    </row>
    <row r="91" spans="1:8" x14ac:dyDescent="0.2">
      <c r="B91" s="544" t="s">
        <v>1808</v>
      </c>
      <c r="C91" s="544" t="s">
        <v>1590</v>
      </c>
      <c r="D91" s="545"/>
      <c r="E91" s="544"/>
      <c r="G91" s="544"/>
      <c r="H91" s="544"/>
    </row>
    <row r="92" spans="1:8" x14ac:dyDescent="0.2">
      <c r="B92" s="544" t="s">
        <v>1809</v>
      </c>
      <c r="C92" s="544" t="s">
        <v>1591</v>
      </c>
      <c r="D92" s="545"/>
      <c r="E92" s="544"/>
      <c r="G92" s="544"/>
      <c r="H92" s="544"/>
    </row>
    <row r="93" spans="1:8" x14ac:dyDescent="0.2">
      <c r="B93" s="544" t="s">
        <v>1810</v>
      </c>
      <c r="C93" s="544" t="s">
        <v>1592</v>
      </c>
      <c r="D93" s="545"/>
      <c r="E93" s="544"/>
      <c r="G93" s="544"/>
      <c r="H93" s="544"/>
    </row>
    <row r="94" spans="1:8" x14ac:dyDescent="0.2">
      <c r="B94" s="544" t="s">
        <v>1811</v>
      </c>
      <c r="C94" s="544" t="s">
        <v>1593</v>
      </c>
      <c r="D94" s="545"/>
      <c r="E94" s="544"/>
      <c r="G94" s="544"/>
      <c r="H94" s="544"/>
    </row>
    <row r="95" spans="1:8" x14ac:dyDescent="0.2">
      <c r="B95" s="544" t="s">
        <v>1812</v>
      </c>
      <c r="C95" s="544" t="s">
        <v>1594</v>
      </c>
      <c r="D95" s="545"/>
      <c r="E95" s="544"/>
      <c r="G95" s="544"/>
      <c r="H95" s="544"/>
    </row>
    <row r="96" spans="1:8" x14ac:dyDescent="0.2">
      <c r="B96" s="544" t="s">
        <v>1813</v>
      </c>
      <c r="C96" s="544" t="s">
        <v>1595</v>
      </c>
      <c r="D96" s="545"/>
      <c r="E96" s="544"/>
      <c r="G96" s="544"/>
      <c r="H96" s="544"/>
    </row>
    <row r="97" spans="2:8" x14ac:dyDescent="0.2">
      <c r="B97" s="544" t="s">
        <v>1814</v>
      </c>
      <c r="C97" s="544" t="s">
        <v>1596</v>
      </c>
      <c r="D97" s="545"/>
      <c r="E97" s="544"/>
      <c r="G97" s="544"/>
      <c r="H97" s="544"/>
    </row>
    <row r="98" spans="2:8" x14ac:dyDescent="0.2">
      <c r="B98" s="544" t="s">
        <v>1815</v>
      </c>
      <c r="C98" s="544" t="s">
        <v>1597</v>
      </c>
      <c r="D98" s="545"/>
      <c r="E98" s="544"/>
      <c r="G98" s="544"/>
      <c r="H98" s="544"/>
    </row>
    <row r="99" spans="2:8" x14ac:dyDescent="0.2">
      <c r="B99" s="544" t="s">
        <v>1816</v>
      </c>
      <c r="C99" s="544" t="s">
        <v>1598</v>
      </c>
      <c r="D99" s="545"/>
      <c r="E99" s="544"/>
      <c r="G99" s="544"/>
      <c r="H99" s="544"/>
    </row>
    <row r="100" spans="2:8" x14ac:dyDescent="0.2">
      <c r="B100" s="544" t="s">
        <v>1817</v>
      </c>
      <c r="C100" s="544" t="s">
        <v>1599</v>
      </c>
      <c r="D100" s="545"/>
      <c r="E100" s="544"/>
      <c r="G100" s="544"/>
      <c r="H100" s="544"/>
    </row>
    <row r="101" spans="2:8" x14ac:dyDescent="0.2">
      <c r="B101" s="544" t="s">
        <v>1818</v>
      </c>
      <c r="C101" s="544" t="s">
        <v>1600</v>
      </c>
      <c r="D101" s="545"/>
      <c r="E101" s="544"/>
      <c r="G101" s="544"/>
      <c r="H101" s="544"/>
    </row>
    <row r="102" spans="2:8" x14ac:dyDescent="0.2">
      <c r="B102" s="544" t="s">
        <v>1819</v>
      </c>
      <c r="C102" s="544" t="s">
        <v>1601</v>
      </c>
      <c r="D102" s="545"/>
      <c r="E102" s="544"/>
      <c r="G102" s="544"/>
      <c r="H102" s="544"/>
    </row>
    <row r="103" spans="2:8" x14ac:dyDescent="0.2">
      <c r="B103" s="544" t="s">
        <v>1820</v>
      </c>
      <c r="C103" s="544" t="s">
        <v>1602</v>
      </c>
      <c r="D103" s="545"/>
      <c r="E103" s="544"/>
      <c r="G103" s="544"/>
      <c r="H103" s="544"/>
    </row>
    <row r="104" spans="2:8" x14ac:dyDescent="0.2">
      <c r="B104" s="544" t="s">
        <v>1821</v>
      </c>
      <c r="C104" s="544" t="s">
        <v>1603</v>
      </c>
      <c r="D104" s="545"/>
      <c r="E104" s="544"/>
      <c r="G104" s="544"/>
      <c r="H104" s="544"/>
    </row>
    <row r="105" spans="2:8" x14ac:dyDescent="0.2">
      <c r="B105" s="544" t="s">
        <v>1822</v>
      </c>
      <c r="C105" s="544" t="s">
        <v>1604</v>
      </c>
      <c r="D105" s="545"/>
      <c r="E105" s="544"/>
      <c r="G105" s="544"/>
      <c r="H105" s="544"/>
    </row>
    <row r="106" spans="2:8" x14ac:dyDescent="0.2">
      <c r="B106" s="544" t="s">
        <v>1823</v>
      </c>
      <c r="C106" s="544" t="s">
        <v>1605</v>
      </c>
      <c r="D106" s="545"/>
      <c r="E106" s="544"/>
      <c r="G106" s="544"/>
      <c r="H106" s="544"/>
    </row>
    <row r="107" spans="2:8" x14ac:dyDescent="0.2">
      <c r="B107" s="544" t="s">
        <v>1824</v>
      </c>
      <c r="C107" s="544" t="s">
        <v>1606</v>
      </c>
      <c r="D107" s="545"/>
      <c r="E107" s="544"/>
      <c r="G107" s="544"/>
      <c r="H107" s="544"/>
    </row>
    <row r="108" spans="2:8" x14ac:dyDescent="0.2">
      <c r="B108" s="544" t="s">
        <v>1825</v>
      </c>
      <c r="C108" s="544" t="s">
        <v>1607</v>
      </c>
      <c r="D108" s="545"/>
      <c r="E108" s="544"/>
      <c r="G108" s="544"/>
      <c r="H108" s="544"/>
    </row>
    <row r="109" spans="2:8" x14ac:dyDescent="0.2">
      <c r="B109" s="544" t="s">
        <v>1826</v>
      </c>
      <c r="C109" s="544" t="s">
        <v>1608</v>
      </c>
      <c r="D109" s="545"/>
      <c r="E109" s="544"/>
      <c r="G109" s="544"/>
      <c r="H109" s="544"/>
    </row>
    <row r="110" spans="2:8" x14ac:dyDescent="0.2">
      <c r="B110" s="544" t="s">
        <v>1827</v>
      </c>
      <c r="C110" s="544" t="s">
        <v>1609</v>
      </c>
      <c r="D110" s="545"/>
      <c r="E110" s="544"/>
      <c r="G110" s="544"/>
      <c r="H110" s="544"/>
    </row>
    <row r="111" spans="2:8" x14ac:dyDescent="0.2">
      <c r="B111" s="544" t="s">
        <v>1828</v>
      </c>
      <c r="C111" s="544" t="s">
        <v>1610</v>
      </c>
      <c r="D111" s="545"/>
      <c r="E111" s="544"/>
      <c r="G111" s="544"/>
      <c r="H111" s="544"/>
    </row>
    <row r="112" spans="2:8" x14ac:dyDescent="0.2">
      <c r="B112" s="544" t="s">
        <v>1829</v>
      </c>
      <c r="C112" s="544" t="s">
        <v>1611</v>
      </c>
      <c r="D112" s="545"/>
      <c r="E112" s="544"/>
      <c r="G112" s="544"/>
      <c r="H112" s="544"/>
    </row>
    <row r="113" spans="2:8" x14ac:dyDescent="0.2">
      <c r="B113" s="544" t="s">
        <v>1830</v>
      </c>
      <c r="C113" s="544" t="s">
        <v>1612</v>
      </c>
      <c r="D113" s="545"/>
      <c r="E113" s="544"/>
      <c r="G113" s="544"/>
      <c r="H113" s="544"/>
    </row>
    <row r="114" spans="2:8" x14ac:dyDescent="0.2">
      <c r="B114" s="544" t="s">
        <v>1831</v>
      </c>
      <c r="C114" s="544" t="s">
        <v>1613</v>
      </c>
      <c r="D114" s="545"/>
      <c r="E114" s="544"/>
      <c r="G114" s="544"/>
      <c r="H114" s="544"/>
    </row>
    <row r="115" spans="2:8" x14ac:dyDescent="0.2">
      <c r="B115" s="544" t="s">
        <v>1832</v>
      </c>
      <c r="C115" s="544" t="s">
        <v>1614</v>
      </c>
      <c r="D115" s="545"/>
      <c r="E115" s="544"/>
      <c r="G115" s="544"/>
      <c r="H115" s="544"/>
    </row>
    <row r="116" spans="2:8" x14ac:dyDescent="0.2">
      <c r="B116" s="544" t="s">
        <v>1833</v>
      </c>
      <c r="C116" s="544" t="s">
        <v>1615</v>
      </c>
      <c r="D116" s="545"/>
      <c r="E116" s="544"/>
      <c r="G116" s="544"/>
      <c r="H116" s="544"/>
    </row>
    <row r="117" spans="2:8" x14ac:dyDescent="0.2">
      <c r="B117" s="544" t="s">
        <v>1834</v>
      </c>
      <c r="C117" s="544" t="s">
        <v>1616</v>
      </c>
      <c r="D117" s="545"/>
      <c r="E117" s="544"/>
      <c r="G117" s="544"/>
      <c r="H117" s="544"/>
    </row>
    <row r="118" spans="2:8" x14ac:dyDescent="0.2">
      <c r="B118" s="544" t="s">
        <v>1835</v>
      </c>
      <c r="C118" s="544" t="s">
        <v>1617</v>
      </c>
      <c r="D118" s="545"/>
      <c r="E118" s="544"/>
      <c r="G118" s="544"/>
      <c r="H118" s="544"/>
    </row>
    <row r="119" spans="2:8" x14ac:dyDescent="0.2">
      <c r="B119" s="544" t="s">
        <v>1836</v>
      </c>
      <c r="C119" s="544" t="s">
        <v>1618</v>
      </c>
      <c r="D119" s="545"/>
      <c r="E119" s="544"/>
      <c r="G119" s="544"/>
      <c r="H119" s="544"/>
    </row>
    <row r="120" spans="2:8" x14ac:dyDescent="0.2">
      <c r="B120" s="544" t="s">
        <v>1837</v>
      </c>
      <c r="C120" s="544" t="s">
        <v>1619</v>
      </c>
      <c r="D120" s="545"/>
      <c r="E120" s="544"/>
      <c r="G120" s="544"/>
      <c r="H120" s="544"/>
    </row>
    <row r="121" spans="2:8" x14ac:dyDescent="0.2">
      <c r="B121" s="544" t="s">
        <v>1838</v>
      </c>
      <c r="C121" s="544" t="s">
        <v>1620</v>
      </c>
      <c r="D121" s="545"/>
      <c r="E121" s="544"/>
      <c r="G121" s="544"/>
      <c r="H121" s="544"/>
    </row>
    <row r="122" spans="2:8" x14ac:dyDescent="0.2">
      <c r="B122" s="544" t="s">
        <v>1839</v>
      </c>
      <c r="C122" s="544" t="s">
        <v>1621</v>
      </c>
      <c r="D122" s="545"/>
      <c r="E122" s="544"/>
      <c r="G122" s="544"/>
      <c r="H122" s="544"/>
    </row>
    <row r="123" spans="2:8" x14ac:dyDescent="0.2">
      <c r="B123" s="544" t="s">
        <v>1840</v>
      </c>
      <c r="C123" s="544" t="s">
        <v>1622</v>
      </c>
      <c r="D123" s="545"/>
      <c r="E123" s="544"/>
      <c r="G123" s="544"/>
      <c r="H123" s="544"/>
    </row>
    <row r="124" spans="2:8" x14ac:dyDescent="0.2">
      <c r="B124" s="544" t="s">
        <v>1841</v>
      </c>
      <c r="C124" s="544" t="s">
        <v>1623</v>
      </c>
      <c r="D124" s="545"/>
      <c r="E124" s="544"/>
      <c r="G124" s="544"/>
      <c r="H124" s="544"/>
    </row>
    <row r="125" spans="2:8" x14ac:dyDescent="0.2">
      <c r="B125" s="544" t="s">
        <v>1842</v>
      </c>
      <c r="C125" s="544" t="s">
        <v>1843</v>
      </c>
      <c r="D125" s="544"/>
      <c r="E125" s="544"/>
      <c r="F125" s="545"/>
      <c r="G125" s="544"/>
      <c r="H125" s="544"/>
    </row>
    <row r="126" spans="2:8" x14ac:dyDescent="0.2">
      <c r="B126" s="544" t="s">
        <v>1844</v>
      </c>
      <c r="C126" s="544" t="s">
        <v>1625</v>
      </c>
      <c r="D126" s="544"/>
      <c r="E126" s="544"/>
      <c r="F126" s="545"/>
      <c r="G126" s="544"/>
      <c r="H126" s="544"/>
    </row>
    <row r="127" spans="2:8" x14ac:dyDescent="0.2">
      <c r="B127" s="544" t="s">
        <v>1845</v>
      </c>
      <c r="C127" s="544" t="s">
        <v>1626</v>
      </c>
      <c r="D127" s="544"/>
      <c r="E127" s="544"/>
      <c r="F127" s="545"/>
      <c r="G127" s="544"/>
      <c r="H127" s="544"/>
    </row>
    <row r="128" spans="2:8" x14ac:dyDescent="0.2">
      <c r="B128" s="544" t="s">
        <v>1846</v>
      </c>
      <c r="C128" s="544" t="s">
        <v>1627</v>
      </c>
      <c r="D128" s="544"/>
      <c r="E128" s="544"/>
      <c r="F128" s="545"/>
      <c r="G128" s="544"/>
      <c r="H128" s="544"/>
    </row>
    <row r="129" spans="2:8" x14ac:dyDescent="0.2">
      <c r="B129" s="544" t="s">
        <v>1847</v>
      </c>
      <c r="C129" s="544" t="s">
        <v>1628</v>
      </c>
      <c r="D129" s="544"/>
      <c r="E129" s="544"/>
      <c r="F129" s="545"/>
      <c r="G129" s="544"/>
      <c r="H129" s="544"/>
    </row>
    <row r="130" spans="2:8" x14ac:dyDescent="0.2">
      <c r="B130" s="552" t="s">
        <v>1848</v>
      </c>
      <c r="C130" s="552" t="s">
        <v>1629</v>
      </c>
      <c r="D130" s="552"/>
      <c r="E130" s="552"/>
      <c r="F130" s="552"/>
      <c r="G130" s="552"/>
      <c r="H130" s="552"/>
    </row>
  </sheetData>
  <sheetProtection selectLockedCells="1" selectUnlockedCells="1"/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79E6C-E84D-4F85-9B52-BB37408919E9}">
  <sheetPr codeName="Sheet14"/>
  <dimension ref="A1:DX5"/>
  <sheetViews>
    <sheetView tabSelected="1" topLeftCell="AU1" zoomScale="85" zoomScaleNormal="85" workbookViewId="0">
      <selection activeCell="AW37" sqref="AW37"/>
    </sheetView>
  </sheetViews>
  <sheetFormatPr defaultColWidth="8.88671875" defaultRowHeight="12.6" x14ac:dyDescent="0.2"/>
  <cols>
    <col min="1" max="1" width="13.88671875" style="531" bestFit="1" customWidth="1"/>
    <col min="2" max="3" width="15.33203125" style="531" bestFit="1" customWidth="1"/>
    <col min="4" max="4" width="20.109375" style="531" bestFit="1" customWidth="1"/>
    <col min="5" max="6" width="25.5546875" style="531" bestFit="1" customWidth="1"/>
    <col min="7" max="7" width="24.88671875" style="531" bestFit="1" customWidth="1"/>
    <col min="8" max="9" width="7.88671875" style="531" bestFit="1" customWidth="1"/>
    <col min="10" max="11" width="11.5546875" style="531" bestFit="1" customWidth="1"/>
    <col min="12" max="13" width="14.88671875" style="531" bestFit="1" customWidth="1"/>
    <col min="14" max="14" width="19" style="531" bestFit="1" customWidth="1"/>
    <col min="15" max="16" width="23.109375" style="531" bestFit="1" customWidth="1"/>
    <col min="17" max="18" width="19.88671875" style="531" bestFit="1" customWidth="1"/>
    <col min="19" max="19" width="15.109375" style="531" bestFit="1" customWidth="1"/>
    <col min="20" max="20" width="14.33203125" style="531" bestFit="1" customWidth="1"/>
    <col min="21" max="22" width="23.5546875" style="531" bestFit="1" customWidth="1"/>
    <col min="23" max="23" width="17.109375" style="531" bestFit="1" customWidth="1"/>
    <col min="24" max="25" width="29.88671875" style="531" bestFit="1" customWidth="1"/>
    <col min="26" max="26" width="28" style="531" bestFit="1" customWidth="1"/>
    <col min="27" max="28" width="30.109375" style="531" bestFit="1" customWidth="1"/>
    <col min="29" max="30" width="27.5546875" style="531" bestFit="1" customWidth="1"/>
    <col min="31" max="31" width="22.21875" style="531" bestFit="1" customWidth="1"/>
    <col min="32" max="33" width="21.5546875" style="531" bestFit="1" customWidth="1"/>
    <col min="34" max="35" width="16.6640625" style="531" bestFit="1" customWidth="1"/>
    <col min="36" max="37" width="23.77734375" style="531" bestFit="1" customWidth="1"/>
    <col min="38" max="39" width="24.44140625" style="531" bestFit="1" customWidth="1"/>
    <col min="40" max="40" width="9.33203125" style="531" bestFit="1" customWidth="1"/>
    <col min="41" max="42" width="18.33203125" style="531" bestFit="1" customWidth="1"/>
    <col min="43" max="44" width="20.109375" style="531" bestFit="1" customWidth="1"/>
    <col min="45" max="45" width="16.21875" style="531" bestFit="1" customWidth="1"/>
    <col min="46" max="47" width="23" style="531" bestFit="1" customWidth="1"/>
    <col min="48" max="48" width="22.44140625" style="531" bestFit="1" customWidth="1"/>
    <col min="49" max="49" width="16.21875" style="531" bestFit="1" customWidth="1"/>
    <col min="50" max="52" width="17.33203125" style="531" bestFit="1" customWidth="1"/>
    <col min="53" max="53" width="16.44140625" style="531" bestFit="1" customWidth="1"/>
    <col min="54" max="54" width="26" style="531" bestFit="1" customWidth="1"/>
    <col min="55" max="56" width="33.6640625" style="531" bestFit="1" customWidth="1"/>
    <col min="57" max="57" width="31.109375" style="531" bestFit="1" customWidth="1"/>
    <col min="58" max="59" width="23.77734375" style="531" bestFit="1" customWidth="1"/>
    <col min="60" max="61" width="28.5546875" style="531" bestFit="1" customWidth="1"/>
    <col min="62" max="63" width="30.109375" style="531" bestFit="1" customWidth="1"/>
    <col min="64" max="64" width="20.5546875" style="531" bestFit="1" customWidth="1"/>
    <col min="65" max="66" width="23.77734375" style="531" bestFit="1" customWidth="1"/>
    <col min="67" max="67" width="15.33203125" style="531" bestFit="1" customWidth="1"/>
    <col min="68" max="69" width="17.6640625" style="531" bestFit="1" customWidth="1"/>
    <col min="70" max="70" width="15.6640625" style="531" bestFit="1" customWidth="1"/>
    <col min="71" max="71" width="15.88671875" style="531" bestFit="1" customWidth="1"/>
    <col min="72" max="73" width="18" style="531" bestFit="1" customWidth="1"/>
    <col min="74" max="75" width="22.109375" style="531" bestFit="1" customWidth="1"/>
    <col min="76" max="77" width="29" style="531" bestFit="1" customWidth="1"/>
    <col min="78" max="79" width="27.5546875" style="531" bestFit="1" customWidth="1"/>
    <col min="80" max="81" width="25.33203125" style="531" bestFit="1" customWidth="1"/>
    <col min="82" max="83" width="27.5546875" style="531" bestFit="1" customWidth="1"/>
    <col min="84" max="84" width="33.6640625" style="531" bestFit="1" customWidth="1"/>
    <col min="85" max="85" width="34.21875" style="531" bestFit="1" customWidth="1"/>
    <col min="86" max="86" width="35" style="531" bestFit="1" customWidth="1"/>
    <col min="87" max="88" width="35.5546875" style="531" bestFit="1" customWidth="1"/>
    <col min="89" max="89" width="27.77734375" style="531" bestFit="1" customWidth="1"/>
    <col min="90" max="91" width="30.88671875" style="531" bestFit="1" customWidth="1"/>
    <col min="92" max="92" width="21.21875" style="531" bestFit="1" customWidth="1"/>
    <col min="93" max="93" width="14.21875" style="531" bestFit="1" customWidth="1"/>
    <col min="94" max="94" width="20.44140625" style="531" bestFit="1" customWidth="1"/>
    <col min="95" max="96" width="24" style="531" bestFit="1" customWidth="1"/>
    <col min="97" max="98" width="28.77734375" style="531" bestFit="1" customWidth="1"/>
    <col min="99" max="100" width="31.33203125" style="531" bestFit="1" customWidth="1"/>
    <col min="101" max="101" width="17.6640625" style="531" bestFit="1" customWidth="1"/>
    <col min="102" max="103" width="19.6640625" style="531" bestFit="1" customWidth="1"/>
    <col min="104" max="104" width="13.33203125" style="531" bestFit="1" customWidth="1"/>
    <col min="105" max="106" width="29.33203125" style="531" bestFit="1" customWidth="1"/>
    <col min="107" max="108" width="16" style="531" bestFit="1" customWidth="1"/>
    <col min="109" max="113" width="13.44140625" style="531" bestFit="1" customWidth="1"/>
    <col min="114" max="117" width="13.33203125" style="531" bestFit="1" customWidth="1"/>
    <col min="118" max="122" width="16.109375" style="531" bestFit="1" customWidth="1"/>
    <col min="123" max="123" width="25.44140625" style="531" bestFit="1" customWidth="1"/>
    <col min="124" max="125" width="25.6640625" style="531" bestFit="1" customWidth="1"/>
    <col min="126" max="126" width="23.6640625" style="531" bestFit="1" customWidth="1"/>
    <col min="127" max="128" width="23.88671875" style="531" bestFit="1" customWidth="1"/>
    <col min="129" max="129" width="18" style="531" bestFit="1" customWidth="1"/>
    <col min="130" max="130" width="8.88671875" style="531" customWidth="1"/>
    <col min="131" max="16384" width="8.88671875" style="531"/>
  </cols>
  <sheetData>
    <row r="1" spans="1:128" ht="13.2" thickBot="1" x14ac:dyDescent="0.25">
      <c r="A1" s="528" t="s">
        <v>1502</v>
      </c>
      <c r="B1" s="529" t="s">
        <v>1503</v>
      </c>
      <c r="C1" s="529" t="s">
        <v>1504</v>
      </c>
      <c r="D1" s="529" t="s">
        <v>1505</v>
      </c>
      <c r="E1" s="529" t="s">
        <v>1506</v>
      </c>
      <c r="F1" s="529" t="s">
        <v>1507</v>
      </c>
      <c r="G1" s="529" t="s">
        <v>1508</v>
      </c>
      <c r="H1" s="529" t="s">
        <v>1509</v>
      </c>
      <c r="I1" s="529" t="s">
        <v>1510</v>
      </c>
      <c r="J1" s="529" t="s">
        <v>1511</v>
      </c>
      <c r="K1" s="529" t="s">
        <v>1512</v>
      </c>
      <c r="L1" s="529" t="s">
        <v>1513</v>
      </c>
      <c r="M1" s="529" t="s">
        <v>1514</v>
      </c>
      <c r="N1" s="529" t="s">
        <v>1515</v>
      </c>
      <c r="O1" s="529" t="s">
        <v>1516</v>
      </c>
      <c r="P1" s="529" t="s">
        <v>1517</v>
      </c>
      <c r="Q1" s="529" t="s">
        <v>1518</v>
      </c>
      <c r="R1" s="529" t="s">
        <v>1519</v>
      </c>
      <c r="S1" s="529" t="s">
        <v>1520</v>
      </c>
      <c r="T1" s="529" t="s">
        <v>1521</v>
      </c>
      <c r="U1" s="529" t="s">
        <v>1522</v>
      </c>
      <c r="V1" s="529" t="s">
        <v>1523</v>
      </c>
      <c r="W1" s="529" t="s">
        <v>1524</v>
      </c>
      <c r="X1" s="529" t="s">
        <v>1525</v>
      </c>
      <c r="Y1" s="529" t="s">
        <v>1526</v>
      </c>
      <c r="Z1" s="529" t="s">
        <v>1527</v>
      </c>
      <c r="AA1" s="529" t="s">
        <v>1528</v>
      </c>
      <c r="AB1" s="529" t="s">
        <v>1529</v>
      </c>
      <c r="AC1" s="529" t="s">
        <v>1530</v>
      </c>
      <c r="AD1" s="529" t="s">
        <v>1531</v>
      </c>
      <c r="AE1" s="529" t="s">
        <v>1725</v>
      </c>
      <c r="AF1" s="529" t="s">
        <v>1533</v>
      </c>
      <c r="AG1" s="529" t="s">
        <v>1534</v>
      </c>
      <c r="AH1" s="529" t="s">
        <v>1535</v>
      </c>
      <c r="AI1" s="529" t="s">
        <v>1536</v>
      </c>
      <c r="AJ1" s="529" t="s">
        <v>1537</v>
      </c>
      <c r="AK1" s="529" t="s">
        <v>1538</v>
      </c>
      <c r="AL1" s="529" t="s">
        <v>1539</v>
      </c>
      <c r="AM1" s="529" t="s">
        <v>1540</v>
      </c>
      <c r="AN1" s="529" t="s">
        <v>1541</v>
      </c>
      <c r="AO1" s="529" t="s">
        <v>1542</v>
      </c>
      <c r="AP1" s="529" t="s">
        <v>1543</v>
      </c>
      <c r="AQ1" s="529" t="s">
        <v>1544</v>
      </c>
      <c r="AR1" s="529" t="s">
        <v>1545</v>
      </c>
      <c r="AS1" s="529" t="s">
        <v>1546</v>
      </c>
      <c r="AT1" s="529" t="s">
        <v>1547</v>
      </c>
      <c r="AU1" s="529" t="s">
        <v>1548</v>
      </c>
      <c r="AV1" s="529" t="s">
        <v>1549</v>
      </c>
      <c r="AW1" s="529" t="s">
        <v>1550</v>
      </c>
      <c r="AX1" s="529" t="s">
        <v>1551</v>
      </c>
      <c r="AY1" s="529" t="s">
        <v>1552</v>
      </c>
      <c r="AZ1" s="529" t="s">
        <v>1553</v>
      </c>
      <c r="BA1" s="529" t="s">
        <v>1554</v>
      </c>
      <c r="BB1" s="529" t="s">
        <v>1555</v>
      </c>
      <c r="BC1" s="529" t="s">
        <v>1556</v>
      </c>
      <c r="BD1" s="529" t="s">
        <v>1557</v>
      </c>
      <c r="BE1" s="529" t="s">
        <v>1558</v>
      </c>
      <c r="BF1" s="529" t="s">
        <v>1559</v>
      </c>
      <c r="BG1" s="529" t="s">
        <v>1560</v>
      </c>
      <c r="BH1" s="529" t="s">
        <v>1561</v>
      </c>
      <c r="BI1" s="529" t="s">
        <v>1562</v>
      </c>
      <c r="BJ1" s="529" t="s">
        <v>1563</v>
      </c>
      <c r="BK1" s="529" t="s">
        <v>1564</v>
      </c>
      <c r="BL1" s="529" t="s">
        <v>1565</v>
      </c>
      <c r="BM1" s="529" t="s">
        <v>1566</v>
      </c>
      <c r="BN1" s="529" t="s">
        <v>1567</v>
      </c>
      <c r="BO1" s="529" t="s">
        <v>1568</v>
      </c>
      <c r="BP1" s="529" t="s">
        <v>1569</v>
      </c>
      <c r="BQ1" s="529" t="s">
        <v>1570</v>
      </c>
      <c r="BR1" s="529" t="s">
        <v>1571</v>
      </c>
      <c r="BS1" s="529" t="s">
        <v>1572</v>
      </c>
      <c r="BT1" s="529" t="s">
        <v>1573</v>
      </c>
      <c r="BU1" s="529" t="s">
        <v>1574</v>
      </c>
      <c r="BV1" s="529" t="s">
        <v>1575</v>
      </c>
      <c r="BW1" s="529" t="s">
        <v>1576</v>
      </c>
      <c r="BX1" s="529" t="s">
        <v>1577</v>
      </c>
      <c r="BY1" s="529" t="s">
        <v>1578</v>
      </c>
      <c r="BZ1" s="529" t="s">
        <v>1579</v>
      </c>
      <c r="CA1" s="529" t="s">
        <v>1580</v>
      </c>
      <c r="CB1" s="529" t="s">
        <v>1581</v>
      </c>
      <c r="CC1" s="529" t="s">
        <v>1582</v>
      </c>
      <c r="CD1" s="529" t="s">
        <v>1583</v>
      </c>
      <c r="CE1" s="529" t="s">
        <v>1584</v>
      </c>
      <c r="CF1" s="529" t="s">
        <v>1585</v>
      </c>
      <c r="CG1" s="529" t="s">
        <v>1586</v>
      </c>
      <c r="CH1" s="529" t="s">
        <v>1587</v>
      </c>
      <c r="CI1" s="529" t="s">
        <v>1588</v>
      </c>
      <c r="CJ1" s="529" t="s">
        <v>1589</v>
      </c>
      <c r="CK1" s="529" t="s">
        <v>1590</v>
      </c>
      <c r="CL1" s="529" t="s">
        <v>1591</v>
      </c>
      <c r="CM1" s="529" t="s">
        <v>1592</v>
      </c>
      <c r="CN1" s="529" t="s">
        <v>1593</v>
      </c>
      <c r="CO1" s="529" t="s">
        <v>1594</v>
      </c>
      <c r="CP1" s="529" t="s">
        <v>1595</v>
      </c>
      <c r="CQ1" s="529" t="s">
        <v>1596</v>
      </c>
      <c r="CR1" s="529" t="s">
        <v>1597</v>
      </c>
      <c r="CS1" s="529" t="s">
        <v>1598</v>
      </c>
      <c r="CT1" s="529" t="s">
        <v>1599</v>
      </c>
      <c r="CU1" s="529" t="s">
        <v>1600</v>
      </c>
      <c r="CV1" s="529" t="s">
        <v>1601</v>
      </c>
      <c r="CW1" s="529" t="s">
        <v>1602</v>
      </c>
      <c r="CX1" s="529" t="s">
        <v>1603</v>
      </c>
      <c r="CY1" s="529" t="s">
        <v>1604</v>
      </c>
      <c r="CZ1" s="529" t="s">
        <v>1605</v>
      </c>
      <c r="DA1" s="529" t="s">
        <v>1606</v>
      </c>
      <c r="DB1" s="529" t="s">
        <v>1607</v>
      </c>
      <c r="DC1" s="529" t="s">
        <v>1608</v>
      </c>
      <c r="DD1" s="529" t="s">
        <v>1609</v>
      </c>
      <c r="DE1" s="529" t="s">
        <v>1610</v>
      </c>
      <c r="DF1" s="529" t="s">
        <v>1611</v>
      </c>
      <c r="DG1" s="529" t="s">
        <v>1612</v>
      </c>
      <c r="DH1" s="529" t="s">
        <v>1613</v>
      </c>
      <c r="DI1" s="529" t="s">
        <v>1614</v>
      </c>
      <c r="DJ1" s="529" t="s">
        <v>1615</v>
      </c>
      <c r="DK1" s="529" t="s">
        <v>1616</v>
      </c>
      <c r="DL1" s="529" t="s">
        <v>1617</v>
      </c>
      <c r="DM1" s="529" t="s">
        <v>1618</v>
      </c>
      <c r="DN1" s="529" t="s">
        <v>1619</v>
      </c>
      <c r="DO1" s="529" t="s">
        <v>1620</v>
      </c>
      <c r="DP1" s="529" t="s">
        <v>1621</v>
      </c>
      <c r="DQ1" s="529" t="s">
        <v>1622</v>
      </c>
      <c r="DR1" s="529" t="s">
        <v>1623</v>
      </c>
      <c r="DS1" s="529" t="s">
        <v>1624</v>
      </c>
      <c r="DT1" s="529" t="s">
        <v>1625</v>
      </c>
      <c r="DU1" s="529" t="s">
        <v>1626</v>
      </c>
      <c r="DV1" s="529" t="s">
        <v>1627</v>
      </c>
      <c r="DW1" s="529" t="s">
        <v>1628</v>
      </c>
      <c r="DX1" s="530" t="s">
        <v>1629</v>
      </c>
    </row>
    <row r="2" spans="1:128" x14ac:dyDescent="0.2">
      <c r="A2" s="531" t="s">
        <v>1630</v>
      </c>
      <c r="B2" s="531" t="s">
        <v>1631</v>
      </c>
      <c r="C2" s="531" t="s">
        <v>415</v>
      </c>
      <c r="D2" s="531" t="s">
        <v>415</v>
      </c>
      <c r="E2" s="531" t="s">
        <v>415</v>
      </c>
      <c r="F2" s="531" t="s">
        <v>415</v>
      </c>
      <c r="G2" s="531" t="s">
        <v>415</v>
      </c>
      <c r="H2" s="531" t="s">
        <v>160</v>
      </c>
      <c r="I2" s="531" t="s">
        <v>415</v>
      </c>
      <c r="J2" s="531" t="s">
        <v>160</v>
      </c>
      <c r="K2" s="531" t="s">
        <v>1632</v>
      </c>
      <c r="L2" s="531" t="s">
        <v>1633</v>
      </c>
      <c r="M2" s="531" t="s">
        <v>1634</v>
      </c>
      <c r="N2" s="531" t="s">
        <v>1635</v>
      </c>
      <c r="O2" s="531" t="s">
        <v>159</v>
      </c>
      <c r="P2" s="531" t="s">
        <v>1881</v>
      </c>
      <c r="Q2" s="531" t="s">
        <v>1636</v>
      </c>
      <c r="R2" s="531" t="s">
        <v>1637</v>
      </c>
      <c r="S2" s="531">
        <v>0</v>
      </c>
      <c r="T2" s="531" t="s">
        <v>159</v>
      </c>
      <c r="U2" s="531" t="s">
        <v>1638</v>
      </c>
      <c r="V2" s="531" t="s">
        <v>1635</v>
      </c>
      <c r="W2" s="531" t="s">
        <v>1639</v>
      </c>
      <c r="X2" s="531" t="s">
        <v>159</v>
      </c>
      <c r="Y2" s="531">
        <v>2</v>
      </c>
      <c r="Z2" s="531" t="s">
        <v>1640</v>
      </c>
      <c r="AA2" s="531" t="s">
        <v>1641</v>
      </c>
      <c r="AB2" s="531" t="s">
        <v>1642</v>
      </c>
      <c r="AC2" s="531" t="s">
        <v>162</v>
      </c>
      <c r="AD2" s="531" t="s">
        <v>1852</v>
      </c>
      <c r="AE2" s="531" t="s">
        <v>1855</v>
      </c>
      <c r="AF2" s="531" t="s">
        <v>1643</v>
      </c>
      <c r="AG2" s="531" t="s">
        <v>1643</v>
      </c>
      <c r="AH2" s="531" t="s">
        <v>1644</v>
      </c>
      <c r="AI2" s="531">
        <v>1</v>
      </c>
      <c r="AJ2" s="531" t="s">
        <v>1643</v>
      </c>
      <c r="AK2" s="531" t="s">
        <v>1870</v>
      </c>
      <c r="AL2" s="531" t="s">
        <v>1860</v>
      </c>
      <c r="AM2" s="531" t="s">
        <v>160</v>
      </c>
      <c r="AN2" s="531" t="s">
        <v>1645</v>
      </c>
      <c r="AO2" s="531" t="s">
        <v>1645</v>
      </c>
      <c r="AP2" s="531" t="s">
        <v>1646</v>
      </c>
      <c r="AQ2" s="531" t="s">
        <v>1641</v>
      </c>
      <c r="AR2" s="531" t="s">
        <v>159</v>
      </c>
      <c r="AS2" s="531" t="s">
        <v>1647</v>
      </c>
      <c r="AT2" s="531" t="s">
        <v>1648</v>
      </c>
      <c r="AU2" s="531" t="s">
        <v>159</v>
      </c>
      <c r="AV2" s="531" t="s">
        <v>1639</v>
      </c>
      <c r="AW2" s="531" t="s">
        <v>1649</v>
      </c>
      <c r="AX2" s="531" t="s">
        <v>1649</v>
      </c>
      <c r="AY2" s="531" t="s">
        <v>160</v>
      </c>
      <c r="AZ2" s="531" t="s">
        <v>160</v>
      </c>
      <c r="BA2" s="531" t="s">
        <v>160</v>
      </c>
      <c r="BB2" s="531" t="s">
        <v>1639</v>
      </c>
      <c r="BC2" s="531" t="s">
        <v>1639</v>
      </c>
      <c r="BD2" s="531" t="s">
        <v>160</v>
      </c>
      <c r="BE2" s="531" t="s">
        <v>160</v>
      </c>
      <c r="BF2" s="531" t="s">
        <v>160</v>
      </c>
      <c r="BG2" s="531" t="s">
        <v>159</v>
      </c>
      <c r="BH2" s="531" t="s">
        <v>159</v>
      </c>
      <c r="BI2" s="531" t="s">
        <v>415</v>
      </c>
      <c r="BJ2" s="531" t="s">
        <v>415</v>
      </c>
      <c r="BK2" s="531" t="s">
        <v>415</v>
      </c>
      <c r="BL2" s="531" t="s">
        <v>415</v>
      </c>
      <c r="BM2" s="531" t="s">
        <v>1875</v>
      </c>
      <c r="BN2" s="531" t="s">
        <v>1650</v>
      </c>
      <c r="BO2" s="531" t="s">
        <v>415</v>
      </c>
      <c r="BS2" s="531">
        <v>0</v>
      </c>
      <c r="BT2" s="531">
        <v>1</v>
      </c>
      <c r="BU2" s="531">
        <v>1</v>
      </c>
      <c r="BV2" s="531">
        <v>0</v>
      </c>
      <c r="CB2" s="531" t="s">
        <v>159</v>
      </c>
      <c r="CC2" s="531" t="s">
        <v>160</v>
      </c>
      <c r="CD2" s="531" t="s">
        <v>159</v>
      </c>
      <c r="CG2" s="531" t="s">
        <v>159</v>
      </c>
      <c r="CH2" s="531" t="s">
        <v>1638</v>
      </c>
      <c r="CI2" s="531" t="s">
        <v>159</v>
      </c>
      <c r="CJ2" s="531" t="s">
        <v>1638</v>
      </c>
      <c r="CK2" s="531" t="s">
        <v>159</v>
      </c>
      <c r="CN2" s="531" t="s">
        <v>159</v>
      </c>
      <c r="CU2" s="531" t="s">
        <v>159</v>
      </c>
      <c r="CX2" s="531" t="s">
        <v>159</v>
      </c>
      <c r="DA2" s="531" t="s">
        <v>160</v>
      </c>
      <c r="DB2" s="531" t="s">
        <v>1631</v>
      </c>
      <c r="DS2" s="531" t="s">
        <v>1885</v>
      </c>
      <c r="DT2" s="531" t="s">
        <v>1849</v>
      </c>
      <c r="DU2" s="531" t="s">
        <v>1850</v>
      </c>
      <c r="DV2" s="531" t="s">
        <v>1885</v>
      </c>
      <c r="DW2" s="531" t="s">
        <v>1849</v>
      </c>
      <c r="DX2" s="531" t="s">
        <v>1850</v>
      </c>
    </row>
    <row r="3" spans="1:128" x14ac:dyDescent="0.2">
      <c r="A3" s="531" t="s">
        <v>1851</v>
      </c>
      <c r="B3" s="531" t="s">
        <v>1631</v>
      </c>
      <c r="C3" s="531" t="s">
        <v>415</v>
      </c>
      <c r="D3" s="531" t="s">
        <v>415</v>
      </c>
      <c r="E3" s="531" t="s">
        <v>415</v>
      </c>
      <c r="F3" s="531" t="s">
        <v>415</v>
      </c>
      <c r="G3" s="531" t="s">
        <v>415</v>
      </c>
      <c r="H3" s="531" t="s">
        <v>1243</v>
      </c>
      <c r="I3" s="531" t="s">
        <v>415</v>
      </c>
      <c r="J3" s="531" t="s">
        <v>1249</v>
      </c>
      <c r="K3" s="531" t="s">
        <v>1632</v>
      </c>
      <c r="L3" s="531" t="s">
        <v>1633</v>
      </c>
      <c r="M3" s="531" t="s">
        <v>1634</v>
      </c>
      <c r="N3" s="531" t="s">
        <v>1635</v>
      </c>
      <c r="O3" s="531" t="s">
        <v>159</v>
      </c>
      <c r="P3" s="531" t="s">
        <v>1882</v>
      </c>
      <c r="Q3" s="531" t="s">
        <v>1636</v>
      </c>
      <c r="R3" s="531" t="s">
        <v>1637</v>
      </c>
      <c r="S3" s="531">
        <v>0</v>
      </c>
      <c r="T3" s="531" t="s">
        <v>159</v>
      </c>
      <c r="U3" s="531" t="s">
        <v>1638</v>
      </c>
      <c r="V3" s="531" t="s">
        <v>1873</v>
      </c>
      <c r="W3" s="531" t="s">
        <v>1639</v>
      </c>
      <c r="X3" s="531" t="s">
        <v>159</v>
      </c>
      <c r="Y3" s="531">
        <v>2</v>
      </c>
      <c r="Z3" s="531" t="s">
        <v>1640</v>
      </c>
      <c r="AA3" s="531" t="s">
        <v>1641</v>
      </c>
      <c r="AB3" s="531" t="s">
        <v>1642</v>
      </c>
      <c r="AC3" s="531" t="s">
        <v>162</v>
      </c>
      <c r="AD3" s="531" t="s">
        <v>1852</v>
      </c>
      <c r="AE3" s="531" t="s">
        <v>1857</v>
      </c>
      <c r="AF3" s="531" t="s">
        <v>1643</v>
      </c>
      <c r="AG3" s="531" t="s">
        <v>1643</v>
      </c>
      <c r="AH3" s="531" t="s">
        <v>1644</v>
      </c>
      <c r="AI3" s="531">
        <v>1</v>
      </c>
      <c r="AJ3" s="531" t="s">
        <v>1643</v>
      </c>
      <c r="AK3" s="531" t="s">
        <v>1867</v>
      </c>
      <c r="AL3" s="531" t="s">
        <v>1861</v>
      </c>
      <c r="AM3" s="531" t="s">
        <v>160</v>
      </c>
      <c r="AN3" s="531" t="s">
        <v>1645</v>
      </c>
      <c r="AO3" s="531" t="s">
        <v>1645</v>
      </c>
      <c r="AP3" s="531" t="s">
        <v>1646</v>
      </c>
      <c r="AQ3" s="531" t="s">
        <v>1864</v>
      </c>
      <c r="AR3" s="531" t="s">
        <v>159</v>
      </c>
      <c r="AS3" s="531" t="s">
        <v>1647</v>
      </c>
      <c r="AT3" s="531" t="s">
        <v>1648</v>
      </c>
      <c r="AU3" s="531" t="s">
        <v>159</v>
      </c>
      <c r="AV3" s="531" t="s">
        <v>1639</v>
      </c>
      <c r="AW3" s="531" t="s">
        <v>1649</v>
      </c>
      <c r="AX3" s="531" t="s">
        <v>1649</v>
      </c>
      <c r="AY3" s="531" t="s">
        <v>160</v>
      </c>
      <c r="AZ3" s="531" t="s">
        <v>160</v>
      </c>
      <c r="BA3" s="531" t="s">
        <v>415</v>
      </c>
      <c r="BB3" s="531" t="s">
        <v>1639</v>
      </c>
      <c r="BC3" s="531" t="s">
        <v>1639</v>
      </c>
      <c r="BD3" s="531" t="s">
        <v>160</v>
      </c>
      <c r="BE3" s="531" t="s">
        <v>160</v>
      </c>
      <c r="BF3" s="531" t="s">
        <v>160</v>
      </c>
      <c r="BG3" s="531" t="s">
        <v>159</v>
      </c>
      <c r="BH3" s="531" t="s">
        <v>159</v>
      </c>
      <c r="BI3" s="531" t="s">
        <v>415</v>
      </c>
      <c r="BJ3" s="531" t="s">
        <v>415</v>
      </c>
      <c r="BK3" s="531" t="s">
        <v>415</v>
      </c>
      <c r="BL3" s="531" t="s">
        <v>415</v>
      </c>
      <c r="BM3" s="531" t="s">
        <v>1876</v>
      </c>
      <c r="BN3" s="531" t="s">
        <v>1650</v>
      </c>
      <c r="BO3" s="531" t="s">
        <v>415</v>
      </c>
      <c r="BS3" s="531">
        <v>0</v>
      </c>
      <c r="BT3" s="531">
        <v>1</v>
      </c>
      <c r="BU3" s="531">
        <v>1</v>
      </c>
      <c r="BV3" s="531">
        <v>0</v>
      </c>
      <c r="CB3" s="531" t="s">
        <v>159</v>
      </c>
      <c r="CC3" s="531" t="s">
        <v>160</v>
      </c>
      <c r="CD3" s="531" t="s">
        <v>159</v>
      </c>
      <c r="CG3" s="531" t="s">
        <v>159</v>
      </c>
      <c r="CH3" s="531" t="s">
        <v>1638</v>
      </c>
      <c r="CI3" s="531" t="s">
        <v>159</v>
      </c>
      <c r="CJ3" s="531" t="s">
        <v>1638</v>
      </c>
      <c r="CK3" s="531" t="s">
        <v>159</v>
      </c>
      <c r="CN3" s="531" t="s">
        <v>159</v>
      </c>
      <c r="CU3" s="531" t="s">
        <v>159</v>
      </c>
      <c r="CX3" s="531" t="s">
        <v>159</v>
      </c>
      <c r="DA3" s="531" t="s">
        <v>160</v>
      </c>
      <c r="DB3" s="531" t="s">
        <v>1631</v>
      </c>
      <c r="DS3" s="531" t="s">
        <v>1886</v>
      </c>
      <c r="DT3" s="531" t="s">
        <v>1849</v>
      </c>
      <c r="DU3" s="531" t="s">
        <v>1850</v>
      </c>
      <c r="DV3" s="531" t="s">
        <v>1886</v>
      </c>
      <c r="DW3" s="531" t="s">
        <v>1849</v>
      </c>
      <c r="DX3" s="531" t="s">
        <v>1850</v>
      </c>
    </row>
    <row r="4" spans="1:128" x14ac:dyDescent="0.2">
      <c r="A4" s="531" t="s">
        <v>1853</v>
      </c>
      <c r="B4" s="531" t="s">
        <v>1631</v>
      </c>
      <c r="C4" s="531" t="s">
        <v>415</v>
      </c>
      <c r="D4" s="531" t="s">
        <v>415</v>
      </c>
      <c r="E4" s="531" t="s">
        <v>415</v>
      </c>
      <c r="F4" s="531" t="s">
        <v>415</v>
      </c>
      <c r="G4" s="531" t="s">
        <v>415</v>
      </c>
      <c r="H4" s="531" t="s">
        <v>162</v>
      </c>
      <c r="I4" s="531" t="s">
        <v>415</v>
      </c>
      <c r="J4" s="531" t="s">
        <v>1877</v>
      </c>
      <c r="K4" s="531" t="s">
        <v>1632</v>
      </c>
      <c r="L4" s="531" t="s">
        <v>1633</v>
      </c>
      <c r="M4" s="531" t="s">
        <v>1634</v>
      </c>
      <c r="N4" s="531" t="s">
        <v>1635</v>
      </c>
      <c r="O4" s="531" t="s">
        <v>159</v>
      </c>
      <c r="P4" s="531" t="s">
        <v>1883</v>
      </c>
      <c r="Q4" s="531" t="s">
        <v>1636</v>
      </c>
      <c r="R4" s="531" t="s">
        <v>1637</v>
      </c>
      <c r="S4" s="531">
        <v>0</v>
      </c>
      <c r="T4" s="531" t="s">
        <v>159</v>
      </c>
      <c r="U4" s="531" t="s">
        <v>1638</v>
      </c>
      <c r="V4" s="531" t="s">
        <v>1634</v>
      </c>
      <c r="W4" s="531" t="s">
        <v>1639</v>
      </c>
      <c r="X4" s="531" t="s">
        <v>159</v>
      </c>
      <c r="Y4" s="531">
        <v>2</v>
      </c>
      <c r="Z4" s="531" t="s">
        <v>1640</v>
      </c>
      <c r="AA4" s="531" t="s">
        <v>1641</v>
      </c>
      <c r="AB4" s="531" t="s">
        <v>1642</v>
      </c>
      <c r="AC4" s="531" t="s">
        <v>162</v>
      </c>
      <c r="AD4" s="531" t="s">
        <v>1852</v>
      </c>
      <c r="AE4" s="531" t="s">
        <v>1858</v>
      </c>
      <c r="AF4" s="531" t="s">
        <v>1643</v>
      </c>
      <c r="AG4" s="531" t="s">
        <v>1643</v>
      </c>
      <c r="AH4" s="531" t="s">
        <v>1644</v>
      </c>
      <c r="AI4" s="531">
        <v>1</v>
      </c>
      <c r="AJ4" s="531" t="s">
        <v>1643</v>
      </c>
      <c r="AK4" s="531" t="s">
        <v>1868</v>
      </c>
      <c r="AL4" s="531" t="s">
        <v>1862</v>
      </c>
      <c r="AM4" s="531" t="s">
        <v>160</v>
      </c>
      <c r="AN4" s="531" t="s">
        <v>1645</v>
      </c>
      <c r="AO4" s="531" t="s">
        <v>1645</v>
      </c>
      <c r="AP4" s="531" t="s">
        <v>1646</v>
      </c>
      <c r="AQ4" s="531" t="s">
        <v>1865</v>
      </c>
      <c r="AR4" s="531" t="s">
        <v>159</v>
      </c>
      <c r="AS4" s="531" t="s">
        <v>1647</v>
      </c>
      <c r="AT4" s="531" t="s">
        <v>1648</v>
      </c>
      <c r="AU4" s="531" t="s">
        <v>159</v>
      </c>
      <c r="AV4" s="531" t="s">
        <v>1639</v>
      </c>
      <c r="AW4" s="531" t="s">
        <v>1649</v>
      </c>
      <c r="AX4" s="531" t="s">
        <v>1649</v>
      </c>
      <c r="AY4" s="531" t="s">
        <v>160</v>
      </c>
      <c r="AZ4" s="531" t="s">
        <v>160</v>
      </c>
      <c r="BA4" s="531" t="s">
        <v>160</v>
      </c>
      <c r="BB4" s="531" t="s">
        <v>1639</v>
      </c>
      <c r="BC4" s="531" t="s">
        <v>1639</v>
      </c>
      <c r="BD4" s="531" t="s">
        <v>160</v>
      </c>
      <c r="BE4" s="531" t="s">
        <v>160</v>
      </c>
      <c r="BF4" s="531" t="s">
        <v>160</v>
      </c>
      <c r="BG4" s="531" t="s">
        <v>159</v>
      </c>
      <c r="BH4" s="531" t="s">
        <v>159</v>
      </c>
      <c r="BI4" s="531" t="s">
        <v>415</v>
      </c>
      <c r="BJ4" s="531" t="s">
        <v>415</v>
      </c>
      <c r="BK4" s="531" t="s">
        <v>415</v>
      </c>
      <c r="BL4" s="531" t="s">
        <v>415</v>
      </c>
      <c r="BM4" s="531" t="s">
        <v>1878</v>
      </c>
      <c r="BN4" s="531" t="s">
        <v>1650</v>
      </c>
      <c r="BO4" s="531" t="s">
        <v>415</v>
      </c>
      <c r="BS4" s="531">
        <v>0</v>
      </c>
      <c r="BT4" s="531">
        <v>1</v>
      </c>
      <c r="BU4" s="531">
        <v>1</v>
      </c>
      <c r="BV4" s="531">
        <v>0</v>
      </c>
      <c r="CB4" s="531" t="s">
        <v>159</v>
      </c>
      <c r="CC4" s="531" t="s">
        <v>160</v>
      </c>
      <c r="CD4" s="531" t="s">
        <v>159</v>
      </c>
      <c r="CG4" s="531" t="s">
        <v>159</v>
      </c>
      <c r="CH4" s="531" t="s">
        <v>1638</v>
      </c>
      <c r="CI4" s="531" t="s">
        <v>159</v>
      </c>
      <c r="CJ4" s="531" t="s">
        <v>1638</v>
      </c>
      <c r="CK4" s="531" t="s">
        <v>159</v>
      </c>
      <c r="CN4" s="531" t="s">
        <v>159</v>
      </c>
      <c r="CU4" s="531" t="s">
        <v>159</v>
      </c>
      <c r="CX4" s="531" t="s">
        <v>159</v>
      </c>
      <c r="DA4" s="531" t="s">
        <v>160</v>
      </c>
      <c r="DB4" s="531" t="s">
        <v>1631</v>
      </c>
      <c r="DS4" s="531" t="s">
        <v>1887</v>
      </c>
      <c r="DT4" s="531" t="s">
        <v>1849</v>
      </c>
      <c r="DU4" s="531" t="s">
        <v>1850</v>
      </c>
      <c r="DV4" s="531" t="s">
        <v>1887</v>
      </c>
      <c r="DW4" s="531" t="s">
        <v>1849</v>
      </c>
      <c r="DX4" s="531" t="s">
        <v>1850</v>
      </c>
    </row>
    <row r="5" spans="1:128" x14ac:dyDescent="0.2">
      <c r="A5" s="531" t="s">
        <v>1856</v>
      </c>
      <c r="B5" s="531" t="s">
        <v>1631</v>
      </c>
      <c r="C5" s="531" t="s">
        <v>415</v>
      </c>
      <c r="D5" s="531" t="s">
        <v>415</v>
      </c>
      <c r="E5" s="531" t="s">
        <v>415</v>
      </c>
      <c r="F5" s="531" t="s">
        <v>415</v>
      </c>
      <c r="G5" s="531" t="s">
        <v>415</v>
      </c>
      <c r="H5" s="531" t="s">
        <v>1861</v>
      </c>
      <c r="I5" s="531" t="s">
        <v>415</v>
      </c>
      <c r="J5" s="531" t="s">
        <v>1879</v>
      </c>
      <c r="K5" s="531" t="s">
        <v>1632</v>
      </c>
      <c r="L5" s="531" t="s">
        <v>1633</v>
      </c>
      <c r="M5" s="531" t="s">
        <v>1634</v>
      </c>
      <c r="N5" s="531" t="s">
        <v>1635</v>
      </c>
      <c r="O5" s="531" t="s">
        <v>159</v>
      </c>
      <c r="P5" s="531" t="s">
        <v>1884</v>
      </c>
      <c r="Q5" s="531" t="s">
        <v>1636</v>
      </c>
      <c r="R5" s="531" t="s">
        <v>1637</v>
      </c>
      <c r="S5" s="531">
        <v>0</v>
      </c>
      <c r="T5" s="531" t="s">
        <v>159</v>
      </c>
      <c r="U5" s="531" t="s">
        <v>1638</v>
      </c>
      <c r="V5" s="531" t="s">
        <v>1874</v>
      </c>
      <c r="W5" s="531" t="s">
        <v>1639</v>
      </c>
      <c r="X5" s="531" t="s">
        <v>159</v>
      </c>
      <c r="Y5" s="531">
        <v>2</v>
      </c>
      <c r="Z5" s="531" t="s">
        <v>1640</v>
      </c>
      <c r="AA5" s="531" t="s">
        <v>1641</v>
      </c>
      <c r="AB5" s="531" t="s">
        <v>1642</v>
      </c>
      <c r="AC5" s="531" t="s">
        <v>162</v>
      </c>
      <c r="AD5" s="531" t="s">
        <v>1852</v>
      </c>
      <c r="AE5" s="531" t="s">
        <v>1859</v>
      </c>
      <c r="AF5" s="531" t="s">
        <v>1643</v>
      </c>
      <c r="AG5" s="531" t="s">
        <v>1643</v>
      </c>
      <c r="AH5" s="531" t="s">
        <v>1644</v>
      </c>
      <c r="AI5" s="531">
        <v>1</v>
      </c>
      <c r="AJ5" s="531" t="s">
        <v>1643</v>
      </c>
      <c r="AK5" s="531" t="s">
        <v>1869</v>
      </c>
      <c r="AL5" s="531" t="s">
        <v>1863</v>
      </c>
      <c r="AM5" s="531" t="s">
        <v>160</v>
      </c>
      <c r="AN5" s="531" t="s">
        <v>1645</v>
      </c>
      <c r="AO5" s="531" t="s">
        <v>1645</v>
      </c>
      <c r="AP5" s="531" t="s">
        <v>1646</v>
      </c>
      <c r="AQ5" s="531" t="s">
        <v>1866</v>
      </c>
      <c r="AR5" s="531" t="s">
        <v>159</v>
      </c>
      <c r="AS5" s="531" t="s">
        <v>1647</v>
      </c>
      <c r="AT5" s="531" t="s">
        <v>1648</v>
      </c>
      <c r="AU5" s="531" t="s">
        <v>159</v>
      </c>
      <c r="AV5" s="531" t="s">
        <v>1639</v>
      </c>
      <c r="AW5" s="531" t="s">
        <v>1649</v>
      </c>
      <c r="AX5" s="531" t="s">
        <v>1649</v>
      </c>
      <c r="AY5" s="531" t="s">
        <v>160</v>
      </c>
      <c r="AZ5" s="531" t="s">
        <v>160</v>
      </c>
      <c r="BA5" s="531" t="s">
        <v>415</v>
      </c>
      <c r="BB5" s="531" t="s">
        <v>1639</v>
      </c>
      <c r="BC5" s="531" t="s">
        <v>1639</v>
      </c>
      <c r="BD5" s="531" t="s">
        <v>160</v>
      </c>
      <c r="BE5" s="531" t="s">
        <v>160</v>
      </c>
      <c r="BF5" s="531" t="s">
        <v>160</v>
      </c>
      <c r="BG5" s="531" t="s">
        <v>159</v>
      </c>
      <c r="BH5" s="531" t="s">
        <v>159</v>
      </c>
      <c r="BI5" s="531" t="s">
        <v>415</v>
      </c>
      <c r="BJ5" s="531" t="s">
        <v>415</v>
      </c>
      <c r="BK5" s="531" t="s">
        <v>415</v>
      </c>
      <c r="BL5" s="531" t="s">
        <v>415</v>
      </c>
      <c r="BM5" s="531" t="s">
        <v>1880</v>
      </c>
      <c r="BN5" s="531" t="s">
        <v>1650</v>
      </c>
      <c r="BO5" s="531" t="s">
        <v>415</v>
      </c>
      <c r="BS5" s="531">
        <v>0</v>
      </c>
      <c r="BT5" s="531">
        <v>1</v>
      </c>
      <c r="BU5" s="531">
        <v>1</v>
      </c>
      <c r="BV5" s="531">
        <v>0</v>
      </c>
      <c r="CB5" s="531" t="s">
        <v>159</v>
      </c>
      <c r="CC5" s="531" t="s">
        <v>160</v>
      </c>
      <c r="CD5" s="531" t="s">
        <v>159</v>
      </c>
      <c r="CG5" s="531" t="s">
        <v>159</v>
      </c>
      <c r="CH5" s="531" t="s">
        <v>1638</v>
      </c>
      <c r="CI5" s="531" t="s">
        <v>159</v>
      </c>
      <c r="CJ5" s="531" t="s">
        <v>1638</v>
      </c>
      <c r="CK5" s="531" t="s">
        <v>159</v>
      </c>
      <c r="CN5" s="531" t="s">
        <v>159</v>
      </c>
      <c r="CU5" s="531" t="s">
        <v>159</v>
      </c>
      <c r="CX5" s="531" t="s">
        <v>159</v>
      </c>
      <c r="DA5" s="531" t="s">
        <v>160</v>
      </c>
      <c r="DB5" s="531" t="s">
        <v>1631</v>
      </c>
      <c r="DS5" s="531" t="s">
        <v>1888</v>
      </c>
      <c r="DT5" s="531" t="s">
        <v>1849</v>
      </c>
      <c r="DU5" s="531" t="s">
        <v>1850</v>
      </c>
      <c r="DV5" s="531" t="s">
        <v>1888</v>
      </c>
      <c r="DW5" s="531" t="s">
        <v>1849</v>
      </c>
      <c r="DX5" s="531" t="s">
        <v>1850</v>
      </c>
    </row>
  </sheetData>
  <phoneticPr fontId="3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S38"/>
  <sheetViews>
    <sheetView zoomScale="80" zoomScaleNormal="80" zoomScaleSheetLayoutView="100" workbookViewId="0">
      <selection activeCell="I10" sqref="I10"/>
    </sheetView>
  </sheetViews>
  <sheetFormatPr defaultColWidth="9" defaultRowHeight="10.8" x14ac:dyDescent="0.2"/>
  <cols>
    <col min="1" max="1" width="8" style="3" customWidth="1"/>
    <col min="2" max="2" width="29.88671875" style="3" customWidth="1"/>
    <col min="3" max="3" width="3.88671875" style="3" customWidth="1"/>
    <col min="4" max="9" width="12.6640625" style="3" customWidth="1"/>
    <col min="10" max="10" width="5.77734375" style="3" customWidth="1"/>
    <col min="11" max="11" width="12.6640625" style="3" customWidth="1"/>
    <col min="12" max="12" width="6.44140625" style="3" customWidth="1"/>
    <col min="13" max="13" width="2.6640625" style="3" customWidth="1"/>
    <col min="14" max="16" width="9" style="3"/>
    <col min="17" max="17" width="26.109375" style="3" bestFit="1" customWidth="1"/>
    <col min="18" max="18" width="9" style="3"/>
    <col min="19" max="19" width="21.88671875" style="3" bestFit="1" customWidth="1"/>
    <col min="20" max="16384" width="9" style="3"/>
  </cols>
  <sheetData>
    <row r="1" spans="1:19" ht="30" customHeight="1" thickBot="1" x14ac:dyDescent="0.25">
      <c r="A1" s="259" t="s">
        <v>494</v>
      </c>
      <c r="D1" s="3" t="s">
        <v>666</v>
      </c>
      <c r="G1" s="257" t="s">
        <v>124</v>
      </c>
      <c r="H1" s="258" t="s">
        <v>264</v>
      </c>
      <c r="I1" s="258" t="s">
        <v>265</v>
      </c>
      <c r="J1" s="639" t="s">
        <v>266</v>
      </c>
      <c r="K1" s="639"/>
    </row>
    <row r="2" spans="1:19" s="2" customFormat="1" ht="39.9" customHeight="1" thickBot="1" x14ac:dyDescent="0.25">
      <c r="A2" s="13" t="s">
        <v>8</v>
      </c>
      <c r="D2" s="641"/>
      <c r="E2" s="642"/>
      <c r="F2" s="643"/>
      <c r="G2" s="171" t="str">
        <f>IF('①商品マスタ 申請入力用'!D2="","",'①商品マスタ 申請入力用'!D2)</f>
        <v/>
      </c>
      <c r="H2" s="160" t="e">
        <f ca="1">'①商品マスタ 申請入力用'!I2&amp;""</f>
        <v>#NAME?</v>
      </c>
      <c r="I2" s="172"/>
      <c r="J2" s="640"/>
      <c r="K2" s="640"/>
      <c r="L2" s="6"/>
      <c r="N2" s="13" t="s">
        <v>1413</v>
      </c>
    </row>
    <row r="3" spans="1:19" s="2" customFormat="1" ht="30" customHeight="1" x14ac:dyDescent="0.2">
      <c r="A3" s="13"/>
      <c r="D3" s="644" t="s">
        <v>259</v>
      </c>
      <c r="E3" s="645"/>
      <c r="F3" s="645"/>
      <c r="G3" s="646" t="s">
        <v>260</v>
      </c>
      <c r="H3" s="647"/>
      <c r="I3" s="647"/>
      <c r="J3" s="647"/>
      <c r="K3" s="648"/>
      <c r="L3" s="6"/>
    </row>
    <row r="4" spans="1:19" s="10" customFormat="1" ht="30" customHeight="1" x14ac:dyDescent="0.2">
      <c r="A4" s="649" t="s">
        <v>174</v>
      </c>
      <c r="B4" s="632" t="s">
        <v>79</v>
      </c>
      <c r="C4" s="632" t="s">
        <v>106</v>
      </c>
      <c r="D4" s="260" t="s">
        <v>400</v>
      </c>
      <c r="E4" s="260" t="s">
        <v>400</v>
      </c>
      <c r="F4" s="261" t="s">
        <v>108</v>
      </c>
      <c r="G4" s="262" t="s">
        <v>104</v>
      </c>
      <c r="H4" s="263" t="s">
        <v>104</v>
      </c>
      <c r="I4" s="263" t="s">
        <v>104</v>
      </c>
      <c r="J4" s="652" t="s">
        <v>399</v>
      </c>
      <c r="K4" s="264" t="s">
        <v>401</v>
      </c>
      <c r="L4" s="265" t="s">
        <v>401</v>
      </c>
    </row>
    <row r="5" spans="1:19" s="10" customFormat="1" ht="30" customHeight="1" x14ac:dyDescent="0.2">
      <c r="A5" s="650"/>
      <c r="B5" s="654"/>
      <c r="C5" s="633"/>
      <c r="D5" s="266" t="s">
        <v>107</v>
      </c>
      <c r="E5" s="266" t="s">
        <v>99</v>
      </c>
      <c r="F5" s="267" t="s">
        <v>109</v>
      </c>
      <c r="G5" s="268" t="s">
        <v>111</v>
      </c>
      <c r="H5" s="266" t="s">
        <v>110</v>
      </c>
      <c r="I5" s="266" t="s">
        <v>112</v>
      </c>
      <c r="J5" s="633"/>
      <c r="K5" s="269" t="s">
        <v>113</v>
      </c>
      <c r="L5" s="269" t="s">
        <v>379</v>
      </c>
    </row>
    <row r="6" spans="1:19" ht="30" customHeight="1" thickBot="1" x14ac:dyDescent="0.25">
      <c r="A6" s="634"/>
      <c r="B6" s="653" t="str">
        <f>IF(ISERROR(VLOOKUP($A6,リンク用シート!$A:$F,リンク用シート!C$2,0)),"",VLOOKUP($A6,リンク用シート!$A:$F,リンク用シート!C$2,0))</f>
        <v/>
      </c>
      <c r="C6" s="651" t="str">
        <f>IF(ISERROR(VLOOKUP($A6,リンク用シート!$A:$G,リンク用シート!G$2,0)),"",VLOOKUP($A6,リンク用シート!$A:$G,リンク用シート!G$2,0))</f>
        <v/>
      </c>
      <c r="D6" s="242" t="s">
        <v>1406</v>
      </c>
      <c r="E6" s="243"/>
      <c r="F6" s="244" t="e">
        <f>F7*C6</f>
        <v>#VALUE!</v>
      </c>
      <c r="G6" s="245"/>
      <c r="H6" s="243"/>
      <c r="I6" s="243"/>
      <c r="J6" s="655"/>
      <c r="K6" s="242"/>
      <c r="L6" s="242"/>
      <c r="N6" s="292" t="s">
        <v>671</v>
      </c>
      <c r="O6" s="270" t="e">
        <f ca="1">[2]!仕入先単価CS(A6,D6,E6)</f>
        <v>#NAME?</v>
      </c>
      <c r="P6" s="270"/>
      <c r="Q6" s="270"/>
      <c r="R6" s="270"/>
      <c r="S6" s="270"/>
    </row>
    <row r="7" spans="1:19" ht="30" customHeight="1" thickBot="1" x14ac:dyDescent="0.25">
      <c r="A7" s="635"/>
      <c r="B7" s="653"/>
      <c r="C7" s="651"/>
      <c r="D7" s="246" t="str">
        <f>IF(ISERROR(VLOOKUP($D6,MT商品ﾏｽﾀ参照シート!$Q:$R,2,0)),"",VLOOKUP($D6,MT商品ﾏｽﾀ参照シート!$Q:$R,2,0))</f>
        <v>共通部署</v>
      </c>
      <c r="E7" s="247"/>
      <c r="F7" s="244"/>
      <c r="G7" s="248" t="str">
        <f>IF(ISERROR(VLOOKUP($G6,MT商品ﾏｽﾀ参照シート!$S:$T,2,0)),"",VLOOKUP($G6,MT商品ﾏｽﾀ参照シート!$S:$T,2,0))</f>
        <v/>
      </c>
      <c r="H7" s="247"/>
      <c r="I7" s="247"/>
      <c r="J7" s="631"/>
      <c r="K7" s="249" t="str">
        <f>IF(ISERROR(VLOOKUP(K6,MT商品ﾏｽﾀ参照シート!U:V,2,0)),"",VLOOKUP(K6,MT商品ﾏｽﾀ参照シート!U:V,2,0))</f>
        <v/>
      </c>
      <c r="L7" s="249" t="str">
        <f>IF(ISERROR(VLOOKUP(L6,MT商品ﾏｽﾀ参照シート!W:X,2,0)),"",VLOOKUP(L6,MT商品ﾏｽﾀ参照シート!W:X,2,0))</f>
        <v/>
      </c>
      <c r="N7" s="292" t="s">
        <v>670</v>
      </c>
      <c r="O7" s="270" t="e">
        <f ca="1">[2]!仕入先単価BT(A6,D6,E6)</f>
        <v>#NAME?</v>
      </c>
      <c r="P7" s="270" t="s">
        <v>110</v>
      </c>
      <c r="Q7" s="270" t="e">
        <f ca="1">[2]!M帳合先_現在(A6,G6)</f>
        <v>#NAME?</v>
      </c>
      <c r="R7" s="270" t="s">
        <v>672</v>
      </c>
      <c r="S7" s="270" t="e">
        <f ca="1">[2]!M発注先_現在(A6,G6)</f>
        <v>#NAME?</v>
      </c>
    </row>
    <row r="8" spans="1:19" ht="30" customHeight="1" thickBot="1" x14ac:dyDescent="0.25">
      <c r="A8" s="634"/>
      <c r="B8" s="636" t="str">
        <f>IF(ISERROR(VLOOKUP($A8,リンク用シート!$A:$F,リンク用シート!C$2,0)),"",VLOOKUP($A8,リンク用シート!$A:$F,リンク用シート!C$2,0))</f>
        <v/>
      </c>
      <c r="C8" s="637" t="str">
        <f>IF(ISERROR(VLOOKUP($A8,リンク用シート!$A:$G,リンク用シート!G$2,0)),"",VLOOKUP($A8,リンク用シート!$A:$G,リンク用シート!G$2,0))</f>
        <v/>
      </c>
      <c r="D8" s="250"/>
      <c r="E8" s="243"/>
      <c r="F8" s="244" t="e">
        <f>F9*C8</f>
        <v>#VALUE!</v>
      </c>
      <c r="G8" s="251"/>
      <c r="H8" s="252"/>
      <c r="I8" s="247"/>
      <c r="J8" s="631"/>
      <c r="K8" s="250"/>
      <c r="L8" s="250"/>
      <c r="N8" s="292" t="s">
        <v>671</v>
      </c>
      <c r="O8" s="270" t="e">
        <f ca="1">[2]!仕入先単価CS(A8,D8,E8)</f>
        <v>#NAME?</v>
      </c>
      <c r="P8" s="270"/>
      <c r="Q8" s="270"/>
      <c r="R8" s="270"/>
      <c r="S8" s="270"/>
    </row>
    <row r="9" spans="1:19" ht="30" customHeight="1" thickBot="1" x14ac:dyDescent="0.25">
      <c r="A9" s="635"/>
      <c r="B9" s="636"/>
      <c r="C9" s="638"/>
      <c r="D9" s="246" t="str">
        <f>IF(ISERROR(VLOOKUP($D8,MT商品ﾏｽﾀ参照シート!$Q:$R,2,0)),"",VLOOKUP($D8,MT商品ﾏｽﾀ参照シート!$Q:$R,2,0))</f>
        <v/>
      </c>
      <c r="E9" s="247"/>
      <c r="F9" s="244"/>
      <c r="G9" s="248" t="str">
        <f>IF(ISERROR(VLOOKUP($G8,MT商品ﾏｽﾀ参照シート!$S:$T,2,0)),"",VLOOKUP($G8,MT商品ﾏｽﾀ参照シート!$S:$T,2,0))</f>
        <v/>
      </c>
      <c r="H9" s="247"/>
      <c r="I9" s="247"/>
      <c r="J9" s="631"/>
      <c r="K9" s="249" t="str">
        <f>IF(ISERROR(VLOOKUP(K8,MT商品ﾏｽﾀ参照シート!U:V,2,0)),"",VLOOKUP(K8,MT商品ﾏｽﾀ参照シート!U:V,2,0))</f>
        <v/>
      </c>
      <c r="L9" s="249" t="str">
        <f>IF(ISERROR(VLOOKUP(L8,MT商品ﾏｽﾀ参照シート!W:X,2,0)),"",VLOOKUP(L8,MT商品ﾏｽﾀ参照シート!W:X,2,0))</f>
        <v/>
      </c>
      <c r="N9" s="292" t="s">
        <v>670</v>
      </c>
      <c r="O9" s="270" t="e">
        <f ca="1">[2]!仕入先単価BT(A8,D8,E8)</f>
        <v>#NAME?</v>
      </c>
      <c r="P9" s="270" t="s">
        <v>110</v>
      </c>
      <c r="Q9" s="270" t="e">
        <f ca="1">[2]!M帳合先_現在(A8,G8)</f>
        <v>#NAME?</v>
      </c>
      <c r="R9" s="270" t="s">
        <v>672</v>
      </c>
      <c r="S9" s="270" t="e">
        <f ca="1">[2]!M発注先_現在(A8,G8)</f>
        <v>#NAME?</v>
      </c>
    </row>
    <row r="10" spans="1:19" ht="30" customHeight="1" thickBot="1" x14ac:dyDescent="0.25">
      <c r="A10" s="634"/>
      <c r="B10" s="636" t="str">
        <f>IF(ISERROR(VLOOKUP($A10,リンク用シート!$A:$F,リンク用シート!C$2,0)),"",VLOOKUP($A10,リンク用シート!$A:$F,リンク用シート!C$2,0))</f>
        <v/>
      </c>
      <c r="C10" s="637" t="str">
        <f>IF(ISERROR(VLOOKUP($A10,リンク用シート!$A:$G,リンク用シート!G$2,0)),"",VLOOKUP($A10,リンク用シート!$A:$G,リンク用シート!G$2,0))</f>
        <v/>
      </c>
      <c r="D10" s="250"/>
      <c r="E10" s="243"/>
      <c r="F10" s="244" t="e">
        <f>F11*C10</f>
        <v>#VALUE!</v>
      </c>
      <c r="G10" s="251"/>
      <c r="H10" s="252"/>
      <c r="I10" s="247"/>
      <c r="J10" s="631"/>
      <c r="K10" s="250"/>
      <c r="L10" s="250"/>
      <c r="N10" s="292" t="s">
        <v>671</v>
      </c>
      <c r="O10" s="270" t="e">
        <f ca="1">[2]!仕入先単価CS(A10,D10,E10)</f>
        <v>#NAME?</v>
      </c>
      <c r="P10" s="270"/>
      <c r="Q10" s="270"/>
      <c r="R10" s="270"/>
      <c r="S10" s="270"/>
    </row>
    <row r="11" spans="1:19" ht="30" customHeight="1" thickBot="1" x14ac:dyDescent="0.25">
      <c r="A11" s="635"/>
      <c r="B11" s="636"/>
      <c r="C11" s="638"/>
      <c r="D11" s="246" t="str">
        <f>IF(ISERROR(VLOOKUP($D10,MT商品ﾏｽﾀ参照シート!$Q:$R,2,0)),"",VLOOKUP($D10,MT商品ﾏｽﾀ参照シート!$Q:$R,2,0))</f>
        <v/>
      </c>
      <c r="E11" s="247"/>
      <c r="F11" s="244"/>
      <c r="G11" s="248" t="str">
        <f>IF(ISERROR(VLOOKUP($G10,MT商品ﾏｽﾀ参照シート!$S:$T,2,0)),"",VLOOKUP($G10,MT商品ﾏｽﾀ参照シート!$S:$T,2,0))</f>
        <v/>
      </c>
      <c r="H11" s="247"/>
      <c r="I11" s="247"/>
      <c r="J11" s="631"/>
      <c r="K11" s="253" t="str">
        <f>IF(ISERROR(VLOOKUP(K10,MT商品ﾏｽﾀ参照シート!U:V,2,0)),"",VLOOKUP(K10,MT商品ﾏｽﾀ参照シート!U:V,2,0))</f>
        <v/>
      </c>
      <c r="L11" s="254" t="str">
        <f>IF(ISERROR(VLOOKUP(L10,MT商品ﾏｽﾀ参照シート!W:X,2,0)),"",VLOOKUP(L10,MT商品ﾏｽﾀ参照シート!W:X,2,0))</f>
        <v/>
      </c>
      <c r="N11" s="292" t="s">
        <v>670</v>
      </c>
      <c r="O11" s="270" t="e">
        <f ca="1">[2]!仕入先単価BT(A10,D10,E10)</f>
        <v>#NAME?</v>
      </c>
      <c r="P11" s="270" t="s">
        <v>110</v>
      </c>
      <c r="Q11" s="270" t="e">
        <f ca="1">[2]!M帳合先_現在(A10,G10)</f>
        <v>#NAME?</v>
      </c>
      <c r="R11" s="270" t="s">
        <v>672</v>
      </c>
      <c r="S11" s="270" t="e">
        <f ca="1">[2]!M発注先_現在(A10,G10)</f>
        <v>#NAME?</v>
      </c>
    </row>
    <row r="12" spans="1:19" ht="30" customHeight="1" thickBot="1" x14ac:dyDescent="0.25">
      <c r="A12" s="634"/>
      <c r="B12" s="636" t="str">
        <f>IF(ISERROR(VLOOKUP($A12,リンク用シート!$A:$F,リンク用シート!C$2,0)),"",VLOOKUP($A12,リンク用シート!$A:$F,リンク用シート!C$2,0))</f>
        <v/>
      </c>
      <c r="C12" s="637" t="str">
        <f>IF(ISERROR(VLOOKUP($A12,リンク用シート!$A:$G,リンク用シート!G$2,0)),"",VLOOKUP($A12,リンク用シート!$A:$G,リンク用シート!G$2,0))</f>
        <v/>
      </c>
      <c r="D12" s="250"/>
      <c r="E12" s="243"/>
      <c r="F12" s="244" t="e">
        <f>F13*C12</f>
        <v>#VALUE!</v>
      </c>
      <c r="G12" s="251"/>
      <c r="H12" s="252"/>
      <c r="I12" s="252"/>
      <c r="J12" s="631"/>
      <c r="K12" s="250"/>
      <c r="L12" s="242"/>
      <c r="N12" s="292" t="s">
        <v>671</v>
      </c>
      <c r="O12" s="270" t="e">
        <f ca="1">[2]!仕入先単価CS(A12,D12,E12)</f>
        <v>#NAME?</v>
      </c>
      <c r="P12" s="270"/>
      <c r="Q12" s="270"/>
      <c r="R12" s="270"/>
      <c r="S12" s="270"/>
    </row>
    <row r="13" spans="1:19" ht="30" customHeight="1" thickBot="1" x14ac:dyDescent="0.25">
      <c r="A13" s="635"/>
      <c r="B13" s="636"/>
      <c r="C13" s="638"/>
      <c r="D13" s="246" t="str">
        <f>IF(ISERROR(VLOOKUP($D12,MT商品ﾏｽﾀ参照シート!$Q:$R,2,0)),"",VLOOKUP($D12,MT商品ﾏｽﾀ参照シート!$Q:$R,2,0))</f>
        <v/>
      </c>
      <c r="E13" s="247"/>
      <c r="F13" s="244"/>
      <c r="G13" s="248" t="str">
        <f>IF(ISERROR(VLOOKUP($G12,MT商品ﾏｽﾀ参照シート!$S:$T,2,0)),"",VLOOKUP($G12,MT商品ﾏｽﾀ参照シート!$S:$T,2,0))</f>
        <v/>
      </c>
      <c r="H13" s="247"/>
      <c r="I13" s="247"/>
      <c r="J13" s="631"/>
      <c r="K13" s="249" t="str">
        <f>IF(ISERROR(VLOOKUP(K12,MT商品ﾏｽﾀ参照シート!U:V,2,0)),"",VLOOKUP(K12,MT商品ﾏｽﾀ参照シート!U:V,2,0))</f>
        <v/>
      </c>
      <c r="L13" s="249" t="str">
        <f>IF(ISERROR(VLOOKUP(L12,MT商品ﾏｽﾀ参照シート!W:X,2,0)),"",VLOOKUP(L12,MT商品ﾏｽﾀ参照シート!W:X,2,0))</f>
        <v/>
      </c>
      <c r="N13" s="292" t="s">
        <v>670</v>
      </c>
      <c r="O13" s="270" t="e">
        <f ca="1">[2]!仕入先単価BT(A12,D12,E12)</f>
        <v>#NAME?</v>
      </c>
      <c r="P13" s="270" t="s">
        <v>110</v>
      </c>
      <c r="Q13" s="270" t="e">
        <f ca="1">[2]!M帳合先_現在(A12,G12)</f>
        <v>#NAME?</v>
      </c>
      <c r="R13" s="270" t="s">
        <v>672</v>
      </c>
      <c r="S13" s="270" t="e">
        <f ca="1">[2]!M発注先_現在(A12,G12)</f>
        <v>#NAME?</v>
      </c>
    </row>
    <row r="14" spans="1:19" ht="30" customHeight="1" thickBot="1" x14ac:dyDescent="0.25">
      <c r="A14" s="634"/>
      <c r="B14" s="636" t="str">
        <f>IF(ISERROR(VLOOKUP($A14,リンク用シート!$A:$F,リンク用シート!C$2,0)),"",VLOOKUP($A14,リンク用シート!$A:$F,リンク用シート!C$2,0))</f>
        <v/>
      </c>
      <c r="C14" s="637" t="str">
        <f>IF(ISERROR(VLOOKUP($A14,リンク用シート!$A:$G,リンク用シート!G$2,0)),"",VLOOKUP($A14,リンク用シート!$A:$G,リンク用シート!G$2,0))</f>
        <v/>
      </c>
      <c r="D14" s="250"/>
      <c r="E14" s="243"/>
      <c r="F14" s="244" t="e">
        <f>F15*C14</f>
        <v>#VALUE!</v>
      </c>
      <c r="G14" s="251"/>
      <c r="H14" s="252"/>
      <c r="I14" s="252"/>
      <c r="J14" s="631"/>
      <c r="K14" s="250"/>
      <c r="L14" s="250"/>
      <c r="N14" s="292" t="s">
        <v>671</v>
      </c>
      <c r="O14" s="270" t="e">
        <f ca="1">[2]!仕入先単価CS(A14,D14,E14)</f>
        <v>#NAME?</v>
      </c>
      <c r="P14" s="270"/>
      <c r="Q14" s="270"/>
      <c r="R14" s="270"/>
      <c r="S14" s="270"/>
    </row>
    <row r="15" spans="1:19" ht="30" customHeight="1" thickBot="1" x14ac:dyDescent="0.25">
      <c r="A15" s="635"/>
      <c r="B15" s="636"/>
      <c r="C15" s="638"/>
      <c r="D15" s="246" t="str">
        <f>IF(ISERROR(VLOOKUP($D14,MT商品ﾏｽﾀ参照シート!$Q:$R,2,0)),"",VLOOKUP($D14,MT商品ﾏｽﾀ参照シート!$Q:$R,2,0))</f>
        <v/>
      </c>
      <c r="E15" s="247"/>
      <c r="F15" s="244"/>
      <c r="G15" s="248" t="str">
        <f>IF(ISERROR(VLOOKUP($G14,MT商品ﾏｽﾀ参照シート!$S:$T,2,0)),"",VLOOKUP($G14,MT商品ﾏｽﾀ参照シート!$S:$T,2,0))</f>
        <v/>
      </c>
      <c r="H15" s="247"/>
      <c r="I15" s="247"/>
      <c r="J15" s="631"/>
      <c r="K15" s="249" t="str">
        <f>IF(ISERROR(VLOOKUP(K14,MT商品ﾏｽﾀ参照シート!U:V,2,0)),"",VLOOKUP(K14,MT商品ﾏｽﾀ参照シート!U:V,2,0))</f>
        <v/>
      </c>
      <c r="L15" s="249" t="str">
        <f>IF(ISERROR(VLOOKUP(L14,MT商品ﾏｽﾀ参照シート!W:X,2,0)),"",VLOOKUP(L14,MT商品ﾏｽﾀ参照シート!W:X,2,0))</f>
        <v/>
      </c>
      <c r="N15" s="292" t="s">
        <v>670</v>
      </c>
      <c r="O15" s="270" t="e">
        <f ca="1">[2]!仕入先単価BT(A14,D14,E14)</f>
        <v>#NAME?</v>
      </c>
      <c r="P15" s="270" t="s">
        <v>110</v>
      </c>
      <c r="Q15" s="270" t="e">
        <f ca="1">[2]!M帳合先_現在(A14,G14)</f>
        <v>#NAME?</v>
      </c>
      <c r="R15" s="270" t="s">
        <v>672</v>
      </c>
      <c r="S15" s="270" t="e">
        <f ca="1">[2]!M発注先_現在(A14,G14)</f>
        <v>#NAME?</v>
      </c>
    </row>
    <row r="16" spans="1:19" ht="30" customHeight="1" thickBot="1" x14ac:dyDescent="0.25">
      <c r="A16" s="634"/>
      <c r="B16" s="636" t="str">
        <f>IF(ISERROR(VLOOKUP($A16,リンク用シート!$A:$F,リンク用シート!C$2,0)),"",VLOOKUP($A16,リンク用シート!$A:$F,リンク用シート!C$2,0))</f>
        <v/>
      </c>
      <c r="C16" s="637" t="str">
        <f>IF(ISERROR(VLOOKUP($A16,リンク用シート!$A:$G,リンク用シート!G$2,0)),"",VLOOKUP($A16,リンク用シート!$A:$G,リンク用シート!G$2,0))</f>
        <v/>
      </c>
      <c r="D16" s="250"/>
      <c r="E16" s="243"/>
      <c r="F16" s="244" t="e">
        <f>F17*C16</f>
        <v>#VALUE!</v>
      </c>
      <c r="G16" s="251"/>
      <c r="H16" s="252"/>
      <c r="I16" s="252"/>
      <c r="J16" s="631"/>
      <c r="K16" s="250"/>
      <c r="L16" s="250"/>
      <c r="N16" s="292" t="s">
        <v>671</v>
      </c>
      <c r="O16" s="270" t="e">
        <f ca="1">[2]!仕入先単価CS(A16,D16,E16)</f>
        <v>#NAME?</v>
      </c>
      <c r="P16" s="270"/>
      <c r="Q16" s="270"/>
      <c r="R16" s="270"/>
      <c r="S16" s="270"/>
    </row>
    <row r="17" spans="1:19" ht="30" customHeight="1" thickBot="1" x14ac:dyDescent="0.25">
      <c r="A17" s="635"/>
      <c r="B17" s="636"/>
      <c r="C17" s="638"/>
      <c r="D17" s="246" t="str">
        <f>IF(ISERROR(VLOOKUP($D16,MT商品ﾏｽﾀ参照シート!$Q:$R,2,0)),"",VLOOKUP($D16,MT商品ﾏｽﾀ参照シート!$Q:$R,2,0))</f>
        <v/>
      </c>
      <c r="E17" s="247"/>
      <c r="F17" s="244"/>
      <c r="G17" s="248" t="str">
        <f>IF(ISERROR(VLOOKUP($G16,MT商品ﾏｽﾀ参照シート!$S:$T,2,0)),"",VLOOKUP($G16,MT商品ﾏｽﾀ参照シート!$S:$T,2,0))</f>
        <v/>
      </c>
      <c r="H17" s="247"/>
      <c r="I17" s="247"/>
      <c r="J17" s="631"/>
      <c r="K17" s="249" t="str">
        <f>IF(ISERROR(VLOOKUP(K16,MT商品ﾏｽﾀ参照シート!U:V,2,0)),"",VLOOKUP(K16,MT商品ﾏｽﾀ参照シート!U:V,2,0))</f>
        <v/>
      </c>
      <c r="L17" s="249" t="str">
        <f>IF(ISERROR(VLOOKUP(L16,MT商品ﾏｽﾀ参照シート!W:X,2,0)),"",VLOOKUP(L16,MT商品ﾏｽﾀ参照シート!W:X,2,0))</f>
        <v/>
      </c>
      <c r="N17" s="292" t="s">
        <v>670</v>
      </c>
      <c r="O17" s="270" t="e">
        <f ca="1">[2]!仕入先単価BT(A16,D16,E16)</f>
        <v>#NAME?</v>
      </c>
      <c r="P17" s="270" t="s">
        <v>110</v>
      </c>
      <c r="Q17" s="270" t="e">
        <f ca="1">[2]!M帳合先_現在(A16,G16)</f>
        <v>#NAME?</v>
      </c>
      <c r="R17" s="270" t="s">
        <v>672</v>
      </c>
      <c r="S17" s="270" t="e">
        <f ca="1">[2]!M発注先_現在(A16,G16)</f>
        <v>#NAME?</v>
      </c>
    </row>
    <row r="18" spans="1:19" ht="30" customHeight="1" thickBot="1" x14ac:dyDescent="0.25">
      <c r="A18" s="634"/>
      <c r="B18" s="636" t="str">
        <f>IF(ISERROR(VLOOKUP($A18,リンク用シート!$A:$F,リンク用シート!C$2,0)),"",VLOOKUP($A18,リンク用シート!$A:$F,リンク用シート!C$2,0))</f>
        <v/>
      </c>
      <c r="C18" s="637" t="str">
        <f>IF(ISERROR(VLOOKUP($A18,リンク用シート!$A:$G,リンク用シート!G$2,0)),"",VLOOKUP($A18,リンク用シート!$A:$G,リンク用シート!G$2,0))</f>
        <v/>
      </c>
      <c r="D18" s="250"/>
      <c r="E18" s="243"/>
      <c r="F18" s="244" t="e">
        <f>F19*C18</f>
        <v>#VALUE!</v>
      </c>
      <c r="G18" s="251"/>
      <c r="H18" s="252"/>
      <c r="I18" s="247"/>
      <c r="J18" s="631"/>
      <c r="K18" s="255"/>
      <c r="L18" s="250"/>
      <c r="N18" s="292" t="s">
        <v>671</v>
      </c>
      <c r="O18" s="270" t="e">
        <f ca="1">[2]!仕入先単価CS(A18,D18,E18)</f>
        <v>#NAME?</v>
      </c>
      <c r="P18" s="270"/>
      <c r="Q18" s="270"/>
      <c r="R18" s="270"/>
      <c r="S18" s="270"/>
    </row>
    <row r="19" spans="1:19" ht="30" customHeight="1" thickBot="1" x14ac:dyDescent="0.25">
      <c r="A19" s="635"/>
      <c r="B19" s="636"/>
      <c r="C19" s="638"/>
      <c r="D19" s="246" t="str">
        <f>IF(ISERROR(VLOOKUP($D18,MT商品ﾏｽﾀ参照シート!$Q:$R,2,0)),"",VLOOKUP($D18,MT商品ﾏｽﾀ参照シート!$Q:$R,2,0))</f>
        <v/>
      </c>
      <c r="E19" s="247"/>
      <c r="F19" s="244"/>
      <c r="G19" s="248" t="str">
        <f>IF(ISERROR(VLOOKUP($G18,MT商品ﾏｽﾀ参照シート!$S:$T,2,0)),"",VLOOKUP($G18,MT商品ﾏｽﾀ参照シート!$S:$T,2,0))</f>
        <v/>
      </c>
      <c r="H19" s="247"/>
      <c r="I19" s="247"/>
      <c r="J19" s="631"/>
      <c r="K19" s="249" t="str">
        <f>IF(ISERROR(VLOOKUP(K18,MT商品ﾏｽﾀ参照シート!U:V,2,0)),"",VLOOKUP(K18,MT商品ﾏｽﾀ参照シート!U:V,2,0))</f>
        <v/>
      </c>
      <c r="L19" s="249" t="str">
        <f>IF(ISERROR(VLOOKUP(L18,MT商品ﾏｽﾀ参照シート!W:X,2,0)),"",VLOOKUP(L18,MT商品ﾏｽﾀ参照シート!W:X,2,0))</f>
        <v/>
      </c>
      <c r="N19" s="292" t="s">
        <v>670</v>
      </c>
      <c r="O19" s="270" t="e">
        <f ca="1">[2]!仕入先単価BT(A18,D18,E18)</f>
        <v>#NAME?</v>
      </c>
      <c r="P19" s="270" t="s">
        <v>110</v>
      </c>
      <c r="Q19" s="270" t="e">
        <f ca="1">[2]!M帳合先_現在(A18,G18)</f>
        <v>#NAME?</v>
      </c>
      <c r="R19" s="270" t="s">
        <v>672</v>
      </c>
      <c r="S19" s="270" t="e">
        <f ca="1">[2]!M発注先_現在(A18,G18)</f>
        <v>#NAME?</v>
      </c>
    </row>
    <row r="20" spans="1:19" ht="30" customHeight="1" thickBot="1" x14ac:dyDescent="0.25">
      <c r="A20" s="634"/>
      <c r="B20" s="636" t="str">
        <f>IF(ISERROR(VLOOKUP($A20,リンク用シート!$A:$F,リンク用シート!C$2,0)),"",VLOOKUP($A20,リンク用シート!$A:$F,リンク用シート!C$2,0))</f>
        <v/>
      </c>
      <c r="C20" s="637" t="str">
        <f>IF(ISERROR(VLOOKUP($A20,リンク用シート!$A:$G,リンク用シート!G$2,0)),"",VLOOKUP($A20,リンク用シート!$A:$G,リンク用シート!G$2,0))</f>
        <v/>
      </c>
      <c r="D20" s="250"/>
      <c r="E20" s="243"/>
      <c r="F20" s="244" t="e">
        <f>F21*C20</f>
        <v>#VALUE!</v>
      </c>
      <c r="G20" s="251"/>
      <c r="H20" s="252"/>
      <c r="I20" s="247"/>
      <c r="J20" s="631"/>
      <c r="K20" s="255"/>
      <c r="L20" s="250"/>
      <c r="N20" s="292" t="s">
        <v>671</v>
      </c>
      <c r="O20" s="270" t="e">
        <f ca="1">[2]!仕入先単価CS(A20,D20,E20)</f>
        <v>#NAME?</v>
      </c>
      <c r="P20" s="270"/>
      <c r="Q20" s="270"/>
      <c r="R20" s="270"/>
      <c r="S20" s="270"/>
    </row>
    <row r="21" spans="1:19" ht="30" customHeight="1" thickBot="1" x14ac:dyDescent="0.25">
      <c r="A21" s="635"/>
      <c r="B21" s="636"/>
      <c r="C21" s="638"/>
      <c r="D21" s="246" t="str">
        <f>IF(ISERROR(VLOOKUP($D20,MT商品ﾏｽﾀ参照シート!$Q:$R,2,0)),"",VLOOKUP($D20,MT商品ﾏｽﾀ参照シート!$Q:$R,2,0))</f>
        <v/>
      </c>
      <c r="E21" s="247"/>
      <c r="F21" s="244"/>
      <c r="G21" s="248" t="str">
        <f>IF(ISERROR(VLOOKUP($G20,MT商品ﾏｽﾀ参照シート!$S:$T,2,0)),"",VLOOKUP($G20,MT商品ﾏｽﾀ参照シート!$S:$T,2,0))</f>
        <v/>
      </c>
      <c r="H21" s="247"/>
      <c r="I21" s="247"/>
      <c r="J21" s="631"/>
      <c r="K21" s="249" t="str">
        <f>IF(ISERROR(VLOOKUP(K20,MT商品ﾏｽﾀ参照シート!U:V,2,0)),"",VLOOKUP(K20,MT商品ﾏｽﾀ参照シート!U:V,2,0))</f>
        <v/>
      </c>
      <c r="L21" s="249" t="str">
        <f>IF(ISERROR(VLOOKUP(L20,MT商品ﾏｽﾀ参照シート!W:X,2,0)),"",VLOOKUP(L20,MT商品ﾏｽﾀ参照シート!W:X,2,0))</f>
        <v/>
      </c>
      <c r="N21" s="292" t="s">
        <v>670</v>
      </c>
      <c r="O21" s="270" t="e">
        <f ca="1">[2]!仕入先単価BT(A20,D20,E20)</f>
        <v>#NAME?</v>
      </c>
      <c r="P21" s="270" t="s">
        <v>110</v>
      </c>
      <c r="Q21" s="270" t="e">
        <f ca="1">[2]!M帳合先_現在(A20,G20)</f>
        <v>#NAME?</v>
      </c>
      <c r="R21" s="270" t="s">
        <v>672</v>
      </c>
      <c r="S21" s="270" t="e">
        <f ca="1">[2]!M発注先_現在(A20,G20)</f>
        <v>#NAME?</v>
      </c>
    </row>
    <row r="22" spans="1:19" ht="30" customHeight="1" thickBot="1" x14ac:dyDescent="0.25">
      <c r="A22" s="634"/>
      <c r="B22" s="636" t="str">
        <f>IF(ISERROR(VLOOKUP($A22,リンク用シート!$A:$F,リンク用シート!C$2,0)),"",VLOOKUP($A22,リンク用シート!$A:$F,リンク用シート!C$2,0))</f>
        <v/>
      </c>
      <c r="C22" s="637" t="str">
        <f>IF(ISERROR(VLOOKUP($A22,リンク用シート!$A:$G,リンク用シート!G$2,0)),"",VLOOKUP($A22,リンク用シート!$A:$G,リンク用シート!G$2,0))</f>
        <v/>
      </c>
      <c r="D22" s="250"/>
      <c r="E22" s="243"/>
      <c r="F22" s="244" t="e">
        <f>F23*C22</f>
        <v>#VALUE!</v>
      </c>
      <c r="G22" s="251"/>
      <c r="H22" s="252"/>
      <c r="I22" s="247"/>
      <c r="J22" s="631"/>
      <c r="K22" s="255"/>
      <c r="L22" s="250"/>
      <c r="N22" s="292" t="s">
        <v>671</v>
      </c>
      <c r="O22" s="270" t="e">
        <f ca="1">[2]!仕入先単価CS(A22,D22,E22)</f>
        <v>#NAME?</v>
      </c>
      <c r="P22" s="270"/>
      <c r="Q22" s="270"/>
      <c r="R22" s="270"/>
      <c r="S22" s="270"/>
    </row>
    <row r="23" spans="1:19" ht="30" customHeight="1" thickBot="1" x14ac:dyDescent="0.25">
      <c r="A23" s="635"/>
      <c r="B23" s="636"/>
      <c r="C23" s="638"/>
      <c r="D23" s="246" t="str">
        <f>IF(ISERROR(VLOOKUP($D22,MT商品ﾏｽﾀ参照シート!$Q:$R,2,0)),"",VLOOKUP($D22,MT商品ﾏｽﾀ参照シート!$Q:$R,2,0))</f>
        <v/>
      </c>
      <c r="E23" s="247"/>
      <c r="F23" s="244"/>
      <c r="G23" s="248" t="str">
        <f>IF(ISERROR(VLOOKUP($G22,MT商品ﾏｽﾀ参照シート!$S:$T,2,0)),"",VLOOKUP($G22,MT商品ﾏｽﾀ参照シート!$S:$T,2,0))</f>
        <v/>
      </c>
      <c r="H23" s="247"/>
      <c r="I23" s="247"/>
      <c r="J23" s="631"/>
      <c r="K23" s="249" t="str">
        <f>IF(ISERROR(VLOOKUP(K22,MT商品ﾏｽﾀ参照シート!U:V,2,0)),"",VLOOKUP(K22,MT商品ﾏｽﾀ参照シート!U:V,2,0))</f>
        <v/>
      </c>
      <c r="L23" s="249" t="str">
        <f>IF(ISERROR(VLOOKUP(L22,MT商品ﾏｽﾀ参照シート!W:X,2,0)),"",VLOOKUP(L22,MT商品ﾏｽﾀ参照シート!W:X,2,0))</f>
        <v/>
      </c>
      <c r="N23" s="292" t="s">
        <v>670</v>
      </c>
      <c r="O23" s="270" t="e">
        <f ca="1">[2]!仕入先単価BT(A22,D22,E22)</f>
        <v>#NAME?</v>
      </c>
      <c r="P23" s="270" t="s">
        <v>110</v>
      </c>
      <c r="Q23" s="270" t="e">
        <f ca="1">[2]!M帳合先_現在(A22,G22)</f>
        <v>#NAME?</v>
      </c>
      <c r="R23" s="270" t="s">
        <v>672</v>
      </c>
      <c r="S23" s="270" t="e">
        <f ca="1">[2]!M発注先_現在(A22,G22)</f>
        <v>#NAME?</v>
      </c>
    </row>
    <row r="24" spans="1:19" ht="30" customHeight="1" thickBot="1" x14ac:dyDescent="0.25">
      <c r="A24" s="634"/>
      <c r="B24" s="636" t="str">
        <f>IF(ISERROR(VLOOKUP($A24,リンク用シート!$A:$F,リンク用シート!C$2,0)),"",VLOOKUP($A24,リンク用シート!$A:$F,リンク用シート!C$2,0))</f>
        <v/>
      </c>
      <c r="C24" s="637" t="str">
        <f>IF(ISERROR(VLOOKUP($A24,リンク用シート!$A:$G,リンク用シート!G$2,0)),"",VLOOKUP($A24,リンク用シート!$A:$G,リンク用シート!G$2,0))</f>
        <v/>
      </c>
      <c r="D24" s="250"/>
      <c r="E24" s="243"/>
      <c r="F24" s="244" t="e">
        <f>F25*C24</f>
        <v>#VALUE!</v>
      </c>
      <c r="G24" s="251"/>
      <c r="H24" s="252"/>
      <c r="I24" s="247"/>
      <c r="J24" s="631"/>
      <c r="K24" s="255"/>
      <c r="L24" s="250"/>
      <c r="N24" s="292" t="s">
        <v>671</v>
      </c>
      <c r="O24" s="270" t="e">
        <f ca="1">[2]!仕入先単価CS(A24,D24,E24)</f>
        <v>#NAME?</v>
      </c>
      <c r="P24" s="270"/>
      <c r="Q24" s="270"/>
      <c r="R24" s="270"/>
      <c r="S24" s="270"/>
    </row>
    <row r="25" spans="1:19" ht="30" customHeight="1" thickBot="1" x14ac:dyDescent="0.25">
      <c r="A25" s="635"/>
      <c r="B25" s="636"/>
      <c r="C25" s="638"/>
      <c r="D25" s="246" t="str">
        <f>IF(ISERROR(VLOOKUP($D24,MT商品ﾏｽﾀ参照シート!$Q:$R,2,0)),"",VLOOKUP($D24,MT商品ﾏｽﾀ参照シート!$Q:$R,2,0))</f>
        <v/>
      </c>
      <c r="E25" s="247"/>
      <c r="F25" s="244"/>
      <c r="G25" s="248" t="str">
        <f>IF(ISERROR(VLOOKUP($G24,MT商品ﾏｽﾀ参照シート!$S:$T,2,0)),"",VLOOKUP($G24,MT商品ﾏｽﾀ参照シート!$S:$T,2,0))</f>
        <v/>
      </c>
      <c r="H25" s="247"/>
      <c r="I25" s="247"/>
      <c r="J25" s="631"/>
      <c r="K25" s="249" t="str">
        <f>IF(ISERROR(VLOOKUP(K24,MT商品ﾏｽﾀ参照シート!U:V,2,0)),"",VLOOKUP(K24,MT商品ﾏｽﾀ参照シート!U:V,2,0))</f>
        <v/>
      </c>
      <c r="L25" s="249" t="str">
        <f>IF(ISERROR(VLOOKUP(L24,MT商品ﾏｽﾀ参照シート!W:X,2,0)),"",VLOOKUP(L24,MT商品ﾏｽﾀ参照シート!W:X,2,0))</f>
        <v/>
      </c>
      <c r="N25" s="292" t="s">
        <v>670</v>
      </c>
      <c r="O25" s="270" t="e">
        <f ca="1">[2]!仕入先単価BT(A24,D24,E24)</f>
        <v>#NAME?</v>
      </c>
      <c r="P25" s="270" t="s">
        <v>110</v>
      </c>
      <c r="Q25" s="270" t="e">
        <f ca="1">[2]!M帳合先_現在(A24,G24)</f>
        <v>#NAME?</v>
      </c>
      <c r="R25" s="270" t="s">
        <v>672</v>
      </c>
      <c r="S25" s="270" t="e">
        <f ca="1">[2]!M発注先_現在(A24,G24)</f>
        <v>#NAME?</v>
      </c>
    </row>
    <row r="26" spans="1:19" ht="30" customHeight="1" thickBot="1" x14ac:dyDescent="0.25">
      <c r="A26" s="634"/>
      <c r="B26" s="636" t="str">
        <f>IF(ISERROR(VLOOKUP($A26,リンク用シート!$A:$F,リンク用シート!C$2,0)),"",VLOOKUP($A26,リンク用シート!$A:$F,リンク用シート!C$2,0))</f>
        <v/>
      </c>
      <c r="C26" s="637" t="str">
        <f>IF(ISERROR(VLOOKUP($A26,リンク用シート!$A:$G,リンク用シート!G$2,0)),"",VLOOKUP($A26,リンク用シート!$A:$G,リンク用シート!G$2,0))</f>
        <v/>
      </c>
      <c r="D26" s="250"/>
      <c r="E26" s="243"/>
      <c r="F26" s="244" t="e">
        <f>F27*C26</f>
        <v>#VALUE!</v>
      </c>
      <c r="G26" s="251"/>
      <c r="H26" s="252"/>
      <c r="I26" s="247"/>
      <c r="J26" s="631"/>
      <c r="K26" s="255"/>
      <c r="L26" s="250"/>
      <c r="N26" s="292" t="s">
        <v>671</v>
      </c>
      <c r="O26" s="270" t="e">
        <f ca="1">[2]!仕入先単価CS(A26,D26,E26)</f>
        <v>#NAME?</v>
      </c>
      <c r="P26" s="270"/>
      <c r="Q26" s="270"/>
      <c r="R26" s="270"/>
      <c r="S26" s="270"/>
    </row>
    <row r="27" spans="1:19" ht="30" customHeight="1" thickBot="1" x14ac:dyDescent="0.25">
      <c r="A27" s="635"/>
      <c r="B27" s="636"/>
      <c r="C27" s="638"/>
      <c r="D27" s="246" t="str">
        <f>IF(ISERROR(VLOOKUP($D26,MT商品ﾏｽﾀ参照シート!$Q:$R,2,0)),"",VLOOKUP($D26,MT商品ﾏｽﾀ参照シート!$Q:$R,2,0))</f>
        <v/>
      </c>
      <c r="E27" s="247"/>
      <c r="F27" s="244"/>
      <c r="G27" s="248" t="str">
        <f>IF(ISERROR(VLOOKUP($G26,MT商品ﾏｽﾀ参照シート!$S:$T,2,0)),"",VLOOKUP($G26,MT商品ﾏｽﾀ参照シート!$S:$T,2,0))</f>
        <v/>
      </c>
      <c r="H27" s="247"/>
      <c r="I27" s="247"/>
      <c r="J27" s="631"/>
      <c r="K27" s="249" t="str">
        <f>IF(ISERROR(VLOOKUP(K26,MT商品ﾏｽﾀ参照シート!U:V,2,0)),"",VLOOKUP(K26,MT商品ﾏｽﾀ参照シート!U:V,2,0))</f>
        <v/>
      </c>
      <c r="L27" s="249" t="str">
        <f>IF(ISERROR(VLOOKUP(L26,MT商品ﾏｽﾀ参照シート!W:X,2,0)),"",VLOOKUP(L26,MT商品ﾏｽﾀ参照シート!W:X,2,0))</f>
        <v/>
      </c>
      <c r="N27" s="292" t="s">
        <v>670</v>
      </c>
      <c r="O27" s="270" t="e">
        <f ca="1">[2]!仕入先単価BT(A26,D26,E26)</f>
        <v>#NAME?</v>
      </c>
      <c r="P27" s="270" t="s">
        <v>110</v>
      </c>
      <c r="Q27" s="270" t="e">
        <f ca="1">[2]!M帳合先_現在(A26,G26)</f>
        <v>#NAME?</v>
      </c>
      <c r="R27" s="270" t="s">
        <v>672</v>
      </c>
      <c r="S27" s="270" t="e">
        <f ca="1">[2]!M発注先_現在(A26,G26)</f>
        <v>#NAME?</v>
      </c>
    </row>
    <row r="28" spans="1:19" ht="30" customHeight="1" thickBot="1" x14ac:dyDescent="0.25">
      <c r="A28" s="634"/>
      <c r="B28" s="636" t="str">
        <f>IF(ISERROR(VLOOKUP($A28,リンク用シート!$A:$F,リンク用シート!C$2,0)),"",VLOOKUP($A28,リンク用シート!$A:$F,リンク用シート!C$2,0))</f>
        <v/>
      </c>
      <c r="C28" s="637" t="str">
        <f>IF(ISERROR(VLOOKUP($A28,リンク用シート!$A:$G,リンク用シート!G$2,0)),"",VLOOKUP($A28,リンク用シート!$A:$G,リンク用シート!G$2,0))</f>
        <v/>
      </c>
      <c r="D28" s="250"/>
      <c r="E28" s="243"/>
      <c r="F28" s="244" t="e">
        <f>F29*C28</f>
        <v>#VALUE!</v>
      </c>
      <c r="G28" s="251"/>
      <c r="H28" s="252"/>
      <c r="I28" s="247"/>
      <c r="J28" s="631"/>
      <c r="K28" s="255"/>
      <c r="L28" s="250"/>
      <c r="N28" s="292" t="s">
        <v>671</v>
      </c>
      <c r="O28" s="270" t="e">
        <f ca="1">[2]!仕入先単価CS(A28,D28,E28)</f>
        <v>#NAME?</v>
      </c>
      <c r="P28" s="270"/>
      <c r="Q28" s="270"/>
      <c r="R28" s="270"/>
      <c r="S28" s="270"/>
    </row>
    <row r="29" spans="1:19" ht="30" customHeight="1" thickBot="1" x14ac:dyDescent="0.25">
      <c r="A29" s="635"/>
      <c r="B29" s="636"/>
      <c r="C29" s="638"/>
      <c r="D29" s="246" t="str">
        <f>IF(ISERROR(VLOOKUP($D28,MT商品ﾏｽﾀ参照シート!$Q:$R,2,0)),"",VLOOKUP($D28,MT商品ﾏｽﾀ参照シート!$Q:$R,2,0))</f>
        <v/>
      </c>
      <c r="E29" s="247"/>
      <c r="F29" s="244"/>
      <c r="G29" s="248" t="str">
        <f>IF(ISERROR(VLOOKUP($G28,MT商品ﾏｽﾀ参照シート!$S:$T,2,0)),"",VLOOKUP($G28,MT商品ﾏｽﾀ参照シート!$S:$T,2,0))</f>
        <v/>
      </c>
      <c r="H29" s="247"/>
      <c r="I29" s="247"/>
      <c r="J29" s="631"/>
      <c r="K29" s="249" t="str">
        <f>IF(ISERROR(VLOOKUP(K28,MT商品ﾏｽﾀ参照シート!U:V,2,0)),"",VLOOKUP(K28,MT商品ﾏｽﾀ参照シート!U:V,2,0))</f>
        <v/>
      </c>
      <c r="L29" s="249" t="str">
        <f>IF(ISERROR(VLOOKUP(L28,MT商品ﾏｽﾀ参照シート!W:X,2,0)),"",VLOOKUP(L28,MT商品ﾏｽﾀ参照シート!W:X,2,0))</f>
        <v/>
      </c>
      <c r="N29" s="292" t="s">
        <v>670</v>
      </c>
      <c r="O29" s="270" t="e">
        <f ca="1">[2]!仕入先単価BT(A28,D28,E28)</f>
        <v>#NAME?</v>
      </c>
      <c r="P29" s="270" t="s">
        <v>110</v>
      </c>
      <c r="Q29" s="270" t="e">
        <f ca="1">[2]!M帳合先_現在(A28,G28)</f>
        <v>#NAME?</v>
      </c>
      <c r="R29" s="270" t="s">
        <v>672</v>
      </c>
      <c r="S29" s="270" t="e">
        <f ca="1">[2]!M発注先_現在(A28,G28)</f>
        <v>#NAME?</v>
      </c>
    </row>
    <row r="30" spans="1:19" ht="30" customHeight="1" thickBot="1" x14ac:dyDescent="0.25">
      <c r="A30" s="634"/>
      <c r="B30" s="636" t="str">
        <f>IF(ISERROR(VLOOKUP($A30,リンク用シート!$A:$F,リンク用シート!C$2,0)),"",VLOOKUP($A30,リンク用シート!$A:$F,リンク用シート!C$2,0))</f>
        <v/>
      </c>
      <c r="C30" s="637" t="str">
        <f>IF(ISERROR(VLOOKUP($A30,リンク用シート!$A:$G,リンク用シート!G$2,0)),"",VLOOKUP($A30,リンク用シート!$A:$G,リンク用シート!G$2,0))</f>
        <v/>
      </c>
      <c r="D30" s="250"/>
      <c r="E30" s="243"/>
      <c r="F30" s="244" t="e">
        <f>F31*C30</f>
        <v>#VALUE!</v>
      </c>
      <c r="G30" s="251"/>
      <c r="H30" s="252"/>
      <c r="I30" s="247"/>
      <c r="J30" s="631"/>
      <c r="K30" s="255"/>
      <c r="L30" s="250"/>
      <c r="N30" s="292" t="s">
        <v>671</v>
      </c>
      <c r="O30" s="270" t="e">
        <f ca="1">[2]!仕入先単価CS(A30,D30,E30)</f>
        <v>#NAME?</v>
      </c>
      <c r="P30" s="270"/>
      <c r="Q30" s="270"/>
      <c r="R30" s="270"/>
      <c r="S30" s="270"/>
    </row>
    <row r="31" spans="1:19" ht="30" customHeight="1" thickBot="1" x14ac:dyDescent="0.25">
      <c r="A31" s="635"/>
      <c r="B31" s="636"/>
      <c r="C31" s="638"/>
      <c r="D31" s="246" t="str">
        <f>IF(ISERROR(VLOOKUP($D30,MT商品ﾏｽﾀ参照シート!$Q:$R,2,0)),"",VLOOKUP($D30,MT商品ﾏｽﾀ参照シート!$Q:$R,2,0))</f>
        <v/>
      </c>
      <c r="E31" s="247"/>
      <c r="F31" s="244"/>
      <c r="G31" s="248" t="str">
        <f>IF(ISERROR(VLOOKUP($G30,MT商品ﾏｽﾀ参照シート!$S:$T,2,0)),"",VLOOKUP($G30,MT商品ﾏｽﾀ参照シート!$S:$T,2,0))</f>
        <v/>
      </c>
      <c r="H31" s="247"/>
      <c r="I31" s="247"/>
      <c r="J31" s="631"/>
      <c r="K31" s="249" t="str">
        <f>IF(ISERROR(VLOOKUP(K30,MT商品ﾏｽﾀ参照シート!U:V,2,0)),"",VLOOKUP(K30,MT商品ﾏｽﾀ参照シート!U:V,2,0))</f>
        <v/>
      </c>
      <c r="L31" s="249" t="str">
        <f>IF(ISERROR(VLOOKUP(L30,MT商品ﾏｽﾀ参照シート!W:X,2,0)),"",VLOOKUP(L30,MT商品ﾏｽﾀ参照シート!W:X,2,0))</f>
        <v/>
      </c>
      <c r="N31" s="292" t="s">
        <v>670</v>
      </c>
      <c r="O31" s="270" t="e">
        <f ca="1">[2]!仕入先単価BT(A30,D30,E30)</f>
        <v>#NAME?</v>
      </c>
      <c r="P31" s="270" t="s">
        <v>110</v>
      </c>
      <c r="Q31" s="270" t="e">
        <f ca="1">[2]!M帳合先_現在(A30,G30)</f>
        <v>#NAME?</v>
      </c>
      <c r="R31" s="270" t="s">
        <v>672</v>
      </c>
      <c r="S31" s="270" t="e">
        <f ca="1">[2]!M発注先_現在(A30,G30)</f>
        <v>#NAME?</v>
      </c>
    </row>
    <row r="32" spans="1:19" ht="30" customHeight="1" thickBot="1" x14ac:dyDescent="0.25">
      <c r="A32" s="634"/>
      <c r="B32" s="636" t="str">
        <f>IF(ISERROR(VLOOKUP($A32,リンク用シート!$A:$F,リンク用シート!C$2,0)),"",VLOOKUP($A32,リンク用シート!$A:$F,リンク用シート!C$2,0))</f>
        <v/>
      </c>
      <c r="C32" s="637" t="str">
        <f>IF(ISERROR(VLOOKUP($A32,リンク用シート!$A:$G,リンク用シート!G$2,0)),"",VLOOKUP($A32,リンク用シート!$A:$G,リンク用シート!G$2,0))</f>
        <v/>
      </c>
      <c r="D32" s="250"/>
      <c r="E32" s="243"/>
      <c r="F32" s="244" t="e">
        <f>F33*C32</f>
        <v>#VALUE!</v>
      </c>
      <c r="G32" s="251"/>
      <c r="H32" s="252"/>
      <c r="I32" s="247"/>
      <c r="J32" s="631"/>
      <c r="K32" s="255"/>
      <c r="L32" s="250"/>
      <c r="N32" s="292" t="s">
        <v>671</v>
      </c>
      <c r="O32" s="270" t="e">
        <f ca="1">[2]!仕入先単価CS(A32,D32,E32)</f>
        <v>#NAME?</v>
      </c>
      <c r="P32" s="270"/>
      <c r="Q32" s="270"/>
      <c r="R32" s="270"/>
      <c r="S32" s="270"/>
    </row>
    <row r="33" spans="1:19" ht="30" customHeight="1" thickBot="1" x14ac:dyDescent="0.25">
      <c r="A33" s="635"/>
      <c r="B33" s="636"/>
      <c r="C33" s="638"/>
      <c r="D33" s="246" t="str">
        <f>IF(ISERROR(VLOOKUP($D32,MT商品ﾏｽﾀ参照シート!$Q:$R,2,0)),"",VLOOKUP($D32,MT商品ﾏｽﾀ参照シート!$Q:$R,2,0))</f>
        <v/>
      </c>
      <c r="E33" s="247"/>
      <c r="F33" s="244"/>
      <c r="G33" s="248" t="str">
        <f>IF(ISERROR(VLOOKUP($G32,MT商品ﾏｽﾀ参照シート!$S:$T,2,0)),"",VLOOKUP($G32,MT商品ﾏｽﾀ参照シート!$S:$T,2,0))</f>
        <v/>
      </c>
      <c r="H33" s="247"/>
      <c r="I33" s="247"/>
      <c r="J33" s="631"/>
      <c r="K33" s="249" t="str">
        <f>IF(ISERROR(VLOOKUP(K32,MT商品ﾏｽﾀ参照シート!U:V,2,0)),"",VLOOKUP(K32,MT商品ﾏｽﾀ参照シート!U:V,2,0))</f>
        <v/>
      </c>
      <c r="L33" s="249" t="str">
        <f>IF(ISERROR(VLOOKUP(L32,MT商品ﾏｽﾀ参照シート!W:X,2,0)),"",VLOOKUP(L32,MT商品ﾏｽﾀ参照シート!W:X,2,0))</f>
        <v/>
      </c>
      <c r="N33" s="292" t="s">
        <v>670</v>
      </c>
      <c r="O33" s="270" t="e">
        <f ca="1">[2]!仕入先単価BT(A32,D32,E32)</f>
        <v>#NAME?</v>
      </c>
      <c r="P33" s="270" t="s">
        <v>110</v>
      </c>
      <c r="Q33" s="270" t="e">
        <f ca="1">[2]!M帳合先_現在(A32,G32)</f>
        <v>#NAME?</v>
      </c>
      <c r="R33" s="270" t="s">
        <v>672</v>
      </c>
      <c r="S33" s="270" t="e">
        <f ca="1">[2]!M発注先_現在(A32,G32)</f>
        <v>#NAME?</v>
      </c>
    </row>
    <row r="34" spans="1:19" ht="30" customHeight="1" thickBot="1" x14ac:dyDescent="0.25">
      <c r="A34" s="634"/>
      <c r="B34" s="636" t="str">
        <f>IF(ISERROR(VLOOKUP($A34,リンク用シート!$A:$F,リンク用シート!C$2,0)),"",VLOOKUP($A34,リンク用シート!$A:$F,リンク用シート!C$2,0))</f>
        <v/>
      </c>
      <c r="C34" s="637" t="str">
        <f>IF(ISERROR(VLOOKUP($A34,リンク用シート!$A:$G,リンク用シート!G$2,0)),"",VLOOKUP($A34,リンク用シート!$A:$G,リンク用シート!G$2,0))</f>
        <v/>
      </c>
      <c r="D34" s="250"/>
      <c r="E34" s="243"/>
      <c r="F34" s="244" t="e">
        <f>F35*C34</f>
        <v>#VALUE!</v>
      </c>
      <c r="G34" s="251"/>
      <c r="H34" s="252"/>
      <c r="I34" s="247"/>
      <c r="J34" s="631"/>
      <c r="K34" s="255"/>
      <c r="L34" s="250"/>
      <c r="N34" s="292" t="s">
        <v>671</v>
      </c>
      <c r="O34" s="270" t="e">
        <f ca="1">[2]!仕入先単価CS(A34,D34,E34)</f>
        <v>#NAME?</v>
      </c>
      <c r="P34" s="270"/>
      <c r="Q34" s="270"/>
      <c r="R34" s="270"/>
      <c r="S34" s="270"/>
    </row>
    <row r="35" spans="1:19" ht="30" customHeight="1" thickBot="1" x14ac:dyDescent="0.25">
      <c r="A35" s="635"/>
      <c r="B35" s="636"/>
      <c r="C35" s="638"/>
      <c r="D35" s="246" t="str">
        <f>IF(ISERROR(VLOOKUP($D34,MT商品ﾏｽﾀ参照シート!$Q:$R,2,0)),"",VLOOKUP($D34,MT商品ﾏｽﾀ参照シート!$Q:$R,2,0))</f>
        <v/>
      </c>
      <c r="E35" s="247"/>
      <c r="F35" s="244"/>
      <c r="G35" s="248" t="str">
        <f>IF(ISERROR(VLOOKUP($G34,MT商品ﾏｽﾀ参照シート!$S:$T,2,0)),"",VLOOKUP($G34,MT商品ﾏｽﾀ参照シート!$S:$T,2,0))</f>
        <v/>
      </c>
      <c r="H35" s="247"/>
      <c r="I35" s="247"/>
      <c r="J35" s="631"/>
      <c r="K35" s="249" t="str">
        <f>IF(ISERROR(VLOOKUP(K34,MT商品ﾏｽﾀ参照シート!U:V,2,0)),"",VLOOKUP(K34,MT商品ﾏｽﾀ参照シート!U:V,2,0))</f>
        <v/>
      </c>
      <c r="L35" s="249" t="str">
        <f>IF(ISERROR(VLOOKUP(L34,MT商品ﾏｽﾀ参照シート!W:X,2,0)),"",VLOOKUP(L34,MT商品ﾏｽﾀ参照シート!W:X,2,0))</f>
        <v/>
      </c>
      <c r="N35" s="292" t="s">
        <v>670</v>
      </c>
      <c r="O35" s="270" t="e">
        <f ca="1">[2]!仕入先単価BT(A34,D34,E34)</f>
        <v>#NAME?</v>
      </c>
      <c r="P35" s="270" t="s">
        <v>110</v>
      </c>
      <c r="Q35" s="270" t="e">
        <f ca="1">[2]!M帳合先_現在(A34,G34)</f>
        <v>#NAME?</v>
      </c>
      <c r="R35" s="270" t="s">
        <v>672</v>
      </c>
      <c r="S35" s="270" t="e">
        <f ca="1">[2]!M発注先_現在(A34,G34)</f>
        <v>#NAME?</v>
      </c>
    </row>
    <row r="36" spans="1:19" ht="30" customHeight="1" thickBot="1" x14ac:dyDescent="0.25">
      <c r="A36" s="634"/>
      <c r="B36" s="636" t="str">
        <f>IF(ISERROR(VLOOKUP($A36,リンク用シート!$A:$F,リンク用シート!C$2,0)),"",VLOOKUP($A36,リンク用シート!$A:$F,リンク用シート!C$2,0))</f>
        <v/>
      </c>
      <c r="C36" s="637" t="str">
        <f>IF(ISERROR(VLOOKUP($A36,リンク用シート!$A:$G,リンク用シート!G$2,0)),"",VLOOKUP($A36,リンク用シート!$A:$G,リンク用シート!G$2,0))</f>
        <v/>
      </c>
      <c r="D36" s="250"/>
      <c r="E36" s="243"/>
      <c r="F36" s="244" t="e">
        <f>F37*C36</f>
        <v>#VALUE!</v>
      </c>
      <c r="G36" s="251"/>
      <c r="H36" s="252"/>
      <c r="I36" s="247"/>
      <c r="J36" s="631"/>
      <c r="K36" s="255"/>
      <c r="L36" s="250"/>
      <c r="N36" s="292" t="s">
        <v>671</v>
      </c>
      <c r="O36" s="270" t="e">
        <f ca="1">[2]!仕入先単価CS(A36,D36,E36)</f>
        <v>#NAME?</v>
      </c>
      <c r="P36" s="270"/>
      <c r="Q36" s="270"/>
      <c r="R36" s="270"/>
      <c r="S36" s="270"/>
    </row>
    <row r="37" spans="1:19" ht="30" customHeight="1" x14ac:dyDescent="0.2">
      <c r="A37" s="635"/>
      <c r="B37" s="636"/>
      <c r="C37" s="638"/>
      <c r="D37" s="246" t="str">
        <f>IF(ISERROR(VLOOKUP($D36,MT商品ﾏｽﾀ参照シート!$Q:$R,2,0)),"",VLOOKUP($D36,MT商品ﾏｽﾀ参照シート!$Q:$R,2,0))</f>
        <v/>
      </c>
      <c r="E37" s="247"/>
      <c r="F37" s="244"/>
      <c r="G37" s="248" t="str">
        <f>IF(ISERROR(VLOOKUP($G36,MT商品ﾏｽﾀ参照シート!$S:$T,2,0)),"",VLOOKUP($G36,MT商品ﾏｽﾀ参照シート!$S:$T,2,0))</f>
        <v/>
      </c>
      <c r="H37" s="247"/>
      <c r="I37" s="247"/>
      <c r="J37" s="631"/>
      <c r="K37" s="256" t="str">
        <f>IF(ISERROR(VLOOKUP(K36,MT商品ﾏｽﾀ参照シート!U:V,2,0)),"",VLOOKUP(K36,MT商品ﾏｽﾀ参照シート!U:V,2,0))</f>
        <v/>
      </c>
      <c r="L37" s="256" t="str">
        <f>IF(ISERROR(VLOOKUP(L36,MT商品ﾏｽﾀ参照シート!W:X,2,0)),"",VLOOKUP(L36,MT商品ﾏｽﾀ参照シート!W:X,2,0))</f>
        <v/>
      </c>
      <c r="N37" s="292" t="s">
        <v>670</v>
      </c>
      <c r="O37" s="270" t="e">
        <f ca="1">[2]!仕入先単価BT(A36,D36,E36)</f>
        <v>#NAME?</v>
      </c>
      <c r="P37" s="270" t="s">
        <v>110</v>
      </c>
      <c r="Q37" s="270" t="e">
        <f ca="1">[2]!M帳合先_現在(A36,G36)</f>
        <v>#NAME?</v>
      </c>
      <c r="R37" s="270" t="s">
        <v>672</v>
      </c>
      <c r="S37" s="270" t="e">
        <f ca="1">[2]!M発注先_現在(A36,G36)</f>
        <v>#NAME?</v>
      </c>
    </row>
    <row r="38" spans="1:19" ht="30" customHeight="1" x14ac:dyDescent="0.2">
      <c r="F38" s="259" t="s">
        <v>24</v>
      </c>
    </row>
  </sheetData>
  <sheetProtection formatCells="0" formatColumns="0" formatRows="0" insertColumns="0" insertRows="0" deleteColumns="0" deleteRows="0"/>
  <customSheetViews>
    <customSheetView guid="{E144E3A1-E29C-410D-8925-3F260910373E}" showRuler="0">
      <pane xSplit="2" ySplit="3" topLeftCell="F4" activePane="bottomRight" state="frozen"/>
      <selection pane="bottomRight" activeCell="G4" sqref="G4"/>
      <pageMargins left="0.43307086614173229" right="0.35433070866141736" top="0.47244094488188981" bottom="0.39370078740157483" header="0.35433070866141736" footer="0.27559055118110237"/>
      <pageSetup paperSize="9" orientation="landscape" r:id="rId1"/>
      <headerFooter alignWithMargins="0"/>
    </customSheetView>
  </customSheetViews>
  <mergeCells count="73">
    <mergeCell ref="C6:C7"/>
    <mergeCell ref="B8:B9"/>
    <mergeCell ref="J4:J5"/>
    <mergeCell ref="C8:C9"/>
    <mergeCell ref="B6:B7"/>
    <mergeCell ref="B4:B5"/>
    <mergeCell ref="J6:J7"/>
    <mergeCell ref="J8:J9"/>
    <mergeCell ref="A4:A5"/>
    <mergeCell ref="B10:B11"/>
    <mergeCell ref="A10:A11"/>
    <mergeCell ref="A12:A13"/>
    <mergeCell ref="A14:A15"/>
    <mergeCell ref="A6:A7"/>
    <mergeCell ref="A8:A9"/>
    <mergeCell ref="B14:B15"/>
    <mergeCell ref="C14:C15"/>
    <mergeCell ref="J14:J15"/>
    <mergeCell ref="C10:C11"/>
    <mergeCell ref="J10:J11"/>
    <mergeCell ref="B12:B13"/>
    <mergeCell ref="C12:C13"/>
    <mergeCell ref="J12:J13"/>
    <mergeCell ref="A16:A17"/>
    <mergeCell ref="B16:B17"/>
    <mergeCell ref="C16:C17"/>
    <mergeCell ref="J16:J17"/>
    <mergeCell ref="A20:A21"/>
    <mergeCell ref="B20:B21"/>
    <mergeCell ref="C20:C21"/>
    <mergeCell ref="J20:J21"/>
    <mergeCell ref="A18:A19"/>
    <mergeCell ref="B18:B19"/>
    <mergeCell ref="C18:C19"/>
    <mergeCell ref="B22:B23"/>
    <mergeCell ref="C22:C23"/>
    <mergeCell ref="J22:J23"/>
    <mergeCell ref="A24:A25"/>
    <mergeCell ref="B24:B25"/>
    <mergeCell ref="C24:C25"/>
    <mergeCell ref="J24:J25"/>
    <mergeCell ref="J1:K1"/>
    <mergeCell ref="J2:K2"/>
    <mergeCell ref="D2:F2"/>
    <mergeCell ref="B34:B35"/>
    <mergeCell ref="C34:C35"/>
    <mergeCell ref="D3:F3"/>
    <mergeCell ref="G3:K3"/>
    <mergeCell ref="B30:B31"/>
    <mergeCell ref="C30:C31"/>
    <mergeCell ref="J30:J31"/>
    <mergeCell ref="B32:B33"/>
    <mergeCell ref="C32:C33"/>
    <mergeCell ref="J32:J33"/>
    <mergeCell ref="B26:B27"/>
    <mergeCell ref="C26:C27"/>
    <mergeCell ref="J26:J27"/>
    <mergeCell ref="J34:J35"/>
    <mergeCell ref="J18:J19"/>
    <mergeCell ref="C4:C5"/>
    <mergeCell ref="A36:A37"/>
    <mergeCell ref="B36:B37"/>
    <mergeCell ref="C36:C37"/>
    <mergeCell ref="A30:A31"/>
    <mergeCell ref="J36:J37"/>
    <mergeCell ref="A32:A33"/>
    <mergeCell ref="A34:A35"/>
    <mergeCell ref="A26:A27"/>
    <mergeCell ref="A28:A29"/>
    <mergeCell ref="B28:B29"/>
    <mergeCell ref="C28:C29"/>
    <mergeCell ref="J28:J29"/>
    <mergeCell ref="A22:A23"/>
  </mergeCells>
  <phoneticPr fontId="3"/>
  <conditionalFormatting sqref="A6 B6:C37 K7:L7 A8 K9:L9 A10 K11:L11 A12 K13:L13 A14 K15:L15 A16 K17:L17 A18 K19:L19 A20 K21:L21 A22 K23:L23 A24 K25:L25 A26 K27:L27 A28 K29:L29 A30 K31:L31 A32 K33:L33 A34 K35:L35 A36 K37:L37">
    <cfRule type="cellIs" dxfId="53" priority="1" stopIfTrue="1" operator="equal">
      <formula>0</formula>
    </cfRule>
  </conditionalFormatting>
  <conditionalFormatting sqref="F6:F37">
    <cfRule type="cellIs" dxfId="52" priority="2" stopIfTrue="1" operator="notEqual">
      <formula>$O6</formula>
    </cfRule>
  </conditionalFormatting>
  <printOptions horizontalCentered="1"/>
  <pageMargins left="0" right="0" top="0.39370078740157483" bottom="0.39370078740157483" header="0.19685039370078741" footer="0.19685039370078741"/>
  <pageSetup paperSize="9" scale="71" orientation="portrait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U38"/>
  <sheetViews>
    <sheetView zoomScale="77" zoomScaleNormal="77" zoomScaleSheetLayoutView="85" workbookViewId="0">
      <selection activeCell="K18" sqref="K18"/>
    </sheetView>
  </sheetViews>
  <sheetFormatPr defaultColWidth="9" defaultRowHeight="13.5" customHeight="1" x14ac:dyDescent="0.2"/>
  <cols>
    <col min="1" max="9" width="14.6640625" style="3" customWidth="1"/>
    <col min="10" max="10" width="2.6640625" style="3" customWidth="1"/>
    <col min="11" max="19" width="14.6640625" style="3" customWidth="1"/>
    <col min="20" max="16384" width="9" style="3"/>
  </cols>
  <sheetData>
    <row r="1" spans="1:21" ht="30" customHeight="1" thickBot="1" x14ac:dyDescent="0.25">
      <c r="E1" s="276" t="s">
        <v>301</v>
      </c>
      <c r="O1" s="276" t="s">
        <v>1059</v>
      </c>
    </row>
    <row r="2" spans="1:21" ht="19.5" customHeight="1" thickBot="1" x14ac:dyDescent="0.25">
      <c r="A2" s="277" t="s">
        <v>1462</v>
      </c>
      <c r="B2" s="277" t="s">
        <v>1463</v>
      </c>
      <c r="C2" s="667" t="s">
        <v>297</v>
      </c>
      <c r="D2" s="668"/>
      <c r="E2" s="667" t="s">
        <v>1051</v>
      </c>
      <c r="F2" s="671"/>
      <c r="G2" s="277" t="s">
        <v>298</v>
      </c>
      <c r="H2" s="277" t="s">
        <v>299</v>
      </c>
      <c r="I2" s="277" t="s">
        <v>300</v>
      </c>
    </row>
    <row r="3" spans="1:21" s="2" customFormat="1" ht="40.5" customHeight="1" thickBot="1" x14ac:dyDescent="0.25">
      <c r="A3" s="453"/>
      <c r="B3" s="454"/>
      <c r="C3" s="669" t="str">
        <f>IF('①商品マスタ 申請入力用'!D2="","",'①商品マスタ 申請入力用'!D2)</f>
        <v/>
      </c>
      <c r="D3" s="670"/>
      <c r="E3" s="672"/>
      <c r="F3" s="673"/>
      <c r="G3" s="294" t="e">
        <f ca="1">'①商品マスタ 申請入力用'!I2&amp;""</f>
        <v>#NAME?</v>
      </c>
      <c r="H3" s="294" t="str">
        <f>②仕入単価・発注情報!I2&amp;""</f>
        <v/>
      </c>
      <c r="I3" s="294" t="str">
        <f>②仕入単価・発注情報!J2&amp;""</f>
        <v/>
      </c>
      <c r="K3" s="502"/>
      <c r="L3" s="526" t="s">
        <v>1473</v>
      </c>
      <c r="M3" s="502"/>
      <c r="N3" s="502"/>
      <c r="O3" s="502"/>
      <c r="P3" s="502"/>
      <c r="Q3" s="502"/>
      <c r="R3" s="502"/>
      <c r="S3" s="502"/>
      <c r="T3" s="502"/>
      <c r="U3" s="502"/>
    </row>
    <row r="4" spans="1:21" s="2" customFormat="1" ht="24.9" customHeight="1" thickBot="1" x14ac:dyDescent="0.25">
      <c r="A4" s="275" t="s">
        <v>296</v>
      </c>
      <c r="B4" s="275"/>
      <c r="C4" s="272"/>
      <c r="D4" s="273"/>
      <c r="E4" s="273"/>
      <c r="F4" s="271"/>
      <c r="G4" s="274"/>
      <c r="H4" s="274"/>
      <c r="I4" s="274"/>
      <c r="K4" s="502"/>
      <c r="L4" s="526" t="s">
        <v>1474</v>
      </c>
      <c r="M4" s="502"/>
      <c r="N4" s="502"/>
      <c r="O4" s="502"/>
      <c r="P4" s="502"/>
      <c r="Q4" s="502"/>
      <c r="R4" s="502"/>
      <c r="S4" s="502"/>
      <c r="T4" s="502"/>
      <c r="U4" s="502"/>
    </row>
    <row r="5" spans="1:21" s="2" customFormat="1" ht="40.5" customHeight="1" thickBot="1" x14ac:dyDescent="0.25">
      <c r="A5" s="658"/>
      <c r="B5" s="659"/>
      <c r="C5" s="659"/>
      <c r="D5" s="659"/>
      <c r="E5" s="659"/>
      <c r="F5" s="659"/>
      <c r="G5" s="659"/>
      <c r="H5" s="659"/>
      <c r="I5" s="660"/>
      <c r="L5" s="522" t="s">
        <v>1417</v>
      </c>
      <c r="M5" s="502"/>
      <c r="N5" s="502"/>
      <c r="O5" s="502"/>
      <c r="P5" s="502"/>
      <c r="Q5" s="502"/>
    </row>
    <row r="6" spans="1:21" ht="12" customHeight="1" thickBot="1" x14ac:dyDescent="0.25"/>
    <row r="7" spans="1:21" ht="30" customHeight="1" x14ac:dyDescent="0.2">
      <c r="A7" s="278" t="s">
        <v>1039</v>
      </c>
      <c r="B7" s="663">
        <f>'①商品マスタ 申請入力用'!D21</f>
        <v>414898</v>
      </c>
      <c r="C7" s="664"/>
      <c r="D7" s="663">
        <f>'①商品マスタ 申請入力用'!F21</f>
        <v>414898</v>
      </c>
      <c r="E7" s="664"/>
      <c r="F7" s="663">
        <f>'①商品マスタ 申請入力用'!H21</f>
        <v>414898</v>
      </c>
      <c r="G7" s="664"/>
      <c r="H7" s="663">
        <f>'①商品マスタ 申請入力用'!J21</f>
        <v>414898</v>
      </c>
      <c r="I7" s="664"/>
      <c r="K7" s="278" t="s">
        <v>1039</v>
      </c>
      <c r="L7" s="663">
        <f>IF(B7="","",B7)</f>
        <v>414898</v>
      </c>
      <c r="M7" s="664" t="e">
        <f>IF(#REF!="","",#REF!)</f>
        <v>#REF!</v>
      </c>
      <c r="N7" s="663">
        <f>IF(D7="","",D7)</f>
        <v>414898</v>
      </c>
      <c r="O7" s="664" t="e">
        <f>IF(#REF!="","",#REF!)</f>
        <v>#REF!</v>
      </c>
      <c r="P7" s="663">
        <f>IF(F7="","",F7)</f>
        <v>414898</v>
      </c>
      <c r="Q7" s="664" t="e">
        <f>IF(#REF!="","",#REF!)</f>
        <v>#REF!</v>
      </c>
      <c r="R7" s="663">
        <f>IF(H7="","",H7)</f>
        <v>414898</v>
      </c>
      <c r="S7" s="664" t="e">
        <f>IF(#REF!="","",#REF!)</f>
        <v>#REF!</v>
      </c>
    </row>
    <row r="8" spans="1:21" ht="40.5" customHeight="1" x14ac:dyDescent="0.2">
      <c r="A8" s="279" t="s">
        <v>79</v>
      </c>
      <c r="B8" s="661" t="str">
        <f>'①商品マスタ 申請入力用'!D23</f>
        <v/>
      </c>
      <c r="C8" s="662"/>
      <c r="D8" s="661" t="str">
        <f>'①商品マスタ 申請入力用'!F23</f>
        <v/>
      </c>
      <c r="E8" s="662"/>
      <c r="F8" s="661" t="str">
        <f>'①商品マスタ 申請入力用'!H23</f>
        <v/>
      </c>
      <c r="G8" s="662"/>
      <c r="H8" s="661" t="str">
        <f>'①商品マスタ 申請入力用'!J23</f>
        <v/>
      </c>
      <c r="I8" s="662"/>
      <c r="K8" s="279" t="s">
        <v>79</v>
      </c>
      <c r="L8" s="674" t="e">
        <f ca="1">[2]!s商品名(L7)</f>
        <v>#NAME?</v>
      </c>
      <c r="M8" s="675"/>
      <c r="N8" s="674" t="e">
        <f ca="1">[2]!s商品名(N7)</f>
        <v>#NAME?</v>
      </c>
      <c r="O8" s="675"/>
      <c r="P8" s="674" t="e">
        <f ca="1">[2]!s商品名(P7)</f>
        <v>#NAME?</v>
      </c>
      <c r="Q8" s="675"/>
      <c r="R8" s="674" t="e">
        <f ca="1">[2]!s商品名(R7)</f>
        <v>#NAME?</v>
      </c>
      <c r="S8" s="675"/>
    </row>
    <row r="9" spans="1:21" ht="30" customHeight="1" x14ac:dyDescent="0.2">
      <c r="A9" s="279" t="s">
        <v>139</v>
      </c>
      <c r="B9" s="665">
        <f>'①商品マスタ 申請入力用'!D28</f>
        <v>0</v>
      </c>
      <c r="C9" s="666"/>
      <c r="D9" s="665">
        <f>'①商品マスタ 申請入力用'!F28</f>
        <v>0</v>
      </c>
      <c r="E9" s="666"/>
      <c r="F9" s="665">
        <f>'①商品マスタ 申請入力用'!H28</f>
        <v>0</v>
      </c>
      <c r="G9" s="666"/>
      <c r="H9" s="665">
        <f>'①商品マスタ 申請入力用'!J28</f>
        <v>0</v>
      </c>
      <c r="I9" s="666"/>
      <c r="K9" s="279" t="s">
        <v>139</v>
      </c>
      <c r="L9" s="665" t="e">
        <f ca="1">[2]!s規格(L7)</f>
        <v>#NAME?</v>
      </c>
      <c r="M9" s="666"/>
      <c r="N9" s="665" t="e">
        <f ca="1">[2]!s規格(N7)</f>
        <v>#NAME?</v>
      </c>
      <c r="O9" s="666"/>
      <c r="P9" s="665" t="e">
        <f ca="1">[2]!s規格(P7)</f>
        <v>#NAME?</v>
      </c>
      <c r="Q9" s="666"/>
      <c r="R9" s="665" t="e">
        <f ca="1">[2]!s規格(R7)</f>
        <v>#NAME?</v>
      </c>
      <c r="S9" s="666"/>
    </row>
    <row r="10" spans="1:21" ht="30" customHeight="1" thickBot="1" x14ac:dyDescent="0.25">
      <c r="A10" s="280" t="s">
        <v>80</v>
      </c>
      <c r="B10" s="656">
        <f>'①商品マスタ 申請入力用'!D29</f>
        <v>1</v>
      </c>
      <c r="C10" s="657"/>
      <c r="D10" s="656">
        <f>'①商品マスタ 申請入力用'!F29</f>
        <v>11</v>
      </c>
      <c r="E10" s="657"/>
      <c r="F10" s="656">
        <f>'①商品マスタ 申請入力用'!H29</f>
        <v>111</v>
      </c>
      <c r="G10" s="657"/>
      <c r="H10" s="656">
        <f>'①商品マスタ 申請入力用'!J29</f>
        <v>1111</v>
      </c>
      <c r="I10" s="657"/>
      <c r="K10" s="280" t="s">
        <v>80</v>
      </c>
      <c r="L10" s="656" t="e">
        <f ca="1">[2]!s入数(L7)</f>
        <v>#NAME?</v>
      </c>
      <c r="M10" s="657"/>
      <c r="N10" s="656" t="e">
        <f ca="1">[2]!s入数(N7)</f>
        <v>#NAME?</v>
      </c>
      <c r="O10" s="657"/>
      <c r="P10" s="656" t="e">
        <f ca="1">[2]!s入数(P7)</f>
        <v>#NAME?</v>
      </c>
      <c r="Q10" s="657"/>
      <c r="R10" s="656" t="e">
        <f ca="1">[2]!s入数(R7)</f>
        <v>#NAME?</v>
      </c>
      <c r="S10" s="657"/>
    </row>
    <row r="11" spans="1:21" ht="30" customHeight="1" thickBot="1" x14ac:dyDescent="0.25">
      <c r="A11" s="288"/>
      <c r="B11" s="288" t="s">
        <v>1055</v>
      </c>
      <c r="C11" s="289" t="s">
        <v>1038</v>
      </c>
      <c r="D11" s="288" t="s">
        <v>1055</v>
      </c>
      <c r="E11" s="289" t="s">
        <v>1038</v>
      </c>
      <c r="F11" s="288" t="s">
        <v>1055</v>
      </c>
      <c r="G11" s="289" t="s">
        <v>1038</v>
      </c>
      <c r="H11" s="288" t="s">
        <v>1055</v>
      </c>
      <c r="I11" s="289" t="s">
        <v>1038</v>
      </c>
      <c r="K11" s="288"/>
      <c r="L11" s="288" t="s">
        <v>1055</v>
      </c>
      <c r="M11" s="289" t="s">
        <v>1038</v>
      </c>
      <c r="N11" s="288" t="s">
        <v>1055</v>
      </c>
      <c r="O11" s="289" t="s">
        <v>1038</v>
      </c>
      <c r="P11" s="288" t="s">
        <v>1055</v>
      </c>
      <c r="Q11" s="289" t="s">
        <v>1038</v>
      </c>
      <c r="R11" s="288" t="s">
        <v>1055</v>
      </c>
      <c r="S11" s="289" t="s">
        <v>1038</v>
      </c>
    </row>
    <row r="12" spans="1:21" ht="30" customHeight="1" x14ac:dyDescent="0.2">
      <c r="A12" s="287" t="s">
        <v>1040</v>
      </c>
      <c r="B12" s="503">
        <f t="shared" ref="B12:B18" si="0">B$10*C12</f>
        <v>0</v>
      </c>
      <c r="C12" s="504"/>
      <c r="D12" s="503">
        <f t="shared" ref="D12:D18" si="1">D$10*E12</f>
        <v>0</v>
      </c>
      <c r="E12" s="504"/>
      <c r="F12" s="503">
        <f t="shared" ref="F12:F18" si="2">F$10*G12</f>
        <v>0</v>
      </c>
      <c r="G12" s="504"/>
      <c r="H12" s="503">
        <f t="shared" ref="H12:H18" si="3">H$10*I12</f>
        <v>0</v>
      </c>
      <c r="I12" s="504"/>
      <c r="K12" s="287" t="s">
        <v>1040</v>
      </c>
      <c r="L12" s="290" t="e">
        <f ca="1">[2]!s生販CS(L7)</f>
        <v>#NAME?</v>
      </c>
      <c r="M12" s="291" t="e">
        <f ca="1">[2]!s生販BT(L7)</f>
        <v>#NAME?</v>
      </c>
      <c r="N12" s="290" t="e">
        <f ca="1">[2]!s生販CS(N7)</f>
        <v>#NAME?</v>
      </c>
      <c r="O12" s="291" t="e">
        <f ca="1">[2]!s生販BT(N7)</f>
        <v>#NAME?</v>
      </c>
      <c r="P12" s="290" t="e">
        <f ca="1">[2]!s生販CS(P7)</f>
        <v>#NAME?</v>
      </c>
      <c r="Q12" s="291" t="e">
        <f ca="1">[2]!s生販BT(P7)</f>
        <v>#NAME?</v>
      </c>
      <c r="R12" s="290" t="e">
        <f ca="1">[2]!s生販CS(R7)</f>
        <v>#NAME?</v>
      </c>
      <c r="S12" s="291" t="e">
        <f ca="1">[2]!s生販BT(R7)</f>
        <v>#NAME?</v>
      </c>
    </row>
    <row r="13" spans="1:21" ht="30" customHeight="1" x14ac:dyDescent="0.2">
      <c r="A13" s="279" t="s">
        <v>1041</v>
      </c>
      <c r="B13" s="503">
        <f t="shared" si="0"/>
        <v>0</v>
      </c>
      <c r="C13" s="504"/>
      <c r="D13" s="503">
        <f t="shared" si="1"/>
        <v>0</v>
      </c>
      <c r="E13" s="504"/>
      <c r="F13" s="503">
        <f t="shared" si="2"/>
        <v>0</v>
      </c>
      <c r="G13" s="504"/>
      <c r="H13" s="503">
        <f t="shared" si="3"/>
        <v>0</v>
      </c>
      <c r="I13" s="504"/>
      <c r="K13" s="279" t="s">
        <v>1041</v>
      </c>
      <c r="L13" s="505" t="e">
        <f ca="1">[2]!s卸価格CS(L7)</f>
        <v>#NAME?</v>
      </c>
      <c r="M13" s="506" t="e">
        <f ca="1">[2]!s卸価格(L7)</f>
        <v>#NAME?</v>
      </c>
      <c r="N13" s="505" t="e">
        <f ca="1">[2]!s卸価格CS(N7)</f>
        <v>#NAME?</v>
      </c>
      <c r="O13" s="506" t="e">
        <f ca="1">[2]!s卸価格(N7)</f>
        <v>#NAME?</v>
      </c>
      <c r="P13" s="505" t="e">
        <f ca="1">[2]!s卸価格CS(P7)</f>
        <v>#NAME?</v>
      </c>
      <c r="Q13" s="506" t="e">
        <f ca="1">[2]!s卸価格(P7)</f>
        <v>#NAME?</v>
      </c>
      <c r="R13" s="505" t="e">
        <f ca="1">[2]!s卸価格CS(R7)</f>
        <v>#NAME?</v>
      </c>
      <c r="S13" s="506" t="e">
        <f ca="1">[2]!s卸価格(R7)</f>
        <v>#NAME?</v>
      </c>
    </row>
    <row r="14" spans="1:21" ht="30" customHeight="1" x14ac:dyDescent="0.2">
      <c r="A14" s="279" t="s">
        <v>1042</v>
      </c>
      <c r="B14" s="503">
        <f t="shared" si="0"/>
        <v>0</v>
      </c>
      <c r="C14" s="504"/>
      <c r="D14" s="503">
        <f t="shared" si="1"/>
        <v>0</v>
      </c>
      <c r="E14" s="504"/>
      <c r="F14" s="503">
        <f t="shared" si="2"/>
        <v>0</v>
      </c>
      <c r="G14" s="504"/>
      <c r="H14" s="503">
        <f t="shared" si="3"/>
        <v>0</v>
      </c>
      <c r="I14" s="504"/>
      <c r="K14" s="279" t="s">
        <v>1042</v>
      </c>
      <c r="L14" s="505" t="e">
        <f ca="1">[2]!s小売価格CS(L7)</f>
        <v>#NAME?</v>
      </c>
      <c r="M14" s="506" t="e">
        <f ca="1">[2]!s小売価格(L7)</f>
        <v>#NAME?</v>
      </c>
      <c r="N14" s="505" t="e">
        <f ca="1">[2]!s小売価格CS(N7)</f>
        <v>#NAME?</v>
      </c>
      <c r="O14" s="506" t="e">
        <f ca="1">[2]!s小売価格(N7)</f>
        <v>#NAME?</v>
      </c>
      <c r="P14" s="505" t="e">
        <f ca="1">[2]!s小売価格CS(P7)</f>
        <v>#NAME?</v>
      </c>
      <c r="Q14" s="506" t="e">
        <f ca="1">[2]!s小売価格(P7)</f>
        <v>#NAME?</v>
      </c>
      <c r="R14" s="505" t="e">
        <f ca="1">[2]!s小売価格CS(R7)</f>
        <v>#NAME?</v>
      </c>
      <c r="S14" s="506" t="e">
        <f ca="1">[2]!s小売価格(R7)</f>
        <v>#NAME?</v>
      </c>
    </row>
    <row r="15" spans="1:21" ht="30" customHeight="1" x14ac:dyDescent="0.2">
      <c r="A15" s="279" t="s">
        <v>1464</v>
      </c>
      <c r="B15" s="503">
        <f t="shared" si="0"/>
        <v>0</v>
      </c>
      <c r="C15" s="291">
        <f>IF(C$14&lt;&gt;0,IF(C$14-(ROUNDUP(C$20/70%,-1))&gt;0,ROUNDUP(C$20/70%,-1),C14),ROUNDUP(C$20/70%,-1))</f>
        <v>0</v>
      </c>
      <c r="D15" s="503">
        <f t="shared" si="1"/>
        <v>0</v>
      </c>
      <c r="E15" s="291">
        <f>IF(E$14&lt;&gt;0,IF(E$14-(ROUNDUP(E$20/70%,-1))&gt;0,ROUNDUP(E$20/70%,-1),E14),ROUNDUP(E$20/70%,-1))</f>
        <v>0</v>
      </c>
      <c r="F15" s="503">
        <f t="shared" si="2"/>
        <v>0</v>
      </c>
      <c r="G15" s="291">
        <f>IF(G$14&lt;&gt;0,IF(G$14-(ROUNDUP(G$20/70%,-1))&gt;0,ROUNDUP(G$20/70%,-1),G14),ROUNDUP(G$20/70%,-1))</f>
        <v>0</v>
      </c>
      <c r="H15" s="503">
        <f t="shared" si="3"/>
        <v>0</v>
      </c>
      <c r="I15" s="291">
        <f>IF(I$14&lt;&gt;0,IF(I$14-(ROUNDUP(I$20/70%,-1))&gt;0,ROUNDUP(I$20/70%,-1),I14),ROUNDUP(I$20/70%,-1))</f>
        <v>0</v>
      </c>
      <c r="K15" s="279" t="s">
        <v>1464</v>
      </c>
      <c r="L15" s="505" t="e">
        <f ca="1">[2]!sR1売価CS(L7)</f>
        <v>#NAME?</v>
      </c>
      <c r="M15" s="506" t="e">
        <f ca="1">[2]!sR1売価(L7)</f>
        <v>#NAME?</v>
      </c>
      <c r="N15" s="505" t="e">
        <f ca="1">[2]!sR1売価CS(N7)</f>
        <v>#NAME?</v>
      </c>
      <c r="O15" s="506" t="e">
        <f ca="1">[2]!sR1売価(N7)</f>
        <v>#NAME?</v>
      </c>
      <c r="P15" s="505" t="e">
        <f ca="1">[2]!sR1売価CS(P7)</f>
        <v>#NAME?</v>
      </c>
      <c r="Q15" s="506" t="e">
        <f ca="1">[2]!sR1売価(P7)</f>
        <v>#NAME?</v>
      </c>
      <c r="R15" s="505" t="e">
        <f ca="1">[2]!sR1売価CS(R7)</f>
        <v>#NAME?</v>
      </c>
      <c r="S15" s="506" t="e">
        <f ca="1">[2]!sR1売価(R7)</f>
        <v>#NAME?</v>
      </c>
    </row>
    <row r="16" spans="1:21" ht="30" customHeight="1" x14ac:dyDescent="0.2">
      <c r="A16" s="279" t="s">
        <v>1044</v>
      </c>
      <c r="B16" s="503">
        <f t="shared" si="0"/>
        <v>0</v>
      </c>
      <c r="C16" s="291">
        <f>IF(C$14&lt;&gt;0,IF(C$14-(ROUNDUP(C$20/75%,-1))&gt;0,ROUNDUP(C$20/75%,-1),C15),ROUNDUP(C$20/75%,-1))</f>
        <v>0</v>
      </c>
      <c r="D16" s="503">
        <f t="shared" si="1"/>
        <v>0</v>
      </c>
      <c r="E16" s="291">
        <f>IF(E$14&lt;&gt;0,IF(E$14-(ROUNDUP(E$20/75%,-1))&gt;0,ROUNDUP(E$20/75%,-1),E15),ROUNDUP(E$20/75%,-1))</f>
        <v>0</v>
      </c>
      <c r="F16" s="503">
        <f t="shared" si="2"/>
        <v>0</v>
      </c>
      <c r="G16" s="291">
        <f>IF(G$14&lt;&gt;0,IF(G$14-(ROUNDUP(G$20/75%,-1))&gt;0,ROUNDUP(G$20/75%,-1),G15),ROUNDUP(G$20/75%,-1))</f>
        <v>0</v>
      </c>
      <c r="H16" s="503">
        <f t="shared" si="3"/>
        <v>0</v>
      </c>
      <c r="I16" s="291">
        <f>IF(I$14&lt;&gt;0,IF(I$14-(ROUNDUP(I$20/75%,-1))&gt;0,ROUNDUP(I$20/75%,-1),I15),ROUNDUP(I$20/75%,-1))</f>
        <v>0</v>
      </c>
      <c r="K16" s="279" t="s">
        <v>1044</v>
      </c>
      <c r="L16" s="505" t="e">
        <f ca="1">[2]!sR2売価CS(L7)</f>
        <v>#NAME?</v>
      </c>
      <c r="M16" s="506" t="e">
        <f ca="1">[2]!sR2売価(L7)</f>
        <v>#NAME?</v>
      </c>
      <c r="N16" s="505" t="e">
        <f ca="1">[2]!sR2売価CS(N7)</f>
        <v>#NAME?</v>
      </c>
      <c r="O16" s="506" t="e">
        <f ca="1">[2]!sR2売価(N7)</f>
        <v>#NAME?</v>
      </c>
      <c r="P16" s="505" t="e">
        <f ca="1">[2]!sR2売価CS(P7)</f>
        <v>#NAME?</v>
      </c>
      <c r="Q16" s="506" t="e">
        <f ca="1">[2]!sR2売価(P7)</f>
        <v>#NAME?</v>
      </c>
      <c r="R16" s="505" t="e">
        <f ca="1">[2]!sR2売価CS(R7)</f>
        <v>#NAME?</v>
      </c>
      <c r="S16" s="506" t="e">
        <f ca="1">[2]!sR2売価(R7)</f>
        <v>#NAME?</v>
      </c>
    </row>
    <row r="17" spans="1:19" ht="30" customHeight="1" x14ac:dyDescent="0.2">
      <c r="A17" s="279" t="s">
        <v>1045</v>
      </c>
      <c r="B17" s="503">
        <f t="shared" si="0"/>
        <v>0</v>
      </c>
      <c r="C17" s="291">
        <f>IF(C$14&lt;&gt;0,IF(C$14-(ROUNDUP(C$20/80%,-1))&gt;0,ROUNDUP(C$20/80%,-1),C16),ROUNDUP(C$20/80%,-1))</f>
        <v>0</v>
      </c>
      <c r="D17" s="503">
        <f t="shared" si="1"/>
        <v>0</v>
      </c>
      <c r="E17" s="291">
        <f>IF(E$14&lt;&gt;0,IF(E$14-(ROUNDUP(E$20/80%,-1))&gt;0,ROUNDUP(E$20/80%,-1),E16),ROUNDUP(E$20/80%,-1))</f>
        <v>0</v>
      </c>
      <c r="F17" s="503">
        <f t="shared" si="2"/>
        <v>0</v>
      </c>
      <c r="G17" s="291">
        <f>IF(G$14&lt;&gt;0,IF(G$14-(ROUNDUP(G$20/80%,-1))&gt;0,ROUNDUP(G$20/80%,-1),G16),ROUNDUP(G$20/80%,-1))</f>
        <v>0</v>
      </c>
      <c r="H17" s="503">
        <f t="shared" si="3"/>
        <v>0</v>
      </c>
      <c r="I17" s="291">
        <f>IF(I$14&lt;&gt;0,IF(I$14-(ROUNDUP(I$20/80%,-1))&gt;0,ROUNDUP(I$20/80%,-1),I16),ROUNDUP(I$20/80%,-1))</f>
        <v>0</v>
      </c>
      <c r="K17" s="279" t="s">
        <v>1045</v>
      </c>
      <c r="L17" s="505" t="e">
        <f ca="1">[2]!sR3売価CS(L7)</f>
        <v>#NAME?</v>
      </c>
      <c r="M17" s="506" t="e">
        <f ca="1">[2]!sR3売価(L7)</f>
        <v>#NAME?</v>
      </c>
      <c r="N17" s="505" t="e">
        <f ca="1">[2]!sR3売価CS(N7)</f>
        <v>#NAME?</v>
      </c>
      <c r="O17" s="506" t="e">
        <f ca="1">[2]!sR3売価(N7)</f>
        <v>#NAME?</v>
      </c>
      <c r="P17" s="505" t="e">
        <f ca="1">[2]!sR3売価CS(P7)</f>
        <v>#NAME?</v>
      </c>
      <c r="Q17" s="506" t="e">
        <f ca="1">[2]!sR3売価(P7)</f>
        <v>#NAME?</v>
      </c>
      <c r="R17" s="505" t="e">
        <f ca="1">[2]!sR3売価CS(R7)</f>
        <v>#NAME?</v>
      </c>
      <c r="S17" s="506" t="e">
        <f ca="1">[2]!sR3売価(R7)</f>
        <v>#NAME?</v>
      </c>
    </row>
    <row r="18" spans="1:19" ht="30" customHeight="1" x14ac:dyDescent="0.2">
      <c r="A18" s="279" t="s">
        <v>1465</v>
      </c>
      <c r="B18" s="503">
        <f t="shared" si="0"/>
        <v>0</v>
      </c>
      <c r="C18" s="504"/>
      <c r="D18" s="503">
        <f t="shared" si="1"/>
        <v>0</v>
      </c>
      <c r="E18" s="504"/>
      <c r="F18" s="503">
        <f t="shared" si="2"/>
        <v>0</v>
      </c>
      <c r="G18" s="504"/>
      <c r="H18" s="503">
        <f t="shared" si="3"/>
        <v>0</v>
      </c>
      <c r="I18" s="504"/>
      <c r="K18" s="279" t="s">
        <v>1465</v>
      </c>
      <c r="L18" s="505" t="e">
        <f ca="1">[2]!sN1単価CS(L7)</f>
        <v>#NAME?</v>
      </c>
      <c r="M18" s="506" t="e">
        <f ca="1">[2]!sN1単価(L7)</f>
        <v>#NAME?</v>
      </c>
      <c r="N18" s="505" t="e">
        <f ca="1">[2]!sN1単価CS(N7)</f>
        <v>#NAME?</v>
      </c>
      <c r="O18" s="506" t="e">
        <f ca="1">[2]!sN1単価(N7)</f>
        <v>#NAME?</v>
      </c>
      <c r="P18" s="505" t="e">
        <f ca="1">[2]!sN1単価CS(P7)</f>
        <v>#NAME?</v>
      </c>
      <c r="Q18" s="506" t="e">
        <f ca="1">[2]!sN1単価(P7)</f>
        <v>#NAME?</v>
      </c>
      <c r="R18" s="505" t="e">
        <f ca="1">[2]!sN1単価CS(R7)</f>
        <v>#NAME?</v>
      </c>
      <c r="S18" s="506" t="e">
        <f ca="1">[2]!sN1単価(R7)</f>
        <v>#NAME?</v>
      </c>
    </row>
    <row r="19" spans="1:19" ht="30" customHeight="1" x14ac:dyDescent="0.2">
      <c r="A19" s="279" t="s">
        <v>1047</v>
      </c>
      <c r="B19" s="503">
        <f>C19*B$10</f>
        <v>0</v>
      </c>
      <c r="C19" s="504"/>
      <c r="D19" s="503">
        <f>E19*D$10</f>
        <v>0</v>
      </c>
      <c r="E19" s="504"/>
      <c r="F19" s="503">
        <f>G19*F$10</f>
        <v>0</v>
      </c>
      <c r="G19" s="504"/>
      <c r="H19" s="503">
        <f>I19*H$10</f>
        <v>0</v>
      </c>
      <c r="I19" s="504"/>
      <c r="K19" s="279" t="s">
        <v>1047</v>
      </c>
      <c r="L19" s="505" t="e">
        <f ca="1">L18-L20</f>
        <v>#NAME?</v>
      </c>
      <c r="M19" s="506" t="e">
        <f ca="1">M18-M20</f>
        <v>#NAME?</v>
      </c>
      <c r="N19" s="505" t="e">
        <f t="shared" ref="N19:S19" ca="1" si="4">N18-N20</f>
        <v>#NAME?</v>
      </c>
      <c r="O19" s="506" t="e">
        <f t="shared" ca="1" si="4"/>
        <v>#NAME?</v>
      </c>
      <c r="P19" s="505" t="e">
        <f t="shared" ca="1" si="4"/>
        <v>#NAME?</v>
      </c>
      <c r="Q19" s="506" t="e">
        <f t="shared" ca="1" si="4"/>
        <v>#NAME?</v>
      </c>
      <c r="R19" s="505" t="e">
        <f t="shared" ca="1" si="4"/>
        <v>#NAME?</v>
      </c>
      <c r="S19" s="506" t="e">
        <f t="shared" ca="1" si="4"/>
        <v>#NAME?</v>
      </c>
    </row>
    <row r="20" spans="1:19" ht="30" customHeight="1" x14ac:dyDescent="0.2">
      <c r="A20" s="279" t="s">
        <v>1466</v>
      </c>
      <c r="B20" s="503">
        <f>B$10*C20</f>
        <v>0</v>
      </c>
      <c r="C20" s="504">
        <f>C18-C19</f>
        <v>0</v>
      </c>
      <c r="D20" s="503">
        <f t="shared" ref="D20" si="5">D$10*E20</f>
        <v>0</v>
      </c>
      <c r="E20" s="504">
        <f t="shared" ref="E20" si="6">E18-E19</f>
        <v>0</v>
      </c>
      <c r="F20" s="503">
        <f t="shared" ref="F20" si="7">F$10*G20</f>
        <v>0</v>
      </c>
      <c r="G20" s="504">
        <f t="shared" ref="G20" si="8">G18-G19</f>
        <v>0</v>
      </c>
      <c r="H20" s="503">
        <f t="shared" ref="H20" si="9">H$10*I20</f>
        <v>0</v>
      </c>
      <c r="I20" s="504">
        <f t="shared" ref="I20" si="10">I18-I19</f>
        <v>0</v>
      </c>
      <c r="K20" s="279" t="s">
        <v>1466</v>
      </c>
      <c r="L20" s="505" t="e">
        <f ca="1">[2]!sN2単価CS(L7)</f>
        <v>#NAME?</v>
      </c>
      <c r="M20" s="506" t="e">
        <f ca="1">[2]!sN2単価(L7)</f>
        <v>#NAME?</v>
      </c>
      <c r="N20" s="505" t="e">
        <f ca="1">[2]!sN2単価CS(N7)</f>
        <v>#NAME?</v>
      </c>
      <c r="O20" s="506" t="e">
        <f ca="1">[2]!sN2単価(N7)</f>
        <v>#NAME?</v>
      </c>
      <c r="P20" s="505" t="e">
        <f ca="1">[2]!sN2単価CS(P7)</f>
        <v>#NAME?</v>
      </c>
      <c r="Q20" s="506" t="e">
        <f ca="1">[2]!sN2単価(P7)</f>
        <v>#NAME?</v>
      </c>
      <c r="R20" s="505" t="e">
        <f ca="1">[2]!sN2単価CS(R7)</f>
        <v>#NAME?</v>
      </c>
      <c r="S20" s="506" t="e">
        <f ca="1">[2]!sN2単価(R7)</f>
        <v>#NAME?</v>
      </c>
    </row>
    <row r="21" spans="1:19" ht="30" customHeight="1" x14ac:dyDescent="0.2">
      <c r="A21" s="279" t="s">
        <v>1467</v>
      </c>
      <c r="B21" s="503">
        <f>C21*B$10</f>
        <v>0</v>
      </c>
      <c r="C21" s="504"/>
      <c r="D21" s="503">
        <f t="shared" ref="D21" si="11">E21*D$10</f>
        <v>0</v>
      </c>
      <c r="E21" s="504"/>
      <c r="F21" s="503">
        <f t="shared" ref="F21" si="12">G21*F$10</f>
        <v>0</v>
      </c>
      <c r="G21" s="504"/>
      <c r="H21" s="503">
        <f t="shared" ref="H21" si="13">I21*H$10</f>
        <v>0</v>
      </c>
      <c r="I21" s="504"/>
      <c r="K21" s="279" t="s">
        <v>1467</v>
      </c>
      <c r="L21" s="505" t="e">
        <f ca="1">L20-L22</f>
        <v>#NAME?</v>
      </c>
      <c r="M21" s="506" t="e">
        <f ca="1">M20-M22</f>
        <v>#NAME?</v>
      </c>
      <c r="N21" s="505" t="e">
        <f t="shared" ref="N21:S21" ca="1" si="14">N20-N22</f>
        <v>#NAME?</v>
      </c>
      <c r="O21" s="506" t="e">
        <f t="shared" ca="1" si="14"/>
        <v>#NAME?</v>
      </c>
      <c r="P21" s="505" t="e">
        <f t="shared" ca="1" si="14"/>
        <v>#NAME?</v>
      </c>
      <c r="Q21" s="506" t="e">
        <f t="shared" ca="1" si="14"/>
        <v>#NAME?</v>
      </c>
      <c r="R21" s="505" t="e">
        <f t="shared" ca="1" si="14"/>
        <v>#NAME?</v>
      </c>
      <c r="S21" s="506" t="e">
        <f t="shared" ca="1" si="14"/>
        <v>#NAME?</v>
      </c>
    </row>
    <row r="22" spans="1:19" ht="30" customHeight="1" thickBot="1" x14ac:dyDescent="0.25">
      <c r="A22" s="280" t="s">
        <v>1468</v>
      </c>
      <c r="B22" s="507">
        <f>B$10*C22</f>
        <v>0</v>
      </c>
      <c r="C22" s="508">
        <f>C20-C21</f>
        <v>0</v>
      </c>
      <c r="D22" s="507">
        <f t="shared" ref="D22" si="15">D$10*E22</f>
        <v>0</v>
      </c>
      <c r="E22" s="508">
        <f t="shared" ref="E22" si="16">E20-E21</f>
        <v>0</v>
      </c>
      <c r="F22" s="507">
        <f t="shared" ref="F22" si="17">F$10*G22</f>
        <v>0</v>
      </c>
      <c r="G22" s="508">
        <f t="shared" ref="G22" si="18">G20-G21</f>
        <v>0</v>
      </c>
      <c r="H22" s="507">
        <f t="shared" ref="H22" si="19">H$10*I22</f>
        <v>0</v>
      </c>
      <c r="I22" s="508">
        <f t="shared" ref="I22" si="20">I20-I21</f>
        <v>0</v>
      </c>
      <c r="K22" s="280" t="s">
        <v>1468</v>
      </c>
      <c r="L22" s="509" t="e">
        <f ca="1">[2]!sN3単価CS(L7)</f>
        <v>#NAME?</v>
      </c>
      <c r="M22" s="510" t="e">
        <f ca="1">[2]!sN3単価(L7)</f>
        <v>#NAME?</v>
      </c>
      <c r="N22" s="509" t="e">
        <f ca="1">[2]!sN3単価CS(N7)</f>
        <v>#NAME?</v>
      </c>
      <c r="O22" s="510" t="e">
        <f ca="1">[2]!sN3単価(N7)</f>
        <v>#NAME?</v>
      </c>
      <c r="P22" s="509" t="e">
        <f ca="1">[2]!sN3単価CS(P7)</f>
        <v>#NAME?</v>
      </c>
      <c r="Q22" s="510" t="e">
        <f ca="1">[2]!sN3単価(P7)</f>
        <v>#NAME?</v>
      </c>
      <c r="R22" s="509" t="e">
        <f ca="1">[2]!sN3単価CS(R7)</f>
        <v>#NAME?</v>
      </c>
      <c r="S22" s="510" t="e">
        <f ca="1">[2]!sN3単価(R7)</f>
        <v>#NAME?</v>
      </c>
    </row>
    <row r="23" spans="1:19" ht="30" customHeight="1" thickTop="1" x14ac:dyDescent="0.2">
      <c r="A23" s="281" t="s">
        <v>1049</v>
      </c>
      <c r="B23" s="511">
        <f>B$10*C23</f>
        <v>0</v>
      </c>
      <c r="C23" s="512">
        <f>C13</f>
        <v>0</v>
      </c>
      <c r="D23" s="511">
        <f>D$10*E23</f>
        <v>0</v>
      </c>
      <c r="E23" s="512">
        <f>E13</f>
        <v>0</v>
      </c>
      <c r="F23" s="511">
        <f>F$10*G23</f>
        <v>0</v>
      </c>
      <c r="G23" s="512">
        <f>G13</f>
        <v>0</v>
      </c>
      <c r="H23" s="511">
        <f>H$10*I23</f>
        <v>0</v>
      </c>
      <c r="I23" s="512">
        <f>I13</f>
        <v>0</v>
      </c>
      <c r="K23" s="281" t="s">
        <v>1049</v>
      </c>
      <c r="L23" s="446" t="e">
        <f ca="1">[2]!s買上単価寄贈品CS(L7)</f>
        <v>#NAME?</v>
      </c>
      <c r="M23" s="447" t="e">
        <f ca="1">[2]!s買上単価寄贈品(L7)</f>
        <v>#NAME?</v>
      </c>
      <c r="N23" s="446" t="e">
        <f ca="1">[2]!s買上単価寄贈品CS(N7)</f>
        <v>#NAME?</v>
      </c>
      <c r="O23" s="447" t="e">
        <f ca="1">[2]!s買上単価寄贈品(N7)</f>
        <v>#NAME?</v>
      </c>
      <c r="P23" s="446" t="e">
        <f ca="1">[2]!s買上単価寄贈品CS(P7)</f>
        <v>#NAME?</v>
      </c>
      <c r="Q23" s="447" t="e">
        <f ca="1">[2]!s買上単価寄贈品(P7)</f>
        <v>#NAME?</v>
      </c>
      <c r="R23" s="446" t="e">
        <f ca="1">[2]!s買上単価寄贈品CS(R7)</f>
        <v>#NAME?</v>
      </c>
      <c r="S23" s="447" t="e">
        <f ca="1">[2]!s買上単価寄贈品(R7)</f>
        <v>#NAME?</v>
      </c>
    </row>
    <row r="24" spans="1:19" ht="30" customHeight="1" thickBot="1" x14ac:dyDescent="0.25">
      <c r="A24" s="513" t="s">
        <v>1050</v>
      </c>
      <c r="B24" s="514">
        <f>B$10*C24</f>
        <v>0</v>
      </c>
      <c r="C24" s="515">
        <f>C23</f>
        <v>0</v>
      </c>
      <c r="D24" s="514">
        <f>D$10*E24</f>
        <v>0</v>
      </c>
      <c r="E24" s="515">
        <f>E23</f>
        <v>0</v>
      </c>
      <c r="F24" s="514">
        <f>F$10*G24</f>
        <v>0</v>
      </c>
      <c r="G24" s="515">
        <f>G23</f>
        <v>0</v>
      </c>
      <c r="H24" s="514">
        <f>H$10*I24</f>
        <v>0</v>
      </c>
      <c r="I24" s="515">
        <f>I23</f>
        <v>0</v>
      </c>
      <c r="K24" s="280" t="s">
        <v>1050</v>
      </c>
      <c r="L24" s="509" t="e">
        <f ca="1">[2]!s買上単価不良品CS(L7)</f>
        <v>#NAME?</v>
      </c>
      <c r="M24" s="510" t="e">
        <f ca="1">[2]!s買上単価不良品(L7)</f>
        <v>#NAME?</v>
      </c>
      <c r="N24" s="509" t="e">
        <f ca="1">[2]!s買上単価不良品CS(N7)</f>
        <v>#NAME?</v>
      </c>
      <c r="O24" s="510" t="e">
        <f ca="1">[2]!s買上単価不良品(N7)</f>
        <v>#NAME?</v>
      </c>
      <c r="P24" s="509" t="e">
        <f ca="1">[2]!s買上単価不良品CS(P7)</f>
        <v>#NAME?</v>
      </c>
      <c r="Q24" s="510" t="e">
        <f ca="1">[2]!s買上単価不良品(P7)</f>
        <v>#NAME?</v>
      </c>
      <c r="R24" s="509" t="e">
        <f ca="1">[2]!s買上単価不良品CS(R7)</f>
        <v>#NAME?</v>
      </c>
      <c r="S24" s="510" t="e">
        <f ca="1">[2]!s買上単価不良品(R7)</f>
        <v>#NAME?</v>
      </c>
    </row>
    <row r="25" spans="1:19" ht="9" customHeight="1" thickTop="1" thickBot="1" x14ac:dyDescent="0.25">
      <c r="K25" s="516"/>
      <c r="L25" s="516"/>
      <c r="M25" s="516"/>
      <c r="N25" s="516"/>
      <c r="O25" s="516"/>
      <c r="P25" s="516"/>
      <c r="Q25" s="516"/>
      <c r="R25" s="516"/>
      <c r="S25" s="516"/>
    </row>
    <row r="26" spans="1:19" ht="32.25" hidden="1" customHeight="1" thickBot="1" x14ac:dyDescent="0.25">
      <c r="A26" s="521" t="s">
        <v>1469</v>
      </c>
      <c r="B26" s="517">
        <f>B$10*C26</f>
        <v>0</v>
      </c>
      <c r="C26" s="518">
        <f>②仕入単価・発注情報!F7</f>
        <v>0</v>
      </c>
      <c r="D26" s="517">
        <f>D$10*E26</f>
        <v>0</v>
      </c>
      <c r="E26" s="518">
        <f>②仕入単価・発注情報!F9</f>
        <v>0</v>
      </c>
      <c r="F26" s="517">
        <f>F$10*G26</f>
        <v>0</v>
      </c>
      <c r="G26" s="518">
        <f>②仕入単価・発注情報!F11</f>
        <v>0</v>
      </c>
      <c r="H26" s="517">
        <f>H$10*I26</f>
        <v>0</v>
      </c>
      <c r="I26" s="518">
        <f>②仕入単価・発注情報!F13</f>
        <v>0</v>
      </c>
      <c r="K26" s="519"/>
      <c r="L26" s="520"/>
      <c r="M26" s="520"/>
      <c r="N26" s="520"/>
      <c r="O26" s="520"/>
      <c r="P26" s="520"/>
      <c r="Q26" s="519"/>
      <c r="R26" s="520"/>
      <c r="S26" s="520"/>
    </row>
    <row r="27" spans="1:19" ht="15.6" thickTop="1" thickBot="1" x14ac:dyDescent="0.25">
      <c r="A27" s="519" t="s">
        <v>1410</v>
      </c>
      <c r="B27" s="520"/>
      <c r="C27" s="520"/>
      <c r="D27" s="520"/>
      <c r="E27" s="520"/>
      <c r="F27" s="520"/>
      <c r="G27" s="519"/>
      <c r="H27" s="520"/>
      <c r="I27" s="520"/>
      <c r="K27" s="285" t="s">
        <v>1064</v>
      </c>
      <c r="L27" s="284"/>
      <c r="M27" s="284"/>
      <c r="N27" s="284"/>
      <c r="O27" s="284"/>
      <c r="P27" s="284"/>
      <c r="Q27" s="285"/>
      <c r="R27" s="284"/>
      <c r="S27" s="284"/>
    </row>
    <row r="28" spans="1:19" ht="44.25" customHeight="1" thickTop="1" thickBot="1" x14ac:dyDescent="0.25">
      <c r="A28" s="282" t="s">
        <v>1470</v>
      </c>
      <c r="B28" s="455">
        <f t="shared" ref="B28:D28" si="21">B$10*C28</f>
        <v>0</v>
      </c>
      <c r="C28" s="456"/>
      <c r="D28" s="455">
        <f t="shared" si="21"/>
        <v>0</v>
      </c>
      <c r="E28" s="456"/>
      <c r="F28" s="455">
        <f t="shared" ref="F28" si="22">F$10*G28</f>
        <v>0</v>
      </c>
      <c r="G28" s="456"/>
      <c r="H28" s="455">
        <f t="shared" ref="H28" si="23">H$10*I28</f>
        <v>0</v>
      </c>
      <c r="I28" s="456"/>
      <c r="K28" s="282" t="s">
        <v>1470</v>
      </c>
      <c r="L28" s="305" t="e">
        <f ca="1">[2]!POS_CS(L7)</f>
        <v>#NAME?</v>
      </c>
      <c r="M28" s="306" t="e">
        <f ca="1">[2]!POS_BT(L7)</f>
        <v>#NAME?</v>
      </c>
      <c r="N28" s="305" t="e">
        <f ca="1">[2]!POS_CS(N7)</f>
        <v>#NAME?</v>
      </c>
      <c r="O28" s="306" t="e">
        <f ca="1">[2]!POS_BT(N7)</f>
        <v>#NAME?</v>
      </c>
      <c r="P28" s="305" t="e">
        <f ca="1">[2]!POS_CS(P7)</f>
        <v>#NAME?</v>
      </c>
      <c r="Q28" s="306" t="e">
        <f ca="1">[2]!POS_BT(P7)</f>
        <v>#NAME?</v>
      </c>
      <c r="R28" s="305" t="e">
        <f ca="1">[2]!POS_CS(R7)</f>
        <v>#NAME?</v>
      </c>
      <c r="S28" s="306" t="e">
        <f ca="1">[2]!POS_BT(R7)</f>
        <v>#NAME?</v>
      </c>
    </row>
    <row r="29" spans="1:19" ht="44.25" customHeight="1" thickTop="1" thickBot="1" x14ac:dyDescent="0.25">
      <c r="A29" s="286" t="s">
        <v>1058</v>
      </c>
      <c r="B29" s="295">
        <f t="shared" ref="B29:I29" si="24">B22/0.8011</f>
        <v>0</v>
      </c>
      <c r="C29" s="296">
        <f t="shared" si="24"/>
        <v>0</v>
      </c>
      <c r="D29" s="295">
        <f t="shared" si="24"/>
        <v>0</v>
      </c>
      <c r="E29" s="296">
        <f t="shared" si="24"/>
        <v>0</v>
      </c>
      <c r="F29" s="295">
        <f t="shared" si="24"/>
        <v>0</v>
      </c>
      <c r="G29" s="296">
        <f t="shared" si="24"/>
        <v>0</v>
      </c>
      <c r="H29" s="295">
        <f t="shared" si="24"/>
        <v>0</v>
      </c>
      <c r="I29" s="296">
        <f t="shared" si="24"/>
        <v>0</v>
      </c>
      <c r="K29" s="286" t="s">
        <v>1058</v>
      </c>
      <c r="L29" s="295" t="e">
        <f t="shared" ref="L29:S29" ca="1" si="25">L22/0.8011</f>
        <v>#NAME?</v>
      </c>
      <c r="M29" s="296" t="e">
        <f t="shared" ca="1" si="25"/>
        <v>#NAME?</v>
      </c>
      <c r="N29" s="295" t="e">
        <f t="shared" ca="1" si="25"/>
        <v>#NAME?</v>
      </c>
      <c r="O29" s="296" t="e">
        <f t="shared" ca="1" si="25"/>
        <v>#NAME?</v>
      </c>
      <c r="P29" s="295" t="e">
        <f t="shared" ca="1" si="25"/>
        <v>#NAME?</v>
      </c>
      <c r="Q29" s="296" t="e">
        <f t="shared" ca="1" si="25"/>
        <v>#NAME?</v>
      </c>
      <c r="R29" s="295" t="e">
        <f t="shared" ca="1" si="25"/>
        <v>#NAME?</v>
      </c>
      <c r="S29" s="296" t="e">
        <f t="shared" ca="1" si="25"/>
        <v>#NAME?</v>
      </c>
    </row>
    <row r="30" spans="1:19" ht="15.6" thickTop="1" thickBot="1" x14ac:dyDescent="0.25">
      <c r="A30" s="285" t="s">
        <v>1411</v>
      </c>
      <c r="B30" s="284"/>
      <c r="C30" s="284"/>
      <c r="D30" s="284"/>
      <c r="E30" s="284"/>
      <c r="F30" s="284"/>
      <c r="G30" s="285" t="s">
        <v>1415</v>
      </c>
      <c r="H30" s="284"/>
      <c r="I30" s="284"/>
      <c r="K30" s="285" t="s">
        <v>1056</v>
      </c>
      <c r="L30" s="284"/>
      <c r="M30" s="284"/>
      <c r="N30" s="284"/>
      <c r="O30" s="284"/>
      <c r="P30" s="284"/>
      <c r="Q30" s="285" t="s">
        <v>1415</v>
      </c>
      <c r="R30" s="284"/>
      <c r="S30" s="284"/>
    </row>
    <row r="31" spans="1:19" ht="44.25" customHeight="1" thickTop="1" thickBot="1" x14ac:dyDescent="0.25">
      <c r="A31" s="283" t="s">
        <v>1471</v>
      </c>
      <c r="B31" s="455">
        <f>B$10*C31</f>
        <v>0</v>
      </c>
      <c r="C31" s="456"/>
      <c r="D31" s="455">
        <f t="shared" ref="D31" si="26">D$10*E31</f>
        <v>0</v>
      </c>
      <c r="E31" s="456"/>
      <c r="F31" s="455">
        <f t="shared" ref="F31" si="27">F$10*G31</f>
        <v>0</v>
      </c>
      <c r="G31" s="456"/>
      <c r="H31" s="455">
        <f t="shared" ref="H31" si="28">H$10*I31</f>
        <v>0</v>
      </c>
      <c r="I31" s="456"/>
      <c r="K31" s="283" t="s">
        <v>1471</v>
      </c>
      <c r="L31" s="305" t="e">
        <f ca="1">[2]!sKYL単価c(L7)</f>
        <v>#NAME?</v>
      </c>
      <c r="M31" s="306" t="e">
        <f ca="1">[2]!sKYL単価b(L7)</f>
        <v>#NAME?</v>
      </c>
      <c r="N31" s="305" t="e">
        <f ca="1">[2]!sKYL単価c(N7)</f>
        <v>#NAME?</v>
      </c>
      <c r="O31" s="306" t="e">
        <f ca="1">[2]!sKYL単価b(N7)</f>
        <v>#NAME?</v>
      </c>
      <c r="P31" s="305" t="e">
        <f ca="1">[2]!sKYL単価c(P7)</f>
        <v>#NAME?</v>
      </c>
      <c r="Q31" s="306" t="e">
        <f ca="1">[2]!sKYL単価b(P7)</f>
        <v>#NAME?</v>
      </c>
      <c r="R31" s="305" t="e">
        <f ca="1">[2]!sKYL単価c(R7)</f>
        <v>#NAME?</v>
      </c>
      <c r="S31" s="306" t="e">
        <f ca="1">[2]!sKYL単価b(R7)</f>
        <v>#NAME?</v>
      </c>
    </row>
    <row r="32" spans="1:19" ht="44.25" customHeight="1" thickTop="1" thickBot="1" x14ac:dyDescent="0.25">
      <c r="A32" s="286" t="s">
        <v>1058</v>
      </c>
      <c r="B32" s="295">
        <f t="shared" ref="B32:I32" si="29">B22/0.8354</f>
        <v>0</v>
      </c>
      <c r="C32" s="296">
        <f t="shared" si="29"/>
        <v>0</v>
      </c>
      <c r="D32" s="295">
        <f t="shared" si="29"/>
        <v>0</v>
      </c>
      <c r="E32" s="296">
        <f t="shared" si="29"/>
        <v>0</v>
      </c>
      <c r="F32" s="295">
        <f t="shared" si="29"/>
        <v>0</v>
      </c>
      <c r="G32" s="296">
        <f t="shared" si="29"/>
        <v>0</v>
      </c>
      <c r="H32" s="295">
        <f t="shared" si="29"/>
        <v>0</v>
      </c>
      <c r="I32" s="296">
        <f t="shared" si="29"/>
        <v>0</v>
      </c>
      <c r="K32" s="286" t="s">
        <v>1058</v>
      </c>
      <c r="L32" s="295" t="e">
        <f t="shared" ref="L32:S32" ca="1" si="30">L22/0.8354</f>
        <v>#NAME?</v>
      </c>
      <c r="M32" s="296" t="e">
        <f t="shared" ca="1" si="30"/>
        <v>#NAME?</v>
      </c>
      <c r="N32" s="295" t="e">
        <f t="shared" ca="1" si="30"/>
        <v>#NAME?</v>
      </c>
      <c r="O32" s="296" t="e">
        <f t="shared" ca="1" si="30"/>
        <v>#NAME?</v>
      </c>
      <c r="P32" s="295" t="e">
        <f t="shared" ca="1" si="30"/>
        <v>#NAME?</v>
      </c>
      <c r="Q32" s="296" t="e">
        <f t="shared" ca="1" si="30"/>
        <v>#NAME?</v>
      </c>
      <c r="R32" s="295" t="e">
        <f t="shared" ca="1" si="30"/>
        <v>#NAME?</v>
      </c>
      <c r="S32" s="296" t="e">
        <f t="shared" ca="1" si="30"/>
        <v>#NAME?</v>
      </c>
    </row>
    <row r="33" spans="1:19" ht="15.6" thickTop="1" thickBot="1" x14ac:dyDescent="0.25">
      <c r="A33" s="285" t="s">
        <v>1411</v>
      </c>
      <c r="B33" s="284"/>
      <c r="C33" s="284"/>
      <c r="D33" s="284"/>
      <c r="E33" s="284"/>
      <c r="F33" s="284"/>
      <c r="G33" s="285" t="s">
        <v>1472</v>
      </c>
      <c r="H33" s="284"/>
      <c r="I33" s="284"/>
      <c r="K33" s="285" t="s">
        <v>1056</v>
      </c>
      <c r="L33" s="284"/>
      <c r="M33" s="284"/>
      <c r="N33" s="284"/>
      <c r="O33" s="284"/>
      <c r="P33" s="284"/>
      <c r="Q33" s="285" t="s">
        <v>1415</v>
      </c>
      <c r="R33" s="284"/>
      <c r="S33" s="284"/>
    </row>
    <row r="34" spans="1:19" ht="44.25" customHeight="1" thickTop="1" thickBot="1" x14ac:dyDescent="0.25">
      <c r="A34" s="283" t="s">
        <v>1403</v>
      </c>
      <c r="B34" s="455">
        <f>B$10*C34</f>
        <v>0</v>
      </c>
      <c r="C34" s="456"/>
      <c r="D34" s="455">
        <f t="shared" ref="D34" si="31">D$10*E34</f>
        <v>0</v>
      </c>
      <c r="E34" s="456"/>
      <c r="F34" s="455">
        <f t="shared" ref="F34" si="32">F$10*G34</f>
        <v>0</v>
      </c>
      <c r="G34" s="456"/>
      <c r="H34" s="455">
        <f t="shared" ref="H34" si="33">H$10*I34</f>
        <v>0</v>
      </c>
      <c r="I34" s="456"/>
      <c r="K34" s="283" t="s">
        <v>1403</v>
      </c>
      <c r="L34" s="305" t="e">
        <f ca="1">[2]!sコルクPOS単価CS(L$7)</f>
        <v>#NAME?</v>
      </c>
      <c r="M34" s="306" t="e">
        <f ca="1">[2]!sコルクPOS単価BT(L$7)</f>
        <v>#NAME?</v>
      </c>
      <c r="N34" s="305" t="e">
        <f ca="1">[2]!sコルクPOS単価CS(N$7)</f>
        <v>#NAME?</v>
      </c>
      <c r="O34" s="306" t="e">
        <f ca="1">[2]!sコルクPOS単価BT(N$7)</f>
        <v>#NAME?</v>
      </c>
      <c r="P34" s="305" t="e">
        <f ca="1">[2]!sコルクPOS単価CS(P$7)</f>
        <v>#NAME?</v>
      </c>
      <c r="Q34" s="306" t="e">
        <f ca="1">[2]!sコルクPOS単価BT(P$7)</f>
        <v>#NAME?</v>
      </c>
      <c r="R34" s="305" t="e">
        <f ca="1">[2]!sコルクPOS単価CS(R$7)</f>
        <v>#NAME?</v>
      </c>
      <c r="S34" s="306" t="e">
        <f ca="1">[2]!sコルクPOS単価BT(R$7)</f>
        <v>#NAME?</v>
      </c>
    </row>
    <row r="35" spans="1:19" ht="44.25" customHeight="1" thickTop="1" thickBot="1" x14ac:dyDescent="0.25">
      <c r="A35" s="286" t="s">
        <v>1058</v>
      </c>
      <c r="B35" s="295">
        <f t="shared" ref="B35:I35" si="34">B22/0.8011</f>
        <v>0</v>
      </c>
      <c r="C35" s="296">
        <f t="shared" si="34"/>
        <v>0</v>
      </c>
      <c r="D35" s="295">
        <f t="shared" si="34"/>
        <v>0</v>
      </c>
      <c r="E35" s="296">
        <f t="shared" si="34"/>
        <v>0</v>
      </c>
      <c r="F35" s="295">
        <f t="shared" si="34"/>
        <v>0</v>
      </c>
      <c r="G35" s="296">
        <f t="shared" si="34"/>
        <v>0</v>
      </c>
      <c r="H35" s="295">
        <f t="shared" si="34"/>
        <v>0</v>
      </c>
      <c r="I35" s="296">
        <f t="shared" si="34"/>
        <v>0</v>
      </c>
      <c r="K35" s="286" t="s">
        <v>1058</v>
      </c>
      <c r="L35" s="295" t="e">
        <f t="shared" ref="L35:S35" ca="1" si="35">L22/0.8011</f>
        <v>#NAME?</v>
      </c>
      <c r="M35" s="296" t="e">
        <f t="shared" ca="1" si="35"/>
        <v>#NAME?</v>
      </c>
      <c r="N35" s="295" t="e">
        <f t="shared" ca="1" si="35"/>
        <v>#NAME?</v>
      </c>
      <c r="O35" s="296" t="e">
        <f t="shared" ca="1" si="35"/>
        <v>#NAME?</v>
      </c>
      <c r="P35" s="295" t="e">
        <f t="shared" ca="1" si="35"/>
        <v>#NAME?</v>
      </c>
      <c r="Q35" s="296" t="e">
        <f t="shared" ca="1" si="35"/>
        <v>#NAME?</v>
      </c>
      <c r="R35" s="295" t="e">
        <f t="shared" ca="1" si="35"/>
        <v>#NAME?</v>
      </c>
      <c r="S35" s="296" t="e">
        <f t="shared" ca="1" si="35"/>
        <v>#NAME?</v>
      </c>
    </row>
    <row r="36" spans="1:19" ht="15.6" thickTop="1" thickBot="1" x14ac:dyDescent="0.25">
      <c r="A36" s="285" t="s">
        <v>1411</v>
      </c>
      <c r="B36" s="284"/>
      <c r="C36" s="284"/>
      <c r="D36" s="284"/>
      <c r="E36" s="284"/>
      <c r="F36" s="284"/>
      <c r="G36" s="285" t="s">
        <v>1472</v>
      </c>
      <c r="H36" s="284"/>
      <c r="I36" s="284"/>
      <c r="K36" s="285" t="s">
        <v>1056</v>
      </c>
      <c r="L36" s="284"/>
      <c r="M36" s="284"/>
      <c r="N36" s="284"/>
      <c r="O36" s="284"/>
      <c r="P36" s="284"/>
      <c r="Q36" s="285" t="s">
        <v>1415</v>
      </c>
      <c r="R36" s="284"/>
      <c r="S36" s="284"/>
    </row>
    <row r="37" spans="1:19" ht="44.25" customHeight="1" thickTop="1" thickBot="1" x14ac:dyDescent="0.25">
      <c r="A37" s="283" t="s">
        <v>1409</v>
      </c>
      <c r="B37" s="455">
        <f t="shared" ref="B37" si="36">B$10*C37</f>
        <v>0</v>
      </c>
      <c r="C37" s="456">
        <f>ROUND(C22*1.14,0)</f>
        <v>0</v>
      </c>
      <c r="D37" s="455">
        <f t="shared" ref="D37" si="37">D$10*E37</f>
        <v>0</v>
      </c>
      <c r="E37" s="456">
        <f>ROUND(E22*1.14,0)</f>
        <v>0</v>
      </c>
      <c r="F37" s="455">
        <f t="shared" ref="F37" si="38">F$10*G37</f>
        <v>0</v>
      </c>
      <c r="G37" s="456">
        <f>ROUND(G22*1.14,0)</f>
        <v>0</v>
      </c>
      <c r="H37" s="455">
        <f t="shared" ref="H37" si="39">H$10*I37</f>
        <v>0</v>
      </c>
      <c r="I37" s="456">
        <f>ROUND(I22*1.14,0)</f>
        <v>0</v>
      </c>
      <c r="K37" s="283" t="s">
        <v>1409</v>
      </c>
      <c r="L37" s="305" t="e">
        <f ca="1">[2]!sKYLFC単価TC(L7)</f>
        <v>#NAME?</v>
      </c>
      <c r="M37" s="306" t="e">
        <f ca="1">[2]!sKYLFC単価TB(L7)</f>
        <v>#NAME?</v>
      </c>
      <c r="N37" s="305" t="e">
        <f ca="1">[2]!sKYLFC単価TC(N7)</f>
        <v>#NAME?</v>
      </c>
      <c r="O37" s="306" t="e">
        <f ca="1">[2]!sKYLFC単価TB(N7)</f>
        <v>#NAME?</v>
      </c>
      <c r="P37" s="305" t="e">
        <f ca="1">[2]!sKYLFC単価TC(P7)</f>
        <v>#NAME?</v>
      </c>
      <c r="Q37" s="306" t="e">
        <f ca="1">[2]!sKYLFC単価TB(P7)</f>
        <v>#NAME?</v>
      </c>
      <c r="R37" s="305" t="e">
        <f ca="1">[2]!sKYLFC単価TC(R7)</f>
        <v>#NAME?</v>
      </c>
      <c r="S37" s="306" t="e">
        <f ca="1">[2]!sKYLFC単価TB(R7)</f>
        <v>#NAME?</v>
      </c>
    </row>
    <row r="38" spans="1:19" ht="13.5" customHeight="1" thickTop="1" x14ac:dyDescent="0.2"/>
  </sheetData>
  <mergeCells count="37">
    <mergeCell ref="L9:M9"/>
    <mergeCell ref="N9:O9"/>
    <mergeCell ref="P9:Q9"/>
    <mergeCell ref="R9:S9"/>
    <mergeCell ref="L10:M10"/>
    <mergeCell ref="N10:O10"/>
    <mergeCell ref="P10:Q10"/>
    <mergeCell ref="R10:S10"/>
    <mergeCell ref="L7:M7"/>
    <mergeCell ref="N7:O7"/>
    <mergeCell ref="P7:Q7"/>
    <mergeCell ref="R7:S7"/>
    <mergeCell ref="L8:M8"/>
    <mergeCell ref="N8:O8"/>
    <mergeCell ref="P8:Q8"/>
    <mergeCell ref="R8:S8"/>
    <mergeCell ref="C2:D2"/>
    <mergeCell ref="C3:D3"/>
    <mergeCell ref="E2:F2"/>
    <mergeCell ref="E3:F3"/>
    <mergeCell ref="B8:C8"/>
    <mergeCell ref="D8:E8"/>
    <mergeCell ref="F8:G8"/>
    <mergeCell ref="B7:C7"/>
    <mergeCell ref="D7:E7"/>
    <mergeCell ref="F7:G7"/>
    <mergeCell ref="B10:C10"/>
    <mergeCell ref="D10:E10"/>
    <mergeCell ref="F10:G10"/>
    <mergeCell ref="H10:I10"/>
    <mergeCell ref="A5:I5"/>
    <mergeCell ref="H8:I8"/>
    <mergeCell ref="H7:I7"/>
    <mergeCell ref="B9:C9"/>
    <mergeCell ref="D9:E9"/>
    <mergeCell ref="F9:G9"/>
    <mergeCell ref="H9:I9"/>
  </mergeCells>
  <phoneticPr fontId="3"/>
  <conditionalFormatting sqref="B29">
    <cfRule type="cellIs" dxfId="51" priority="33" operator="greaterThan">
      <formula>$B$28</formula>
    </cfRule>
  </conditionalFormatting>
  <conditionalFormatting sqref="B32">
    <cfRule type="cellIs" dxfId="50" priority="35" operator="greaterThan">
      <formula>$B$31</formula>
    </cfRule>
  </conditionalFormatting>
  <conditionalFormatting sqref="B35">
    <cfRule type="cellIs" dxfId="49" priority="20" operator="greaterThan">
      <formula>$B$34</formula>
    </cfRule>
  </conditionalFormatting>
  <conditionalFormatting sqref="B12:I24">
    <cfRule type="cellIs" dxfId="48" priority="1" operator="notEqual">
      <formula>L12</formula>
    </cfRule>
  </conditionalFormatting>
  <conditionalFormatting sqref="B28:I28">
    <cfRule type="cellIs" dxfId="47" priority="11" operator="notEqual">
      <formula>L$28</formula>
    </cfRule>
  </conditionalFormatting>
  <conditionalFormatting sqref="B31:I31">
    <cfRule type="cellIs" dxfId="46" priority="5" operator="notEqual">
      <formula>L$31</formula>
    </cfRule>
  </conditionalFormatting>
  <conditionalFormatting sqref="B34:I34">
    <cfRule type="cellIs" dxfId="45" priority="9" operator="notEqual">
      <formula>L$34</formula>
    </cfRule>
  </conditionalFormatting>
  <conditionalFormatting sqref="B37:I37">
    <cfRule type="cellIs" dxfId="44" priority="7" operator="notEqual">
      <formula>L$37</formula>
    </cfRule>
  </conditionalFormatting>
  <conditionalFormatting sqref="C29">
    <cfRule type="cellIs" dxfId="43" priority="34" operator="greaterThan">
      <formula>$C$28</formula>
    </cfRule>
  </conditionalFormatting>
  <conditionalFormatting sqref="C32">
    <cfRule type="cellIs" dxfId="42" priority="36" operator="greaterThan">
      <formula>$C$31</formula>
    </cfRule>
  </conditionalFormatting>
  <conditionalFormatting sqref="C35">
    <cfRule type="cellIs" dxfId="41" priority="19" operator="greaterThan">
      <formula>$C$34</formula>
    </cfRule>
  </conditionalFormatting>
  <conditionalFormatting sqref="D29">
    <cfRule type="cellIs" dxfId="40" priority="32" operator="greaterThan">
      <formula>$D$28</formula>
    </cfRule>
  </conditionalFormatting>
  <conditionalFormatting sqref="D32">
    <cfRule type="cellIs" dxfId="39" priority="26" operator="greaterThan">
      <formula>$D$31</formula>
    </cfRule>
  </conditionalFormatting>
  <conditionalFormatting sqref="D35">
    <cfRule type="cellIs" dxfId="38" priority="18" operator="greaterThan">
      <formula>$D$34</formula>
    </cfRule>
  </conditionalFormatting>
  <conditionalFormatting sqref="E29">
    <cfRule type="cellIs" dxfId="37" priority="31" operator="greaterThan">
      <formula>$E$28</formula>
    </cfRule>
  </conditionalFormatting>
  <conditionalFormatting sqref="E32">
    <cfRule type="cellIs" dxfId="36" priority="25" operator="greaterThan">
      <formula>$E$31</formula>
    </cfRule>
  </conditionalFormatting>
  <conditionalFormatting sqref="E35">
    <cfRule type="cellIs" dxfId="35" priority="17" operator="greaterThan">
      <formula>$E$34</formula>
    </cfRule>
  </conditionalFormatting>
  <conditionalFormatting sqref="F29">
    <cfRule type="cellIs" dxfId="34" priority="30" operator="greaterThan">
      <formula>$F$28</formula>
    </cfRule>
  </conditionalFormatting>
  <conditionalFormatting sqref="F32">
    <cfRule type="cellIs" dxfId="33" priority="24" operator="greaterThan">
      <formula>$F$31</formula>
    </cfRule>
  </conditionalFormatting>
  <conditionalFormatting sqref="F35">
    <cfRule type="cellIs" dxfId="32" priority="16" operator="greaterThan">
      <formula>$F$34</formula>
    </cfRule>
  </conditionalFormatting>
  <conditionalFormatting sqref="G29">
    <cfRule type="cellIs" dxfId="31" priority="29" operator="greaterThan">
      <formula>$G$28</formula>
    </cfRule>
  </conditionalFormatting>
  <conditionalFormatting sqref="G32">
    <cfRule type="cellIs" dxfId="30" priority="23" operator="greaterThan">
      <formula>$G$31</formula>
    </cfRule>
  </conditionalFormatting>
  <conditionalFormatting sqref="G35">
    <cfRule type="cellIs" dxfId="29" priority="15" operator="greaterThan">
      <formula>$G$34</formula>
    </cfRule>
  </conditionalFormatting>
  <conditionalFormatting sqref="H29">
    <cfRule type="cellIs" dxfId="28" priority="28" operator="greaterThan">
      <formula>$H$28</formula>
    </cfRule>
  </conditionalFormatting>
  <conditionalFormatting sqref="H32">
    <cfRule type="cellIs" dxfId="27" priority="22" operator="greaterThan">
      <formula>$H$31</formula>
    </cfRule>
  </conditionalFormatting>
  <conditionalFormatting sqref="H35">
    <cfRule type="cellIs" dxfId="26" priority="14" operator="greaterThan">
      <formula>$H$34</formula>
    </cfRule>
  </conditionalFormatting>
  <conditionalFormatting sqref="I29">
    <cfRule type="cellIs" dxfId="25" priority="27" operator="greaterThan">
      <formula>$I$28</formula>
    </cfRule>
  </conditionalFormatting>
  <conditionalFormatting sqref="I32">
    <cfRule type="cellIs" dxfId="24" priority="21" operator="greaterThan">
      <formula>$I$31</formula>
    </cfRule>
  </conditionalFormatting>
  <conditionalFormatting sqref="I35">
    <cfRule type="cellIs" dxfId="23" priority="13" operator="greaterThan">
      <formula>$I$34</formula>
    </cfRule>
  </conditionalFormatting>
  <printOptions horizontalCentered="1"/>
  <pageMargins left="0" right="0" top="0.39370078740157483" bottom="0.39370078740157483" header="0.19685039370078741" footer="0.19685039370078741"/>
  <pageSetup paperSize="9" scale="77" orientation="portrait" r:id="rId1"/>
  <headerFooter alignWithMargins="0"/>
  <colBreaks count="1" manualBreakCount="1">
    <brk id="9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S33"/>
  <sheetViews>
    <sheetView zoomScale="80" zoomScaleNormal="80" zoomScaleSheetLayoutView="85" workbookViewId="0">
      <selection activeCell="C20" sqref="C20"/>
    </sheetView>
  </sheetViews>
  <sheetFormatPr defaultColWidth="9" defaultRowHeight="13.5" customHeight="1" x14ac:dyDescent="0.2"/>
  <cols>
    <col min="1" max="9" width="14.6640625" style="3" customWidth="1"/>
    <col min="10" max="10" width="2.6640625" style="3" customWidth="1"/>
    <col min="11" max="19" width="14.6640625" style="3" customWidth="1"/>
    <col min="20" max="16384" width="9" style="3"/>
  </cols>
  <sheetData>
    <row r="1" spans="1:19" ht="30" customHeight="1" thickBot="1" x14ac:dyDescent="0.25">
      <c r="E1" s="276" t="s">
        <v>301</v>
      </c>
      <c r="O1" s="276" t="s">
        <v>1059</v>
      </c>
    </row>
    <row r="2" spans="1:19" ht="19.5" customHeight="1" thickBot="1" x14ac:dyDescent="0.25">
      <c r="A2" s="277" t="s">
        <v>495</v>
      </c>
      <c r="B2" s="277" t="s">
        <v>496</v>
      </c>
      <c r="C2" s="667" t="s">
        <v>297</v>
      </c>
      <c r="D2" s="668"/>
      <c r="E2" s="667" t="s">
        <v>1051</v>
      </c>
      <c r="F2" s="671"/>
      <c r="G2" s="277" t="s">
        <v>298</v>
      </c>
      <c r="H2" s="277" t="s">
        <v>299</v>
      </c>
      <c r="I2" s="277" t="s">
        <v>300</v>
      </c>
    </row>
    <row r="3" spans="1:19" s="2" customFormat="1" ht="40.5" customHeight="1" thickBot="1" x14ac:dyDescent="0.25">
      <c r="A3" s="277"/>
      <c r="B3" s="293"/>
      <c r="C3" s="669" t="str">
        <f>IF('①商品マスタ 申請入力用'!D2="","",'①商品マスタ 申請入力用'!D2)</f>
        <v/>
      </c>
      <c r="D3" s="670"/>
      <c r="E3" s="676"/>
      <c r="F3" s="671"/>
      <c r="G3" s="294" t="e">
        <f ca="1">'①商品マスタ 申請入力用'!I2&amp;""</f>
        <v>#NAME?</v>
      </c>
      <c r="H3" s="294" t="str">
        <f>②仕入単価・発注情報!I2&amp;""</f>
        <v/>
      </c>
      <c r="I3" s="294" t="str">
        <f>②仕入単価・発注情報!J2&amp;""</f>
        <v/>
      </c>
      <c r="L3" s="413"/>
    </row>
    <row r="4" spans="1:19" s="2" customFormat="1" ht="24.9" customHeight="1" thickBot="1" x14ac:dyDescent="0.25">
      <c r="A4" s="275" t="s">
        <v>296</v>
      </c>
      <c r="B4" s="275"/>
      <c r="C4" s="272"/>
      <c r="D4" s="273"/>
      <c r="E4" s="273"/>
      <c r="F4" s="271"/>
      <c r="G4" s="274"/>
      <c r="H4" s="274"/>
      <c r="I4" s="274"/>
    </row>
    <row r="5" spans="1:19" s="2" customFormat="1" ht="40.5" customHeight="1" thickBot="1" x14ac:dyDescent="0.25">
      <c r="A5" s="677"/>
      <c r="B5" s="678"/>
      <c r="C5" s="678"/>
      <c r="D5" s="678"/>
      <c r="E5" s="678"/>
      <c r="F5" s="678"/>
      <c r="G5" s="678"/>
      <c r="H5" s="678"/>
      <c r="I5" s="679"/>
    </row>
    <row r="6" spans="1:19" ht="24.9" customHeight="1" thickBot="1" x14ac:dyDescent="0.25"/>
    <row r="7" spans="1:19" ht="30" customHeight="1" x14ac:dyDescent="0.2">
      <c r="A7" s="278" t="s">
        <v>1039</v>
      </c>
      <c r="B7" s="663">
        <f>'①商品マスタ 申請入力用'!D21</f>
        <v>414898</v>
      </c>
      <c r="C7" s="664"/>
      <c r="D7" s="663">
        <f>'①商品マスタ 申請入力用'!F21</f>
        <v>414898</v>
      </c>
      <c r="E7" s="664"/>
      <c r="F7" s="663">
        <f>'①商品マスタ 申請入力用'!H21</f>
        <v>414898</v>
      </c>
      <c r="G7" s="664"/>
      <c r="H7" s="663">
        <f>'①商品マスタ 申請入力用'!J21</f>
        <v>414898</v>
      </c>
      <c r="I7" s="664"/>
      <c r="K7" s="278" t="s">
        <v>1039</v>
      </c>
      <c r="L7" s="663">
        <f>IF(B7="","",B7)</f>
        <v>414898</v>
      </c>
      <c r="M7" s="664" t="e">
        <f>IF(#REF!="","",#REF!)</f>
        <v>#REF!</v>
      </c>
      <c r="N7" s="663">
        <f>IF(D7="","",D7)</f>
        <v>414898</v>
      </c>
      <c r="O7" s="664" t="e">
        <f>IF(#REF!="","",#REF!)</f>
        <v>#REF!</v>
      </c>
      <c r="P7" s="663">
        <f>IF(F7="","",F7)</f>
        <v>414898</v>
      </c>
      <c r="Q7" s="664" t="e">
        <f>IF(#REF!="","",#REF!)</f>
        <v>#REF!</v>
      </c>
      <c r="R7" s="663">
        <f>IF(H7="","",H7)</f>
        <v>414898</v>
      </c>
      <c r="S7" s="664" t="e">
        <f>IF(#REF!="","",#REF!)</f>
        <v>#REF!</v>
      </c>
    </row>
    <row r="8" spans="1:19" ht="40.5" customHeight="1" x14ac:dyDescent="0.2">
      <c r="A8" s="279" t="s">
        <v>79</v>
      </c>
      <c r="B8" s="674" t="str">
        <f>'①商品マスタ 申請入力用'!D23</f>
        <v/>
      </c>
      <c r="C8" s="675"/>
      <c r="D8" s="674" t="str">
        <f>'①商品マスタ 申請入力用'!F23</f>
        <v/>
      </c>
      <c r="E8" s="675"/>
      <c r="F8" s="674" t="str">
        <f>'①商品マスタ 申請入力用'!H23</f>
        <v/>
      </c>
      <c r="G8" s="675"/>
      <c r="H8" s="674" t="str">
        <f>'①商品マスタ 申請入力用'!J23</f>
        <v/>
      </c>
      <c r="I8" s="675"/>
      <c r="K8" s="279" t="s">
        <v>79</v>
      </c>
      <c r="L8" s="674" t="e">
        <f ca="1">[2]!s商品名(L7)</f>
        <v>#NAME?</v>
      </c>
      <c r="M8" s="675"/>
      <c r="N8" s="674" t="e">
        <f ca="1">[2]!s商品名(N7)</f>
        <v>#NAME?</v>
      </c>
      <c r="O8" s="675"/>
      <c r="P8" s="674" t="e">
        <f ca="1">[2]!s商品名(P7)</f>
        <v>#NAME?</v>
      </c>
      <c r="Q8" s="675"/>
      <c r="R8" s="674" t="e">
        <f ca="1">[2]!s商品名(R7)</f>
        <v>#NAME?</v>
      </c>
      <c r="S8" s="675"/>
    </row>
    <row r="9" spans="1:19" ht="30" customHeight="1" x14ac:dyDescent="0.2">
      <c r="A9" s="279" t="s">
        <v>139</v>
      </c>
      <c r="B9" s="665">
        <f>'①商品マスタ 申請入力用'!D28</f>
        <v>0</v>
      </c>
      <c r="C9" s="666"/>
      <c r="D9" s="665">
        <f>'①商品マスタ 申請入力用'!F28</f>
        <v>0</v>
      </c>
      <c r="E9" s="666"/>
      <c r="F9" s="665">
        <f>'①商品マスタ 申請入力用'!H28</f>
        <v>0</v>
      </c>
      <c r="G9" s="666"/>
      <c r="H9" s="665">
        <f>'①商品マスタ 申請入力用'!J28</f>
        <v>0</v>
      </c>
      <c r="I9" s="666"/>
      <c r="K9" s="279" t="s">
        <v>139</v>
      </c>
      <c r="L9" s="665" t="e">
        <f ca="1">[2]!s規格(L7)</f>
        <v>#NAME?</v>
      </c>
      <c r="M9" s="666"/>
      <c r="N9" s="665" t="e">
        <f ca="1">[2]!s規格(N7)</f>
        <v>#NAME?</v>
      </c>
      <c r="O9" s="666"/>
      <c r="P9" s="665" t="e">
        <f ca="1">[2]!s規格(P7)</f>
        <v>#NAME?</v>
      </c>
      <c r="Q9" s="666"/>
      <c r="R9" s="665" t="e">
        <f ca="1">[2]!s規格(R7)</f>
        <v>#NAME?</v>
      </c>
      <c r="S9" s="666"/>
    </row>
    <row r="10" spans="1:19" ht="30" customHeight="1" thickBot="1" x14ac:dyDescent="0.25">
      <c r="A10" s="280" t="s">
        <v>80</v>
      </c>
      <c r="B10" s="656">
        <f>'①商品マスタ 申請入力用'!D29</f>
        <v>1</v>
      </c>
      <c r="C10" s="657"/>
      <c r="D10" s="656">
        <f>'①商品マスタ 申請入力用'!F29</f>
        <v>11</v>
      </c>
      <c r="E10" s="657"/>
      <c r="F10" s="656">
        <f>'①商品マスタ 申請入力用'!H29</f>
        <v>111</v>
      </c>
      <c r="G10" s="657"/>
      <c r="H10" s="656">
        <f>'①商品マスタ 申請入力用'!J29</f>
        <v>1111</v>
      </c>
      <c r="I10" s="657"/>
      <c r="K10" s="280" t="s">
        <v>80</v>
      </c>
      <c r="L10" s="656" t="e">
        <f ca="1">[2]!s入数(L7)</f>
        <v>#NAME?</v>
      </c>
      <c r="M10" s="657"/>
      <c r="N10" s="656" t="e">
        <f ca="1">[2]!s入数(N7)</f>
        <v>#NAME?</v>
      </c>
      <c r="O10" s="657"/>
      <c r="P10" s="656" t="e">
        <f ca="1">[2]!s入数(P7)</f>
        <v>#NAME?</v>
      </c>
      <c r="Q10" s="657"/>
      <c r="R10" s="656" t="e">
        <f ca="1">[2]!s入数(R7)</f>
        <v>#NAME?</v>
      </c>
      <c r="S10" s="657"/>
    </row>
    <row r="11" spans="1:19" ht="30" customHeight="1" thickBot="1" x14ac:dyDescent="0.25">
      <c r="A11" s="288"/>
      <c r="B11" s="288" t="s">
        <v>1055</v>
      </c>
      <c r="C11" s="289" t="s">
        <v>1038</v>
      </c>
      <c r="D11" s="288" t="s">
        <v>1055</v>
      </c>
      <c r="E11" s="289" t="s">
        <v>1038</v>
      </c>
      <c r="F11" s="288" t="s">
        <v>1055</v>
      </c>
      <c r="G11" s="289" t="s">
        <v>1038</v>
      </c>
      <c r="H11" s="288" t="s">
        <v>1055</v>
      </c>
      <c r="I11" s="289" t="s">
        <v>1038</v>
      </c>
      <c r="K11" s="288"/>
      <c r="L11" s="288" t="s">
        <v>1055</v>
      </c>
      <c r="M11" s="289" t="s">
        <v>1038</v>
      </c>
      <c r="N11" s="288" t="s">
        <v>1055</v>
      </c>
      <c r="O11" s="289" t="s">
        <v>1038</v>
      </c>
      <c r="P11" s="288" t="s">
        <v>1055</v>
      </c>
      <c r="Q11" s="289" t="s">
        <v>1038</v>
      </c>
      <c r="R11" s="288" t="s">
        <v>1055</v>
      </c>
      <c r="S11" s="289" t="s">
        <v>1038</v>
      </c>
    </row>
    <row r="12" spans="1:19" ht="30" customHeight="1" x14ac:dyDescent="0.2">
      <c r="A12" s="287" t="s">
        <v>1040</v>
      </c>
      <c r="B12" s="290">
        <f t="shared" ref="B12:B18" si="0">B$10*C12</f>
        <v>0</v>
      </c>
      <c r="C12" s="291"/>
      <c r="D12" s="290">
        <f>D$10*E12</f>
        <v>0</v>
      </c>
      <c r="E12" s="291"/>
      <c r="F12" s="290">
        <f t="shared" ref="F12:F17" si="1">F$10*G12</f>
        <v>0</v>
      </c>
      <c r="G12" s="291"/>
      <c r="H12" s="290">
        <f t="shared" ref="H12:H17" si="2">H$10*I12</f>
        <v>0</v>
      </c>
      <c r="I12" s="291"/>
      <c r="K12" s="287" t="s">
        <v>1040</v>
      </c>
      <c r="L12" s="297" t="e">
        <f ca="1">[2]!s生販CS_関西(L7)</f>
        <v>#NAME?</v>
      </c>
      <c r="M12" s="298" t="e">
        <f ca="1">[2]!s生販BT_関西(L7)</f>
        <v>#NAME?</v>
      </c>
      <c r="N12" s="297" t="e">
        <f ca="1">[2]!s生販CS_関西(N7)</f>
        <v>#NAME?</v>
      </c>
      <c r="O12" s="298" t="e">
        <f ca="1">[2]!s生販BT_関西(N7)</f>
        <v>#NAME?</v>
      </c>
      <c r="P12" s="297" t="e">
        <f ca="1">[2]!s生販CS_関西(P7)</f>
        <v>#NAME?</v>
      </c>
      <c r="Q12" s="298" t="e">
        <f ca="1">[2]!s生販BT_関西(P7)</f>
        <v>#NAME?</v>
      </c>
      <c r="R12" s="297" t="e">
        <f ca="1">[2]!s生販CS_関西(R7)</f>
        <v>#NAME?</v>
      </c>
      <c r="S12" s="298" t="e">
        <f ca="1">[2]!s生販BT_関西(R7)</f>
        <v>#NAME?</v>
      </c>
    </row>
    <row r="13" spans="1:19" ht="30" customHeight="1" x14ac:dyDescent="0.2">
      <c r="A13" s="279" t="s">
        <v>1041</v>
      </c>
      <c r="B13" s="290">
        <f t="shared" si="0"/>
        <v>0</v>
      </c>
      <c r="C13" s="291"/>
      <c r="D13" s="290">
        <f t="shared" ref="D13:D17" si="3">D$10*E13</f>
        <v>0</v>
      </c>
      <c r="E13" s="291"/>
      <c r="F13" s="290">
        <f t="shared" si="1"/>
        <v>0</v>
      </c>
      <c r="G13" s="291"/>
      <c r="H13" s="290">
        <f t="shared" si="2"/>
        <v>0</v>
      </c>
      <c r="I13" s="291"/>
      <c r="K13" s="279" t="s">
        <v>1041</v>
      </c>
      <c r="L13" s="299" t="e">
        <f ca="1">[2]!s卸価格CS_関西(L7)</f>
        <v>#NAME?</v>
      </c>
      <c r="M13" s="300" t="e">
        <f ca="1">[2]!s卸価格BT_関西(L7)</f>
        <v>#NAME?</v>
      </c>
      <c r="N13" s="299" t="e">
        <f ca="1">[2]!s卸価格CS_関西(N7)</f>
        <v>#NAME?</v>
      </c>
      <c r="O13" s="300" t="e">
        <f ca="1">[2]!s卸価格BT_関西(N7)</f>
        <v>#NAME?</v>
      </c>
      <c r="P13" s="299" t="e">
        <f ca="1">[2]!s卸価格CS_関西(P7)</f>
        <v>#NAME?</v>
      </c>
      <c r="Q13" s="300" t="e">
        <f ca="1">[2]!s卸価格BT_関西(P7)</f>
        <v>#NAME?</v>
      </c>
      <c r="R13" s="299" t="e">
        <f ca="1">[2]!s卸価格CS_関西(R7)</f>
        <v>#NAME?</v>
      </c>
      <c r="S13" s="300" t="e">
        <f ca="1">[2]!s卸価格BT_関西(R7)</f>
        <v>#NAME?</v>
      </c>
    </row>
    <row r="14" spans="1:19" ht="30" customHeight="1" x14ac:dyDescent="0.2">
      <c r="A14" s="279" t="s">
        <v>1042</v>
      </c>
      <c r="B14" s="290">
        <f t="shared" si="0"/>
        <v>0</v>
      </c>
      <c r="C14" s="291"/>
      <c r="D14" s="290">
        <f t="shared" si="3"/>
        <v>0</v>
      </c>
      <c r="E14" s="291"/>
      <c r="F14" s="290">
        <f t="shared" si="1"/>
        <v>0</v>
      </c>
      <c r="G14" s="291"/>
      <c r="H14" s="290">
        <f t="shared" si="2"/>
        <v>0</v>
      </c>
      <c r="I14" s="291"/>
      <c r="K14" s="279" t="s">
        <v>1042</v>
      </c>
      <c r="L14" s="299" t="e">
        <f ca="1">[2]!s小売価格CS_関西(L7)</f>
        <v>#NAME?</v>
      </c>
      <c r="M14" s="300" t="e">
        <f ca="1">[2]!s小売価格BT_関西(L7)</f>
        <v>#NAME?</v>
      </c>
      <c r="N14" s="299" t="e">
        <f ca="1">[2]!s小売価格CS_関西(N7)</f>
        <v>#NAME?</v>
      </c>
      <c r="O14" s="300" t="e">
        <f ca="1">[2]!s小売価格BT_関西(N7)</f>
        <v>#NAME?</v>
      </c>
      <c r="P14" s="299" t="e">
        <f ca="1">[2]!s小売価格CS_関西(P7)</f>
        <v>#NAME?</v>
      </c>
      <c r="Q14" s="300" t="e">
        <f ca="1">[2]!s小売価格BT_関西(P7)</f>
        <v>#NAME?</v>
      </c>
      <c r="R14" s="299" t="e">
        <f ca="1">[2]!s小売価格CS_関西(R7)</f>
        <v>#NAME?</v>
      </c>
      <c r="S14" s="300" t="e">
        <f ca="1">[2]!s小売価格BT_関西(R7)</f>
        <v>#NAME?</v>
      </c>
    </row>
    <row r="15" spans="1:19" ht="30" customHeight="1" x14ac:dyDescent="0.2">
      <c r="A15" s="279" t="s">
        <v>1043</v>
      </c>
      <c r="B15" s="290">
        <f t="shared" si="0"/>
        <v>0</v>
      </c>
      <c r="C15" s="291"/>
      <c r="D15" s="290">
        <f t="shared" si="3"/>
        <v>0</v>
      </c>
      <c r="E15" s="291"/>
      <c r="F15" s="290">
        <f t="shared" si="1"/>
        <v>0</v>
      </c>
      <c r="G15" s="291"/>
      <c r="H15" s="290">
        <f t="shared" si="2"/>
        <v>0</v>
      </c>
      <c r="I15" s="291"/>
      <c r="K15" s="279" t="s">
        <v>1043</v>
      </c>
      <c r="L15" s="299" t="e">
        <f ca="1">[2]!sR1売価CS_関西(L7)</f>
        <v>#NAME?</v>
      </c>
      <c r="M15" s="300" t="e">
        <f ca="1">[2]!sR1売価BT_関西(L7)</f>
        <v>#NAME?</v>
      </c>
      <c r="N15" s="299" t="e">
        <f ca="1">[2]!sR1売価CS_関西(N7)</f>
        <v>#NAME?</v>
      </c>
      <c r="O15" s="300" t="e">
        <f ca="1">[2]!sR1売価BT_関西(N7)</f>
        <v>#NAME?</v>
      </c>
      <c r="P15" s="299" t="e">
        <f ca="1">[2]!sR1売価CS_関西(P7)</f>
        <v>#NAME?</v>
      </c>
      <c r="Q15" s="300" t="e">
        <f ca="1">[2]!sR1売価BT_関西(P7)</f>
        <v>#NAME?</v>
      </c>
      <c r="R15" s="299" t="e">
        <f ca="1">[2]!sR1売価CS_関西(R7)</f>
        <v>#NAME?</v>
      </c>
      <c r="S15" s="300" t="e">
        <f ca="1">[2]!sR1売価BT_関西(R7)</f>
        <v>#NAME?</v>
      </c>
    </row>
    <row r="16" spans="1:19" ht="30" customHeight="1" x14ac:dyDescent="0.2">
      <c r="A16" s="279" t="s">
        <v>1044</v>
      </c>
      <c r="B16" s="290">
        <f t="shared" si="0"/>
        <v>0</v>
      </c>
      <c r="C16" s="291"/>
      <c r="D16" s="290">
        <f t="shared" si="3"/>
        <v>0</v>
      </c>
      <c r="E16" s="291"/>
      <c r="F16" s="290">
        <f t="shared" si="1"/>
        <v>0</v>
      </c>
      <c r="G16" s="291"/>
      <c r="H16" s="290">
        <f t="shared" si="2"/>
        <v>0</v>
      </c>
      <c r="I16" s="291"/>
      <c r="K16" s="279" t="s">
        <v>1044</v>
      </c>
      <c r="L16" s="299" t="e">
        <f ca="1">[2]!sR2売価CS_関西(L7)</f>
        <v>#NAME?</v>
      </c>
      <c r="M16" s="300" t="e">
        <f ca="1">[2]!sR2売価BT_関西(L7)</f>
        <v>#NAME?</v>
      </c>
      <c r="N16" s="299" t="e">
        <f ca="1">[2]!sR2売価CS_関西(N7)</f>
        <v>#NAME?</v>
      </c>
      <c r="O16" s="300" t="e">
        <f ca="1">[2]!sR2売価BT_関西(N7)</f>
        <v>#NAME?</v>
      </c>
      <c r="P16" s="299" t="e">
        <f ca="1">[2]!sR2売価CS_関西(P7)</f>
        <v>#NAME?</v>
      </c>
      <c r="Q16" s="300" t="e">
        <f ca="1">[2]!sR2売価BT_関西(P7)</f>
        <v>#NAME?</v>
      </c>
      <c r="R16" s="299" t="e">
        <f ca="1">[2]!sR2売価CS_関西(R7)</f>
        <v>#NAME?</v>
      </c>
      <c r="S16" s="300" t="e">
        <f ca="1">[2]!sR2売価BT_関西(R7)</f>
        <v>#NAME?</v>
      </c>
    </row>
    <row r="17" spans="1:19" ht="30" customHeight="1" x14ac:dyDescent="0.2">
      <c r="A17" s="279" t="s">
        <v>1045</v>
      </c>
      <c r="B17" s="290">
        <f t="shared" si="0"/>
        <v>0</v>
      </c>
      <c r="C17" s="291"/>
      <c r="D17" s="290">
        <f t="shared" si="3"/>
        <v>0</v>
      </c>
      <c r="E17" s="291"/>
      <c r="F17" s="290">
        <f t="shared" si="1"/>
        <v>0</v>
      </c>
      <c r="G17" s="291"/>
      <c r="H17" s="290">
        <f t="shared" si="2"/>
        <v>0</v>
      </c>
      <c r="I17" s="291"/>
      <c r="K17" s="279" t="s">
        <v>1045</v>
      </c>
      <c r="L17" s="299" t="e">
        <f ca="1">[2]!sR3売価CS_関西(L7)</f>
        <v>#NAME?</v>
      </c>
      <c r="M17" s="300" t="e">
        <f ca="1">[2]!sR3売価BT_関西(L7)</f>
        <v>#NAME?</v>
      </c>
      <c r="N17" s="299" t="e">
        <f ca="1">[2]!sR3売価CS_関西(N7)</f>
        <v>#NAME?</v>
      </c>
      <c r="O17" s="300" t="e">
        <f ca="1">[2]!sR3売価BT_関西(N7)</f>
        <v>#NAME?</v>
      </c>
      <c r="P17" s="299" t="e">
        <f ca="1">[2]!sR3売価CS_関西(P7)</f>
        <v>#NAME?</v>
      </c>
      <c r="Q17" s="300" t="e">
        <f ca="1">[2]!sR3売価BT_関西(P7)</f>
        <v>#NAME?</v>
      </c>
      <c r="R17" s="299" t="e">
        <f ca="1">[2]!sR3売価CS_関西(R7)</f>
        <v>#NAME?</v>
      </c>
      <c r="S17" s="300" t="e">
        <f ca="1">[2]!sR3売価BT_関西(R7)</f>
        <v>#NAME?</v>
      </c>
    </row>
    <row r="18" spans="1:19" ht="30" customHeight="1" x14ac:dyDescent="0.2">
      <c r="A18" s="279" t="s">
        <v>1046</v>
      </c>
      <c r="B18" s="290">
        <f t="shared" si="0"/>
        <v>0</v>
      </c>
      <c r="C18" s="291"/>
      <c r="D18" s="290">
        <f>E18*D$10</f>
        <v>0</v>
      </c>
      <c r="E18" s="291"/>
      <c r="F18" s="290">
        <f>G18*F$10</f>
        <v>0</v>
      </c>
      <c r="G18" s="291"/>
      <c r="H18" s="290">
        <f>I18*H$10</f>
        <v>0</v>
      </c>
      <c r="I18" s="291"/>
      <c r="K18" s="279" t="s">
        <v>1046</v>
      </c>
      <c r="L18" s="299" t="e">
        <f ca="1">[2]!sN1単価CS_関西(L7)</f>
        <v>#NAME?</v>
      </c>
      <c r="M18" s="300" t="e">
        <f ca="1">[2]!sN1単価BT_関西(L7)</f>
        <v>#NAME?</v>
      </c>
      <c r="N18" s="299" t="e">
        <f ca="1">[2]!sN1単価CS_関西(N7)</f>
        <v>#NAME?</v>
      </c>
      <c r="O18" s="300" t="e">
        <f ca="1">[2]!sN1単価BT_関西(N7)</f>
        <v>#NAME?</v>
      </c>
      <c r="P18" s="299" t="e">
        <f ca="1">[2]!sN1単価CS_関西(P7)</f>
        <v>#NAME?</v>
      </c>
      <c r="Q18" s="300" t="e">
        <f ca="1">[2]!sN1単価BT_関西(P7)</f>
        <v>#NAME?</v>
      </c>
      <c r="R18" s="299" t="e">
        <f ca="1">[2]!sN1単価CS_関西(R7)</f>
        <v>#NAME?</v>
      </c>
      <c r="S18" s="300" t="e">
        <f ca="1">[2]!sN1単価BT_関西(R7)</f>
        <v>#NAME?</v>
      </c>
    </row>
    <row r="19" spans="1:19" ht="30" customHeight="1" x14ac:dyDescent="0.2">
      <c r="A19" s="279" t="s">
        <v>1047</v>
      </c>
      <c r="B19" s="290">
        <f>C19*B$10</f>
        <v>0</v>
      </c>
      <c r="C19" s="291"/>
      <c r="D19" s="290">
        <f>E19*$B$10</f>
        <v>0</v>
      </c>
      <c r="E19" s="291"/>
      <c r="F19" s="290">
        <f>G19*$B$10</f>
        <v>0</v>
      </c>
      <c r="G19" s="291"/>
      <c r="H19" s="290">
        <f>I19*$B$10</f>
        <v>0</v>
      </c>
      <c r="I19" s="291"/>
      <c r="K19" s="279" t="s">
        <v>1047</v>
      </c>
      <c r="L19" s="299" t="e">
        <f ca="1">L18-L20</f>
        <v>#NAME?</v>
      </c>
      <c r="M19" s="300" t="e">
        <f ca="1">M18-M20</f>
        <v>#NAME?</v>
      </c>
      <c r="N19" s="299" t="e">
        <f t="shared" ref="N19:S19" ca="1" si="4">N18-N20</f>
        <v>#NAME?</v>
      </c>
      <c r="O19" s="300" t="e">
        <f t="shared" ca="1" si="4"/>
        <v>#NAME?</v>
      </c>
      <c r="P19" s="299" t="e">
        <f t="shared" ca="1" si="4"/>
        <v>#NAME?</v>
      </c>
      <c r="Q19" s="300" t="e">
        <f t="shared" ca="1" si="4"/>
        <v>#NAME?</v>
      </c>
      <c r="R19" s="299" t="e">
        <f t="shared" ca="1" si="4"/>
        <v>#NAME?</v>
      </c>
      <c r="S19" s="300" t="e">
        <f t="shared" ca="1" si="4"/>
        <v>#NAME?</v>
      </c>
    </row>
    <row r="20" spans="1:19" ht="30" customHeight="1" x14ac:dyDescent="0.2">
      <c r="A20" s="279" t="s">
        <v>1048</v>
      </c>
      <c r="B20" s="290">
        <f>B$10*C20</f>
        <v>0</v>
      </c>
      <c r="C20" s="291">
        <f>C18-C19</f>
        <v>0</v>
      </c>
      <c r="D20" s="290">
        <f>D$10*E20</f>
        <v>0</v>
      </c>
      <c r="E20" s="291">
        <f>E18-E19</f>
        <v>0</v>
      </c>
      <c r="F20" s="290">
        <f>F$10*G20</f>
        <v>0</v>
      </c>
      <c r="G20" s="291">
        <f>G18-G19</f>
        <v>0</v>
      </c>
      <c r="H20" s="290">
        <f>H$10*I20</f>
        <v>0</v>
      </c>
      <c r="I20" s="291">
        <f>I18-I19</f>
        <v>0</v>
      </c>
      <c r="K20" s="279" t="s">
        <v>1048</v>
      </c>
      <c r="L20" s="299" t="e">
        <f ca="1">[2]!sN2単価CS_関西(L7)</f>
        <v>#NAME?</v>
      </c>
      <c r="M20" s="300" t="e">
        <f ca="1">[2]!sN2単価BT_関西(L7)</f>
        <v>#NAME?</v>
      </c>
      <c r="N20" s="299" t="e">
        <f ca="1">[2]!sN2単価CS_関西(N7)</f>
        <v>#NAME?</v>
      </c>
      <c r="O20" s="300" t="e">
        <f ca="1">[2]!sN2単価BT_関西(N7)</f>
        <v>#NAME?</v>
      </c>
      <c r="P20" s="299" t="e">
        <f ca="1">[2]!sN2単価CS_関西(P7)</f>
        <v>#NAME?</v>
      </c>
      <c r="Q20" s="300" t="e">
        <f ca="1">[2]!sN2単価BT_関西(P7)</f>
        <v>#NAME?</v>
      </c>
      <c r="R20" s="299" t="e">
        <f ca="1">[2]!sN2単価CS_関西(R7)</f>
        <v>#NAME?</v>
      </c>
      <c r="S20" s="300" t="e">
        <f ca="1">[2]!sN2単価BT_関西(R7)</f>
        <v>#NAME?</v>
      </c>
    </row>
    <row r="21" spans="1:19" ht="30" customHeight="1" x14ac:dyDescent="0.2">
      <c r="A21" s="279" t="s">
        <v>290</v>
      </c>
      <c r="B21" s="290">
        <f>C21*B$10</f>
        <v>0</v>
      </c>
      <c r="C21" s="291"/>
      <c r="D21" s="290">
        <f>E21*D$10</f>
        <v>0</v>
      </c>
      <c r="E21" s="291"/>
      <c r="F21" s="290">
        <f>G21*F$10</f>
        <v>0</v>
      </c>
      <c r="G21" s="291"/>
      <c r="H21" s="290">
        <f>I21*H$10</f>
        <v>0</v>
      </c>
      <c r="I21" s="291"/>
      <c r="K21" s="279" t="s">
        <v>290</v>
      </c>
      <c r="L21" s="299" t="e">
        <f ca="1">L20-L22</f>
        <v>#NAME?</v>
      </c>
      <c r="M21" s="300" t="e">
        <f ca="1">M20-M22</f>
        <v>#NAME?</v>
      </c>
      <c r="N21" s="299" t="e">
        <f t="shared" ref="N21:S21" ca="1" si="5">N20-N22</f>
        <v>#NAME?</v>
      </c>
      <c r="O21" s="300" t="e">
        <f t="shared" ca="1" si="5"/>
        <v>#NAME?</v>
      </c>
      <c r="P21" s="299" t="e">
        <f t="shared" ca="1" si="5"/>
        <v>#NAME?</v>
      </c>
      <c r="Q21" s="300" t="e">
        <f t="shared" ca="1" si="5"/>
        <v>#NAME?</v>
      </c>
      <c r="R21" s="299" t="e">
        <f t="shared" ca="1" si="5"/>
        <v>#NAME?</v>
      </c>
      <c r="S21" s="300" t="e">
        <f t="shared" ca="1" si="5"/>
        <v>#NAME?</v>
      </c>
    </row>
    <row r="22" spans="1:19" ht="30" customHeight="1" thickBot="1" x14ac:dyDescent="0.25">
      <c r="A22" s="280" t="s">
        <v>59</v>
      </c>
      <c r="B22" s="444">
        <f>B$10*C22</f>
        <v>0</v>
      </c>
      <c r="C22" s="445">
        <f>C20-C21</f>
        <v>0</v>
      </c>
      <c r="D22" s="444">
        <f>D$10*E22</f>
        <v>0</v>
      </c>
      <c r="E22" s="445">
        <f>E20-E21</f>
        <v>0</v>
      </c>
      <c r="F22" s="444">
        <f>F$10*G22</f>
        <v>0</v>
      </c>
      <c r="G22" s="445">
        <f>G20-G21</f>
        <v>0</v>
      </c>
      <c r="H22" s="444">
        <f>H$10*I22</f>
        <v>0</v>
      </c>
      <c r="I22" s="445">
        <f>I20-I21</f>
        <v>0</v>
      </c>
      <c r="K22" s="280" t="s">
        <v>59</v>
      </c>
      <c r="L22" s="301" t="e">
        <f ca="1">[2]!sN3単価CS_関西(L7)</f>
        <v>#NAME?</v>
      </c>
      <c r="M22" s="302" t="e">
        <f ca="1">[2]!sN3単価BT_関西(L7)</f>
        <v>#NAME?</v>
      </c>
      <c r="N22" s="301" t="e">
        <f ca="1">[2]!sN3単価CS_関西(N7)</f>
        <v>#NAME?</v>
      </c>
      <c r="O22" s="302" t="e">
        <f ca="1">[2]!sN3単価BT_関西(N7)</f>
        <v>#NAME?</v>
      </c>
      <c r="P22" s="301" t="e">
        <f ca="1">[2]!sN3単価CS_関西(P7)</f>
        <v>#NAME?</v>
      </c>
      <c r="Q22" s="302" t="e">
        <f ca="1">[2]!sN3単価BT_関西(P7)</f>
        <v>#NAME?</v>
      </c>
      <c r="R22" s="301" t="e">
        <f ca="1">[2]!sN3単価CS_関西(R7)</f>
        <v>#NAME?</v>
      </c>
      <c r="S22" s="302" t="e">
        <f ca="1">[2]!sN3単価BT_関西(R7)</f>
        <v>#NAME?</v>
      </c>
    </row>
    <row r="23" spans="1:19" ht="30" customHeight="1" thickTop="1" x14ac:dyDescent="0.2">
      <c r="A23" s="281" t="s">
        <v>1049</v>
      </c>
      <c r="B23" s="446">
        <f>B$10*C23</f>
        <v>0</v>
      </c>
      <c r="C23" s="447"/>
      <c r="D23" s="446">
        <f>D$10*E23</f>
        <v>0</v>
      </c>
      <c r="E23" s="447"/>
      <c r="F23" s="446">
        <f>F$10*G23</f>
        <v>0</v>
      </c>
      <c r="G23" s="447"/>
      <c r="H23" s="446">
        <f>H$10*I23</f>
        <v>0</v>
      </c>
      <c r="I23" s="447"/>
      <c r="K23" s="281" t="s">
        <v>1049</v>
      </c>
      <c r="L23" s="303" t="e">
        <f ca="1">[2]!s買上単価寄贈品CS_関西(L7)</f>
        <v>#NAME?</v>
      </c>
      <c r="M23" s="304" t="e">
        <f ca="1">[2]!s買上単価寄贈品BT_関西(L7)</f>
        <v>#NAME?</v>
      </c>
      <c r="N23" s="303" t="e">
        <f ca="1">[2]!s買上単価寄贈品CS_関西(N7)</f>
        <v>#NAME?</v>
      </c>
      <c r="O23" s="304" t="e">
        <f ca="1">[2]!s買上単価寄贈品BT_関西(N7)</f>
        <v>#NAME?</v>
      </c>
      <c r="P23" s="303" t="e">
        <f ca="1">[2]!s買上単価寄贈品CS_関西(P7)</f>
        <v>#NAME?</v>
      </c>
      <c r="Q23" s="304" t="e">
        <f ca="1">[2]!s買上単価寄贈品BT_関西(P7)</f>
        <v>#NAME?</v>
      </c>
      <c r="R23" s="303" t="e">
        <f ca="1">[2]!s買上単価寄贈品CS_関西(R7)</f>
        <v>#NAME?</v>
      </c>
      <c r="S23" s="304" t="e">
        <f ca="1">[2]!s買上単価寄贈品BT_関西(R7)</f>
        <v>#NAME?</v>
      </c>
    </row>
    <row r="24" spans="1:19" ht="30" customHeight="1" thickBot="1" x14ac:dyDescent="0.25">
      <c r="A24" s="280" t="s">
        <v>1050</v>
      </c>
      <c r="B24" s="290">
        <f>B$10*C24</f>
        <v>0</v>
      </c>
      <c r="C24" s="291"/>
      <c r="D24" s="290">
        <f>D$10*E24</f>
        <v>0</v>
      </c>
      <c r="E24" s="291"/>
      <c r="F24" s="290">
        <f>F$10*G24</f>
        <v>0</v>
      </c>
      <c r="G24" s="291"/>
      <c r="H24" s="290">
        <f>H$10*I24</f>
        <v>0</v>
      </c>
      <c r="I24" s="291"/>
      <c r="K24" s="280" t="s">
        <v>1050</v>
      </c>
      <c r="L24" s="301" t="e">
        <f ca="1">[2]!s買上単価不良品CS_関西(L7)</f>
        <v>#NAME?</v>
      </c>
      <c r="M24" s="302" t="e">
        <f ca="1">[2]!s買上単価不良品BT_関西(L7)</f>
        <v>#NAME?</v>
      </c>
      <c r="N24" s="301" t="e">
        <f ca="1">[2]!s買上単価不良品CS_関西(N7)</f>
        <v>#NAME?</v>
      </c>
      <c r="O24" s="302" t="e">
        <f ca="1">[2]!s買上単価不良品BT_関西(N7)</f>
        <v>#NAME?</v>
      </c>
      <c r="P24" s="301" t="e">
        <f ca="1">[2]!s買上単価不良品CS_関西(P7)</f>
        <v>#NAME?</v>
      </c>
      <c r="Q24" s="302" t="e">
        <f ca="1">[2]!s買上単価不良品BT_関西(P7)</f>
        <v>#NAME?</v>
      </c>
      <c r="R24" s="301" t="e">
        <f ca="1">[2]!s買上単価不良品CS_関西(R7)</f>
        <v>#NAME?</v>
      </c>
      <c r="S24" s="302" t="e">
        <f ca="1">[2]!s買上単価不良品BT_関西(R7)</f>
        <v>#NAME?</v>
      </c>
    </row>
    <row r="25" spans="1:19" ht="15.6" thickTop="1" thickBot="1" x14ac:dyDescent="0.25">
      <c r="A25" s="285" t="s">
        <v>1404</v>
      </c>
      <c r="B25" s="284"/>
      <c r="C25" s="284"/>
      <c r="D25" s="284"/>
      <c r="E25" s="284"/>
      <c r="F25" s="284"/>
      <c r="G25" s="285"/>
      <c r="H25" s="284"/>
      <c r="I25" s="284"/>
      <c r="K25" s="285" t="s">
        <v>1064</v>
      </c>
      <c r="L25" s="284"/>
      <c r="M25" s="284"/>
      <c r="N25" s="284"/>
      <c r="O25" s="284"/>
      <c r="P25" s="284"/>
      <c r="Q25" s="285"/>
      <c r="R25" s="284"/>
      <c r="S25" s="284"/>
    </row>
    <row r="26" spans="1:19" ht="44.25" customHeight="1" thickTop="1" thickBot="1" x14ac:dyDescent="0.25">
      <c r="A26" s="282" t="s">
        <v>1052</v>
      </c>
      <c r="B26" s="305">
        <f>B$10*C26</f>
        <v>0</v>
      </c>
      <c r="C26" s="306"/>
      <c r="D26" s="305">
        <f t="shared" ref="D26" si="6">D$10*E26</f>
        <v>0</v>
      </c>
      <c r="E26" s="306"/>
      <c r="F26" s="305">
        <f t="shared" ref="F26" si="7">F$10*G26</f>
        <v>0</v>
      </c>
      <c r="G26" s="306"/>
      <c r="H26" s="305">
        <f t="shared" ref="H26" si="8">H$10*I26</f>
        <v>0</v>
      </c>
      <c r="I26" s="306"/>
      <c r="K26" s="282" t="s">
        <v>1052</v>
      </c>
      <c r="L26" s="305" t="e">
        <f ca="1">[2]!POS_CS_Osaka(L7)</f>
        <v>#NAME?</v>
      </c>
      <c r="M26" s="306" t="e">
        <f ca="1">[2]!POS_BT_Osaka(L7)</f>
        <v>#NAME?</v>
      </c>
      <c r="N26" s="305" t="e">
        <f ca="1">[2]!POS_CS_Osaka(N7)</f>
        <v>#NAME?</v>
      </c>
      <c r="O26" s="306" t="e">
        <f ca="1">[2]!POS_BT_Osaka(N7)</f>
        <v>#NAME?</v>
      </c>
      <c r="P26" s="305" t="e">
        <f ca="1">[2]!POS_CS_Osaka(P7)</f>
        <v>#NAME?</v>
      </c>
      <c r="Q26" s="306" t="e">
        <f ca="1">[2]!POS_BT_Osaka(P7)</f>
        <v>#NAME?</v>
      </c>
      <c r="R26" s="305" t="e">
        <f ca="1">[2]!POS_CS_Osaka(R7)</f>
        <v>#NAME?</v>
      </c>
      <c r="S26" s="306" t="e">
        <f ca="1">[2]!POS_BT_Osaka(R7)</f>
        <v>#NAME?</v>
      </c>
    </row>
    <row r="27" spans="1:19" ht="44.25" customHeight="1" thickTop="1" thickBot="1" x14ac:dyDescent="0.25">
      <c r="A27" s="286" t="s">
        <v>1058</v>
      </c>
      <c r="B27" s="295">
        <f>B22/0.8011</f>
        <v>0</v>
      </c>
      <c r="C27" s="296">
        <f>C22/0.8011</f>
        <v>0</v>
      </c>
      <c r="D27" s="295">
        <f t="shared" ref="D27:I27" si="9">D22/0.8011</f>
        <v>0</v>
      </c>
      <c r="E27" s="296">
        <f t="shared" si="9"/>
        <v>0</v>
      </c>
      <c r="F27" s="295">
        <f t="shared" si="9"/>
        <v>0</v>
      </c>
      <c r="G27" s="296">
        <f t="shared" si="9"/>
        <v>0</v>
      </c>
      <c r="H27" s="295">
        <f t="shared" si="9"/>
        <v>0</v>
      </c>
      <c r="I27" s="296">
        <f t="shared" si="9"/>
        <v>0</v>
      </c>
      <c r="K27" s="286" t="s">
        <v>1058</v>
      </c>
      <c r="L27" s="295" t="e">
        <f ca="1">L22/0.8011</f>
        <v>#NAME?</v>
      </c>
      <c r="M27" s="296" t="e">
        <f ca="1">M22/0.8011</f>
        <v>#NAME?</v>
      </c>
      <c r="N27" s="295" t="e">
        <f t="shared" ref="N27:S27" ca="1" si="10">N22/0.8011</f>
        <v>#NAME?</v>
      </c>
      <c r="O27" s="296" t="e">
        <f t="shared" ca="1" si="10"/>
        <v>#NAME?</v>
      </c>
      <c r="P27" s="295" t="e">
        <f t="shared" ca="1" si="10"/>
        <v>#NAME?</v>
      </c>
      <c r="Q27" s="296" t="e">
        <f t="shared" ca="1" si="10"/>
        <v>#NAME?</v>
      </c>
      <c r="R27" s="295" t="e">
        <f t="shared" ca="1" si="10"/>
        <v>#NAME?</v>
      </c>
      <c r="S27" s="296" t="e">
        <f t="shared" ca="1" si="10"/>
        <v>#NAME?</v>
      </c>
    </row>
    <row r="28" spans="1:19" ht="15.6" thickTop="1" thickBot="1" x14ac:dyDescent="0.25">
      <c r="A28" s="285" t="s">
        <v>1411</v>
      </c>
      <c r="B28" s="284"/>
      <c r="C28" s="284"/>
      <c r="D28" s="284"/>
      <c r="E28" s="284"/>
      <c r="F28" s="284"/>
      <c r="G28" s="285" t="s">
        <v>1416</v>
      </c>
      <c r="H28" s="284"/>
      <c r="I28" s="284"/>
      <c r="K28" s="285" t="s">
        <v>1056</v>
      </c>
      <c r="L28" s="284"/>
      <c r="M28" s="284"/>
      <c r="N28" s="284"/>
      <c r="O28" s="284"/>
      <c r="P28" s="284"/>
      <c r="Q28" s="285" t="s">
        <v>1416</v>
      </c>
      <c r="R28" s="284"/>
      <c r="S28" s="284"/>
    </row>
    <row r="29" spans="1:19" ht="44.25" hidden="1" customHeight="1" thickTop="1" thickBot="1" x14ac:dyDescent="0.25">
      <c r="A29" s="283" t="s">
        <v>1053</v>
      </c>
      <c r="B29" s="305">
        <f>B$10*C29</f>
        <v>0</v>
      </c>
      <c r="C29" s="306"/>
      <c r="D29" s="305">
        <f>D$10*E29</f>
        <v>0</v>
      </c>
      <c r="E29" s="306"/>
      <c r="F29" s="305">
        <f>F$10*G29</f>
        <v>0</v>
      </c>
      <c r="G29" s="306"/>
      <c r="H29" s="305">
        <f>H$10*I29</f>
        <v>0</v>
      </c>
      <c r="I29" s="306"/>
      <c r="K29" s="283" t="s">
        <v>1053</v>
      </c>
      <c r="L29" s="305" t="e">
        <f ca="1">[2]!sKYL単価c(L7)</f>
        <v>#NAME?</v>
      </c>
      <c r="M29" s="306" t="e">
        <f ca="1">[2]!sKYL単価b(L7)</f>
        <v>#NAME?</v>
      </c>
      <c r="N29" s="305" t="e">
        <f ca="1">[2]!sKYL単価c(N7)</f>
        <v>#NAME?</v>
      </c>
      <c r="O29" s="306" t="e">
        <f ca="1">[2]!sKYL単価b(N7)</f>
        <v>#NAME?</v>
      </c>
      <c r="P29" s="305" t="e">
        <f ca="1">[2]!sKYL単価c(P7)</f>
        <v>#NAME?</v>
      </c>
      <c r="Q29" s="306" t="e">
        <f ca="1">[2]!sKYL単価b(P7)</f>
        <v>#NAME?</v>
      </c>
      <c r="R29" s="305" t="e">
        <f ca="1">[2]!sKYL単価c(R7)</f>
        <v>#NAME?</v>
      </c>
      <c r="S29" s="306" t="e">
        <f ca="1">[2]!sKYL単価b(R7)</f>
        <v>#NAME?</v>
      </c>
    </row>
    <row r="30" spans="1:19" ht="44.25" hidden="1" customHeight="1" thickTop="1" thickBot="1" x14ac:dyDescent="0.25">
      <c r="A30" s="286" t="s">
        <v>1058</v>
      </c>
      <c r="B30" s="295">
        <f>B$10*C30</f>
        <v>0</v>
      </c>
      <c r="C30" s="296">
        <f>C22/0.873</f>
        <v>0</v>
      </c>
      <c r="D30" s="295">
        <f>D$10*E30</f>
        <v>0</v>
      </c>
      <c r="E30" s="296">
        <f>E22/0.873</f>
        <v>0</v>
      </c>
      <c r="F30" s="295">
        <f>F$10*G30</f>
        <v>0</v>
      </c>
      <c r="G30" s="296">
        <f>G22/0.873</f>
        <v>0</v>
      </c>
      <c r="H30" s="295">
        <f>H$10*I30</f>
        <v>0</v>
      </c>
      <c r="I30" s="296">
        <f>I22/0.873</f>
        <v>0</v>
      </c>
      <c r="K30" s="286" t="s">
        <v>1058</v>
      </c>
      <c r="L30" s="295" t="e">
        <f ca="1">L22/0.873</f>
        <v>#NAME?</v>
      </c>
      <c r="M30" s="296" t="e">
        <f ca="1">M22/0.873</f>
        <v>#NAME?</v>
      </c>
      <c r="N30" s="295"/>
      <c r="O30" s="296"/>
      <c r="P30" s="295"/>
      <c r="Q30" s="296"/>
      <c r="R30" s="295"/>
      <c r="S30" s="307"/>
    </row>
    <row r="31" spans="1:19" ht="15.6" hidden="1" thickTop="1" thickBot="1" x14ac:dyDescent="0.25">
      <c r="A31" s="285" t="s">
        <v>1056</v>
      </c>
      <c r="B31" s="284"/>
      <c r="C31" s="284"/>
      <c r="D31" s="284"/>
      <c r="E31" s="284"/>
      <c r="F31" s="284"/>
      <c r="G31" s="285" t="s">
        <v>1057</v>
      </c>
      <c r="H31" s="284"/>
      <c r="I31" s="284"/>
      <c r="K31" s="285" t="s">
        <v>1056</v>
      </c>
      <c r="L31" s="284"/>
      <c r="M31" s="284"/>
      <c r="N31" s="284"/>
      <c r="O31" s="284"/>
      <c r="P31" s="284"/>
      <c r="Q31" s="285" t="s">
        <v>1057</v>
      </c>
      <c r="R31" s="284"/>
      <c r="S31" s="284"/>
    </row>
    <row r="32" spans="1:19" ht="44.25" hidden="1" customHeight="1" thickTop="1" thickBot="1" x14ac:dyDescent="0.25">
      <c r="A32" s="283" t="s">
        <v>1054</v>
      </c>
      <c r="B32" s="305">
        <f t="shared" ref="B32:H32" si="11">B$10*C32</f>
        <v>0</v>
      </c>
      <c r="C32" s="306"/>
      <c r="D32" s="305">
        <f t="shared" si="11"/>
        <v>0</v>
      </c>
      <c r="E32" s="306"/>
      <c r="F32" s="305">
        <f t="shared" si="11"/>
        <v>0</v>
      </c>
      <c r="G32" s="306"/>
      <c r="H32" s="305">
        <f t="shared" si="11"/>
        <v>0</v>
      </c>
      <c r="I32" s="306"/>
      <c r="K32" s="283" t="s">
        <v>1054</v>
      </c>
      <c r="L32" s="305" t="e">
        <f ca="1">[2]!sKYLFC単価TC(L7)</f>
        <v>#NAME?</v>
      </c>
      <c r="M32" s="306" t="e">
        <f ca="1">[2]!sKYLFC単価TB(L7)</f>
        <v>#NAME?</v>
      </c>
      <c r="N32" s="305" t="e">
        <f ca="1">[2]!sKYLFC単価TC(N7)</f>
        <v>#NAME?</v>
      </c>
      <c r="O32" s="306" t="e">
        <f ca="1">[2]!sKYLFC単価TB(N7)</f>
        <v>#NAME?</v>
      </c>
      <c r="P32" s="305" t="e">
        <f ca="1">[2]!sKYLFC単価TC(P7)</f>
        <v>#NAME?</v>
      </c>
      <c r="Q32" s="306" t="e">
        <f ca="1">[2]!sKYLFC単価TB(P7)</f>
        <v>#NAME?</v>
      </c>
      <c r="R32" s="305" t="e">
        <f ca="1">[2]!sKYLFC単価TC(R7)</f>
        <v>#NAME?</v>
      </c>
      <c r="S32" s="306" t="e">
        <f ca="1">[2]!sKYLFC単価TB(R7)</f>
        <v>#NAME?</v>
      </c>
    </row>
    <row r="33" ht="13.5" customHeight="1" thickTop="1" x14ac:dyDescent="0.2"/>
  </sheetData>
  <mergeCells count="37">
    <mergeCell ref="B10:C10"/>
    <mergeCell ref="D10:E10"/>
    <mergeCell ref="F10:G10"/>
    <mergeCell ref="H10:I10"/>
    <mergeCell ref="L10:M10"/>
    <mergeCell ref="N9:O9"/>
    <mergeCell ref="P9:Q9"/>
    <mergeCell ref="R9:S9"/>
    <mergeCell ref="P10:Q10"/>
    <mergeCell ref="R10:S10"/>
    <mergeCell ref="N10:O10"/>
    <mergeCell ref="B9:C9"/>
    <mergeCell ref="D9:E9"/>
    <mergeCell ref="F9:G9"/>
    <mergeCell ref="H9:I9"/>
    <mergeCell ref="L9:M9"/>
    <mergeCell ref="L7:M7"/>
    <mergeCell ref="N7:O7"/>
    <mergeCell ref="P7:Q7"/>
    <mergeCell ref="R7:S7"/>
    <mergeCell ref="B8:C8"/>
    <mergeCell ref="D8:E8"/>
    <mergeCell ref="F8:G8"/>
    <mergeCell ref="H8:I8"/>
    <mergeCell ref="L8:M8"/>
    <mergeCell ref="N8:O8"/>
    <mergeCell ref="B7:C7"/>
    <mergeCell ref="D7:E7"/>
    <mergeCell ref="F7:G7"/>
    <mergeCell ref="H7:I7"/>
    <mergeCell ref="P8:Q8"/>
    <mergeCell ref="R8:S8"/>
    <mergeCell ref="C2:D2"/>
    <mergeCell ref="E2:F2"/>
    <mergeCell ref="C3:D3"/>
    <mergeCell ref="E3:F3"/>
    <mergeCell ref="A5:I5"/>
  </mergeCells>
  <phoneticPr fontId="3"/>
  <conditionalFormatting sqref="B26">
    <cfRule type="cellIs" dxfId="22" priority="46" operator="lessThan">
      <formula>B$27</formula>
    </cfRule>
  </conditionalFormatting>
  <conditionalFormatting sqref="B27">
    <cfRule type="cellIs" dxfId="21" priority="21" operator="greaterThan">
      <formula>B$26</formula>
    </cfRule>
  </conditionalFormatting>
  <conditionalFormatting sqref="B29">
    <cfRule type="cellIs" dxfId="20" priority="40" operator="lessThan">
      <formula>$B$30</formula>
    </cfRule>
  </conditionalFormatting>
  <conditionalFormatting sqref="B12:I24">
    <cfRule type="cellIs" dxfId="19" priority="5" operator="notEqual">
      <formula>L12</formula>
    </cfRule>
  </conditionalFormatting>
  <conditionalFormatting sqref="B26:I26">
    <cfRule type="cellIs" dxfId="18" priority="1" operator="notEqual">
      <formula>L$26</formula>
    </cfRule>
  </conditionalFormatting>
  <conditionalFormatting sqref="C26">
    <cfRule type="cellIs" dxfId="17" priority="44" operator="lessThan">
      <formula>C27</formula>
    </cfRule>
  </conditionalFormatting>
  <conditionalFormatting sqref="C27">
    <cfRule type="cellIs" dxfId="16" priority="20" operator="greaterThan">
      <formula>$C$26</formula>
    </cfRule>
  </conditionalFormatting>
  <conditionalFormatting sqref="C29">
    <cfRule type="cellIs" dxfId="15" priority="39" operator="lessThan">
      <formula>C30</formula>
    </cfRule>
  </conditionalFormatting>
  <conditionalFormatting sqref="D26 F26 H26">
    <cfRule type="cellIs" dxfId="14" priority="4" operator="lessThan">
      <formula>D$27</formula>
    </cfRule>
  </conditionalFormatting>
  <conditionalFormatting sqref="D27">
    <cfRule type="cellIs" dxfId="13" priority="19" operator="greaterThan">
      <formula>$D$26</formula>
    </cfRule>
  </conditionalFormatting>
  <conditionalFormatting sqref="D29 F29 H29">
    <cfRule type="cellIs" dxfId="12" priority="38" operator="lessThan">
      <formula>$B$30</formula>
    </cfRule>
  </conditionalFormatting>
  <conditionalFormatting sqref="E26 G26 I26">
    <cfRule type="cellIs" dxfId="11" priority="3" operator="lessThan">
      <formula>E27</formula>
    </cfRule>
  </conditionalFormatting>
  <conditionalFormatting sqref="E27">
    <cfRule type="cellIs" dxfId="10" priority="18" operator="greaterThan">
      <formula>$E$26</formula>
    </cfRule>
  </conditionalFormatting>
  <conditionalFormatting sqref="E29 G29 I29">
    <cfRule type="cellIs" dxfId="9" priority="37" operator="lessThan">
      <formula>E30</formula>
    </cfRule>
  </conditionalFormatting>
  <conditionalFormatting sqref="F27">
    <cfRule type="cellIs" dxfId="8" priority="17" operator="greaterThan">
      <formula>$F$26</formula>
    </cfRule>
  </conditionalFormatting>
  <conditionalFormatting sqref="G27">
    <cfRule type="cellIs" dxfId="7" priority="15" operator="greaterThan">
      <formula>$G$26</formula>
    </cfRule>
  </conditionalFormatting>
  <conditionalFormatting sqref="H27">
    <cfRule type="cellIs" dxfId="6" priority="14" operator="greaterThan">
      <formula>$H$26</formula>
    </cfRule>
  </conditionalFormatting>
  <conditionalFormatting sqref="I27">
    <cfRule type="cellIs" dxfId="5" priority="13" operator="greaterThan">
      <formula>$I$26</formula>
    </cfRule>
  </conditionalFormatting>
  <printOptions horizontalCentered="1"/>
  <pageMargins left="0" right="0" top="0.39370078740157483" bottom="0.39370078740157483" header="0.19685039370078741" footer="0.19685039370078741"/>
  <pageSetup paperSize="9" scale="77" orientation="portrait" r:id="rId1"/>
  <headerFooter alignWithMargins="0"/>
  <colBreaks count="1" manualBreakCount="1">
    <brk id="9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J22"/>
  <sheetViews>
    <sheetView zoomScaleNormal="100" workbookViewId="0">
      <pane xSplit="3" ySplit="6" topLeftCell="D7" activePane="bottomRight" state="frozen"/>
      <selection activeCell="A15" sqref="A15"/>
      <selection pane="topRight" activeCell="A15" sqref="A15"/>
      <selection pane="bottomLeft" activeCell="A15" sqref="A15"/>
      <selection pane="bottomRight" activeCell="D7" sqref="D7:D8"/>
    </sheetView>
  </sheetViews>
  <sheetFormatPr defaultColWidth="9" defaultRowHeight="10.8" x14ac:dyDescent="0.2"/>
  <cols>
    <col min="1" max="1" width="2" style="9" customWidth="1"/>
    <col min="2" max="2" width="11.33203125" style="9" customWidth="1"/>
    <col min="3" max="3" width="30.6640625" style="9" customWidth="1"/>
    <col min="4" max="5" width="27" style="9" customWidth="1"/>
    <col min="6" max="8" width="11.109375" style="9" customWidth="1"/>
    <col min="9" max="9" width="9.44140625" style="9" customWidth="1"/>
    <col min="10" max="10" width="11.109375" style="9" customWidth="1"/>
    <col min="11" max="16384" width="9" style="9"/>
  </cols>
  <sheetData>
    <row r="1" spans="1:10" ht="11.4" thickBot="1" x14ac:dyDescent="0.25">
      <c r="D1" s="3" t="s">
        <v>667</v>
      </c>
      <c r="E1" s="3"/>
      <c r="F1" s="3"/>
      <c r="G1" s="418" t="s">
        <v>398</v>
      </c>
      <c r="H1" s="211" t="s">
        <v>264</v>
      </c>
      <c r="I1" s="211" t="s">
        <v>265</v>
      </c>
      <c r="J1" s="211" t="s">
        <v>266</v>
      </c>
    </row>
    <row r="2" spans="1:10" s="7" customFormat="1" ht="66.75" customHeight="1" thickBot="1" x14ac:dyDescent="0.25">
      <c r="B2" s="1" t="s">
        <v>390</v>
      </c>
      <c r="D2" s="680"/>
      <c r="E2" s="681"/>
      <c r="G2" s="419" t="str">
        <f>IF('①商品マスタ 申請入力用'!C2="","",'①商品マスタ 申請入力用'!C2)</f>
        <v/>
      </c>
      <c r="H2" s="420" t="str">
        <f>'①商品マスタ 申請入力用'!G2&amp;""</f>
        <v/>
      </c>
      <c r="I2" s="166"/>
      <c r="J2" s="167"/>
    </row>
    <row r="3" spans="1:10" s="12" customFormat="1" ht="30.75" customHeight="1" x14ac:dyDescent="0.2">
      <c r="B3" s="682" t="s">
        <v>103</v>
      </c>
      <c r="C3" s="161" t="s">
        <v>263</v>
      </c>
      <c r="D3" s="692" t="s">
        <v>1156</v>
      </c>
      <c r="E3" s="421" t="s">
        <v>1157</v>
      </c>
      <c r="F3" s="422" t="s">
        <v>1158</v>
      </c>
      <c r="G3" s="421" t="s">
        <v>1495</v>
      </c>
      <c r="H3" s="422" t="s">
        <v>1159</v>
      </c>
      <c r="I3" s="422" t="s">
        <v>1160</v>
      </c>
      <c r="J3" s="423" t="s">
        <v>1496</v>
      </c>
    </row>
    <row r="4" spans="1:10" s="12" customFormat="1" ht="30.75" customHeight="1" x14ac:dyDescent="0.2">
      <c r="B4" s="683"/>
      <c r="C4" s="162" t="s">
        <v>302</v>
      </c>
      <c r="D4" s="693"/>
      <c r="E4" s="424" t="s">
        <v>1497</v>
      </c>
      <c r="F4" s="424" t="s">
        <v>1161</v>
      </c>
      <c r="G4" s="425"/>
      <c r="H4" s="424" t="s">
        <v>385</v>
      </c>
      <c r="I4" s="424" t="s">
        <v>1162</v>
      </c>
      <c r="J4" s="426" t="s">
        <v>1498</v>
      </c>
    </row>
    <row r="5" spans="1:10" s="12" customFormat="1" ht="15.75" customHeight="1" x14ac:dyDescent="0.2">
      <c r="B5" s="683"/>
      <c r="C5" s="16" t="s">
        <v>306</v>
      </c>
      <c r="D5" s="163"/>
      <c r="E5" s="163"/>
      <c r="F5" s="163"/>
      <c r="G5" s="163"/>
      <c r="H5" s="163"/>
      <c r="I5" s="163"/>
      <c r="J5" s="163"/>
    </row>
    <row r="6" spans="1:10" s="12" customFormat="1" ht="15.75" customHeight="1" thickBot="1" x14ac:dyDescent="0.25">
      <c r="B6" s="684"/>
      <c r="C6" s="17" t="s">
        <v>305</v>
      </c>
      <c r="D6" s="164"/>
      <c r="E6" s="164"/>
      <c r="F6" s="164"/>
      <c r="G6" s="164"/>
      <c r="H6" s="164"/>
      <c r="I6" s="164"/>
      <c r="J6" s="164"/>
    </row>
    <row r="7" spans="1:10" ht="39.75" customHeight="1" x14ac:dyDescent="0.2">
      <c r="A7" s="9" t="s">
        <v>1499</v>
      </c>
      <c r="B7" s="689" t="str">
        <f>リンク用シート!A5&amp;""</f>
        <v>414898</v>
      </c>
      <c r="C7" s="14"/>
      <c r="D7" s="694"/>
      <c r="E7" s="427"/>
      <c r="F7" s="428"/>
      <c r="G7" s="429"/>
      <c r="H7" s="429"/>
      <c r="I7" s="430" t="str">
        <f>'①商品マスタ 申請入力用'!D64</f>
        <v>1中口</v>
      </c>
      <c r="J7" s="428"/>
    </row>
    <row r="8" spans="1:10" ht="31.5" customHeight="1" thickBot="1" x14ac:dyDescent="0.25">
      <c r="B8" s="690"/>
      <c r="C8" s="15"/>
      <c r="D8" s="695"/>
      <c r="E8" s="431"/>
      <c r="F8" s="432" t="str">
        <f>'①商品マスタ 申請入力用'!D62</f>
        <v>1北海道</v>
      </c>
      <c r="G8" s="433"/>
      <c r="H8" s="434"/>
      <c r="I8" s="432">
        <f>'①商品マスタ 申請入力用'!D59</f>
        <v>13.5</v>
      </c>
      <c r="J8" s="434"/>
    </row>
    <row r="9" spans="1:10" ht="31.5" customHeight="1" x14ac:dyDescent="0.2">
      <c r="B9" s="690"/>
      <c r="C9" s="18" t="str">
        <f>リンク用シート!O5&amp;""</f>
        <v>㈱ティルブション</v>
      </c>
      <c r="D9" s="165"/>
      <c r="E9" s="435"/>
      <c r="F9" s="435"/>
      <c r="G9" s="435"/>
      <c r="H9" s="435"/>
      <c r="I9" s="435"/>
      <c r="J9" s="435"/>
    </row>
    <row r="10" spans="1:10" ht="30.75" customHeight="1" thickBot="1" x14ac:dyDescent="0.25">
      <c r="B10" s="691"/>
      <c r="C10" s="19" t="str">
        <f>リンク用シート!$C$5&amp;""</f>
        <v/>
      </c>
      <c r="D10" s="165"/>
      <c r="E10" s="435"/>
      <c r="F10" s="435"/>
      <c r="G10" s="435"/>
      <c r="H10" s="435"/>
      <c r="I10" s="435"/>
      <c r="J10" s="436"/>
    </row>
    <row r="11" spans="1:10" ht="39.75" customHeight="1" x14ac:dyDescent="0.2">
      <c r="A11" s="9" t="s">
        <v>1500</v>
      </c>
      <c r="B11" s="689" t="str">
        <f>リンク用シート!A7&amp;""</f>
        <v>414898</v>
      </c>
      <c r="C11" s="14"/>
      <c r="D11" s="694"/>
      <c r="E11" s="427"/>
      <c r="F11" s="428"/>
      <c r="G11" s="429"/>
      <c r="H11" s="429"/>
      <c r="I11" s="430" t="str">
        <f>'①商品マスタ 申請入力用'!F64</f>
        <v>1中口</v>
      </c>
      <c r="J11" s="428"/>
    </row>
    <row r="12" spans="1:10" ht="31.5" customHeight="1" thickBot="1" x14ac:dyDescent="0.25">
      <c r="B12" s="690"/>
      <c r="C12" s="15"/>
      <c r="D12" s="695"/>
      <c r="E12" s="431"/>
      <c r="F12" s="432" t="str">
        <f>'①商品マスタ 申請入力用'!F62</f>
        <v>14神奈川県</v>
      </c>
      <c r="G12" s="433"/>
      <c r="H12" s="434"/>
      <c r="I12" s="432">
        <f>'①商品マスタ 申請入力用'!F59</f>
        <v>13.5</v>
      </c>
      <c r="J12" s="434"/>
    </row>
    <row r="13" spans="1:10" ht="31.5" customHeight="1" x14ac:dyDescent="0.2">
      <c r="B13" s="690"/>
      <c r="C13" s="18" t="str">
        <f>リンク用シート!$O$7&amp;""</f>
        <v>㈱ティルブション</v>
      </c>
      <c r="D13" s="165"/>
      <c r="E13" s="435"/>
      <c r="F13" s="435"/>
      <c r="G13" s="435"/>
      <c r="H13" s="435"/>
      <c r="I13" s="435"/>
      <c r="J13" s="435"/>
    </row>
    <row r="14" spans="1:10" ht="30.75" customHeight="1" thickBot="1" x14ac:dyDescent="0.25">
      <c r="B14" s="691"/>
      <c r="C14" s="19" t="str">
        <f>リンク用シート!$C$7&amp;""</f>
        <v/>
      </c>
      <c r="D14" s="165"/>
      <c r="E14" s="435"/>
      <c r="F14" s="435"/>
      <c r="G14" s="435"/>
      <c r="H14" s="435"/>
      <c r="I14" s="435"/>
      <c r="J14" s="435"/>
    </row>
    <row r="15" spans="1:10" ht="39.75" customHeight="1" x14ac:dyDescent="0.2">
      <c r="A15" s="9" t="s">
        <v>1501</v>
      </c>
      <c r="B15" s="689" t="str">
        <f>リンク用シート!A9&amp;""</f>
        <v>414898</v>
      </c>
      <c r="C15" s="14"/>
      <c r="D15" s="694"/>
      <c r="E15" s="427"/>
      <c r="F15" s="428"/>
      <c r="G15" s="429"/>
      <c r="H15" s="429"/>
      <c r="I15" s="430" t="str">
        <f>'①商品マスタ 申請入力用'!H64</f>
        <v>1中口</v>
      </c>
      <c r="J15" s="428"/>
    </row>
    <row r="16" spans="1:10" ht="31.5" customHeight="1" thickBot="1" x14ac:dyDescent="0.25">
      <c r="B16" s="690"/>
      <c r="C16" s="15"/>
      <c r="D16" s="695"/>
      <c r="E16" s="431"/>
      <c r="F16" s="432" t="str">
        <f>'①商品マスタ 申請入力用'!H62</f>
        <v>20101ボルドー地方</v>
      </c>
      <c r="G16" s="433"/>
      <c r="H16" s="434"/>
      <c r="I16" s="432">
        <f>'①商品マスタ 申請入力用'!H59</f>
        <v>13.5</v>
      </c>
      <c r="J16" s="434"/>
    </row>
    <row r="17" spans="1:10" ht="31.5" customHeight="1" x14ac:dyDescent="0.2">
      <c r="B17" s="690"/>
      <c r="C17" s="18" t="str">
        <f>リンク用シート!$O$9&amp;""</f>
        <v>㈱ティルブション</v>
      </c>
      <c r="D17" s="165"/>
      <c r="E17" s="435"/>
      <c r="F17" s="435"/>
      <c r="G17" s="435"/>
      <c r="H17" s="435"/>
      <c r="I17" s="435"/>
      <c r="J17" s="435"/>
    </row>
    <row r="18" spans="1:10" ht="30.75" customHeight="1" thickBot="1" x14ac:dyDescent="0.25">
      <c r="B18" s="691"/>
      <c r="C18" s="20" t="str">
        <f>リンク用シート!$C$9&amp;""</f>
        <v/>
      </c>
      <c r="D18" s="165"/>
      <c r="E18" s="435"/>
      <c r="F18" s="435"/>
      <c r="G18" s="435"/>
      <c r="H18" s="435"/>
      <c r="I18" s="435"/>
      <c r="J18" s="435"/>
    </row>
    <row r="19" spans="1:10" ht="39.75" customHeight="1" x14ac:dyDescent="0.2">
      <c r="A19" s="9" t="s">
        <v>3</v>
      </c>
      <c r="B19" s="685" t="str">
        <f>リンク用シート!A11&amp;""</f>
        <v>414898</v>
      </c>
      <c r="C19" s="14"/>
      <c r="D19" s="694"/>
      <c r="E19" s="427"/>
      <c r="F19" s="428"/>
      <c r="G19" s="429"/>
      <c r="H19" s="429"/>
      <c r="I19" s="430" t="str">
        <f>'①商品マスタ 申請入力用'!J64</f>
        <v>1中口</v>
      </c>
      <c r="J19" s="428"/>
    </row>
    <row r="20" spans="1:10" ht="31.5" customHeight="1" thickBot="1" x14ac:dyDescent="0.25">
      <c r="B20" s="686"/>
      <c r="C20" s="15"/>
      <c r="D20" s="695"/>
      <c r="E20" s="431"/>
      <c r="F20" s="432" t="str">
        <f>'①商品マスタ 申請入力用'!J62</f>
        <v>9栃木県</v>
      </c>
      <c r="G20" s="433"/>
      <c r="H20" s="434"/>
      <c r="I20" s="432">
        <f>'①商品マスタ 申請入力用'!J59</f>
        <v>13.5</v>
      </c>
      <c r="J20" s="434"/>
    </row>
    <row r="21" spans="1:10" ht="31.5" customHeight="1" x14ac:dyDescent="0.2">
      <c r="B21" s="687"/>
      <c r="C21" s="18" t="str">
        <f>リンク用シート!$O$11&amp;""</f>
        <v>㈱ティルブション</v>
      </c>
      <c r="D21" s="165"/>
      <c r="E21" s="435"/>
      <c r="F21" s="435"/>
      <c r="G21" s="435"/>
      <c r="H21" s="435"/>
      <c r="I21" s="435"/>
      <c r="J21" s="435"/>
    </row>
    <row r="22" spans="1:10" ht="30.75" customHeight="1" thickBot="1" x14ac:dyDescent="0.25">
      <c r="B22" s="688"/>
      <c r="C22" s="20" t="str">
        <f>リンク用シート!$C$11&amp;""</f>
        <v/>
      </c>
      <c r="D22" s="240"/>
      <c r="E22" s="436"/>
      <c r="F22" s="436"/>
      <c r="G22" s="436"/>
      <c r="H22" s="436"/>
      <c r="I22" s="436"/>
      <c r="J22" s="436"/>
    </row>
  </sheetData>
  <sheetProtection formatCells="0" formatColumns="0" formatRows="0" insertColumns="0" insertRows="0" deleteColumns="0" deleteRows="0"/>
  <dataConsolidate/>
  <customSheetViews>
    <customSheetView guid="{E144E3A1-E29C-410D-8925-3F260910373E}" fitToPage="1" showRuler="0">
      <pane xSplit="3" ySplit="5" topLeftCell="J6" activePane="bottomRight" state="frozen"/>
      <selection pane="bottomRight" activeCell="S10" sqref="S10"/>
      <pageMargins left="0.2" right="0.21" top="0.41" bottom="0.3" header="0.2" footer="0.2"/>
      <pageSetup paperSize="9" scale="86" orientation="landscape" r:id="rId1"/>
      <headerFooter alignWithMargins="0"/>
    </customSheetView>
  </customSheetViews>
  <mergeCells count="11">
    <mergeCell ref="D2:E2"/>
    <mergeCell ref="B3:B6"/>
    <mergeCell ref="B19:B22"/>
    <mergeCell ref="B7:B10"/>
    <mergeCell ref="D3:D4"/>
    <mergeCell ref="D7:D8"/>
    <mergeCell ref="D11:D12"/>
    <mergeCell ref="D15:D16"/>
    <mergeCell ref="D19:D20"/>
    <mergeCell ref="B11:B14"/>
    <mergeCell ref="B15:B18"/>
  </mergeCells>
  <phoneticPr fontId="3"/>
  <conditionalFormatting sqref="B7:C22">
    <cfRule type="cellIs" dxfId="4" priority="1" stopIfTrue="1" operator="equal">
      <formula>0</formula>
    </cfRule>
  </conditionalFormatting>
  <dataValidations count="3">
    <dataValidation type="custom" allowBlank="1" showInputMessage="1" showErrorMessage="1" sqref="D13:J14 D9:J10 D17:J18 D21:J22" xr:uid="{00000000-0002-0000-0500-000000000000}">
      <formula1>LEN(D9)&lt;=20</formula1>
    </dataValidation>
    <dataValidation type="custom" allowBlank="1" showInputMessage="1" showErrorMessage="1" sqref="D7:D8 D11:D12 E8:F8 D15:D16 E12:F12 D19:D20 E16:F16 E20:F20" xr:uid="{00000000-0002-0000-0500-000001000000}">
      <formula1>LEN(D7)&lt;=50</formula1>
    </dataValidation>
    <dataValidation type="custom" allowBlank="1" showInputMessage="1" showErrorMessage="1" sqref="E7 E11 E15 E19" xr:uid="{00000000-0002-0000-0500-000002000000}">
      <formula1>LEN(E7)&lt;=25</formula1>
    </dataValidation>
  </dataValidations>
  <printOptions horizontalCentered="1"/>
  <pageMargins left="0" right="0" top="0.39370078740157483" bottom="0.39370078740157483" header="0.19685039370078741" footer="0.19685039370078741"/>
  <pageSetup paperSize="9" scale="84" orientation="landscape" r:id="rId2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3000000}">
          <x14:formula1>
            <xm:f>[【酒】商品登録申請書_ｖ7.5てすと.xlsx]参照_POP情報用!#REF!</xm:f>
          </x14:formula1>
          <xm:sqref>F7:G7 F11:G11 F15:G15 F19:G19 H7:H8 H11:H12 H15:H16 H19:H20 J7:J8 J11:J12 J15:J16 J19:J20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AD97"/>
  <sheetViews>
    <sheetView zoomScale="60" zoomScaleNormal="60" zoomScaleSheetLayoutView="55" workbookViewId="0">
      <selection activeCell="M74" sqref="M74"/>
    </sheetView>
  </sheetViews>
  <sheetFormatPr defaultColWidth="9" defaultRowHeight="14.4" x14ac:dyDescent="0.2"/>
  <cols>
    <col min="1" max="1" width="4" style="5" customWidth="1"/>
    <col min="2" max="9" width="14.6640625" style="5" customWidth="1"/>
    <col min="10" max="10" width="1.109375" style="5" customWidth="1"/>
    <col min="11" max="11" width="4" style="5" bestFit="1" customWidth="1"/>
    <col min="12" max="19" width="14.6640625" style="5" customWidth="1"/>
    <col min="20" max="20" width="11.88671875" style="5" customWidth="1"/>
    <col min="21" max="21" width="10.88671875" style="5" bestFit="1" customWidth="1"/>
    <col min="22" max="22" width="6" style="5" bestFit="1" customWidth="1"/>
    <col min="23" max="23" width="4" style="5" bestFit="1" customWidth="1"/>
    <col min="24" max="24" width="5.44140625" style="5" bestFit="1" customWidth="1"/>
    <col min="25" max="25" width="9" style="5"/>
    <col min="26" max="26" width="8.88671875" style="5" customWidth="1"/>
    <col min="27" max="27" width="16.44140625" style="5" customWidth="1"/>
    <col min="28" max="28" width="9.77734375" style="5" customWidth="1"/>
    <col min="29" max="16384" width="9" style="5"/>
  </cols>
  <sheetData>
    <row r="1" spans="1:30" ht="15" thickBot="1" x14ac:dyDescent="0.25"/>
    <row r="2" spans="1:30" ht="21.9" customHeight="1" x14ac:dyDescent="0.2">
      <c r="A2" s="5" t="s">
        <v>1419</v>
      </c>
      <c r="B2" s="700" t="s">
        <v>308</v>
      </c>
      <c r="C2" s="703" t="s">
        <v>309</v>
      </c>
      <c r="D2" s="703"/>
      <c r="E2" s="703"/>
      <c r="F2" s="703"/>
      <c r="G2" s="496" t="s">
        <v>310</v>
      </c>
      <c r="H2" s="496" t="s">
        <v>311</v>
      </c>
      <c r="I2" s="498" t="s">
        <v>312</v>
      </c>
      <c r="K2" s="5" t="s">
        <v>1420</v>
      </c>
      <c r="L2" s="700" t="s">
        <v>308</v>
      </c>
      <c r="M2" s="703" t="s">
        <v>309</v>
      </c>
      <c r="N2" s="703"/>
      <c r="O2" s="703"/>
      <c r="P2" s="703"/>
      <c r="Q2" s="496" t="s">
        <v>310</v>
      </c>
      <c r="R2" s="496" t="s">
        <v>311</v>
      </c>
      <c r="S2" s="498" t="s">
        <v>312</v>
      </c>
    </row>
    <row r="3" spans="1:30" ht="21.9" customHeight="1" x14ac:dyDescent="0.2">
      <c r="B3" s="701"/>
      <c r="C3" s="704" t="str">
        <f>'①商品マスタ 申請入力用'!$D$23&amp;""</f>
        <v/>
      </c>
      <c r="D3" s="705"/>
      <c r="E3" s="705"/>
      <c r="F3" s="706"/>
      <c r="G3" s="710" t="str">
        <f>'①商品マスタ 申請入力用'!$D$41&amp;""</f>
        <v>1清酒類</v>
      </c>
      <c r="H3" s="712" t="str">
        <f>'①商品マスタ 申請入力用'!$D$50&amp;""</f>
        <v>1清酒 大吟醸 純米大吟醸</v>
      </c>
      <c r="I3" s="714" t="str">
        <f>'①商品マスタ 申請入力用'!$D$49&amp;""</f>
        <v>4005指定 その他</v>
      </c>
      <c r="L3" s="701"/>
      <c r="M3" s="704" t="str">
        <f>'①商品マスタ 申請入力用'!$F$23&amp;""</f>
        <v/>
      </c>
      <c r="N3" s="705"/>
      <c r="O3" s="705"/>
      <c r="P3" s="706"/>
      <c r="Q3" s="710" t="str">
        <f>'①商品マスタ 申請入力用'!$F$41&amp;""</f>
        <v>8食品</v>
      </c>
      <c r="R3" s="712" t="str">
        <f>'①商品マスタ 申請入力用'!$F$50&amp;""</f>
        <v>534その他ワイン</v>
      </c>
      <c r="S3" s="714" t="str">
        <f>'①商品マスタ 申請入力用'!$F$49&amp;""</f>
        <v>4005指定 その他</v>
      </c>
      <c r="U3" s="5" t="s">
        <v>313</v>
      </c>
      <c r="V3" s="5" t="s">
        <v>314</v>
      </c>
      <c r="W3" s="5" t="s">
        <v>1475</v>
      </c>
      <c r="X3" s="5" t="s">
        <v>315</v>
      </c>
      <c r="Y3" s="5" t="s">
        <v>316</v>
      </c>
      <c r="Z3" s="5" t="s">
        <v>1476</v>
      </c>
      <c r="AA3" s="5" t="s">
        <v>1422</v>
      </c>
      <c r="AC3" s="5" t="s">
        <v>1423</v>
      </c>
      <c r="AD3" s="5">
        <v>1</v>
      </c>
    </row>
    <row r="4" spans="1:30" ht="21.9" customHeight="1" thickBot="1" x14ac:dyDescent="0.25">
      <c r="B4" s="702"/>
      <c r="C4" s="707"/>
      <c r="D4" s="708"/>
      <c r="E4" s="708"/>
      <c r="F4" s="709"/>
      <c r="G4" s="711"/>
      <c r="H4" s="713"/>
      <c r="I4" s="715"/>
      <c r="L4" s="702"/>
      <c r="M4" s="707"/>
      <c r="N4" s="708"/>
      <c r="O4" s="708"/>
      <c r="P4" s="709"/>
      <c r="Q4" s="711"/>
      <c r="R4" s="713"/>
      <c r="S4" s="715"/>
      <c r="U4" s="5" t="s">
        <v>317</v>
      </c>
      <c r="V4" s="5" t="s">
        <v>318</v>
      </c>
      <c r="X4" s="5" t="s">
        <v>319</v>
      </c>
      <c r="Y4" s="5" t="s">
        <v>320</v>
      </c>
      <c r="Z4" s="5" t="s">
        <v>1424</v>
      </c>
      <c r="AA4" s="5" t="s">
        <v>1425</v>
      </c>
      <c r="AC4" s="5" t="s">
        <v>1426</v>
      </c>
      <c r="AD4" s="5">
        <v>2</v>
      </c>
    </row>
    <row r="5" spans="1:30" ht="21.9" customHeight="1" x14ac:dyDescent="0.2">
      <c r="B5" s="761" t="s">
        <v>321</v>
      </c>
      <c r="C5" s="762"/>
      <c r="D5" s="766" t="s">
        <v>1427</v>
      </c>
      <c r="E5" s="703"/>
      <c r="F5" s="703" t="s">
        <v>1477</v>
      </c>
      <c r="G5" s="703"/>
      <c r="H5" s="703" t="s">
        <v>1428</v>
      </c>
      <c r="I5" s="754"/>
      <c r="L5" s="761" t="s">
        <v>321</v>
      </c>
      <c r="M5" s="762"/>
      <c r="N5" s="766" t="s">
        <v>1478</v>
      </c>
      <c r="O5" s="703"/>
      <c r="P5" s="703" t="s">
        <v>1429</v>
      </c>
      <c r="Q5" s="703"/>
      <c r="R5" s="703" t="s">
        <v>1428</v>
      </c>
      <c r="S5" s="754"/>
      <c r="U5" s="5" t="s">
        <v>322</v>
      </c>
      <c r="Z5" s="5" t="s">
        <v>1430</v>
      </c>
      <c r="AA5" s="5" t="s">
        <v>1431</v>
      </c>
      <c r="AC5" s="5" t="s">
        <v>1432</v>
      </c>
      <c r="AD5" s="5">
        <v>3</v>
      </c>
    </row>
    <row r="6" spans="1:30" ht="21.9" customHeight="1" thickBot="1" x14ac:dyDescent="0.25">
      <c r="B6" s="755" t="str">
        <f>'①商品マスタ 申請入力用'!$D$21&amp;""</f>
        <v>414898</v>
      </c>
      <c r="C6" s="756"/>
      <c r="D6" s="752" t="str">
        <f>'①商品マスタ 申請入力用'!$D$69&amp;""</f>
        <v>1234567890123</v>
      </c>
      <c r="E6" s="757"/>
      <c r="F6" s="757" t="str">
        <f>'①商品マスタ 申請入力用'!$D$70&amp;""</f>
        <v>1234567890123</v>
      </c>
      <c r="G6" s="757"/>
      <c r="H6" s="757" t="str">
        <f>'①商品マスタ 申請入力用'!$D$87&amp;""</f>
        <v/>
      </c>
      <c r="I6" s="758"/>
      <c r="L6" s="755" t="str">
        <f>'①商品マスタ 申請入力用'!$F$21&amp;""</f>
        <v>414898</v>
      </c>
      <c r="M6" s="756"/>
      <c r="N6" s="752" t="str">
        <f>'①商品マスタ 申請入力用'!$F$69&amp;""</f>
        <v>1234567890123</v>
      </c>
      <c r="O6" s="757"/>
      <c r="P6" s="757" t="str">
        <f>'①商品マスタ 申請入力用'!$F$70&amp;""</f>
        <v>1234567890123</v>
      </c>
      <c r="Q6" s="757"/>
      <c r="R6" s="757" t="str">
        <f>'①商品マスタ 申請入力用'!$F$87&amp;""</f>
        <v/>
      </c>
      <c r="S6" s="758"/>
      <c r="AA6" s="5" t="s">
        <v>1433</v>
      </c>
      <c r="AC6" s="5" t="s">
        <v>1434</v>
      </c>
      <c r="AD6" s="5">
        <v>4</v>
      </c>
    </row>
    <row r="7" spans="1:30" ht="21.9" customHeight="1" x14ac:dyDescent="0.2">
      <c r="B7" s="495" t="s">
        <v>123</v>
      </c>
      <c r="C7" s="229" t="s">
        <v>323</v>
      </c>
      <c r="D7" s="229" t="s">
        <v>324</v>
      </c>
      <c r="E7" s="229" t="s">
        <v>354</v>
      </c>
      <c r="F7" s="749" t="s">
        <v>1435</v>
      </c>
      <c r="G7" s="750"/>
      <c r="H7" s="229" t="s">
        <v>325</v>
      </c>
      <c r="I7" s="230" t="s">
        <v>326</v>
      </c>
      <c r="L7" s="495" t="s">
        <v>123</v>
      </c>
      <c r="M7" s="229" t="s">
        <v>323</v>
      </c>
      <c r="N7" s="229" t="s">
        <v>324</v>
      </c>
      <c r="O7" s="229" t="s">
        <v>354</v>
      </c>
      <c r="P7" s="749" t="s">
        <v>1479</v>
      </c>
      <c r="Q7" s="750"/>
      <c r="R7" s="229" t="s">
        <v>325</v>
      </c>
      <c r="S7" s="230" t="s">
        <v>326</v>
      </c>
      <c r="AA7" s="5" t="s">
        <v>1436</v>
      </c>
      <c r="AC7" s="5" t="s">
        <v>1437</v>
      </c>
      <c r="AD7" s="5">
        <v>5</v>
      </c>
    </row>
    <row r="8" spans="1:30" ht="21.9" customHeight="1" thickBot="1" x14ac:dyDescent="0.25">
      <c r="B8" s="238" t="str">
        <f>'①商品マスタ 申請入力用'!$D$28&amp;""</f>
        <v/>
      </c>
      <c r="C8" s="231" t="str">
        <f>'①商品マスタ 申請入力用'!$D$29&amp;""</f>
        <v>1</v>
      </c>
      <c r="D8" s="499" t="str">
        <f>'①商品マスタ 申請入力用'!$D$59&amp;""</f>
        <v>13.5</v>
      </c>
      <c r="E8" s="499" t="str">
        <f>'①商品マスタ 申請入力用'!$D$61&amp;""</f>
        <v>10002中国</v>
      </c>
      <c r="F8" s="751" t="str">
        <f>'①商品マスタ 申請入力用'!$D$66&amp;""</f>
        <v>㈱ティルブション</v>
      </c>
      <c r="G8" s="752"/>
      <c r="H8" s="457" t="str">
        <f>'①商品マスタ 申請入力用'!$D$30&amp;""</f>
        <v>1.0</v>
      </c>
      <c r="I8" s="500" t="str">
        <f>'①商品マスタ 申請入力用'!$D$31&amp;""</f>
        <v>1500</v>
      </c>
      <c r="L8" s="238" t="str">
        <f>'①商品マスタ 申請入力用'!$F$28&amp;""</f>
        <v/>
      </c>
      <c r="M8" s="231" t="str">
        <f>'①商品マスタ 申請入力用'!$F$29&amp;""</f>
        <v>11</v>
      </c>
      <c r="N8" s="499" t="str">
        <f>'①商品マスタ 申請入力用'!$F$59&amp;""</f>
        <v>13.5</v>
      </c>
      <c r="O8" s="499" t="str">
        <f>'①商品マスタ 申請入力用'!$F$61&amp;""</f>
        <v>10002中国</v>
      </c>
      <c r="P8" s="751" t="str">
        <f>'①商品マスタ 申請入力用'!$F$66&amp;""</f>
        <v>㈱ティルブション</v>
      </c>
      <c r="Q8" s="752"/>
      <c r="R8" s="457" t="str">
        <f>'①商品マスタ 申請入力用'!$F$30&amp;""</f>
        <v>1.0</v>
      </c>
      <c r="S8" s="500" t="str">
        <f>'①商品マスタ 申請入力用'!$F$31&amp;""</f>
        <v>1500</v>
      </c>
      <c r="AC8" s="5" t="s">
        <v>1438</v>
      </c>
      <c r="AD8" s="5">
        <v>6</v>
      </c>
    </row>
    <row r="9" spans="1:30" ht="21.9" customHeight="1" x14ac:dyDescent="0.2">
      <c r="B9" s="458" t="s">
        <v>1439</v>
      </c>
      <c r="C9" s="233"/>
      <c r="D9" s="459"/>
      <c r="E9" s="232" t="s">
        <v>1480</v>
      </c>
      <c r="F9" s="753"/>
      <c r="G9" s="753"/>
      <c r="H9" s="233"/>
      <c r="I9" s="460"/>
      <c r="L9" s="458" t="s">
        <v>1439</v>
      </c>
      <c r="M9" s="233"/>
      <c r="N9" s="459"/>
      <c r="O9" s="232" t="s">
        <v>1480</v>
      </c>
      <c r="P9" s="753"/>
      <c r="Q9" s="753"/>
      <c r="R9" s="233"/>
      <c r="S9" s="460"/>
      <c r="AD9" s="5">
        <v>7</v>
      </c>
    </row>
    <row r="10" spans="1:30" ht="21.9" customHeight="1" x14ac:dyDescent="0.2">
      <c r="B10" s="720"/>
      <c r="C10" s="721"/>
      <c r="D10" s="722"/>
      <c r="E10" s="729"/>
      <c r="F10" s="730"/>
      <c r="G10" s="730"/>
      <c r="H10" s="730"/>
      <c r="I10" s="731"/>
      <c r="L10" s="720"/>
      <c r="M10" s="721"/>
      <c r="N10" s="722"/>
      <c r="O10" s="729"/>
      <c r="P10" s="730"/>
      <c r="Q10" s="730"/>
      <c r="R10" s="730"/>
      <c r="S10" s="731"/>
      <c r="AD10" s="5">
        <v>10</v>
      </c>
    </row>
    <row r="11" spans="1:30" ht="21.9" customHeight="1" x14ac:dyDescent="0.2">
      <c r="B11" s="723"/>
      <c r="C11" s="724"/>
      <c r="D11" s="725"/>
      <c r="E11" s="732"/>
      <c r="F11" s="733"/>
      <c r="G11" s="733"/>
      <c r="H11" s="733"/>
      <c r="I11" s="734"/>
      <c r="L11" s="723"/>
      <c r="M11" s="724"/>
      <c r="N11" s="725"/>
      <c r="O11" s="732"/>
      <c r="P11" s="733"/>
      <c r="Q11" s="733"/>
      <c r="R11" s="733"/>
      <c r="S11" s="734"/>
      <c r="AD11" s="5">
        <v>14</v>
      </c>
    </row>
    <row r="12" spans="1:30" ht="21.9" customHeight="1" x14ac:dyDescent="0.2">
      <c r="B12" s="723"/>
      <c r="C12" s="724"/>
      <c r="D12" s="725"/>
      <c r="E12" s="732"/>
      <c r="F12" s="733"/>
      <c r="G12" s="733"/>
      <c r="H12" s="733"/>
      <c r="I12" s="734"/>
      <c r="L12" s="723"/>
      <c r="M12" s="724"/>
      <c r="N12" s="725"/>
      <c r="O12" s="732"/>
      <c r="P12" s="733"/>
      <c r="Q12" s="733"/>
      <c r="R12" s="733"/>
      <c r="S12" s="734"/>
    </row>
    <row r="13" spans="1:30" ht="21.9" customHeight="1" x14ac:dyDescent="0.2">
      <c r="B13" s="723"/>
      <c r="C13" s="724"/>
      <c r="D13" s="725"/>
      <c r="E13" s="732"/>
      <c r="F13" s="733"/>
      <c r="G13" s="733"/>
      <c r="H13" s="733"/>
      <c r="I13" s="734"/>
      <c r="L13" s="723"/>
      <c r="M13" s="724"/>
      <c r="N13" s="725"/>
      <c r="O13" s="732"/>
      <c r="P13" s="733"/>
      <c r="Q13" s="733"/>
      <c r="R13" s="733"/>
      <c r="S13" s="734"/>
    </row>
    <row r="14" spans="1:30" ht="21.9" customHeight="1" x14ac:dyDescent="0.2">
      <c r="B14" s="723"/>
      <c r="C14" s="724"/>
      <c r="D14" s="725"/>
      <c r="E14" s="732"/>
      <c r="F14" s="733"/>
      <c r="G14" s="733"/>
      <c r="H14" s="733"/>
      <c r="I14" s="734"/>
      <c r="L14" s="723"/>
      <c r="M14" s="724"/>
      <c r="N14" s="725"/>
      <c r="O14" s="732"/>
      <c r="P14" s="733"/>
      <c r="Q14" s="733"/>
      <c r="R14" s="733"/>
      <c r="S14" s="734"/>
    </row>
    <row r="15" spans="1:30" ht="21.9" customHeight="1" x14ac:dyDescent="0.2">
      <c r="B15" s="723"/>
      <c r="C15" s="724"/>
      <c r="D15" s="725"/>
      <c r="E15" s="732"/>
      <c r="F15" s="733"/>
      <c r="G15" s="733"/>
      <c r="H15" s="733"/>
      <c r="I15" s="734"/>
      <c r="L15" s="723"/>
      <c r="M15" s="724"/>
      <c r="N15" s="725"/>
      <c r="O15" s="732"/>
      <c r="P15" s="733"/>
      <c r="Q15" s="733"/>
      <c r="R15" s="733"/>
      <c r="S15" s="734"/>
    </row>
    <row r="16" spans="1:30" ht="21.9" customHeight="1" x14ac:dyDescent="0.2">
      <c r="B16" s="723"/>
      <c r="C16" s="724"/>
      <c r="D16" s="725"/>
      <c r="E16" s="732"/>
      <c r="F16" s="733"/>
      <c r="G16" s="733"/>
      <c r="H16" s="733"/>
      <c r="I16" s="734"/>
      <c r="L16" s="723"/>
      <c r="M16" s="724"/>
      <c r="N16" s="725"/>
      <c r="O16" s="732"/>
      <c r="P16" s="733"/>
      <c r="Q16" s="733"/>
      <c r="R16" s="733"/>
      <c r="S16" s="734"/>
    </row>
    <row r="17" spans="2:19" ht="21.9" customHeight="1" x14ac:dyDescent="0.2">
      <c r="B17" s="723"/>
      <c r="C17" s="724"/>
      <c r="D17" s="725"/>
      <c r="E17" s="732"/>
      <c r="F17" s="733"/>
      <c r="G17" s="733"/>
      <c r="H17" s="733"/>
      <c r="I17" s="734"/>
      <c r="L17" s="723"/>
      <c r="M17" s="724"/>
      <c r="N17" s="725"/>
      <c r="O17" s="732"/>
      <c r="P17" s="733"/>
      <c r="Q17" s="733"/>
      <c r="R17" s="733"/>
      <c r="S17" s="734"/>
    </row>
    <row r="18" spans="2:19" ht="21.9" customHeight="1" x14ac:dyDescent="0.2">
      <c r="B18" s="723"/>
      <c r="C18" s="724"/>
      <c r="D18" s="725"/>
      <c r="E18" s="732"/>
      <c r="F18" s="733"/>
      <c r="G18" s="733"/>
      <c r="H18" s="733"/>
      <c r="I18" s="734"/>
      <c r="L18" s="723"/>
      <c r="M18" s="724"/>
      <c r="N18" s="725"/>
      <c r="O18" s="732"/>
      <c r="P18" s="733"/>
      <c r="Q18" s="733"/>
      <c r="R18" s="733"/>
      <c r="S18" s="734"/>
    </row>
    <row r="19" spans="2:19" ht="21.9" customHeight="1" x14ac:dyDescent="0.2">
      <c r="B19" s="723"/>
      <c r="C19" s="724"/>
      <c r="D19" s="725"/>
      <c r="E19" s="732"/>
      <c r="F19" s="733"/>
      <c r="G19" s="733"/>
      <c r="H19" s="733"/>
      <c r="I19" s="734"/>
      <c r="L19" s="723"/>
      <c r="M19" s="724"/>
      <c r="N19" s="725"/>
      <c r="O19" s="732"/>
      <c r="P19" s="733"/>
      <c r="Q19" s="733"/>
      <c r="R19" s="733"/>
      <c r="S19" s="734"/>
    </row>
    <row r="20" spans="2:19" ht="21.9" customHeight="1" x14ac:dyDescent="0.2">
      <c r="B20" s="723"/>
      <c r="C20" s="724"/>
      <c r="D20" s="725"/>
      <c r="E20" s="732"/>
      <c r="F20" s="733"/>
      <c r="G20" s="733"/>
      <c r="H20" s="733"/>
      <c r="I20" s="734"/>
      <c r="L20" s="723"/>
      <c r="M20" s="724"/>
      <c r="N20" s="725"/>
      <c r="O20" s="732"/>
      <c r="P20" s="733"/>
      <c r="Q20" s="733"/>
      <c r="R20" s="733"/>
      <c r="S20" s="734"/>
    </row>
    <row r="21" spans="2:19" ht="21.9" customHeight="1" x14ac:dyDescent="0.2">
      <c r="B21" s="723"/>
      <c r="C21" s="724"/>
      <c r="D21" s="725"/>
      <c r="E21" s="732"/>
      <c r="F21" s="733"/>
      <c r="G21" s="733"/>
      <c r="H21" s="733"/>
      <c r="I21" s="734"/>
      <c r="L21" s="723"/>
      <c r="M21" s="724"/>
      <c r="N21" s="725"/>
      <c r="O21" s="732"/>
      <c r="P21" s="733"/>
      <c r="Q21" s="733"/>
      <c r="R21" s="733"/>
      <c r="S21" s="734"/>
    </row>
    <row r="22" spans="2:19" ht="21.9" customHeight="1" x14ac:dyDescent="0.2">
      <c r="B22" s="723"/>
      <c r="C22" s="724"/>
      <c r="D22" s="725"/>
      <c r="E22" s="732"/>
      <c r="F22" s="733"/>
      <c r="G22" s="733"/>
      <c r="H22" s="733"/>
      <c r="I22" s="734"/>
      <c r="L22" s="723"/>
      <c r="M22" s="724"/>
      <c r="N22" s="725"/>
      <c r="O22" s="732"/>
      <c r="P22" s="733"/>
      <c r="Q22" s="733"/>
      <c r="R22" s="733"/>
      <c r="S22" s="734"/>
    </row>
    <row r="23" spans="2:19" ht="21.9" customHeight="1" thickBot="1" x14ac:dyDescent="0.25">
      <c r="B23" s="723"/>
      <c r="C23" s="724"/>
      <c r="D23" s="725"/>
      <c r="E23" s="735"/>
      <c r="F23" s="736"/>
      <c r="G23" s="736"/>
      <c r="H23" s="736"/>
      <c r="I23" s="737"/>
      <c r="L23" s="723"/>
      <c r="M23" s="724"/>
      <c r="N23" s="725"/>
      <c r="O23" s="735"/>
      <c r="P23" s="736"/>
      <c r="Q23" s="736"/>
      <c r="R23" s="736"/>
      <c r="S23" s="737"/>
    </row>
    <row r="24" spans="2:19" ht="21.9" customHeight="1" x14ac:dyDescent="0.2">
      <c r="B24" s="723"/>
      <c r="C24" s="724"/>
      <c r="D24" s="725"/>
      <c r="E24" s="461" t="s">
        <v>1440</v>
      </c>
      <c r="F24" s="462"/>
      <c r="G24" s="462"/>
      <c r="H24" s="462"/>
      <c r="I24" s="463"/>
      <c r="L24" s="723"/>
      <c r="M24" s="724"/>
      <c r="N24" s="725"/>
      <c r="O24" s="461" t="s">
        <v>1440</v>
      </c>
      <c r="P24" s="462"/>
      <c r="Q24" s="462"/>
      <c r="R24" s="462"/>
      <c r="S24" s="463"/>
    </row>
    <row r="25" spans="2:19" ht="21.9" customHeight="1" x14ac:dyDescent="0.2">
      <c r="B25" s="723"/>
      <c r="C25" s="724"/>
      <c r="D25" s="725"/>
      <c r="E25" s="738"/>
      <c r="F25" s="738"/>
      <c r="G25" s="738"/>
      <c r="H25" s="738"/>
      <c r="I25" s="739"/>
      <c r="L25" s="723"/>
      <c r="M25" s="724"/>
      <c r="N25" s="725"/>
      <c r="O25" s="738"/>
      <c r="P25" s="738"/>
      <c r="Q25" s="738"/>
      <c r="R25" s="738"/>
      <c r="S25" s="739"/>
    </row>
    <row r="26" spans="2:19" ht="21.9" customHeight="1" thickBot="1" x14ac:dyDescent="0.25">
      <c r="B26" s="726"/>
      <c r="C26" s="727"/>
      <c r="D26" s="728"/>
      <c r="E26" s="740"/>
      <c r="F26" s="740"/>
      <c r="G26" s="740"/>
      <c r="H26" s="740"/>
      <c r="I26" s="741"/>
      <c r="L26" s="726"/>
      <c r="M26" s="727"/>
      <c r="N26" s="728"/>
      <c r="O26" s="740"/>
      <c r="P26" s="740"/>
      <c r="Q26" s="740"/>
      <c r="R26" s="740"/>
      <c r="S26" s="741"/>
    </row>
    <row r="27" spans="2:19" ht="21.9" customHeight="1" x14ac:dyDescent="0.2">
      <c r="B27" s="495" t="s">
        <v>327</v>
      </c>
      <c r="C27" s="497" t="s">
        <v>328</v>
      </c>
      <c r="D27" s="229" t="s">
        <v>329</v>
      </c>
      <c r="E27" s="229" t="s">
        <v>330</v>
      </c>
      <c r="F27" s="229" t="s">
        <v>331</v>
      </c>
      <c r="G27" s="229" t="s">
        <v>332</v>
      </c>
      <c r="H27" s="229" t="s">
        <v>333</v>
      </c>
      <c r="I27" s="230" t="s">
        <v>1441</v>
      </c>
      <c r="L27" s="495" t="s">
        <v>327</v>
      </c>
      <c r="M27" s="497" t="s">
        <v>328</v>
      </c>
      <c r="N27" s="229" t="s">
        <v>329</v>
      </c>
      <c r="O27" s="229" t="s">
        <v>330</v>
      </c>
      <c r="P27" s="229" t="s">
        <v>331</v>
      </c>
      <c r="Q27" s="229" t="s">
        <v>332</v>
      </c>
      <c r="R27" s="229" t="s">
        <v>333</v>
      </c>
      <c r="S27" s="230" t="s">
        <v>1441</v>
      </c>
    </row>
    <row r="28" spans="2:19" ht="21.9" customHeight="1" x14ac:dyDescent="0.2">
      <c r="B28" s="234" t="s">
        <v>1442</v>
      </c>
      <c r="C28" s="464">
        <f>NEW③Ｎ単価・売価情報!$C$28</f>
        <v>0</v>
      </c>
      <c r="D28" s="465">
        <f>C28+C28*'①商品マスタ 申請入力用'!D$40/100</f>
        <v>0</v>
      </c>
      <c r="E28" s="464">
        <f>NEW③Ｎ単価・売価情報!$B$28</f>
        <v>0</v>
      </c>
      <c r="F28" s="465">
        <f>E28+E28*'①商品マスタ 申請入力用'!D$40/100</f>
        <v>0</v>
      </c>
      <c r="G28" s="239" t="e">
        <f>(C28-I30)/C28</f>
        <v>#DIV/0!</v>
      </c>
      <c r="H28" s="239" t="e">
        <f>(E28-I30*C8)/E28</f>
        <v>#DIV/0!</v>
      </c>
      <c r="I28" s="466" t="str">
        <f t="shared" ref="I28" si="0">IF(E28&lt;C28*C8,"●","")</f>
        <v/>
      </c>
      <c r="L28" s="234" t="s">
        <v>1442</v>
      </c>
      <c r="M28" s="464">
        <f>NEW③Ｎ単価・売価情報!$E$28</f>
        <v>0</v>
      </c>
      <c r="N28" s="465">
        <f>M28+M28*'①商品マスタ 申請入力用'!F$40/100</f>
        <v>0</v>
      </c>
      <c r="O28" s="464">
        <f>NEW③Ｎ単価・売価情報!$D$28</f>
        <v>0</v>
      </c>
      <c r="P28" s="465">
        <f>O28+O28*'①商品マスタ 申請入力用'!F$40/100</f>
        <v>0</v>
      </c>
      <c r="Q28" s="239" t="e">
        <f>(M28-S30)/M28</f>
        <v>#DIV/0!</v>
      </c>
      <c r="R28" s="239" t="e">
        <f>(O28-S30*M8)/O28</f>
        <v>#DIV/0!</v>
      </c>
      <c r="S28" s="466" t="str">
        <f t="shared" ref="S28" si="1">IF(O28&lt;M28*M8,"●","")</f>
        <v/>
      </c>
    </row>
    <row r="29" spans="2:19" ht="21.9" customHeight="1" x14ac:dyDescent="0.2">
      <c r="B29" s="467" t="s">
        <v>1443</v>
      </c>
      <c r="C29" s="464">
        <f>NEW③Ｎ単価・売価情報!$C$31</f>
        <v>0</v>
      </c>
      <c r="D29" s="468">
        <f>C29+C29*'①商品マスタ 申請入力用'!D$40/100</f>
        <v>0</v>
      </c>
      <c r="E29" s="464">
        <f>NEW③Ｎ単価・売価情報!$B$31</f>
        <v>0</v>
      </c>
      <c r="F29" s="468">
        <f>E29+E29*'①商品マスタ 申請入力用'!D$40/100</f>
        <v>0</v>
      </c>
      <c r="G29" s="469" t="e">
        <f>(C29-I30)/C29</f>
        <v>#DIV/0!</v>
      </c>
      <c r="H29" s="469" t="e">
        <f>(E29-I30*C8)/E29</f>
        <v>#DIV/0!</v>
      </c>
      <c r="I29" s="470" t="str">
        <f>IF(E29&lt;C29*C8,"●","")</f>
        <v/>
      </c>
      <c r="L29" s="467" t="s">
        <v>1443</v>
      </c>
      <c r="M29" s="464">
        <f>NEW③Ｎ単価・売価情報!$E$31</f>
        <v>0</v>
      </c>
      <c r="N29" s="468">
        <f>M29+M29*'①商品マスタ 申請入力用'!F$40/100</f>
        <v>0</v>
      </c>
      <c r="O29" s="464">
        <f>NEW③Ｎ単価・売価情報!$D$31</f>
        <v>0</v>
      </c>
      <c r="P29" s="468">
        <f>O29+O29*'①商品マスタ 申請入力用'!F$40/100</f>
        <v>0</v>
      </c>
      <c r="Q29" s="469" t="e">
        <f>(M29-S30)/M29</f>
        <v>#DIV/0!</v>
      </c>
      <c r="R29" s="469" t="e">
        <f>(O29-S30*M8)/O29</f>
        <v>#DIV/0!</v>
      </c>
      <c r="S29" s="470" t="str">
        <f>IF(O29&lt;M29*M8,"●","")</f>
        <v/>
      </c>
    </row>
    <row r="30" spans="2:19" ht="24.9" customHeight="1" thickBot="1" x14ac:dyDescent="0.25">
      <c r="B30" s="471" t="s">
        <v>334</v>
      </c>
      <c r="C30" s="472"/>
      <c r="D30" s="473" t="s">
        <v>1444</v>
      </c>
      <c r="E30" s="474">
        <f>NEW③Ｎ単価・売価情報!C22</f>
        <v>0</v>
      </c>
      <c r="F30" s="475" t="s">
        <v>335</v>
      </c>
      <c r="G30" s="474"/>
      <c r="H30" s="476" t="s">
        <v>336</v>
      </c>
      <c r="I30" s="477">
        <f>E30-G30</f>
        <v>0</v>
      </c>
      <c r="L30" s="471" t="s">
        <v>334</v>
      </c>
      <c r="M30" s="472"/>
      <c r="N30" s="473" t="s">
        <v>1444</v>
      </c>
      <c r="O30" s="474">
        <f>NEW③Ｎ単価・売価情報!E22</f>
        <v>0</v>
      </c>
      <c r="P30" s="475" t="s">
        <v>335</v>
      </c>
      <c r="Q30" s="474"/>
      <c r="R30" s="476" t="s">
        <v>336</v>
      </c>
      <c r="S30" s="477">
        <f>O30-Q30</f>
        <v>0</v>
      </c>
    </row>
    <row r="31" spans="2:19" ht="24.9" customHeight="1" thickBot="1" x14ac:dyDescent="0.25">
      <c r="B31" s="478" t="s">
        <v>337</v>
      </c>
      <c r="C31" s="479" t="str">
        <f>'①商品マスタ 申請入力用'!$D$35&amp;""</f>
        <v>45639</v>
      </c>
      <c r="D31" s="480" t="s">
        <v>343</v>
      </c>
      <c r="E31" s="481" t="str">
        <f>'①商品マスタ 申請入力用'!$D$36&amp;""</f>
        <v>00365</v>
      </c>
      <c r="F31" s="482" t="s">
        <v>338</v>
      </c>
      <c r="G31" s="483"/>
      <c r="H31" s="482" t="s">
        <v>344</v>
      </c>
      <c r="I31" s="484"/>
      <c r="L31" s="478" t="s">
        <v>337</v>
      </c>
      <c r="M31" s="479" t="str">
        <f>'①商品マスタ 申請入力用'!$F$35&amp;""</f>
        <v>45640</v>
      </c>
      <c r="N31" s="480" t="s">
        <v>343</v>
      </c>
      <c r="O31" s="481" t="str">
        <f>'①商品マスタ 申請入力用'!$F$36&amp;""</f>
        <v>00365</v>
      </c>
      <c r="P31" s="482" t="s">
        <v>338</v>
      </c>
      <c r="Q31" s="483"/>
      <c r="R31" s="482" t="s">
        <v>344</v>
      </c>
      <c r="S31" s="484"/>
    </row>
    <row r="32" spans="2:19" ht="24.9" customHeight="1" x14ac:dyDescent="0.2">
      <c r="B32" s="742" t="s">
        <v>346</v>
      </c>
      <c r="C32" s="496" t="s">
        <v>1442</v>
      </c>
      <c r="D32" s="496" t="s">
        <v>1443</v>
      </c>
      <c r="E32" s="498" t="s">
        <v>345</v>
      </c>
      <c r="F32" s="700" t="s">
        <v>351</v>
      </c>
      <c r="G32" s="496" t="s">
        <v>1481</v>
      </c>
      <c r="H32" s="496" t="s">
        <v>1424</v>
      </c>
      <c r="I32" s="230" t="s">
        <v>352</v>
      </c>
      <c r="L32" s="742" t="s">
        <v>346</v>
      </c>
      <c r="M32" s="496" t="s">
        <v>1442</v>
      </c>
      <c r="N32" s="496" t="s">
        <v>1443</v>
      </c>
      <c r="O32" s="498" t="s">
        <v>345</v>
      </c>
      <c r="P32" s="700" t="s">
        <v>351</v>
      </c>
      <c r="Q32" s="496" t="s">
        <v>1421</v>
      </c>
      <c r="R32" s="496" t="s">
        <v>1424</v>
      </c>
      <c r="S32" s="230" t="s">
        <v>352</v>
      </c>
    </row>
    <row r="33" spans="1:19" ht="24.9" customHeight="1" thickBot="1" x14ac:dyDescent="0.25">
      <c r="B33" s="719"/>
      <c r="C33" s="485"/>
      <c r="D33" s="485"/>
      <c r="E33" s="237"/>
      <c r="F33" s="702"/>
      <c r="G33" s="231"/>
      <c r="H33" s="231"/>
      <c r="I33" s="486"/>
      <c r="L33" s="719"/>
      <c r="M33" s="485"/>
      <c r="N33" s="485"/>
      <c r="O33" s="237"/>
      <c r="P33" s="702"/>
      <c r="Q33" s="231"/>
      <c r="R33" s="231"/>
      <c r="S33" s="486"/>
    </row>
    <row r="34" spans="1:19" ht="21.9" customHeight="1" x14ac:dyDescent="0.2">
      <c r="B34" s="765" t="s">
        <v>347</v>
      </c>
      <c r="C34" s="487" t="s">
        <v>348</v>
      </c>
      <c r="D34" s="488" t="s">
        <v>349</v>
      </c>
      <c r="E34" s="489" t="s">
        <v>350</v>
      </c>
      <c r="F34" s="700" t="s">
        <v>339</v>
      </c>
      <c r="G34" s="496" t="s">
        <v>340</v>
      </c>
      <c r="H34" s="496" t="s">
        <v>1445</v>
      </c>
      <c r="I34" s="498" t="s">
        <v>1446</v>
      </c>
      <c r="L34" s="765" t="s">
        <v>347</v>
      </c>
      <c r="M34" s="487" t="s">
        <v>348</v>
      </c>
      <c r="N34" s="488" t="s">
        <v>349</v>
      </c>
      <c r="O34" s="489" t="s">
        <v>350</v>
      </c>
      <c r="P34" s="700" t="s">
        <v>339</v>
      </c>
      <c r="Q34" s="496" t="s">
        <v>340</v>
      </c>
      <c r="R34" s="496" t="s">
        <v>1445</v>
      </c>
      <c r="S34" s="498" t="s">
        <v>1446</v>
      </c>
    </row>
    <row r="35" spans="1:19" ht="21.9" customHeight="1" thickBot="1" x14ac:dyDescent="0.25">
      <c r="B35" s="719"/>
      <c r="C35" s="235"/>
      <c r="D35" s="235"/>
      <c r="E35" s="235"/>
      <c r="F35" s="702"/>
      <c r="G35" s="231"/>
      <c r="H35" s="231"/>
      <c r="I35" s="231"/>
      <c r="L35" s="719"/>
      <c r="M35" s="235"/>
      <c r="N35" s="235"/>
      <c r="O35" s="235"/>
      <c r="P35" s="702"/>
      <c r="Q35" s="231"/>
      <c r="R35" s="231"/>
      <c r="S35" s="231"/>
    </row>
    <row r="36" spans="1:19" ht="21.9" customHeight="1" x14ac:dyDescent="0.2">
      <c r="B36" s="716" t="s">
        <v>1447</v>
      </c>
      <c r="C36" s="496" t="s">
        <v>1482</v>
      </c>
      <c r="D36" s="229" t="s">
        <v>1448</v>
      </c>
      <c r="E36" s="490"/>
      <c r="F36" s="718" t="s">
        <v>1449</v>
      </c>
      <c r="G36" s="747"/>
      <c r="H36" s="743" t="s">
        <v>1483</v>
      </c>
      <c r="I36" s="745"/>
      <c r="L36" s="716" t="s">
        <v>1447</v>
      </c>
      <c r="M36" s="496" t="s">
        <v>1482</v>
      </c>
      <c r="N36" s="229" t="s">
        <v>1448</v>
      </c>
      <c r="O36" s="490"/>
      <c r="P36" s="718" t="s">
        <v>1449</v>
      </c>
      <c r="Q36" s="747"/>
      <c r="R36" s="743" t="s">
        <v>1484</v>
      </c>
      <c r="S36" s="745"/>
    </row>
    <row r="37" spans="1:19" ht="21.9" customHeight="1" thickBot="1" x14ac:dyDescent="0.25">
      <c r="B37" s="717"/>
      <c r="C37" s="235"/>
      <c r="D37" s="235"/>
      <c r="E37" s="491"/>
      <c r="F37" s="719"/>
      <c r="G37" s="748"/>
      <c r="H37" s="744"/>
      <c r="I37" s="746"/>
      <c r="L37" s="717"/>
      <c r="M37" s="235"/>
      <c r="N37" s="235"/>
      <c r="O37" s="491"/>
      <c r="P37" s="719"/>
      <c r="Q37" s="748"/>
      <c r="R37" s="744"/>
      <c r="S37" s="746"/>
    </row>
    <row r="38" spans="1:19" ht="21.9" customHeight="1" x14ac:dyDescent="0.2">
      <c r="B38" s="696" t="s">
        <v>1450</v>
      </c>
      <c r="C38" s="492" t="s">
        <v>1451</v>
      </c>
      <c r="D38" s="229" t="s">
        <v>1485</v>
      </c>
      <c r="E38" s="767" t="s">
        <v>1453</v>
      </c>
      <c r="F38" s="766"/>
      <c r="G38" s="229" t="s">
        <v>1486</v>
      </c>
      <c r="H38" s="496" t="s">
        <v>1455</v>
      </c>
      <c r="I38" s="501" t="s">
        <v>1456</v>
      </c>
      <c r="L38" s="696" t="s">
        <v>1450</v>
      </c>
      <c r="M38" s="492" t="s">
        <v>1451</v>
      </c>
      <c r="N38" s="229" t="s">
        <v>1452</v>
      </c>
      <c r="O38" s="767" t="s">
        <v>1453</v>
      </c>
      <c r="P38" s="766"/>
      <c r="Q38" s="229" t="s">
        <v>1454</v>
      </c>
      <c r="R38" s="496" t="s">
        <v>1455</v>
      </c>
      <c r="S38" s="501" t="s">
        <v>1456</v>
      </c>
    </row>
    <row r="39" spans="1:19" ht="21.9" customHeight="1" thickBot="1" x14ac:dyDescent="0.25">
      <c r="B39" s="697"/>
      <c r="C39" s="493"/>
      <c r="D39" s="494"/>
      <c r="E39" s="751"/>
      <c r="F39" s="752"/>
      <c r="G39" s="494"/>
      <c r="H39" s="235"/>
      <c r="I39" s="236"/>
      <c r="L39" s="697"/>
      <c r="M39" s="493"/>
      <c r="N39" s="494"/>
      <c r="O39" s="751"/>
      <c r="P39" s="752"/>
      <c r="Q39" s="494"/>
      <c r="R39" s="235"/>
      <c r="S39" s="236"/>
    </row>
    <row r="40" spans="1:19" ht="21.9" customHeight="1" x14ac:dyDescent="0.2">
      <c r="B40" s="698" t="s">
        <v>1457</v>
      </c>
      <c r="C40" s="496" t="s">
        <v>340</v>
      </c>
      <c r="D40" s="229" t="s">
        <v>341</v>
      </c>
      <c r="E40" s="496" t="s">
        <v>342</v>
      </c>
      <c r="F40" s="498" t="s">
        <v>1458</v>
      </c>
      <c r="G40" s="698" t="s">
        <v>1459</v>
      </c>
      <c r="H40" s="768" t="str">
        <f>'①商品マスタ 申請入力用'!D42</f>
        <v>2常温</v>
      </c>
      <c r="I40" s="490"/>
      <c r="L40" s="698" t="s">
        <v>1457</v>
      </c>
      <c r="M40" s="496" t="s">
        <v>340</v>
      </c>
      <c r="N40" s="229" t="s">
        <v>341</v>
      </c>
      <c r="O40" s="496" t="s">
        <v>342</v>
      </c>
      <c r="P40" s="498" t="s">
        <v>1458</v>
      </c>
      <c r="Q40" s="698" t="s">
        <v>1459</v>
      </c>
      <c r="R40" s="768" t="str">
        <f>'①商品マスタ 申請入力用'!F42</f>
        <v>2常温</v>
      </c>
      <c r="S40" s="490"/>
    </row>
    <row r="41" spans="1:19" ht="21.9" customHeight="1" thickBot="1" x14ac:dyDescent="0.25">
      <c r="B41" s="699"/>
      <c r="C41" s="231"/>
      <c r="D41" s="231"/>
      <c r="E41" s="231"/>
      <c r="F41" s="231"/>
      <c r="G41" s="699"/>
      <c r="H41" s="769"/>
      <c r="I41" s="491"/>
      <c r="L41" s="699"/>
      <c r="M41" s="231"/>
      <c r="N41" s="231"/>
      <c r="O41" s="231"/>
      <c r="P41" s="231"/>
      <c r="Q41" s="699"/>
      <c r="R41" s="769"/>
      <c r="S41" s="491"/>
    </row>
    <row r="42" spans="1:19" ht="15" customHeight="1" thickBot="1" x14ac:dyDescent="0.25"/>
    <row r="43" spans="1:19" ht="21.9" customHeight="1" x14ac:dyDescent="0.2">
      <c r="A43" s="5" t="s">
        <v>1487</v>
      </c>
      <c r="B43" s="700" t="s">
        <v>308</v>
      </c>
      <c r="C43" s="703" t="s">
        <v>309</v>
      </c>
      <c r="D43" s="703"/>
      <c r="E43" s="703"/>
      <c r="F43" s="703"/>
      <c r="G43" s="496" t="s">
        <v>310</v>
      </c>
      <c r="H43" s="496" t="s">
        <v>311</v>
      </c>
      <c r="I43" s="498" t="s">
        <v>312</v>
      </c>
      <c r="K43" s="5" t="s">
        <v>1460</v>
      </c>
      <c r="L43" s="700" t="s">
        <v>308</v>
      </c>
      <c r="M43" s="703" t="s">
        <v>309</v>
      </c>
      <c r="N43" s="703"/>
      <c r="O43" s="703"/>
      <c r="P43" s="703"/>
      <c r="Q43" s="496" t="s">
        <v>310</v>
      </c>
      <c r="R43" s="496" t="s">
        <v>311</v>
      </c>
      <c r="S43" s="498" t="s">
        <v>312</v>
      </c>
    </row>
    <row r="44" spans="1:19" ht="21.9" customHeight="1" x14ac:dyDescent="0.2">
      <c r="B44" s="701"/>
      <c r="C44" s="704" t="str">
        <f>'①商品マスタ 申請入力用'!$H$23&amp;""</f>
        <v/>
      </c>
      <c r="D44" s="705"/>
      <c r="E44" s="705"/>
      <c r="F44" s="706"/>
      <c r="G44" s="710" t="str">
        <f>'①商品マスタ 申請入力用'!$H$41&amp;""</f>
        <v>2焼酎類</v>
      </c>
      <c r="H44" s="712" t="str">
        <f>'①商品マスタ 申請入力用'!$H$50&amp;""</f>
        <v>1105ビールテイスト飲料(年齢確認品)</v>
      </c>
      <c r="I44" s="714" t="str">
        <f>'①商品マスタ 申請入力用'!$H$49&amp;""</f>
        <v>4005指定 その他</v>
      </c>
      <c r="L44" s="701"/>
      <c r="M44" s="704" t="str">
        <f>'①商品マスタ 申請入力用'!$J$23&amp;""</f>
        <v/>
      </c>
      <c r="N44" s="705"/>
      <c r="O44" s="705"/>
      <c r="P44" s="706"/>
      <c r="Q44" s="710" t="str">
        <f>'①商品マスタ 申請入力用'!$J$41&amp;""</f>
        <v>7その他酒類</v>
      </c>
      <c r="R44" s="763" t="str">
        <f>'①商品マスタ 申請入力用'!$J$50&amp;""</f>
        <v>10清酒 ギフト</v>
      </c>
      <c r="S44" s="714" t="str">
        <f>'①商品マスタ 申請入力用'!$J$49&amp;""</f>
        <v>4005指定 その他</v>
      </c>
    </row>
    <row r="45" spans="1:19" ht="21.9" customHeight="1" thickBot="1" x14ac:dyDescent="0.25">
      <c r="B45" s="702"/>
      <c r="C45" s="707"/>
      <c r="D45" s="708"/>
      <c r="E45" s="708"/>
      <c r="F45" s="709"/>
      <c r="G45" s="711"/>
      <c r="H45" s="713"/>
      <c r="I45" s="715"/>
      <c r="L45" s="702"/>
      <c r="M45" s="707"/>
      <c r="N45" s="708"/>
      <c r="O45" s="708"/>
      <c r="P45" s="709"/>
      <c r="Q45" s="711"/>
      <c r="R45" s="764"/>
      <c r="S45" s="715"/>
    </row>
    <row r="46" spans="1:19" ht="21.9" customHeight="1" x14ac:dyDescent="0.2">
      <c r="B46" s="761" t="s">
        <v>321</v>
      </c>
      <c r="C46" s="762"/>
      <c r="D46" s="766" t="s">
        <v>1427</v>
      </c>
      <c r="E46" s="703"/>
      <c r="F46" s="703" t="s">
        <v>1429</v>
      </c>
      <c r="G46" s="703"/>
      <c r="H46" s="703" t="s">
        <v>1428</v>
      </c>
      <c r="I46" s="754"/>
      <c r="L46" s="761" t="s">
        <v>321</v>
      </c>
      <c r="M46" s="762"/>
      <c r="N46" s="766" t="s">
        <v>1427</v>
      </c>
      <c r="O46" s="703"/>
      <c r="P46" s="703" t="s">
        <v>1429</v>
      </c>
      <c r="Q46" s="703"/>
      <c r="R46" s="703" t="s">
        <v>1428</v>
      </c>
      <c r="S46" s="754"/>
    </row>
    <row r="47" spans="1:19" ht="21.9" customHeight="1" thickBot="1" x14ac:dyDescent="0.25">
      <c r="B47" s="755" t="str">
        <f>'①商品マスタ 申請入力用'!$H$21&amp;""</f>
        <v>414898</v>
      </c>
      <c r="C47" s="756"/>
      <c r="D47" s="752" t="str">
        <f>'①商品マスタ 申請入力用'!$H$69&amp;""</f>
        <v>1234567890123</v>
      </c>
      <c r="E47" s="757"/>
      <c r="F47" s="757" t="str">
        <f>'①商品マスタ 申請入力用'!$H$70&amp;""</f>
        <v>1234567890123</v>
      </c>
      <c r="G47" s="757"/>
      <c r="H47" s="757" t="str">
        <f>'①商品マスタ 申請入力用'!$H$87&amp;""</f>
        <v/>
      </c>
      <c r="I47" s="758"/>
      <c r="L47" s="759" t="str">
        <f>'①商品マスタ 申請入力用'!$J$21&amp;""</f>
        <v>414898</v>
      </c>
      <c r="M47" s="760"/>
      <c r="N47" s="752" t="str">
        <f>'①商品マスタ 申請入力用'!$J$69&amp;""</f>
        <v>1234567890123</v>
      </c>
      <c r="O47" s="757"/>
      <c r="P47" s="757" t="str">
        <f>'①商品マスタ 申請入力用'!$J$70&amp;""</f>
        <v>1234567890123</v>
      </c>
      <c r="Q47" s="757"/>
      <c r="R47" s="757" t="str">
        <f>'①商品マスタ 申請入力用'!$J$87&amp;""</f>
        <v/>
      </c>
      <c r="S47" s="758"/>
    </row>
    <row r="48" spans="1:19" ht="21.9" customHeight="1" x14ac:dyDescent="0.2">
      <c r="B48" s="495" t="s">
        <v>123</v>
      </c>
      <c r="C48" s="229" t="s">
        <v>323</v>
      </c>
      <c r="D48" s="229" t="s">
        <v>324</v>
      </c>
      <c r="E48" s="229" t="s">
        <v>354</v>
      </c>
      <c r="F48" s="749" t="s">
        <v>1488</v>
      </c>
      <c r="G48" s="750"/>
      <c r="H48" s="229" t="s">
        <v>325</v>
      </c>
      <c r="I48" s="230" t="s">
        <v>326</v>
      </c>
      <c r="L48" s="495" t="s">
        <v>123</v>
      </c>
      <c r="M48" s="229" t="s">
        <v>323</v>
      </c>
      <c r="N48" s="229" t="s">
        <v>324</v>
      </c>
      <c r="O48" s="229" t="s">
        <v>354</v>
      </c>
      <c r="P48" s="749" t="s">
        <v>1488</v>
      </c>
      <c r="Q48" s="750"/>
      <c r="R48" s="229" t="s">
        <v>325</v>
      </c>
      <c r="S48" s="230" t="s">
        <v>326</v>
      </c>
    </row>
    <row r="49" spans="2:19" ht="21.9" customHeight="1" thickBot="1" x14ac:dyDescent="0.25">
      <c r="B49" s="238" t="str">
        <f>'①商品マスタ 申請入力用'!$H$28&amp;""</f>
        <v/>
      </c>
      <c r="C49" s="231" t="str">
        <f>'①商品マスタ 申請入力用'!$H$29&amp;""</f>
        <v>111</v>
      </c>
      <c r="D49" s="499" t="str">
        <f>'①商品マスタ 申請入力用'!$H$59&amp;""</f>
        <v>13.5</v>
      </c>
      <c r="E49" s="499" t="str">
        <f>'①商品マスタ 申請入力用'!$H$61&amp;""</f>
        <v>10002中国</v>
      </c>
      <c r="F49" s="751" t="str">
        <f>'①商品マスタ 申請入力用'!$H$66&amp;""</f>
        <v>㈱ティルブション</v>
      </c>
      <c r="G49" s="752"/>
      <c r="H49" s="457" t="str">
        <f>'①商品マスタ 申請入力用'!$H$30&amp;""</f>
        <v>1.0</v>
      </c>
      <c r="I49" s="500" t="str">
        <f>'①商品マスタ 申請入力用'!$H$31&amp;""</f>
        <v>1500</v>
      </c>
      <c r="L49" s="238" t="str">
        <f>'①商品マスタ 申請入力用'!$J$28&amp;""</f>
        <v/>
      </c>
      <c r="M49" s="499" t="str">
        <f>'①商品マスタ 申請入力用'!$J$29&amp;""</f>
        <v>1111</v>
      </c>
      <c r="N49" s="499" t="str">
        <f>'①商品マスタ 申請入力用'!$J$59&amp;""</f>
        <v>13.5</v>
      </c>
      <c r="O49" s="499" t="str">
        <f>'①商品マスタ 申請入力用'!$J$61&amp;""</f>
        <v>10002中国</v>
      </c>
      <c r="P49" s="751" t="str">
        <f>'①商品マスタ 申請入力用'!$J$66&amp;""</f>
        <v>㈱ティルブション</v>
      </c>
      <c r="Q49" s="752"/>
      <c r="R49" s="457" t="str">
        <f>'①商品マスタ 申請入力用'!$J$30&amp;""</f>
        <v>1.0</v>
      </c>
      <c r="S49" s="500" t="str">
        <f>'①商品マスタ 申請入力用'!$J$31&amp;""</f>
        <v>1500</v>
      </c>
    </row>
    <row r="50" spans="2:19" ht="21.9" customHeight="1" x14ac:dyDescent="0.2">
      <c r="B50" s="458" t="s">
        <v>1439</v>
      </c>
      <c r="C50" s="233"/>
      <c r="D50" s="459"/>
      <c r="E50" s="232" t="s">
        <v>1489</v>
      </c>
      <c r="F50" s="753"/>
      <c r="G50" s="753"/>
      <c r="H50" s="233"/>
      <c r="I50" s="460"/>
      <c r="L50" s="458" t="s">
        <v>1439</v>
      </c>
      <c r="M50" s="233"/>
      <c r="N50" s="459"/>
      <c r="O50" s="232" t="s">
        <v>1489</v>
      </c>
      <c r="P50" s="753"/>
      <c r="Q50" s="753"/>
      <c r="R50" s="233"/>
      <c r="S50" s="460"/>
    </row>
    <row r="51" spans="2:19" ht="21.9" customHeight="1" x14ac:dyDescent="0.2">
      <c r="B51" s="720"/>
      <c r="C51" s="721"/>
      <c r="D51" s="722"/>
      <c r="E51" s="729"/>
      <c r="F51" s="730"/>
      <c r="G51" s="730"/>
      <c r="H51" s="730"/>
      <c r="I51" s="731"/>
      <c r="L51" s="720"/>
      <c r="M51" s="721"/>
      <c r="N51" s="722"/>
      <c r="O51" s="729"/>
      <c r="P51" s="730"/>
      <c r="Q51" s="730"/>
      <c r="R51" s="730"/>
      <c r="S51" s="731"/>
    </row>
    <row r="52" spans="2:19" ht="21.9" customHeight="1" x14ac:dyDescent="0.2">
      <c r="B52" s="723"/>
      <c r="C52" s="724"/>
      <c r="D52" s="725"/>
      <c r="E52" s="732"/>
      <c r="F52" s="733"/>
      <c r="G52" s="733"/>
      <c r="H52" s="733"/>
      <c r="I52" s="734"/>
      <c r="L52" s="723"/>
      <c r="M52" s="724"/>
      <c r="N52" s="725"/>
      <c r="O52" s="732"/>
      <c r="P52" s="733"/>
      <c r="Q52" s="733"/>
      <c r="R52" s="733"/>
      <c r="S52" s="734"/>
    </row>
    <row r="53" spans="2:19" ht="21.9" customHeight="1" x14ac:dyDescent="0.2">
      <c r="B53" s="723"/>
      <c r="C53" s="724"/>
      <c r="D53" s="725"/>
      <c r="E53" s="732"/>
      <c r="F53" s="733"/>
      <c r="G53" s="733"/>
      <c r="H53" s="733"/>
      <c r="I53" s="734"/>
      <c r="L53" s="723"/>
      <c r="M53" s="724"/>
      <c r="N53" s="725"/>
      <c r="O53" s="732"/>
      <c r="P53" s="733"/>
      <c r="Q53" s="733"/>
      <c r="R53" s="733"/>
      <c r="S53" s="734"/>
    </row>
    <row r="54" spans="2:19" ht="21.9" customHeight="1" x14ac:dyDescent="0.2">
      <c r="B54" s="723"/>
      <c r="C54" s="724"/>
      <c r="D54" s="725"/>
      <c r="E54" s="732"/>
      <c r="F54" s="733"/>
      <c r="G54" s="733"/>
      <c r="H54" s="733"/>
      <c r="I54" s="734"/>
      <c r="L54" s="723"/>
      <c r="M54" s="724"/>
      <c r="N54" s="725"/>
      <c r="O54" s="732"/>
      <c r="P54" s="733"/>
      <c r="Q54" s="733"/>
      <c r="R54" s="733"/>
      <c r="S54" s="734"/>
    </row>
    <row r="55" spans="2:19" ht="21.9" customHeight="1" x14ac:dyDescent="0.2">
      <c r="B55" s="723"/>
      <c r="C55" s="724"/>
      <c r="D55" s="725"/>
      <c r="E55" s="732"/>
      <c r="F55" s="733"/>
      <c r="G55" s="733"/>
      <c r="H55" s="733"/>
      <c r="I55" s="734"/>
      <c r="L55" s="723"/>
      <c r="M55" s="724"/>
      <c r="N55" s="725"/>
      <c r="O55" s="732"/>
      <c r="P55" s="733"/>
      <c r="Q55" s="733"/>
      <c r="R55" s="733"/>
      <c r="S55" s="734"/>
    </row>
    <row r="56" spans="2:19" ht="21.9" customHeight="1" x14ac:dyDescent="0.2">
      <c r="B56" s="723"/>
      <c r="C56" s="724"/>
      <c r="D56" s="725"/>
      <c r="E56" s="732"/>
      <c r="F56" s="733"/>
      <c r="G56" s="733"/>
      <c r="H56" s="733"/>
      <c r="I56" s="734"/>
      <c r="L56" s="723"/>
      <c r="M56" s="724"/>
      <c r="N56" s="725"/>
      <c r="O56" s="732"/>
      <c r="P56" s="733"/>
      <c r="Q56" s="733"/>
      <c r="R56" s="733"/>
      <c r="S56" s="734"/>
    </row>
    <row r="57" spans="2:19" ht="21.9" customHeight="1" x14ac:dyDescent="0.2">
      <c r="B57" s="723"/>
      <c r="C57" s="724"/>
      <c r="D57" s="725"/>
      <c r="E57" s="732"/>
      <c r="F57" s="733"/>
      <c r="G57" s="733"/>
      <c r="H57" s="733"/>
      <c r="I57" s="734"/>
      <c r="L57" s="723"/>
      <c r="M57" s="724"/>
      <c r="N57" s="725"/>
      <c r="O57" s="732"/>
      <c r="P57" s="733"/>
      <c r="Q57" s="733"/>
      <c r="R57" s="733"/>
      <c r="S57" s="734"/>
    </row>
    <row r="58" spans="2:19" ht="21.9" customHeight="1" x14ac:dyDescent="0.2">
      <c r="B58" s="723"/>
      <c r="C58" s="724"/>
      <c r="D58" s="725"/>
      <c r="E58" s="732"/>
      <c r="F58" s="733"/>
      <c r="G58" s="733"/>
      <c r="H58" s="733"/>
      <c r="I58" s="734"/>
      <c r="L58" s="723"/>
      <c r="M58" s="724"/>
      <c r="N58" s="725"/>
      <c r="O58" s="732"/>
      <c r="P58" s="733"/>
      <c r="Q58" s="733"/>
      <c r="R58" s="733"/>
      <c r="S58" s="734"/>
    </row>
    <row r="59" spans="2:19" ht="21.9" customHeight="1" x14ac:dyDescent="0.2">
      <c r="B59" s="723"/>
      <c r="C59" s="724"/>
      <c r="D59" s="725"/>
      <c r="E59" s="732"/>
      <c r="F59" s="733"/>
      <c r="G59" s="733"/>
      <c r="H59" s="733"/>
      <c r="I59" s="734"/>
      <c r="L59" s="723"/>
      <c r="M59" s="724"/>
      <c r="N59" s="725"/>
      <c r="O59" s="732"/>
      <c r="P59" s="733"/>
      <c r="Q59" s="733"/>
      <c r="R59" s="733"/>
      <c r="S59" s="734"/>
    </row>
    <row r="60" spans="2:19" ht="21.9" customHeight="1" x14ac:dyDescent="0.2">
      <c r="B60" s="723"/>
      <c r="C60" s="724"/>
      <c r="D60" s="725"/>
      <c r="E60" s="732"/>
      <c r="F60" s="733"/>
      <c r="G60" s="733"/>
      <c r="H60" s="733"/>
      <c r="I60" s="734"/>
      <c r="L60" s="723"/>
      <c r="M60" s="724"/>
      <c r="N60" s="725"/>
      <c r="O60" s="732"/>
      <c r="P60" s="733"/>
      <c r="Q60" s="733"/>
      <c r="R60" s="733"/>
      <c r="S60" s="734"/>
    </row>
    <row r="61" spans="2:19" ht="21.9" customHeight="1" x14ac:dyDescent="0.2">
      <c r="B61" s="723"/>
      <c r="C61" s="724"/>
      <c r="D61" s="725"/>
      <c r="E61" s="732"/>
      <c r="F61" s="733"/>
      <c r="G61" s="733"/>
      <c r="H61" s="733"/>
      <c r="I61" s="734"/>
      <c r="L61" s="723"/>
      <c r="M61" s="724"/>
      <c r="N61" s="725"/>
      <c r="O61" s="732"/>
      <c r="P61" s="733"/>
      <c r="Q61" s="733"/>
      <c r="R61" s="733"/>
      <c r="S61" s="734"/>
    </row>
    <row r="62" spans="2:19" ht="21.9" customHeight="1" x14ac:dyDescent="0.2">
      <c r="B62" s="723"/>
      <c r="C62" s="724"/>
      <c r="D62" s="725"/>
      <c r="E62" s="732"/>
      <c r="F62" s="733"/>
      <c r="G62" s="733"/>
      <c r="H62" s="733"/>
      <c r="I62" s="734"/>
      <c r="L62" s="723"/>
      <c r="M62" s="724"/>
      <c r="N62" s="725"/>
      <c r="O62" s="732"/>
      <c r="P62" s="733"/>
      <c r="Q62" s="733"/>
      <c r="R62" s="733"/>
      <c r="S62" s="734"/>
    </row>
    <row r="63" spans="2:19" ht="21.9" customHeight="1" x14ac:dyDescent="0.2">
      <c r="B63" s="723"/>
      <c r="C63" s="724"/>
      <c r="D63" s="725"/>
      <c r="E63" s="732"/>
      <c r="F63" s="733"/>
      <c r="G63" s="733"/>
      <c r="H63" s="733"/>
      <c r="I63" s="734"/>
      <c r="L63" s="723"/>
      <c r="M63" s="724"/>
      <c r="N63" s="725"/>
      <c r="O63" s="732"/>
      <c r="P63" s="733"/>
      <c r="Q63" s="733"/>
      <c r="R63" s="733"/>
      <c r="S63" s="734"/>
    </row>
    <row r="64" spans="2:19" ht="21.9" customHeight="1" thickBot="1" x14ac:dyDescent="0.25">
      <c r="B64" s="723"/>
      <c r="C64" s="724"/>
      <c r="D64" s="725"/>
      <c r="E64" s="735"/>
      <c r="F64" s="736"/>
      <c r="G64" s="736"/>
      <c r="H64" s="736"/>
      <c r="I64" s="737"/>
      <c r="L64" s="723"/>
      <c r="M64" s="724"/>
      <c r="N64" s="725"/>
      <c r="O64" s="735"/>
      <c r="P64" s="736"/>
      <c r="Q64" s="736"/>
      <c r="R64" s="736"/>
      <c r="S64" s="737"/>
    </row>
    <row r="65" spans="2:19" ht="21.9" customHeight="1" x14ac:dyDescent="0.2">
      <c r="B65" s="723"/>
      <c r="C65" s="724"/>
      <c r="D65" s="725"/>
      <c r="E65" s="461" t="s">
        <v>1490</v>
      </c>
      <c r="F65" s="462"/>
      <c r="G65" s="462"/>
      <c r="H65" s="462"/>
      <c r="I65" s="463"/>
      <c r="L65" s="723"/>
      <c r="M65" s="724"/>
      <c r="N65" s="725"/>
      <c r="O65" s="461" t="s">
        <v>1490</v>
      </c>
      <c r="P65" s="462"/>
      <c r="Q65" s="462"/>
      <c r="R65" s="462"/>
      <c r="S65" s="463"/>
    </row>
    <row r="66" spans="2:19" ht="21.9" customHeight="1" x14ac:dyDescent="0.2">
      <c r="B66" s="723"/>
      <c r="C66" s="724"/>
      <c r="D66" s="725"/>
      <c r="E66" s="738"/>
      <c r="F66" s="738"/>
      <c r="G66" s="738"/>
      <c r="H66" s="738"/>
      <c r="I66" s="739"/>
      <c r="L66" s="723"/>
      <c r="M66" s="724"/>
      <c r="N66" s="725"/>
      <c r="O66" s="738"/>
      <c r="P66" s="738"/>
      <c r="Q66" s="738"/>
      <c r="R66" s="738"/>
      <c r="S66" s="739"/>
    </row>
    <row r="67" spans="2:19" ht="21.9" customHeight="1" thickBot="1" x14ac:dyDescent="0.25">
      <c r="B67" s="726"/>
      <c r="C67" s="727"/>
      <c r="D67" s="728"/>
      <c r="E67" s="740"/>
      <c r="F67" s="740"/>
      <c r="G67" s="740"/>
      <c r="H67" s="740"/>
      <c r="I67" s="741"/>
      <c r="L67" s="726"/>
      <c r="M67" s="727"/>
      <c r="N67" s="728"/>
      <c r="O67" s="740"/>
      <c r="P67" s="740"/>
      <c r="Q67" s="740"/>
      <c r="R67" s="740"/>
      <c r="S67" s="741"/>
    </row>
    <row r="68" spans="2:19" ht="21.9" customHeight="1" x14ac:dyDescent="0.2">
      <c r="B68" s="495" t="s">
        <v>327</v>
      </c>
      <c r="C68" s="497" t="s">
        <v>328</v>
      </c>
      <c r="D68" s="229" t="s">
        <v>329</v>
      </c>
      <c r="E68" s="229" t="s">
        <v>330</v>
      </c>
      <c r="F68" s="229" t="s">
        <v>331</v>
      </c>
      <c r="G68" s="229" t="s">
        <v>332</v>
      </c>
      <c r="H68" s="229" t="s">
        <v>333</v>
      </c>
      <c r="I68" s="230" t="s">
        <v>1441</v>
      </c>
      <c r="L68" s="495" t="s">
        <v>327</v>
      </c>
      <c r="M68" s="497" t="s">
        <v>328</v>
      </c>
      <c r="N68" s="229" t="s">
        <v>329</v>
      </c>
      <c r="O68" s="229" t="s">
        <v>330</v>
      </c>
      <c r="P68" s="229" t="s">
        <v>331</v>
      </c>
      <c r="Q68" s="229" t="s">
        <v>332</v>
      </c>
      <c r="R68" s="229" t="s">
        <v>333</v>
      </c>
      <c r="S68" s="230" t="s">
        <v>1441</v>
      </c>
    </row>
    <row r="69" spans="2:19" ht="21.9" customHeight="1" x14ac:dyDescent="0.2">
      <c r="B69" s="234" t="s">
        <v>1442</v>
      </c>
      <c r="C69" s="464">
        <f>NEW③Ｎ単価・売価情報!$G$28</f>
        <v>0</v>
      </c>
      <c r="D69" s="465">
        <f>C69+C69*'①商品マスタ 申請入力用'!H$40/100</f>
        <v>0</v>
      </c>
      <c r="E69" s="464">
        <f>NEW③Ｎ単価・売価情報!$F$28</f>
        <v>0</v>
      </c>
      <c r="F69" s="465">
        <f>E69+E69*'①商品マスタ 申請入力用'!H$40/100</f>
        <v>0</v>
      </c>
      <c r="G69" s="239" t="e">
        <f>(C69-I71)/C69</f>
        <v>#DIV/0!</v>
      </c>
      <c r="H69" s="239" t="e">
        <f>(E69-I71*C49)/E69</f>
        <v>#DIV/0!</v>
      </c>
      <c r="I69" s="466" t="str">
        <f t="shared" ref="I69" si="2">IF(E69&lt;C69*C49,"●","")</f>
        <v/>
      </c>
      <c r="L69" s="234" t="s">
        <v>1442</v>
      </c>
      <c r="M69" s="464">
        <f>NEW③Ｎ単価・売価情報!$I$28</f>
        <v>0</v>
      </c>
      <c r="N69" s="465">
        <f>M69+M69*'①商品マスタ 申請入力用'!J$40/100</f>
        <v>0</v>
      </c>
      <c r="O69" s="464">
        <f>NEW③Ｎ単価・売価情報!$H$28</f>
        <v>0</v>
      </c>
      <c r="P69" s="465">
        <f>O69+O69*'①商品マスタ 申請入力用'!J$40/100</f>
        <v>0</v>
      </c>
      <c r="Q69" s="239" t="e">
        <f>(M69-S71)/M69</f>
        <v>#DIV/0!</v>
      </c>
      <c r="R69" s="239" t="e">
        <f>(O69-S71*M49)/O69</f>
        <v>#DIV/0!</v>
      </c>
      <c r="S69" s="466" t="str">
        <f t="shared" ref="S69" si="3">IF(O69&lt;M69*M49,"●","")</f>
        <v/>
      </c>
    </row>
    <row r="70" spans="2:19" ht="21.9" customHeight="1" x14ac:dyDescent="0.2">
      <c r="B70" s="467" t="s">
        <v>1443</v>
      </c>
      <c r="C70" s="464">
        <f>NEW③Ｎ単価・売価情報!$G$31</f>
        <v>0</v>
      </c>
      <c r="D70" s="468">
        <f>C70+C70*'①商品マスタ 申請入力用'!H$40/100</f>
        <v>0</v>
      </c>
      <c r="E70" s="464">
        <f>NEW③Ｎ単価・売価情報!$F$31</f>
        <v>0</v>
      </c>
      <c r="F70" s="468">
        <f>E70+E70*'①商品マスタ 申請入力用'!H$40/100</f>
        <v>0</v>
      </c>
      <c r="G70" s="469" t="e">
        <f>(C70-I71)/C70</f>
        <v>#DIV/0!</v>
      </c>
      <c r="H70" s="469" t="e">
        <f>(E70-I71*C49)/E70</f>
        <v>#DIV/0!</v>
      </c>
      <c r="I70" s="470" t="str">
        <f>IF(E70&lt;C70*C49,"●","")</f>
        <v/>
      </c>
      <c r="L70" s="467" t="s">
        <v>1443</v>
      </c>
      <c r="M70" s="464">
        <f>NEW③Ｎ単価・売価情報!$I$31</f>
        <v>0</v>
      </c>
      <c r="N70" s="468">
        <f>M70+M70*'①商品マスタ 申請入力用'!J$40/100</f>
        <v>0</v>
      </c>
      <c r="O70" s="464">
        <f>NEW③Ｎ単価・売価情報!$H$31</f>
        <v>0</v>
      </c>
      <c r="P70" s="468">
        <f>O70+O70*'①商品マスタ 申請入力用'!J$40/100</f>
        <v>0</v>
      </c>
      <c r="Q70" s="469" t="e">
        <f>(M70-S71)/M70</f>
        <v>#DIV/0!</v>
      </c>
      <c r="R70" s="469" t="e">
        <f>(O70-S71*M49)/O70</f>
        <v>#DIV/0!</v>
      </c>
      <c r="S70" s="470" t="str">
        <f>IF(O70&lt;M70*M49,"●","")</f>
        <v/>
      </c>
    </row>
    <row r="71" spans="2:19" ht="24.9" customHeight="1" thickBot="1" x14ac:dyDescent="0.25">
      <c r="B71" s="471" t="s">
        <v>334</v>
      </c>
      <c r="C71" s="472"/>
      <c r="D71" s="473" t="s">
        <v>1444</v>
      </c>
      <c r="E71" s="474">
        <f>NEW③Ｎ単価・売価情報!$G$22</f>
        <v>0</v>
      </c>
      <c r="F71" s="475" t="s">
        <v>335</v>
      </c>
      <c r="G71" s="474"/>
      <c r="H71" s="476" t="s">
        <v>336</v>
      </c>
      <c r="I71" s="477">
        <f>E71-G71</f>
        <v>0</v>
      </c>
      <c r="L71" s="471" t="s">
        <v>334</v>
      </c>
      <c r="M71" s="472"/>
      <c r="N71" s="473" t="s">
        <v>1444</v>
      </c>
      <c r="O71" s="474">
        <f>NEW③Ｎ単価・売価情報!I22</f>
        <v>0</v>
      </c>
      <c r="P71" s="475" t="s">
        <v>335</v>
      </c>
      <c r="Q71" s="474"/>
      <c r="R71" s="476" t="s">
        <v>336</v>
      </c>
      <c r="S71" s="477">
        <f>O71-Q71</f>
        <v>0</v>
      </c>
    </row>
    <row r="72" spans="2:19" ht="24.9" customHeight="1" thickBot="1" x14ac:dyDescent="0.25">
      <c r="B72" s="478" t="s">
        <v>337</v>
      </c>
      <c r="C72" s="479" t="str">
        <f>'①商品マスタ 申請入力用'!H35&amp;""</f>
        <v>45641</v>
      </c>
      <c r="D72" s="480" t="s">
        <v>343</v>
      </c>
      <c r="E72" s="481" t="str">
        <f>'①商品マスタ 申請入力用'!$H$36&amp;""</f>
        <v>00365</v>
      </c>
      <c r="F72" s="482" t="s">
        <v>338</v>
      </c>
      <c r="G72" s="483"/>
      <c r="H72" s="482" t="s">
        <v>344</v>
      </c>
      <c r="I72" s="484"/>
      <c r="L72" s="478" t="s">
        <v>337</v>
      </c>
      <c r="M72" s="479" t="str">
        <f>'①商品マスタ 申請入力用'!J35&amp;""</f>
        <v>45642</v>
      </c>
      <c r="N72" s="480" t="s">
        <v>343</v>
      </c>
      <c r="O72" s="481" t="str">
        <f>'①商品マスタ 申請入力用'!$J$36&amp;""</f>
        <v>00365</v>
      </c>
      <c r="P72" s="482" t="s">
        <v>338</v>
      </c>
      <c r="Q72" s="483"/>
      <c r="R72" s="482" t="s">
        <v>344</v>
      </c>
      <c r="S72" s="484"/>
    </row>
    <row r="73" spans="2:19" ht="24.9" customHeight="1" x14ac:dyDescent="0.2">
      <c r="B73" s="742" t="s">
        <v>346</v>
      </c>
      <c r="C73" s="496" t="s">
        <v>1442</v>
      </c>
      <c r="D73" s="496" t="s">
        <v>1443</v>
      </c>
      <c r="E73" s="498" t="s">
        <v>345</v>
      </c>
      <c r="F73" s="700" t="s">
        <v>351</v>
      </c>
      <c r="G73" s="496" t="s">
        <v>1491</v>
      </c>
      <c r="H73" s="496" t="s">
        <v>1492</v>
      </c>
      <c r="I73" s="230" t="s">
        <v>352</v>
      </c>
      <c r="L73" s="742" t="s">
        <v>346</v>
      </c>
      <c r="M73" s="496" t="s">
        <v>1442</v>
      </c>
      <c r="N73" s="496" t="s">
        <v>1443</v>
      </c>
      <c r="O73" s="498" t="s">
        <v>345</v>
      </c>
      <c r="P73" s="700" t="s">
        <v>351</v>
      </c>
      <c r="Q73" s="496" t="s">
        <v>1491</v>
      </c>
      <c r="R73" s="496" t="s">
        <v>1492</v>
      </c>
      <c r="S73" s="230" t="s">
        <v>352</v>
      </c>
    </row>
    <row r="74" spans="2:19" ht="24.9" customHeight="1" thickBot="1" x14ac:dyDescent="0.25">
      <c r="B74" s="719"/>
      <c r="C74" s="485"/>
      <c r="D74" s="485"/>
      <c r="E74" s="237"/>
      <c r="F74" s="702"/>
      <c r="G74" s="231"/>
      <c r="H74" s="231"/>
      <c r="I74" s="486"/>
      <c r="L74" s="719"/>
      <c r="M74" s="485"/>
      <c r="N74" s="485"/>
      <c r="O74" s="237"/>
      <c r="P74" s="702"/>
      <c r="Q74" s="231"/>
      <c r="R74" s="231"/>
      <c r="S74" s="486"/>
    </row>
    <row r="75" spans="2:19" ht="21.9" customHeight="1" x14ac:dyDescent="0.2">
      <c r="B75" s="765" t="s">
        <v>347</v>
      </c>
      <c r="C75" s="487" t="s">
        <v>348</v>
      </c>
      <c r="D75" s="488" t="s">
        <v>349</v>
      </c>
      <c r="E75" s="489" t="s">
        <v>350</v>
      </c>
      <c r="F75" s="700" t="s">
        <v>339</v>
      </c>
      <c r="G75" s="496" t="s">
        <v>340</v>
      </c>
      <c r="H75" s="496" t="s">
        <v>1445</v>
      </c>
      <c r="I75" s="498" t="s">
        <v>1446</v>
      </c>
      <c r="L75" s="765" t="s">
        <v>347</v>
      </c>
      <c r="M75" s="487" t="s">
        <v>348</v>
      </c>
      <c r="N75" s="488" t="s">
        <v>349</v>
      </c>
      <c r="O75" s="489" t="s">
        <v>350</v>
      </c>
      <c r="P75" s="700" t="s">
        <v>339</v>
      </c>
      <c r="Q75" s="496" t="s">
        <v>340</v>
      </c>
      <c r="R75" s="496" t="s">
        <v>1445</v>
      </c>
      <c r="S75" s="498" t="s">
        <v>1446</v>
      </c>
    </row>
    <row r="76" spans="2:19" ht="21.9" customHeight="1" thickBot="1" x14ac:dyDescent="0.25">
      <c r="B76" s="719"/>
      <c r="C76" s="235"/>
      <c r="D76" s="235"/>
      <c r="E76" s="235"/>
      <c r="F76" s="702"/>
      <c r="G76" s="231"/>
      <c r="H76" s="231"/>
      <c r="I76" s="231"/>
      <c r="L76" s="719"/>
      <c r="M76" s="235"/>
      <c r="N76" s="235"/>
      <c r="O76" s="235"/>
      <c r="P76" s="702"/>
      <c r="Q76" s="231"/>
      <c r="R76" s="231"/>
      <c r="S76" s="231"/>
    </row>
    <row r="77" spans="2:19" ht="21.9" customHeight="1" x14ac:dyDescent="0.2">
      <c r="B77" s="716" t="s">
        <v>1447</v>
      </c>
      <c r="C77" s="496" t="s">
        <v>1493</v>
      </c>
      <c r="D77" s="229" t="s">
        <v>1448</v>
      </c>
      <c r="E77" s="490"/>
      <c r="F77" s="718" t="s">
        <v>1449</v>
      </c>
      <c r="G77" s="747"/>
      <c r="H77" s="743" t="s">
        <v>1484</v>
      </c>
      <c r="I77" s="745"/>
      <c r="L77" s="716" t="s">
        <v>1447</v>
      </c>
      <c r="M77" s="496" t="s">
        <v>1482</v>
      </c>
      <c r="N77" s="229" t="s">
        <v>1448</v>
      </c>
      <c r="O77" s="490"/>
      <c r="P77" s="718" t="s">
        <v>1449</v>
      </c>
      <c r="Q77" s="747"/>
      <c r="R77" s="743" t="s">
        <v>1484</v>
      </c>
      <c r="S77" s="745"/>
    </row>
    <row r="78" spans="2:19" ht="21.9" customHeight="1" thickBot="1" x14ac:dyDescent="0.25">
      <c r="B78" s="717"/>
      <c r="C78" s="235"/>
      <c r="D78" s="235"/>
      <c r="E78" s="491"/>
      <c r="F78" s="719"/>
      <c r="G78" s="748"/>
      <c r="H78" s="744"/>
      <c r="I78" s="746"/>
      <c r="L78" s="717"/>
      <c r="M78" s="235"/>
      <c r="N78" s="235"/>
      <c r="O78" s="491"/>
      <c r="P78" s="719"/>
      <c r="Q78" s="748"/>
      <c r="R78" s="744"/>
      <c r="S78" s="746"/>
    </row>
    <row r="79" spans="2:19" ht="21.9" customHeight="1" x14ac:dyDescent="0.2">
      <c r="B79" s="696" t="s">
        <v>1450</v>
      </c>
      <c r="C79" s="492" t="s">
        <v>1451</v>
      </c>
      <c r="D79" s="229" t="s">
        <v>1485</v>
      </c>
      <c r="E79" s="767" t="s">
        <v>1453</v>
      </c>
      <c r="F79" s="766"/>
      <c r="G79" s="229" t="s">
        <v>1486</v>
      </c>
      <c r="H79" s="496" t="s">
        <v>1455</v>
      </c>
      <c r="I79" s="501" t="s">
        <v>1456</v>
      </c>
      <c r="L79" s="696" t="s">
        <v>1450</v>
      </c>
      <c r="M79" s="492" t="s">
        <v>1451</v>
      </c>
      <c r="N79" s="229" t="s">
        <v>1494</v>
      </c>
      <c r="O79" s="767" t="s">
        <v>1453</v>
      </c>
      <c r="P79" s="766"/>
      <c r="Q79" s="229" t="s">
        <v>1486</v>
      </c>
      <c r="R79" s="496" t="s">
        <v>1455</v>
      </c>
      <c r="S79" s="501" t="s">
        <v>1456</v>
      </c>
    </row>
    <row r="80" spans="2:19" ht="21.9" customHeight="1" thickBot="1" x14ac:dyDescent="0.25">
      <c r="B80" s="697"/>
      <c r="C80" s="493"/>
      <c r="D80" s="494"/>
      <c r="E80" s="751"/>
      <c r="F80" s="752"/>
      <c r="G80" s="494"/>
      <c r="H80" s="235"/>
      <c r="I80" s="236"/>
      <c r="L80" s="697"/>
      <c r="M80" s="493"/>
      <c r="N80" s="494"/>
      <c r="O80" s="751"/>
      <c r="P80" s="752"/>
      <c r="Q80" s="494"/>
      <c r="R80" s="235"/>
      <c r="S80" s="236"/>
    </row>
    <row r="81" spans="2:19" ht="21.9" customHeight="1" x14ac:dyDescent="0.2">
      <c r="B81" s="698" t="s">
        <v>1457</v>
      </c>
      <c r="C81" s="496" t="s">
        <v>340</v>
      </c>
      <c r="D81" s="229" t="s">
        <v>341</v>
      </c>
      <c r="E81" s="496" t="s">
        <v>342</v>
      </c>
      <c r="F81" s="498" t="s">
        <v>1458</v>
      </c>
      <c r="G81" s="698" t="s">
        <v>1459</v>
      </c>
      <c r="H81" s="768" t="str">
        <f>'①商品マスタ 申請入力用'!$H$42</f>
        <v>2常温</v>
      </c>
      <c r="I81" s="490"/>
      <c r="L81" s="698" t="s">
        <v>1457</v>
      </c>
      <c r="M81" s="496" t="s">
        <v>340</v>
      </c>
      <c r="N81" s="229" t="s">
        <v>341</v>
      </c>
      <c r="O81" s="496" t="s">
        <v>342</v>
      </c>
      <c r="P81" s="498" t="s">
        <v>1458</v>
      </c>
      <c r="Q81" s="698" t="s">
        <v>1459</v>
      </c>
      <c r="R81" s="768" t="str">
        <f>'①商品マスタ 申請入力用'!$J$42</f>
        <v>2常温</v>
      </c>
      <c r="S81" s="490"/>
    </row>
    <row r="82" spans="2:19" ht="21.9" customHeight="1" thickBot="1" x14ac:dyDescent="0.25">
      <c r="B82" s="699"/>
      <c r="C82" s="231"/>
      <c r="D82" s="231"/>
      <c r="E82" s="231"/>
      <c r="F82" s="231"/>
      <c r="G82" s="699"/>
      <c r="H82" s="769"/>
      <c r="I82" s="491"/>
      <c r="L82" s="699"/>
      <c r="M82" s="231"/>
      <c r="N82" s="231"/>
      <c r="O82" s="231"/>
      <c r="P82" s="231"/>
      <c r="Q82" s="699"/>
      <c r="R82" s="769"/>
      <c r="S82" s="491"/>
    </row>
    <row r="83" spans="2:19" ht="21.75" customHeight="1" x14ac:dyDescent="0.2"/>
    <row r="84" spans="2:19" ht="21.75" customHeight="1" x14ac:dyDescent="0.2"/>
    <row r="85" spans="2:19" ht="21.75" customHeight="1" x14ac:dyDescent="0.2"/>
    <row r="86" spans="2:19" ht="21.75" customHeight="1" x14ac:dyDescent="0.2"/>
    <row r="87" spans="2:19" ht="21.75" customHeight="1" x14ac:dyDescent="0.2"/>
    <row r="88" spans="2:19" ht="21.75" customHeight="1" x14ac:dyDescent="0.2"/>
    <row r="89" spans="2:19" ht="21.75" customHeight="1" x14ac:dyDescent="0.2"/>
    <row r="90" spans="2:19" ht="21.75" customHeight="1" x14ac:dyDescent="0.2"/>
    <row r="91" spans="2:19" ht="21.75" customHeight="1" x14ac:dyDescent="0.2"/>
    <row r="92" spans="2:19" ht="21.75" customHeight="1" x14ac:dyDescent="0.2"/>
    <row r="93" spans="2:19" ht="21.75" customHeight="1" x14ac:dyDescent="0.2"/>
    <row r="94" spans="2:19" ht="21.75" customHeight="1" x14ac:dyDescent="0.2"/>
    <row r="95" spans="2:19" ht="21.75" customHeight="1" x14ac:dyDescent="0.2"/>
    <row r="96" spans="2:19" ht="21.75" customHeight="1" x14ac:dyDescent="0.2"/>
    <row r="97" ht="21.75" customHeight="1" x14ac:dyDescent="0.2"/>
  </sheetData>
  <sheetProtection formatCells="0"/>
  <mergeCells count="140">
    <mergeCell ref="E79:F79"/>
    <mergeCell ref="O79:P79"/>
    <mergeCell ref="E80:F80"/>
    <mergeCell ref="O80:P80"/>
    <mergeCell ref="G81:G82"/>
    <mergeCell ref="H81:H82"/>
    <mergeCell ref="Q81:Q82"/>
    <mergeCell ref="R81:R82"/>
    <mergeCell ref="P73:P74"/>
    <mergeCell ref="B75:B76"/>
    <mergeCell ref="L75:L76"/>
    <mergeCell ref="G77:G78"/>
    <mergeCell ref="H77:H78"/>
    <mergeCell ref="I77:I78"/>
    <mergeCell ref="Q77:Q78"/>
    <mergeCell ref="R77:R78"/>
    <mergeCell ref="S77:S78"/>
    <mergeCell ref="S36:S37"/>
    <mergeCell ref="E38:F38"/>
    <mergeCell ref="O38:P38"/>
    <mergeCell ref="E39:F39"/>
    <mergeCell ref="O39:P39"/>
    <mergeCell ref="G40:G41"/>
    <mergeCell ref="H40:H41"/>
    <mergeCell ref="Q40:Q41"/>
    <mergeCell ref="R40:R41"/>
    <mergeCell ref="B46:C46"/>
    <mergeCell ref="D46:E46"/>
    <mergeCell ref="F46:G46"/>
    <mergeCell ref="H46:I46"/>
    <mergeCell ref="L46:M46"/>
    <mergeCell ref="N46:O46"/>
    <mergeCell ref="P46:Q46"/>
    <mergeCell ref="F9:G9"/>
    <mergeCell ref="P9:Q9"/>
    <mergeCell ref="B10:D26"/>
    <mergeCell ref="E10:I23"/>
    <mergeCell ref="L10:N26"/>
    <mergeCell ref="O10:S23"/>
    <mergeCell ref="E25:I26"/>
    <mergeCell ref="O25:S26"/>
    <mergeCell ref="B32:B33"/>
    <mergeCell ref="F32:F33"/>
    <mergeCell ref="L32:L33"/>
    <mergeCell ref="P32:P33"/>
    <mergeCell ref="C2:F2"/>
    <mergeCell ref="C3:F4"/>
    <mergeCell ref="B2:B4"/>
    <mergeCell ref="F7:G7"/>
    <mergeCell ref="F8:G8"/>
    <mergeCell ref="D6:E6"/>
    <mergeCell ref="L2:L4"/>
    <mergeCell ref="M2:P2"/>
    <mergeCell ref="M3:P4"/>
    <mergeCell ref="G3:G4"/>
    <mergeCell ref="H3:H4"/>
    <mergeCell ref="I3:I4"/>
    <mergeCell ref="D5:E5"/>
    <mergeCell ref="F5:G5"/>
    <mergeCell ref="H5:I5"/>
    <mergeCell ref="F6:G6"/>
    <mergeCell ref="H6:I6"/>
    <mergeCell ref="N5:O5"/>
    <mergeCell ref="P5:Q5"/>
    <mergeCell ref="Q3:Q4"/>
    <mergeCell ref="L5:M5"/>
    <mergeCell ref="L6:M6"/>
    <mergeCell ref="P7:Q7"/>
    <mergeCell ref="P8:Q8"/>
    <mergeCell ref="P6:Q6"/>
    <mergeCell ref="N6:O6"/>
    <mergeCell ref="R3:R4"/>
    <mergeCell ref="S3:S4"/>
    <mergeCell ref="B5:C5"/>
    <mergeCell ref="B6:C6"/>
    <mergeCell ref="R5:S5"/>
    <mergeCell ref="Q44:Q45"/>
    <mergeCell ref="R44:R45"/>
    <mergeCell ref="S44:S45"/>
    <mergeCell ref="R6:S6"/>
    <mergeCell ref="F34:F35"/>
    <mergeCell ref="B36:B37"/>
    <mergeCell ref="L40:L41"/>
    <mergeCell ref="F36:F37"/>
    <mergeCell ref="L38:L39"/>
    <mergeCell ref="B40:B41"/>
    <mergeCell ref="L36:L37"/>
    <mergeCell ref="B38:B39"/>
    <mergeCell ref="P34:P35"/>
    <mergeCell ref="P36:P37"/>
    <mergeCell ref="B34:B35"/>
    <mergeCell ref="L34:L35"/>
    <mergeCell ref="G36:G37"/>
    <mergeCell ref="O66:S67"/>
    <mergeCell ref="B73:B74"/>
    <mergeCell ref="F73:F74"/>
    <mergeCell ref="L73:L74"/>
    <mergeCell ref="H36:H37"/>
    <mergeCell ref="I36:I37"/>
    <mergeCell ref="Q36:Q37"/>
    <mergeCell ref="R36:R37"/>
    <mergeCell ref="F48:G48"/>
    <mergeCell ref="P48:Q48"/>
    <mergeCell ref="F49:G49"/>
    <mergeCell ref="P49:Q49"/>
    <mergeCell ref="F50:G50"/>
    <mergeCell ref="P50:Q50"/>
    <mergeCell ref="R46:S46"/>
    <mergeCell ref="B47:C47"/>
    <mergeCell ref="D47:E47"/>
    <mergeCell ref="F47:G47"/>
    <mergeCell ref="H47:I47"/>
    <mergeCell ref="L47:M47"/>
    <mergeCell ref="N47:O47"/>
    <mergeCell ref="P47:Q47"/>
    <mergeCell ref="R47:S47"/>
    <mergeCell ref="B79:B80"/>
    <mergeCell ref="L79:L80"/>
    <mergeCell ref="B81:B82"/>
    <mergeCell ref="L81:L82"/>
    <mergeCell ref="B43:B45"/>
    <mergeCell ref="C43:F43"/>
    <mergeCell ref="L43:L45"/>
    <mergeCell ref="M43:P43"/>
    <mergeCell ref="C44:F45"/>
    <mergeCell ref="G44:G45"/>
    <mergeCell ref="H44:H45"/>
    <mergeCell ref="I44:I45"/>
    <mergeCell ref="M44:P45"/>
    <mergeCell ref="F75:F76"/>
    <mergeCell ref="P75:P76"/>
    <mergeCell ref="B77:B78"/>
    <mergeCell ref="F77:F78"/>
    <mergeCell ref="L77:L78"/>
    <mergeCell ref="P77:P78"/>
    <mergeCell ref="B51:D67"/>
    <mergeCell ref="E51:I64"/>
    <mergeCell ref="L51:N67"/>
    <mergeCell ref="O51:S64"/>
    <mergeCell ref="E66:I67"/>
  </mergeCells>
  <phoneticPr fontId="11"/>
  <conditionalFormatting sqref="E30">
    <cfRule type="cellIs" dxfId="3" priority="4" stopIfTrue="1" operator="equal">
      <formula>0</formula>
    </cfRule>
  </conditionalFormatting>
  <conditionalFormatting sqref="E71">
    <cfRule type="cellIs" dxfId="2" priority="2" stopIfTrue="1" operator="equal">
      <formula>0</formula>
    </cfRule>
  </conditionalFormatting>
  <conditionalFormatting sqref="O30">
    <cfRule type="cellIs" dxfId="1" priority="3" stopIfTrue="1" operator="equal">
      <formula>0</formula>
    </cfRule>
  </conditionalFormatting>
  <conditionalFormatting sqref="O71">
    <cfRule type="cellIs" dxfId="0" priority="1" stopIfTrue="1" operator="equal">
      <formula>0</formula>
    </cfRule>
  </conditionalFormatting>
  <dataValidations count="6">
    <dataValidation type="list" allowBlank="1" showInputMessage="1" showErrorMessage="1" sqref="G33:H33 C41:F41 C35:E35 G35:I35 C37:D37 H39 Q33:R33 M35:O35 Q35:S35 M37:N37 R39 G74:H74 C76:E76 G76:I76 C78:D78 H80 Q74:R74 M76:O76 Q76:S76 M78:N78 R80 M41:P41 C82:F82 M82:P82" xr:uid="{00000000-0002-0000-0600-000000000000}">
      <formula1>$W$2:$W$3</formula1>
    </dataValidation>
    <dataValidation type="list" allowBlank="1" showInputMessage="1" showErrorMessage="1" sqref="E33 O33 E74 O74" xr:uid="{00000000-0002-0000-0600-000001000000}">
      <formula1>$V$2:$V$4</formula1>
    </dataValidation>
    <dataValidation type="list" allowBlank="1" showInputMessage="1" showErrorMessage="1" sqref="I39 S39 I80 S80" xr:uid="{00000000-0002-0000-0600-000002000000}">
      <formula1>$Z$2:$Z$5</formula1>
    </dataValidation>
    <dataValidation type="list" allowBlank="1" showInputMessage="1" showErrorMessage="1" sqref="G39 Q39 G80 Q80" xr:uid="{00000000-0002-0000-0600-000003000000}">
      <formula1>$AD$2:$AD$11</formula1>
    </dataValidation>
    <dataValidation type="list" allowBlank="1" showInputMessage="1" showErrorMessage="1" sqref="E39:F39 O39:P39 E80:F80 O80:P80" xr:uid="{00000000-0002-0000-0600-000004000000}">
      <formula1>$AC$2:$AC$8</formula1>
    </dataValidation>
    <dataValidation type="list" allowBlank="1" showInputMessage="1" showErrorMessage="1" sqref="D39 D80 N39 N80" xr:uid="{00000000-0002-0000-0600-000005000000}">
      <formula1>$AA$3:$AA$9</formula1>
    </dataValidation>
  </dataValidations>
  <printOptions horizontalCentered="1"/>
  <pageMargins left="0.2" right="0" top="0.39370078740157483" bottom="0.23" header="0.19685039370078741" footer="0.19685039370078741"/>
  <pageSetup paperSize="9" scale="60" fitToHeight="2" orientation="landscape" r:id="rId1"/>
  <headerFooter alignWithMargins="0"/>
  <rowBreaks count="1" manualBreakCount="1">
    <brk id="41" max="18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P66"/>
  <sheetViews>
    <sheetView zoomScaleNormal="100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N12" sqref="N12"/>
    </sheetView>
  </sheetViews>
  <sheetFormatPr defaultRowHeight="13.2" x14ac:dyDescent="0.2"/>
  <cols>
    <col min="2" max="2" width="26.88671875" style="374" customWidth="1"/>
    <col min="3" max="3" width="11.109375" customWidth="1"/>
    <col min="4" max="4" width="9.21875" customWidth="1"/>
    <col min="5" max="5" width="3.44140625" customWidth="1"/>
    <col min="7" max="7" width="30.21875" bestFit="1" customWidth="1"/>
    <col min="8" max="10" width="8.44140625" customWidth="1"/>
  </cols>
  <sheetData>
    <row r="1" spans="1:10" ht="21" x14ac:dyDescent="0.2">
      <c r="A1" s="373" t="s">
        <v>1129</v>
      </c>
      <c r="G1" s="151" t="s">
        <v>398</v>
      </c>
      <c r="H1" s="770"/>
      <c r="I1" s="770"/>
      <c r="J1" s="770"/>
    </row>
    <row r="2" spans="1:10" x14ac:dyDescent="0.2">
      <c r="G2" s="151"/>
      <c r="H2" s="375"/>
      <c r="I2" s="375"/>
      <c r="J2" s="375"/>
    </row>
    <row r="3" spans="1:10" x14ac:dyDescent="0.2">
      <c r="H3" s="376" t="s">
        <v>264</v>
      </c>
      <c r="I3" s="376" t="s">
        <v>1130</v>
      </c>
      <c r="J3" s="376" t="s">
        <v>266</v>
      </c>
    </row>
    <row r="4" spans="1:10" x14ac:dyDescent="0.2">
      <c r="H4" s="771" t="e">
        <f ca="1">'①商品マスタ 申請入力用'!I2&amp;""</f>
        <v>#NAME?</v>
      </c>
      <c r="I4" s="774" t="str">
        <f>②仕入単価・発注情報!I2&amp;""</f>
        <v/>
      </c>
      <c r="J4" s="777"/>
    </row>
    <row r="5" spans="1:10" x14ac:dyDescent="0.2">
      <c r="H5" s="772" t="str">
        <f>'①商品マスタ 申請入力用'!A5&amp;""</f>
        <v>チェック</v>
      </c>
      <c r="I5" s="775" t="str">
        <f>②仕入単価・発注情報!J4&amp;""</f>
        <v>ロット
区分</v>
      </c>
      <c r="J5" s="778"/>
    </row>
    <row r="6" spans="1:10" ht="13.8" thickBot="1" x14ac:dyDescent="0.25">
      <c r="H6" s="773" t="str">
        <f>'①商品マスタ 申請入力用'!A6&amp;""</f>
        <v/>
      </c>
      <c r="I6" s="776" t="str">
        <f>②仕入単価・発注情報!J5&amp;""</f>
        <v/>
      </c>
      <c r="J6" s="779"/>
    </row>
    <row r="7" spans="1:10" x14ac:dyDescent="0.2">
      <c r="A7" s="377" t="s">
        <v>1131</v>
      </c>
      <c r="B7" s="378"/>
      <c r="C7" s="379"/>
      <c r="D7" s="380"/>
      <c r="E7" s="381"/>
      <c r="F7" s="379" t="s">
        <v>1132</v>
      </c>
      <c r="G7" s="379"/>
      <c r="H7" s="379"/>
      <c r="I7" s="379"/>
      <c r="J7" s="382"/>
    </row>
    <row r="8" spans="1:10" x14ac:dyDescent="0.2">
      <c r="A8" s="383" t="s">
        <v>1133</v>
      </c>
      <c r="B8" s="384" t="s">
        <v>79</v>
      </c>
      <c r="C8" s="385" t="s">
        <v>139</v>
      </c>
      <c r="D8" s="386" t="s">
        <v>1134</v>
      </c>
      <c r="E8" s="387"/>
      <c r="F8" s="385" t="s">
        <v>303</v>
      </c>
      <c r="G8" s="385" t="s">
        <v>79</v>
      </c>
      <c r="H8" s="385" t="s">
        <v>1135</v>
      </c>
      <c r="I8" s="388" t="s">
        <v>1136</v>
      </c>
      <c r="J8" s="389"/>
    </row>
    <row r="9" spans="1:10" ht="14.4" x14ac:dyDescent="0.2">
      <c r="A9" s="390">
        <f>'①商品マスタ 申請入力用'!D21</f>
        <v>414898</v>
      </c>
      <c r="B9" s="391" t="e">
        <f ca="1">[2]!s商品名($A9)</f>
        <v>#NAME?</v>
      </c>
      <c r="C9" s="392" t="e">
        <f ca="1">[2]!s規格($A9)</f>
        <v>#NAME?</v>
      </c>
      <c r="D9" s="393">
        <f ca="1">J21</f>
        <v>0</v>
      </c>
      <c r="E9" s="394">
        <v>1</v>
      </c>
      <c r="F9" s="385"/>
      <c r="G9" s="385" t="e">
        <f ca="1">[2]!s商品名(F9)</f>
        <v>#NAME?</v>
      </c>
      <c r="H9" s="385" t="e">
        <f ca="1">[2]!sN1単価(F9)</f>
        <v>#NAME?</v>
      </c>
      <c r="I9" s="385"/>
      <c r="J9" s="389">
        <f ca="1">IF(ISERROR(H9*I9),0,H9*I9)</f>
        <v>0</v>
      </c>
    </row>
    <row r="10" spans="1:10" x14ac:dyDescent="0.2">
      <c r="A10" s="395"/>
      <c r="B10" s="396"/>
      <c r="C10" s="397"/>
      <c r="D10" s="398"/>
      <c r="E10" s="394">
        <v>2</v>
      </c>
      <c r="F10" s="385"/>
      <c r="G10" s="385" t="e">
        <f ca="1">[2]!s商品名(F10)</f>
        <v>#NAME?</v>
      </c>
      <c r="H10" s="385" t="e">
        <f ca="1">[2]!sN1単価(F10)</f>
        <v>#NAME?</v>
      </c>
      <c r="I10" s="385"/>
      <c r="J10" s="389">
        <f ca="1">IF(ISERROR(H10*I10),0,H10*I10)</f>
        <v>0</v>
      </c>
    </row>
    <row r="11" spans="1:10" x14ac:dyDescent="0.2">
      <c r="A11" s="399"/>
      <c r="B11" s="400"/>
      <c r="C11" s="401"/>
      <c r="D11" s="402"/>
      <c r="E11" s="394">
        <v>3</v>
      </c>
      <c r="F11" s="385"/>
      <c r="G11" s="385" t="e">
        <f ca="1">[2]!s商品名(F11)</f>
        <v>#NAME?</v>
      </c>
      <c r="H11" s="385" t="e">
        <f ca="1">[2]!sN1単価(F11)</f>
        <v>#NAME?</v>
      </c>
      <c r="I11" s="385"/>
      <c r="J11" s="389">
        <f ca="1">IF(ISERROR(H11*I11),0,H11*I11)</f>
        <v>0</v>
      </c>
    </row>
    <row r="12" spans="1:10" x14ac:dyDescent="0.2">
      <c r="A12" s="399"/>
      <c r="B12" s="400"/>
      <c r="C12" s="401"/>
      <c r="D12" s="402"/>
      <c r="E12" s="394">
        <v>4</v>
      </c>
      <c r="F12" s="385"/>
      <c r="G12" s="385" t="e">
        <f ca="1">[2]!s商品名(F12)</f>
        <v>#NAME?</v>
      </c>
      <c r="H12" s="385" t="e">
        <f ca="1">[2]!sN1単価(F12)</f>
        <v>#NAME?</v>
      </c>
      <c r="I12" s="385"/>
      <c r="J12" s="389">
        <f ca="1">IF(ISERROR(H12*I12),0,H12*I12)</f>
        <v>0</v>
      </c>
    </row>
    <row r="13" spans="1:10" x14ac:dyDescent="0.2">
      <c r="A13" s="399"/>
      <c r="B13" s="400"/>
      <c r="C13" s="401"/>
      <c r="D13" s="402"/>
      <c r="E13" s="394">
        <v>5</v>
      </c>
      <c r="F13" s="385"/>
      <c r="G13" s="385" t="e">
        <f ca="1">[2]!s商品名(F13)</f>
        <v>#NAME?</v>
      </c>
      <c r="H13" s="385" t="e">
        <f ca="1">[2]!sN1単価(F13)</f>
        <v>#NAME?</v>
      </c>
      <c r="I13" s="385"/>
      <c r="J13" s="389">
        <f ca="1">IF(ISERROR(H13*I13),0,H13*I13)</f>
        <v>0</v>
      </c>
    </row>
    <row r="14" spans="1:10" x14ac:dyDescent="0.2">
      <c r="A14" s="399"/>
      <c r="B14" s="400"/>
      <c r="C14" s="401"/>
      <c r="D14" s="402"/>
      <c r="E14" s="394">
        <v>6</v>
      </c>
      <c r="F14" s="385"/>
      <c r="G14" s="385" t="e">
        <f ca="1">[2]!s商品名(F14)</f>
        <v>#NAME?</v>
      </c>
      <c r="H14" s="385" t="e">
        <f ca="1">[2]!sN1単価(F14)</f>
        <v>#NAME?</v>
      </c>
      <c r="I14" s="385"/>
      <c r="J14" s="389">
        <f ca="1">IF(ISERROR($H14*$I14),0,$H14*I$14)</f>
        <v>0</v>
      </c>
    </row>
    <row r="15" spans="1:10" x14ac:dyDescent="0.2">
      <c r="A15" s="399"/>
      <c r="B15" s="400"/>
      <c r="C15" s="401"/>
      <c r="D15" s="402"/>
      <c r="E15" s="394">
        <v>7</v>
      </c>
      <c r="F15" s="385"/>
      <c r="G15" s="385" t="e">
        <f ca="1">[2]!s商品名(F15)</f>
        <v>#NAME?</v>
      </c>
      <c r="H15" s="385" t="e">
        <f ca="1">[2]!sN1単価(F15)</f>
        <v>#NAME?</v>
      </c>
      <c r="I15" s="385"/>
      <c r="J15" s="389">
        <f t="shared" ref="J15:J20" ca="1" si="0">IF(ISERROR(H15*I15),0,H15*I15)</f>
        <v>0</v>
      </c>
    </row>
    <row r="16" spans="1:10" x14ac:dyDescent="0.2">
      <c r="A16" s="399"/>
      <c r="B16" s="400"/>
      <c r="C16" s="401"/>
      <c r="D16" s="402"/>
      <c r="E16" s="394">
        <v>8</v>
      </c>
      <c r="F16" s="385"/>
      <c r="G16" s="385" t="e">
        <f ca="1">[2]!s商品名(F16)</f>
        <v>#NAME?</v>
      </c>
      <c r="H16" s="385" t="e">
        <f ca="1">[2]!sN1単価(F16)</f>
        <v>#NAME?</v>
      </c>
      <c r="I16" s="385"/>
      <c r="J16" s="389">
        <f t="shared" ca="1" si="0"/>
        <v>0</v>
      </c>
    </row>
    <row r="17" spans="1:10" x14ac:dyDescent="0.2">
      <c r="A17" s="399"/>
      <c r="B17" s="400"/>
      <c r="C17" s="401"/>
      <c r="D17" s="402"/>
      <c r="E17" s="394">
        <v>9</v>
      </c>
      <c r="F17" s="385"/>
      <c r="G17" s="385" t="e">
        <f ca="1">[2]!s商品名(F17)</f>
        <v>#NAME?</v>
      </c>
      <c r="H17" s="385" t="e">
        <f ca="1">[2]!sN1単価(F17)</f>
        <v>#NAME?</v>
      </c>
      <c r="I17" s="385"/>
      <c r="J17" s="389">
        <f t="shared" ca="1" si="0"/>
        <v>0</v>
      </c>
    </row>
    <row r="18" spans="1:10" x14ac:dyDescent="0.2">
      <c r="A18" s="399"/>
      <c r="B18" s="400"/>
      <c r="C18" s="401"/>
      <c r="D18" s="402"/>
      <c r="E18" s="394">
        <v>10</v>
      </c>
      <c r="F18" s="385"/>
      <c r="G18" s="385" t="e">
        <f ca="1">[2]!s商品名(F18)</f>
        <v>#NAME?</v>
      </c>
      <c r="H18" s="385" t="e">
        <f ca="1">[2]!sN1単価(F18)</f>
        <v>#NAME?</v>
      </c>
      <c r="I18" s="385"/>
      <c r="J18" s="389">
        <f t="shared" ca="1" si="0"/>
        <v>0</v>
      </c>
    </row>
    <row r="19" spans="1:10" x14ac:dyDescent="0.2">
      <c r="A19" s="399"/>
      <c r="B19" s="400"/>
      <c r="C19" s="401"/>
      <c r="D19" s="402"/>
      <c r="E19" s="394">
        <v>11</v>
      </c>
      <c r="F19" s="385"/>
      <c r="G19" s="385" t="e">
        <f ca="1">[2]!s商品名(F19)</f>
        <v>#NAME?</v>
      </c>
      <c r="H19" s="385" t="e">
        <f ca="1">[2]!sN1単価(F19)</f>
        <v>#NAME?</v>
      </c>
      <c r="I19" s="385"/>
      <c r="J19" s="389">
        <f t="shared" ca="1" si="0"/>
        <v>0</v>
      </c>
    </row>
    <row r="20" spans="1:10" x14ac:dyDescent="0.2">
      <c r="A20" s="399"/>
      <c r="B20" s="400"/>
      <c r="C20" s="401"/>
      <c r="D20" s="402"/>
      <c r="E20" s="394">
        <v>12</v>
      </c>
      <c r="F20" s="385"/>
      <c r="G20" s="385" t="e">
        <f ca="1">[2]!s商品名(F20)</f>
        <v>#NAME?</v>
      </c>
      <c r="H20" s="385" t="e">
        <f ca="1">[2]!sN1単価(F20)</f>
        <v>#NAME?</v>
      </c>
      <c r="I20" s="385"/>
      <c r="J20" s="389">
        <f t="shared" ca="1" si="0"/>
        <v>0</v>
      </c>
    </row>
    <row r="21" spans="1:10" ht="13.8" thickBot="1" x14ac:dyDescent="0.25">
      <c r="A21" s="403"/>
      <c r="B21" s="404"/>
      <c r="C21" s="405"/>
      <c r="D21" s="406"/>
      <c r="E21" s="407"/>
      <c r="F21" s="408"/>
      <c r="G21" s="408"/>
      <c r="H21" s="408" t="e">
        <f ca="1">SUM(H9:H20)</f>
        <v>#NAME?</v>
      </c>
      <c r="I21" s="408">
        <f>SUM(I9:I20)</f>
        <v>0</v>
      </c>
      <c r="J21" s="409">
        <f ca="1">SUM(J9:J20)</f>
        <v>0</v>
      </c>
    </row>
    <row r="22" spans="1:10" x14ac:dyDescent="0.2">
      <c r="A22" s="377" t="s">
        <v>1131</v>
      </c>
      <c r="B22" s="378"/>
      <c r="C22" s="379"/>
      <c r="D22" s="380"/>
      <c r="E22" s="381"/>
      <c r="F22" s="379" t="s">
        <v>1132</v>
      </c>
      <c r="G22" s="379"/>
      <c r="H22" s="379"/>
      <c r="I22" s="379"/>
      <c r="J22" s="382"/>
    </row>
    <row r="23" spans="1:10" x14ac:dyDescent="0.2">
      <c r="A23" s="383" t="s">
        <v>1137</v>
      </c>
      <c r="B23" s="384" t="s">
        <v>79</v>
      </c>
      <c r="C23" s="385" t="s">
        <v>139</v>
      </c>
      <c r="D23" s="386" t="s">
        <v>1138</v>
      </c>
      <c r="E23" s="387"/>
      <c r="F23" s="385" t="s">
        <v>1139</v>
      </c>
      <c r="G23" s="385" t="s">
        <v>79</v>
      </c>
      <c r="H23" s="385" t="s">
        <v>1140</v>
      </c>
      <c r="I23" s="388" t="s">
        <v>1136</v>
      </c>
      <c r="J23" s="389"/>
    </row>
    <row r="24" spans="1:10" ht="14.4" x14ac:dyDescent="0.2">
      <c r="A24" s="390">
        <f>'①商品マスタ 申請入力用'!F21</f>
        <v>414898</v>
      </c>
      <c r="B24" s="391" t="e">
        <f ca="1">[2]!s商品名($A24)</f>
        <v>#NAME?</v>
      </c>
      <c r="C24" s="392" t="e">
        <f ca="1">[2]!s規格($A24)</f>
        <v>#NAME?</v>
      </c>
      <c r="D24" s="393">
        <f ca="1">J36</f>
        <v>0</v>
      </c>
      <c r="E24" s="394">
        <v>1</v>
      </c>
      <c r="F24" s="385"/>
      <c r="G24" s="385" t="e">
        <f ca="1">[2]!s商品名(F24)</f>
        <v>#NAME?</v>
      </c>
      <c r="H24" s="385" t="e">
        <f ca="1">[2]!sN1単価(F24)</f>
        <v>#NAME?</v>
      </c>
      <c r="I24" s="385"/>
      <c r="J24" s="389">
        <f t="shared" ref="J24:J35" ca="1" si="1">IF(ISERROR(H24*I24),0,H24*I24)</f>
        <v>0</v>
      </c>
    </row>
    <row r="25" spans="1:10" x14ac:dyDescent="0.2">
      <c r="A25" s="395"/>
      <c r="B25" s="396"/>
      <c r="C25" s="397"/>
      <c r="D25" s="398"/>
      <c r="E25" s="394">
        <v>2</v>
      </c>
      <c r="F25" s="385"/>
      <c r="G25" s="385" t="e">
        <f ca="1">[2]!s商品名(F25)</f>
        <v>#NAME?</v>
      </c>
      <c r="H25" s="385" t="e">
        <f ca="1">[2]!sN1単価(F25)</f>
        <v>#NAME?</v>
      </c>
      <c r="I25" s="385"/>
      <c r="J25" s="389">
        <f t="shared" ca="1" si="1"/>
        <v>0</v>
      </c>
    </row>
    <row r="26" spans="1:10" x14ac:dyDescent="0.2">
      <c r="A26" s="399"/>
      <c r="B26" s="400"/>
      <c r="C26" s="401"/>
      <c r="D26" s="402"/>
      <c r="E26" s="394">
        <v>3</v>
      </c>
      <c r="F26" s="385"/>
      <c r="G26" s="385" t="e">
        <f ca="1">[2]!s商品名(F26)</f>
        <v>#NAME?</v>
      </c>
      <c r="H26" s="385" t="e">
        <f ca="1">[2]!sN1単価(F26)</f>
        <v>#NAME?</v>
      </c>
      <c r="I26" s="385"/>
      <c r="J26" s="389">
        <f t="shared" ca="1" si="1"/>
        <v>0</v>
      </c>
    </row>
    <row r="27" spans="1:10" x14ac:dyDescent="0.2">
      <c r="A27" s="399"/>
      <c r="B27" s="400"/>
      <c r="C27" s="401"/>
      <c r="D27" s="402"/>
      <c r="E27" s="394">
        <v>4</v>
      </c>
      <c r="F27" s="385"/>
      <c r="G27" s="385" t="e">
        <f ca="1">[2]!s商品名(F27)</f>
        <v>#NAME?</v>
      </c>
      <c r="H27" s="385" t="e">
        <f ca="1">[2]!sN1単価(F27)</f>
        <v>#NAME?</v>
      </c>
      <c r="I27" s="385"/>
      <c r="J27" s="389">
        <f t="shared" ca="1" si="1"/>
        <v>0</v>
      </c>
    </row>
    <row r="28" spans="1:10" x14ac:dyDescent="0.2">
      <c r="A28" s="399"/>
      <c r="B28" s="400"/>
      <c r="C28" s="401"/>
      <c r="D28" s="402"/>
      <c r="E28" s="394">
        <v>5</v>
      </c>
      <c r="F28" s="385"/>
      <c r="G28" s="385" t="e">
        <f ca="1">[2]!s商品名(F28)</f>
        <v>#NAME?</v>
      </c>
      <c r="H28" s="385" t="e">
        <f ca="1">[2]!sN1単価(F28)</f>
        <v>#NAME?</v>
      </c>
      <c r="I28" s="385"/>
      <c r="J28" s="389">
        <f t="shared" ca="1" si="1"/>
        <v>0</v>
      </c>
    </row>
    <row r="29" spans="1:10" x14ac:dyDescent="0.2">
      <c r="A29" s="399"/>
      <c r="B29" s="400"/>
      <c r="C29" s="401"/>
      <c r="D29" s="402"/>
      <c r="E29" s="394">
        <v>6</v>
      </c>
      <c r="F29" s="385"/>
      <c r="G29" s="385" t="e">
        <f ca="1">[2]!s商品名(F29)</f>
        <v>#NAME?</v>
      </c>
      <c r="H29" s="385" t="e">
        <f ca="1">[2]!sN1単価(F29)</f>
        <v>#NAME?</v>
      </c>
      <c r="I29" s="385"/>
      <c r="J29" s="389">
        <f t="shared" ca="1" si="1"/>
        <v>0</v>
      </c>
    </row>
    <row r="30" spans="1:10" x14ac:dyDescent="0.2">
      <c r="A30" s="399"/>
      <c r="B30" s="400"/>
      <c r="C30" s="401"/>
      <c r="D30" s="402"/>
      <c r="E30" s="394">
        <v>7</v>
      </c>
      <c r="F30" s="385"/>
      <c r="G30" s="385" t="e">
        <f ca="1">[2]!s商品名(F30)</f>
        <v>#NAME?</v>
      </c>
      <c r="H30" s="385" t="e">
        <f ca="1">[2]!sN1単価(F30)</f>
        <v>#NAME?</v>
      </c>
      <c r="I30" s="385"/>
      <c r="J30" s="389">
        <f t="shared" ca="1" si="1"/>
        <v>0</v>
      </c>
    </row>
    <row r="31" spans="1:10" x14ac:dyDescent="0.2">
      <c r="A31" s="399"/>
      <c r="B31" s="400"/>
      <c r="C31" s="401"/>
      <c r="D31" s="402"/>
      <c r="E31" s="394">
        <v>8</v>
      </c>
      <c r="F31" s="385"/>
      <c r="G31" s="385" t="e">
        <f ca="1">[2]!s商品名(F31)</f>
        <v>#NAME?</v>
      </c>
      <c r="H31" s="385" t="e">
        <f ca="1">[2]!sN1単価(F31)</f>
        <v>#NAME?</v>
      </c>
      <c r="I31" s="385"/>
      <c r="J31" s="389">
        <f t="shared" ca="1" si="1"/>
        <v>0</v>
      </c>
    </row>
    <row r="32" spans="1:10" x14ac:dyDescent="0.2">
      <c r="A32" s="399"/>
      <c r="B32" s="400"/>
      <c r="C32" s="401"/>
      <c r="D32" s="402"/>
      <c r="E32" s="394">
        <v>9</v>
      </c>
      <c r="F32" s="385"/>
      <c r="G32" s="385" t="e">
        <f ca="1">[2]!s商品名(F32)</f>
        <v>#NAME?</v>
      </c>
      <c r="H32" s="385" t="e">
        <f ca="1">[2]!sN1単価(F32)</f>
        <v>#NAME?</v>
      </c>
      <c r="I32" s="385"/>
      <c r="J32" s="389">
        <f t="shared" ca="1" si="1"/>
        <v>0</v>
      </c>
    </row>
    <row r="33" spans="1:16" x14ac:dyDescent="0.2">
      <c r="A33" s="399"/>
      <c r="B33" s="400"/>
      <c r="C33" s="401"/>
      <c r="D33" s="402"/>
      <c r="E33" s="394">
        <v>10</v>
      </c>
      <c r="F33" s="385"/>
      <c r="G33" s="385" t="e">
        <f ca="1">[2]!s商品名(F33)</f>
        <v>#NAME?</v>
      </c>
      <c r="H33" s="385" t="e">
        <f ca="1">[2]!sN1単価(F33)</f>
        <v>#NAME?</v>
      </c>
      <c r="I33" s="385"/>
      <c r="J33" s="389">
        <f t="shared" ca="1" si="1"/>
        <v>0</v>
      </c>
    </row>
    <row r="34" spans="1:16" x14ac:dyDescent="0.2">
      <c r="A34" s="399"/>
      <c r="B34" s="400"/>
      <c r="C34" s="401"/>
      <c r="D34" s="402"/>
      <c r="E34" s="394">
        <v>11</v>
      </c>
      <c r="F34" s="385"/>
      <c r="G34" s="385" t="e">
        <f ca="1">[2]!s商品名(F34)</f>
        <v>#NAME?</v>
      </c>
      <c r="H34" s="385" t="e">
        <f ca="1">[2]!sN1単価(F34)</f>
        <v>#NAME?</v>
      </c>
      <c r="I34" s="385"/>
      <c r="J34" s="389">
        <f t="shared" ca="1" si="1"/>
        <v>0</v>
      </c>
    </row>
    <row r="35" spans="1:16" x14ac:dyDescent="0.2">
      <c r="A35" s="399"/>
      <c r="B35" s="400"/>
      <c r="C35" s="401"/>
      <c r="D35" s="402"/>
      <c r="E35" s="394">
        <v>12</v>
      </c>
      <c r="F35" s="385"/>
      <c r="G35" s="385" t="e">
        <f ca="1">[2]!s商品名(F35)</f>
        <v>#NAME?</v>
      </c>
      <c r="H35" s="385" t="e">
        <f ca="1">[2]!sN1単価(F35)</f>
        <v>#NAME?</v>
      </c>
      <c r="I35" s="385"/>
      <c r="J35" s="389">
        <f t="shared" ca="1" si="1"/>
        <v>0</v>
      </c>
    </row>
    <row r="36" spans="1:16" ht="13.8" thickBot="1" x14ac:dyDescent="0.25">
      <c r="A36" s="403"/>
      <c r="B36" s="404"/>
      <c r="C36" s="405"/>
      <c r="D36" s="406"/>
      <c r="E36" s="407"/>
      <c r="F36" s="408"/>
      <c r="G36" s="408"/>
      <c r="H36" s="408" t="e">
        <f ca="1">SUM(H24:H35)</f>
        <v>#NAME?</v>
      </c>
      <c r="I36" s="408">
        <f>SUM(I24:I35)</f>
        <v>0</v>
      </c>
      <c r="J36" s="409">
        <f ca="1">SUM(J24:J35)</f>
        <v>0</v>
      </c>
    </row>
    <row r="37" spans="1:16" x14ac:dyDescent="0.2">
      <c r="A37" s="377" t="s">
        <v>1131</v>
      </c>
      <c r="B37" s="378"/>
      <c r="C37" s="379"/>
      <c r="D37" s="380"/>
      <c r="E37" s="381"/>
      <c r="F37" s="379" t="s">
        <v>1132</v>
      </c>
      <c r="G37" s="379"/>
      <c r="H37" s="379"/>
      <c r="I37" s="379"/>
      <c r="J37" s="382"/>
    </row>
    <row r="38" spans="1:16" x14ac:dyDescent="0.2">
      <c r="A38" s="383" t="s">
        <v>1141</v>
      </c>
      <c r="B38" s="384" t="s">
        <v>79</v>
      </c>
      <c r="C38" s="385" t="s">
        <v>139</v>
      </c>
      <c r="D38" s="386" t="s">
        <v>1142</v>
      </c>
      <c r="E38" s="387"/>
      <c r="F38" s="385" t="s">
        <v>1139</v>
      </c>
      <c r="G38" s="385" t="s">
        <v>79</v>
      </c>
      <c r="H38" s="385" t="s">
        <v>1143</v>
      </c>
      <c r="I38" s="388" t="s">
        <v>1136</v>
      </c>
      <c r="J38" s="389"/>
    </row>
    <row r="39" spans="1:16" ht="14.4" x14ac:dyDescent="0.2">
      <c r="A39" s="390">
        <f>'①商品マスタ 申請入力用'!H21</f>
        <v>414898</v>
      </c>
      <c r="B39" s="391" t="e">
        <f ca="1">[2]!s商品名($A39)</f>
        <v>#NAME?</v>
      </c>
      <c r="C39" s="392" t="e">
        <f ca="1">[2]!s規格($A39)</f>
        <v>#NAME?</v>
      </c>
      <c r="D39" s="393">
        <f ca="1">J51</f>
        <v>0</v>
      </c>
      <c r="E39" s="394">
        <v>1</v>
      </c>
      <c r="F39" s="385"/>
      <c r="G39" s="385" t="e">
        <f ca="1">[2]!s商品名(F39)</f>
        <v>#NAME?</v>
      </c>
      <c r="H39" s="385" t="e">
        <f ca="1">[2]!sN1単価(F39)</f>
        <v>#NAME?</v>
      </c>
      <c r="I39" s="385"/>
      <c r="J39" s="389">
        <f t="shared" ref="J39:J50" ca="1" si="2">IF(ISERROR(H39*I39),0,H39*I39)</f>
        <v>0</v>
      </c>
    </row>
    <row r="40" spans="1:16" x14ac:dyDescent="0.2">
      <c r="A40" s="395"/>
      <c r="B40" s="396"/>
      <c r="C40" s="397"/>
      <c r="D40" s="398"/>
      <c r="E40" s="394">
        <v>2</v>
      </c>
      <c r="F40" s="385"/>
      <c r="G40" s="385" t="e">
        <f ca="1">[2]!s商品名(F40)</f>
        <v>#NAME?</v>
      </c>
      <c r="H40" s="385" t="e">
        <f ca="1">[2]!sN1単価(F40)</f>
        <v>#NAME?</v>
      </c>
      <c r="I40" s="385"/>
      <c r="J40" s="389">
        <f t="shared" ca="1" si="2"/>
        <v>0</v>
      </c>
    </row>
    <row r="41" spans="1:16" x14ac:dyDescent="0.2">
      <c r="A41" s="399"/>
      <c r="B41" s="400"/>
      <c r="C41" s="401"/>
      <c r="D41" s="402"/>
      <c r="E41" s="394">
        <v>3</v>
      </c>
      <c r="F41" s="385"/>
      <c r="G41" s="385" t="e">
        <f ca="1">[2]!s商品名(F41)</f>
        <v>#NAME?</v>
      </c>
      <c r="H41" s="385" t="e">
        <f ca="1">[2]!sN1単価(F41)</f>
        <v>#NAME?</v>
      </c>
      <c r="I41" s="385"/>
      <c r="J41" s="389">
        <f t="shared" ca="1" si="2"/>
        <v>0</v>
      </c>
    </row>
    <row r="42" spans="1:16" x14ac:dyDescent="0.2">
      <c r="A42" s="399"/>
      <c r="B42" s="400"/>
      <c r="C42" s="401"/>
      <c r="D42" s="402"/>
      <c r="E42" s="394">
        <v>4</v>
      </c>
      <c r="F42" s="385"/>
      <c r="G42" s="385" t="e">
        <f ca="1">[2]!s商品名(F42)</f>
        <v>#NAME?</v>
      </c>
      <c r="H42" s="385" t="e">
        <f ca="1">[2]!sN1単価(F42)</f>
        <v>#NAME?</v>
      </c>
      <c r="I42" s="385"/>
      <c r="J42" s="389">
        <f t="shared" ca="1" si="2"/>
        <v>0</v>
      </c>
    </row>
    <row r="43" spans="1:16" x14ac:dyDescent="0.2">
      <c r="A43" s="399"/>
      <c r="B43" s="400"/>
      <c r="C43" s="401"/>
      <c r="D43" s="402"/>
      <c r="E43" s="394">
        <v>5</v>
      </c>
      <c r="F43" s="385"/>
      <c r="G43" s="385" t="e">
        <f ca="1">[2]!s商品名(F43)</f>
        <v>#NAME?</v>
      </c>
      <c r="H43" s="385" t="e">
        <f ca="1">[2]!sN1単価(F43)</f>
        <v>#NAME?</v>
      </c>
      <c r="I43" s="385"/>
      <c r="J43" s="389">
        <f t="shared" ca="1" si="2"/>
        <v>0</v>
      </c>
    </row>
    <row r="44" spans="1:16" x14ac:dyDescent="0.2">
      <c r="A44" s="399"/>
      <c r="B44" s="400"/>
      <c r="C44" s="401"/>
      <c r="D44" s="402"/>
      <c r="E44" s="394">
        <v>6</v>
      </c>
      <c r="F44" s="385"/>
      <c r="G44" s="385" t="e">
        <f ca="1">[2]!s商品名(F44)</f>
        <v>#NAME?</v>
      </c>
      <c r="H44" s="385" t="e">
        <f ca="1">[2]!sN1単価(F44)</f>
        <v>#NAME?</v>
      </c>
      <c r="I44" s="385"/>
      <c r="J44" s="389">
        <f t="shared" ca="1" si="2"/>
        <v>0</v>
      </c>
      <c r="P44" s="410"/>
    </row>
    <row r="45" spans="1:16" x14ac:dyDescent="0.2">
      <c r="A45" s="399"/>
      <c r="B45" s="400"/>
      <c r="C45" s="401"/>
      <c r="D45" s="402"/>
      <c r="E45" s="394">
        <v>7</v>
      </c>
      <c r="F45" s="385"/>
      <c r="G45" s="385"/>
      <c r="H45" s="385"/>
      <c r="I45" s="385"/>
      <c r="J45" s="389">
        <f t="shared" si="2"/>
        <v>0</v>
      </c>
    </row>
    <row r="46" spans="1:16" x14ac:dyDescent="0.2">
      <c r="A46" s="399"/>
      <c r="B46" s="400"/>
      <c r="C46" s="401"/>
      <c r="D46" s="402"/>
      <c r="E46" s="394">
        <v>8</v>
      </c>
      <c r="F46" s="385"/>
      <c r="G46" s="385"/>
      <c r="H46" s="385"/>
      <c r="I46" s="385"/>
      <c r="J46" s="389">
        <f t="shared" si="2"/>
        <v>0</v>
      </c>
    </row>
    <row r="47" spans="1:16" x14ac:dyDescent="0.2">
      <c r="A47" s="399"/>
      <c r="B47" s="400"/>
      <c r="C47" s="401"/>
      <c r="D47" s="402"/>
      <c r="E47" s="394">
        <v>9</v>
      </c>
      <c r="F47" s="385"/>
      <c r="G47" s="385"/>
      <c r="H47" s="385"/>
      <c r="I47" s="385"/>
      <c r="J47" s="389">
        <f t="shared" si="2"/>
        <v>0</v>
      </c>
    </row>
    <row r="48" spans="1:16" x14ac:dyDescent="0.2">
      <c r="A48" s="399"/>
      <c r="B48" s="400"/>
      <c r="C48" s="401"/>
      <c r="D48" s="402"/>
      <c r="E48" s="394">
        <v>10</v>
      </c>
      <c r="F48" s="385"/>
      <c r="G48" s="385"/>
      <c r="H48" s="385"/>
      <c r="I48" s="385"/>
      <c r="J48" s="389">
        <f t="shared" si="2"/>
        <v>0</v>
      </c>
    </row>
    <row r="49" spans="1:10" x14ac:dyDescent="0.2">
      <c r="A49" s="399"/>
      <c r="B49" s="400"/>
      <c r="C49" s="401"/>
      <c r="D49" s="402"/>
      <c r="E49" s="394">
        <v>11</v>
      </c>
      <c r="F49" s="385"/>
      <c r="G49" s="385"/>
      <c r="H49" s="385"/>
      <c r="I49" s="385"/>
      <c r="J49" s="389">
        <f t="shared" si="2"/>
        <v>0</v>
      </c>
    </row>
    <row r="50" spans="1:10" x14ac:dyDescent="0.2">
      <c r="A50" s="399"/>
      <c r="B50" s="400"/>
      <c r="C50" s="401"/>
      <c r="D50" s="402"/>
      <c r="E50" s="394">
        <v>12</v>
      </c>
      <c r="F50" s="385"/>
      <c r="G50" s="385"/>
      <c r="H50" s="385"/>
      <c r="I50" s="385"/>
      <c r="J50" s="389">
        <f t="shared" si="2"/>
        <v>0</v>
      </c>
    </row>
    <row r="51" spans="1:10" ht="13.8" thickBot="1" x14ac:dyDescent="0.25">
      <c r="A51" s="403"/>
      <c r="B51" s="404"/>
      <c r="C51" s="405"/>
      <c r="D51" s="406"/>
      <c r="E51" s="407"/>
      <c r="F51" s="408"/>
      <c r="G51" s="408"/>
      <c r="H51" s="408" t="e">
        <f ca="1">SUM(H39:H50)</f>
        <v>#NAME?</v>
      </c>
      <c r="I51" s="408">
        <f>SUM(I39:I50)</f>
        <v>0</v>
      </c>
      <c r="J51" s="409">
        <f ca="1">SUM(J39:J50)</f>
        <v>0</v>
      </c>
    </row>
    <row r="52" spans="1:10" x14ac:dyDescent="0.2">
      <c r="A52" s="377" t="s">
        <v>1131</v>
      </c>
      <c r="B52" s="378"/>
      <c r="C52" s="379"/>
      <c r="D52" s="380"/>
      <c r="E52" s="381"/>
      <c r="F52" s="379" t="s">
        <v>1132</v>
      </c>
      <c r="G52" s="379"/>
      <c r="H52" s="379"/>
      <c r="I52" s="379"/>
      <c r="J52" s="382"/>
    </row>
    <row r="53" spans="1:10" x14ac:dyDescent="0.2">
      <c r="A53" s="383" t="s">
        <v>1139</v>
      </c>
      <c r="B53" s="384" t="s">
        <v>79</v>
      </c>
      <c r="C53" s="385" t="s">
        <v>139</v>
      </c>
      <c r="D53" s="386" t="s">
        <v>1134</v>
      </c>
      <c r="E53" s="387"/>
      <c r="F53" s="385" t="s">
        <v>1137</v>
      </c>
      <c r="G53" s="385" t="s">
        <v>79</v>
      </c>
      <c r="H53" s="385" t="s">
        <v>1144</v>
      </c>
      <c r="I53" s="388" t="s">
        <v>1136</v>
      </c>
      <c r="J53" s="389"/>
    </row>
    <row r="54" spans="1:10" ht="14.4" x14ac:dyDescent="0.2">
      <c r="A54" s="390">
        <f>'①商品マスタ 申請入力用'!J21</f>
        <v>414898</v>
      </c>
      <c r="B54" s="391" t="e">
        <f ca="1">[2]!s商品名($A54)</f>
        <v>#NAME?</v>
      </c>
      <c r="C54" s="392" t="e">
        <f ca="1">[2]!s規格($A54)</f>
        <v>#NAME?</v>
      </c>
      <c r="D54" s="393">
        <f ca="1">J66</f>
        <v>0</v>
      </c>
      <c r="E54" s="394">
        <v>1</v>
      </c>
      <c r="F54" s="385"/>
      <c r="G54" s="385" t="e">
        <f ca="1">[2]!s商品名(F54)</f>
        <v>#NAME?</v>
      </c>
      <c r="H54" s="385" t="e">
        <f ca="1">[2]!sN1単価(F54)</f>
        <v>#NAME?</v>
      </c>
      <c r="I54" s="385"/>
      <c r="J54" s="389">
        <f t="shared" ref="J54:J65" ca="1" si="3">IF(ISERROR(H54*I54),0,H54*I54)</f>
        <v>0</v>
      </c>
    </row>
    <row r="55" spans="1:10" x14ac:dyDescent="0.2">
      <c r="A55" s="395"/>
      <c r="B55" s="396"/>
      <c r="C55" s="397"/>
      <c r="D55" s="398"/>
      <c r="E55" s="394">
        <v>2</v>
      </c>
      <c r="F55" s="385"/>
      <c r="G55" s="385" t="e">
        <f ca="1">[2]!s商品名(F55)</f>
        <v>#NAME?</v>
      </c>
      <c r="H55" s="385" t="e">
        <f ca="1">[2]!sN1単価(F55)</f>
        <v>#NAME?</v>
      </c>
      <c r="I55" s="385"/>
      <c r="J55" s="389">
        <f t="shared" ca="1" si="3"/>
        <v>0</v>
      </c>
    </row>
    <row r="56" spans="1:10" x14ac:dyDescent="0.2">
      <c r="A56" s="399"/>
      <c r="B56" s="400"/>
      <c r="C56" s="401"/>
      <c r="D56" s="402"/>
      <c r="E56" s="394">
        <v>3</v>
      </c>
      <c r="F56" s="385"/>
      <c r="G56" s="385" t="e">
        <f ca="1">[2]!s商品名(F56)</f>
        <v>#NAME?</v>
      </c>
      <c r="H56" s="385" t="e">
        <f ca="1">[2]!sN1単価(F56)</f>
        <v>#NAME?</v>
      </c>
      <c r="I56" s="385"/>
      <c r="J56" s="389">
        <f t="shared" ca="1" si="3"/>
        <v>0</v>
      </c>
    </row>
    <row r="57" spans="1:10" x14ac:dyDescent="0.2">
      <c r="A57" s="399"/>
      <c r="B57" s="400"/>
      <c r="C57" s="401"/>
      <c r="D57" s="402"/>
      <c r="E57" s="394">
        <v>4</v>
      </c>
      <c r="F57" s="385"/>
      <c r="G57" s="385" t="e">
        <f ca="1">[2]!s商品名(F57)</f>
        <v>#NAME?</v>
      </c>
      <c r="H57" s="385" t="e">
        <f ca="1">[2]!sN1単価(F57)</f>
        <v>#NAME?</v>
      </c>
      <c r="I57" s="385"/>
      <c r="J57" s="389">
        <f t="shared" ca="1" si="3"/>
        <v>0</v>
      </c>
    </row>
    <row r="58" spans="1:10" x14ac:dyDescent="0.2">
      <c r="A58" s="399"/>
      <c r="B58" s="400"/>
      <c r="C58" s="401"/>
      <c r="D58" s="402"/>
      <c r="E58" s="394">
        <v>5</v>
      </c>
      <c r="F58" s="385"/>
      <c r="G58" s="385" t="e">
        <f ca="1">[2]!s商品名(F58)</f>
        <v>#NAME?</v>
      </c>
      <c r="H58" s="385" t="e">
        <f ca="1">[2]!sN1単価(F58)</f>
        <v>#NAME?</v>
      </c>
      <c r="I58" s="385"/>
      <c r="J58" s="389">
        <f t="shared" ca="1" si="3"/>
        <v>0</v>
      </c>
    </row>
    <row r="59" spans="1:10" x14ac:dyDescent="0.2">
      <c r="A59" s="399"/>
      <c r="B59" s="400"/>
      <c r="C59" s="401"/>
      <c r="D59" s="402"/>
      <c r="E59" s="394">
        <v>6</v>
      </c>
      <c r="F59" s="385"/>
      <c r="G59" s="385" t="e">
        <f ca="1">[2]!s商品名(F59)</f>
        <v>#NAME?</v>
      </c>
      <c r="H59" s="385" t="e">
        <f ca="1">[2]!sN1単価(F59)</f>
        <v>#NAME?</v>
      </c>
      <c r="I59" s="385"/>
      <c r="J59" s="389">
        <f t="shared" ca="1" si="3"/>
        <v>0</v>
      </c>
    </row>
    <row r="60" spans="1:10" x14ac:dyDescent="0.2">
      <c r="A60" s="399"/>
      <c r="B60" s="400"/>
      <c r="C60" s="401"/>
      <c r="D60" s="402"/>
      <c r="E60" s="394">
        <v>7</v>
      </c>
      <c r="F60" s="385"/>
      <c r="G60" s="385"/>
      <c r="H60" s="385"/>
      <c r="I60" s="385"/>
      <c r="J60" s="389">
        <f t="shared" si="3"/>
        <v>0</v>
      </c>
    </row>
    <row r="61" spans="1:10" x14ac:dyDescent="0.2">
      <c r="A61" s="399"/>
      <c r="B61" s="400"/>
      <c r="C61" s="401"/>
      <c r="D61" s="402"/>
      <c r="E61" s="394">
        <v>8</v>
      </c>
      <c r="F61" s="385"/>
      <c r="G61" s="385"/>
      <c r="H61" s="385"/>
      <c r="I61" s="385"/>
      <c r="J61" s="389">
        <f t="shared" si="3"/>
        <v>0</v>
      </c>
    </row>
    <row r="62" spans="1:10" x14ac:dyDescent="0.2">
      <c r="A62" s="399"/>
      <c r="B62" s="400"/>
      <c r="C62" s="401"/>
      <c r="D62" s="402"/>
      <c r="E62" s="394">
        <v>9</v>
      </c>
      <c r="F62" s="385"/>
      <c r="G62" s="385"/>
      <c r="H62" s="385"/>
      <c r="I62" s="385"/>
      <c r="J62" s="389">
        <f t="shared" si="3"/>
        <v>0</v>
      </c>
    </row>
    <row r="63" spans="1:10" x14ac:dyDescent="0.2">
      <c r="A63" s="399"/>
      <c r="B63" s="400"/>
      <c r="C63" s="401"/>
      <c r="D63" s="402"/>
      <c r="E63" s="394">
        <v>10</v>
      </c>
      <c r="F63" s="385"/>
      <c r="G63" s="385"/>
      <c r="H63" s="385"/>
      <c r="I63" s="385"/>
      <c r="J63" s="389">
        <f t="shared" si="3"/>
        <v>0</v>
      </c>
    </row>
    <row r="64" spans="1:10" x14ac:dyDescent="0.2">
      <c r="A64" s="399"/>
      <c r="B64" s="400"/>
      <c r="C64" s="401"/>
      <c r="D64" s="402"/>
      <c r="E64" s="394">
        <v>11</v>
      </c>
      <c r="F64" s="385"/>
      <c r="G64" s="385"/>
      <c r="H64" s="385"/>
      <c r="I64" s="385"/>
      <c r="J64" s="389">
        <f t="shared" si="3"/>
        <v>0</v>
      </c>
    </row>
    <row r="65" spans="1:10" x14ac:dyDescent="0.2">
      <c r="A65" s="399"/>
      <c r="B65" s="400"/>
      <c r="C65" s="401"/>
      <c r="D65" s="402"/>
      <c r="E65" s="394">
        <v>12</v>
      </c>
      <c r="F65" s="385"/>
      <c r="G65" s="385"/>
      <c r="H65" s="385"/>
      <c r="I65" s="385"/>
      <c r="J65" s="389">
        <f t="shared" si="3"/>
        <v>0</v>
      </c>
    </row>
    <row r="66" spans="1:10" ht="13.8" thickBot="1" x14ac:dyDescent="0.25">
      <c r="A66" s="403"/>
      <c r="B66" s="404"/>
      <c r="C66" s="405"/>
      <c r="D66" s="406"/>
      <c r="E66" s="407"/>
      <c r="F66" s="408"/>
      <c r="G66" s="408"/>
      <c r="H66" s="408" t="e">
        <f ca="1">SUM(H54:H65)</f>
        <v>#NAME?</v>
      </c>
      <c r="I66" s="408">
        <f>SUM(I54:I65)</f>
        <v>0</v>
      </c>
      <c r="J66" s="409">
        <f ca="1">SUM(J54:J65)</f>
        <v>0</v>
      </c>
    </row>
  </sheetData>
  <mergeCells count="4">
    <mergeCell ref="H1:J1"/>
    <mergeCell ref="H4:H6"/>
    <mergeCell ref="I4:I6"/>
    <mergeCell ref="J4:J6"/>
  </mergeCells>
  <phoneticPr fontId="3"/>
  <pageMargins left="0.21" right="0.2" top="0.73" bottom="1" header="0.51200000000000001" footer="0.51200000000000001"/>
  <pageSetup paperSize="9" scale="82" orientation="portrait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"/>
  <sheetViews>
    <sheetView workbookViewId="0">
      <selection activeCell="H24" sqref="H24"/>
    </sheetView>
  </sheetViews>
  <sheetFormatPr defaultRowHeight="13.2" x14ac:dyDescent="0.2"/>
  <sheetData/>
  <customSheetViews>
    <customSheetView guid="{E144E3A1-E29C-410D-8925-3F260910373E}" showRuler="0">
      <selection activeCell="H24" sqref="H24"/>
      <pageMargins left="0.75" right="0.75" top="1" bottom="1" header="0.51200000000000001" footer="0.51200000000000001"/>
      <headerFooter alignWithMargins="0"/>
    </customSheetView>
  </customSheetViews>
  <phoneticPr fontId="3"/>
  <pageMargins left="0.75" right="0.75" top="1" bottom="1" header="0.51200000000000001" footer="0.5120000000000000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N25"/>
  <sheetViews>
    <sheetView zoomScaleNormal="100" workbookViewId="0">
      <pane ySplit="6" topLeftCell="A7" activePane="bottomLeft" state="frozen"/>
      <selection pane="bottomLeft" activeCell="L22" sqref="L22"/>
    </sheetView>
  </sheetViews>
  <sheetFormatPr defaultColWidth="9" defaultRowHeight="13.2" x14ac:dyDescent="0.2"/>
  <cols>
    <col min="1" max="1" width="2.21875" style="30" customWidth="1"/>
    <col min="2" max="2" width="7.44140625" style="30" customWidth="1"/>
    <col min="3" max="3" width="28.21875" style="30" customWidth="1"/>
    <col min="4" max="4" width="3.21875" style="30" customWidth="1"/>
    <col min="5" max="5" width="8.33203125" style="30" customWidth="1"/>
    <col min="6" max="6" width="7.21875" style="30" customWidth="1"/>
    <col min="7" max="7" width="12.109375" style="30" customWidth="1"/>
    <col min="8" max="8" width="18.109375" style="30" customWidth="1"/>
    <col min="9" max="9" width="15.33203125" style="30" customWidth="1"/>
    <col min="10" max="10" width="14.33203125" style="30" customWidth="1"/>
    <col min="11" max="11" width="14.77734375" style="30" customWidth="1"/>
    <col min="12" max="12" width="12.109375" style="30" customWidth="1"/>
    <col min="13" max="13" width="12.33203125" style="30" customWidth="1"/>
    <col min="14" max="16384" width="9" style="30"/>
  </cols>
  <sheetData>
    <row r="1" spans="1:14" s="22" customFormat="1" ht="13.8" thickBot="1" x14ac:dyDescent="0.2">
      <c r="E1" s="110" t="s">
        <v>665</v>
      </c>
      <c r="F1" s="111"/>
      <c r="G1" s="111"/>
      <c r="H1" s="111"/>
      <c r="I1" s="212" t="s">
        <v>398</v>
      </c>
      <c r="J1" s="213" t="s">
        <v>264</v>
      </c>
      <c r="K1" s="213" t="s">
        <v>265</v>
      </c>
      <c r="L1" s="213" t="s">
        <v>266</v>
      </c>
      <c r="M1" s="139"/>
    </row>
    <row r="2" spans="1:14" s="26" customFormat="1" ht="33.75" customHeight="1" thickBot="1" x14ac:dyDescent="0.25">
      <c r="B2" s="31"/>
      <c r="E2" s="780" t="str">
        <f>'①商品マスタ 申請入力用'!D19&amp;""</f>
        <v/>
      </c>
      <c r="F2" s="781"/>
      <c r="G2" s="781"/>
      <c r="H2" s="781"/>
      <c r="I2" s="214" t="str">
        <f>IF('①商品マスタ 申請入力用'!D2="","",'①商品マスタ 申請入力用'!D2)</f>
        <v/>
      </c>
      <c r="J2" s="215" t="str">
        <f>'①商品マスタ 申請入力用'!H2&amp;""</f>
        <v/>
      </c>
      <c r="K2" s="222" t="str">
        <f>②仕入単価・発注情報!I2&amp;""</f>
        <v/>
      </c>
      <c r="L2" s="222" t="str">
        <f>②仕入単価・発注情報!J2&amp;""</f>
        <v/>
      </c>
      <c r="M2" s="140"/>
    </row>
    <row r="3" spans="1:14" s="27" customFormat="1" ht="27" customHeight="1" thickBot="1" x14ac:dyDescent="0.25">
      <c r="B3" s="208" t="s">
        <v>174</v>
      </c>
      <c r="C3" s="174" t="s">
        <v>402</v>
      </c>
      <c r="D3" s="218" t="s">
        <v>128</v>
      </c>
      <c r="E3" s="175" t="s">
        <v>138</v>
      </c>
      <c r="F3" s="176" t="s">
        <v>272</v>
      </c>
      <c r="G3" s="177" t="s">
        <v>361</v>
      </c>
      <c r="H3" s="177" t="s">
        <v>291</v>
      </c>
      <c r="I3" s="178" t="s">
        <v>66</v>
      </c>
      <c r="J3" s="179" t="s">
        <v>70</v>
      </c>
      <c r="K3" s="180" t="s">
        <v>292</v>
      </c>
      <c r="L3" s="181" t="s">
        <v>293</v>
      </c>
      <c r="M3" s="182" t="s">
        <v>662</v>
      </c>
      <c r="N3" s="26"/>
    </row>
    <row r="4" spans="1:14" s="28" customFormat="1" ht="38.25" customHeight="1" x14ac:dyDescent="0.2">
      <c r="B4" s="173" t="s">
        <v>271</v>
      </c>
      <c r="C4" s="185" t="s">
        <v>307</v>
      </c>
      <c r="D4" s="219" t="s">
        <v>128</v>
      </c>
      <c r="E4" s="190" t="s">
        <v>274</v>
      </c>
      <c r="F4" s="191" t="s">
        <v>273</v>
      </c>
      <c r="G4" s="192" t="s">
        <v>72</v>
      </c>
      <c r="H4" s="192" t="s">
        <v>118</v>
      </c>
      <c r="I4" s="198" t="s">
        <v>100</v>
      </c>
      <c r="J4" s="199" t="s">
        <v>71</v>
      </c>
      <c r="K4" s="200" t="s">
        <v>277</v>
      </c>
      <c r="L4" s="183" t="s">
        <v>294</v>
      </c>
      <c r="M4" s="184" t="s">
        <v>417</v>
      </c>
      <c r="N4" s="26"/>
    </row>
    <row r="5" spans="1:14" s="29" customFormat="1" ht="19.8" thickBot="1" x14ac:dyDescent="0.25">
      <c r="B5" s="209"/>
      <c r="C5" s="186" t="s">
        <v>117</v>
      </c>
      <c r="D5" s="188" t="s">
        <v>128</v>
      </c>
      <c r="E5" s="193" t="s">
        <v>80</v>
      </c>
      <c r="F5" s="186" t="s">
        <v>276</v>
      </c>
      <c r="G5" s="186" t="s">
        <v>67</v>
      </c>
      <c r="H5" s="196" t="s">
        <v>131</v>
      </c>
      <c r="I5" s="186" t="s">
        <v>133</v>
      </c>
      <c r="J5" s="186" t="s">
        <v>69</v>
      </c>
      <c r="K5" s="196" t="s">
        <v>76</v>
      </c>
      <c r="L5" s="186" t="s">
        <v>663</v>
      </c>
      <c r="M5" s="223" t="s">
        <v>418</v>
      </c>
    </row>
    <row r="6" spans="1:14" s="29" customFormat="1" ht="19.8" thickBot="1" x14ac:dyDescent="0.25">
      <c r="B6" s="210"/>
      <c r="C6" s="187" t="s">
        <v>275</v>
      </c>
      <c r="D6" s="189" t="s">
        <v>128</v>
      </c>
      <c r="E6" s="194"/>
      <c r="F6" s="195" t="s">
        <v>130</v>
      </c>
      <c r="G6" s="195" t="s">
        <v>295</v>
      </c>
      <c r="H6" s="197" t="s">
        <v>140</v>
      </c>
      <c r="I6" s="195" t="s">
        <v>134</v>
      </c>
      <c r="J6" s="194"/>
      <c r="K6" s="197" t="s">
        <v>132</v>
      </c>
      <c r="L6" s="195" t="s">
        <v>658</v>
      </c>
      <c r="M6" s="201" t="s">
        <v>664</v>
      </c>
    </row>
    <row r="7" spans="1:14" s="28" customFormat="1" ht="29.25" customHeight="1" x14ac:dyDescent="0.2">
      <c r="A7" s="786" t="s">
        <v>168</v>
      </c>
      <c r="B7" s="32" t="str">
        <f>'①商品マスタ 申請入力用'!D$21&amp;""</f>
        <v>414898</v>
      </c>
      <c r="C7" s="33" t="str">
        <f>'①商品マスタ 申請入力用'!D$23&amp;""</f>
        <v/>
      </c>
      <c r="D7" s="34">
        <f t="shared" ref="D7:D22" si="0">LENB(C7)</f>
        <v>0</v>
      </c>
      <c r="E7" s="35">
        <f>'①商品マスタ 申請入力用'!D$27</f>
        <v>1</v>
      </c>
      <c r="F7" s="114" t="str">
        <f>'①商品マスタ 申請入力用'!D$30</f>
        <v>1.0</v>
      </c>
      <c r="G7" s="119">
        <f>'①商品マスタ 申請入力用'!D$35</f>
        <v>45639</v>
      </c>
      <c r="H7" s="115" t="str">
        <f>'①商品マスタ 申請入力用'!D$43&amp;""&amp;"　"&amp;'①商品マスタ 申請入力用'!D$44&amp;""&amp;"　　"&amp;'①商品マスタ 申請入力用'!D$45&amp;""</f>
        <v>0在庫品　不可　　99</v>
      </c>
      <c r="I7" s="115" t="str">
        <f>'①商品マスタ 申請入力用'!D$55&amp;""</f>
        <v>12345678</v>
      </c>
      <c r="J7" s="115" t="str">
        <f>'①商品マスタ 申請入力用'!D$61&amp;""</f>
        <v>10002中国</v>
      </c>
      <c r="K7" s="36" t="str">
        <f>'①商品マスタ 申請入力用'!D$65&amp;""</f>
        <v>2903</v>
      </c>
      <c r="L7" s="225" t="str">
        <f>'①商品マスタ 申請入力用'!D$69&amp;""</f>
        <v>1234567890123</v>
      </c>
      <c r="M7" s="37" t="str">
        <f>'①商品マスタ 申請入力用'!D$75&amp;""</f>
        <v>2ラベルレス</v>
      </c>
    </row>
    <row r="8" spans="1:14" s="28" customFormat="1" ht="29.25" customHeight="1" x14ac:dyDescent="0.2">
      <c r="A8" s="787"/>
      <c r="B8" s="38" t="str">
        <f>'①商品マスタ 申請入力用'!D$22&amp;""</f>
        <v/>
      </c>
      <c r="C8" s="39" t="str">
        <f>'①商品マスタ 申請入力用'!D$24&amp;""</f>
        <v/>
      </c>
      <c r="D8" s="40">
        <f t="shared" si="0"/>
        <v>0</v>
      </c>
      <c r="E8" s="38" t="str">
        <f>'①商品マスタ 申請入力用'!D$28&amp;""</f>
        <v/>
      </c>
      <c r="F8" s="113" t="str">
        <f>'①商品マスタ 申請入力用'!D$31</f>
        <v>1500</v>
      </c>
      <c r="G8" s="118" t="str">
        <f>'①商品マスタ 申請入力用'!D$36</f>
        <v>00365</v>
      </c>
      <c r="H8" s="41" t="str">
        <f>'①商品マスタ 申請入力用'!D$49&amp;""</f>
        <v>4005指定 その他</v>
      </c>
      <c r="I8" s="41" t="str">
        <f>'①商品マスタ 申請入力用'!D$56&amp;""</f>
        <v>19リキュール</v>
      </c>
      <c r="J8" s="43" t="str">
        <f>'①商品マスタ 申請入力用'!D$62&amp;""</f>
        <v>1北海道</v>
      </c>
      <c r="K8" s="42" t="str">
        <f>'①商品マスタ 申請入力用'!D$66&amp;""</f>
        <v>㈱ティルブション</v>
      </c>
      <c r="L8" s="226" t="str">
        <f>'①商品マスタ 申請入力用'!D$70&amp;""</f>
        <v>1234567890123</v>
      </c>
      <c r="M8" s="44" t="str">
        <f>'①商品マスタ 申請入力用'!D$40&amp;""</f>
        <v>10</v>
      </c>
    </row>
    <row r="9" spans="1:14" s="28" customFormat="1" ht="24.75" customHeight="1" x14ac:dyDescent="0.2">
      <c r="A9" s="787"/>
      <c r="B9" s="202"/>
      <c r="C9" s="39" t="str">
        <f>'①商品マスタ 申請入力用'!D$25&amp;""</f>
        <v/>
      </c>
      <c r="D9" s="40">
        <f t="shared" si="0"/>
        <v>0</v>
      </c>
      <c r="E9" s="38" t="str">
        <f>'①商品マスタ 申請入力用'!D$29&amp;""</f>
        <v>1</v>
      </c>
      <c r="F9" s="38" t="str">
        <f>'①商品マスタ 申請入力用'!D$32&amp;""</f>
        <v>02C/S</v>
      </c>
      <c r="G9" s="41" t="str">
        <f>'①商品マスタ 申請入力用'!D$41&amp;""</f>
        <v>1清酒類</v>
      </c>
      <c r="H9" s="41" t="str">
        <f>'①商品マスタ 申請入力用'!D$50&amp;""</f>
        <v>1清酒 大吟醸 純米大吟醸</v>
      </c>
      <c r="I9" s="41" t="str">
        <f>'①商品マスタ 申請入力用'!D$57&amp;""</f>
        <v>200合成清酒</v>
      </c>
      <c r="J9" s="43" t="str">
        <f>'①商品マスタ 申請入力用'!D$64&amp;""</f>
        <v>1中口</v>
      </c>
      <c r="K9" s="116" t="str">
        <f>'①商品マスタ 申請入力用'!D$67&amp;""</f>
        <v>0通年</v>
      </c>
      <c r="L9" s="141" t="str">
        <f>'①商品マスタ 申請入力用'!D$73&amp;""</f>
        <v>1下限値</v>
      </c>
      <c r="M9" s="224" t="str">
        <f>'①商品マスタ 申請入力用'!D$87&amp;""</f>
        <v/>
      </c>
    </row>
    <row r="10" spans="1:14" s="28" customFormat="1" ht="24.75" customHeight="1" thickBot="1" x14ac:dyDescent="0.25">
      <c r="A10" s="788"/>
      <c r="B10" s="203"/>
      <c r="C10" s="45" t="str">
        <f>'①商品マスタ 申請入力用'!D$26&amp;""</f>
        <v/>
      </c>
      <c r="D10" s="46">
        <f t="shared" si="0"/>
        <v>0</v>
      </c>
      <c r="E10" s="206"/>
      <c r="F10" s="55" t="str">
        <f>'①商品マスタ 申請入力用'!D$33&amp;""</f>
        <v>01本</v>
      </c>
      <c r="G10" s="132" t="str">
        <f>'①商品マスタ 申請入力用'!D$42&amp;""</f>
        <v>2常温</v>
      </c>
      <c r="H10" s="56" t="str">
        <f>'①商品マスタ 申請入力用'!D$51&amp;""</f>
        <v>12345678</v>
      </c>
      <c r="I10" s="57" t="str">
        <f>'①商品マスタ 申請入力用'!D$59&amp;""</f>
        <v>13.5</v>
      </c>
      <c r="J10" s="206"/>
      <c r="K10" s="57" t="str">
        <f>'①商品マスタ 申請入力用'!D$68&amp;""</f>
        <v>2直送</v>
      </c>
      <c r="L10" s="142" t="str">
        <f>'①商品マスタ 申請入力用'!D$74&amp;""</f>
        <v>2カクヤスPB</v>
      </c>
      <c r="M10" s="58"/>
    </row>
    <row r="11" spans="1:14" s="28" customFormat="1" ht="29.25" customHeight="1" thickTop="1" x14ac:dyDescent="0.2">
      <c r="A11" s="782" t="s">
        <v>169</v>
      </c>
      <c r="B11" s="47" t="str">
        <f>'①商品マスタ 申請入力用'!F$21&amp;""</f>
        <v>414898</v>
      </c>
      <c r="C11" s="48" t="str">
        <f>'①商品マスタ 申請入力用'!F23&amp;""</f>
        <v/>
      </c>
      <c r="D11" s="49">
        <f t="shared" si="0"/>
        <v>0</v>
      </c>
      <c r="E11" s="50">
        <f>'①商品マスタ 申請入力用'!F27</f>
        <v>10</v>
      </c>
      <c r="F11" s="133" t="str">
        <f>'①商品マスタ 申請入力用'!F30</f>
        <v>1.0</v>
      </c>
      <c r="G11" s="134">
        <f>'①商品マスタ 申請入力用'!F$35</f>
        <v>45640</v>
      </c>
      <c r="H11" s="135" t="str">
        <f>'①商品マスタ 申請入力用'!F$43&amp;""&amp;"　"&amp;'①商品マスタ 申請入力用'!F$44&amp;""&amp;"　　"&amp;'①商品マスタ 申請入力用'!F$45&amp;""</f>
        <v>0在庫品　不可　　99</v>
      </c>
      <c r="I11" s="135" t="str">
        <f>'①商品マスタ 申請入力用'!F$55&amp;""</f>
        <v>12345678</v>
      </c>
      <c r="J11" s="135" t="str">
        <f>'①商品マスタ 申請入力用'!F$61&amp;""</f>
        <v>10002中国</v>
      </c>
      <c r="K11" s="51" t="str">
        <f>'①商品マスタ 申請入力用'!F$65&amp;""</f>
        <v>2903</v>
      </c>
      <c r="L11" s="227" t="str">
        <f>'①商品マスタ 申請入力用'!F$69&amp;""</f>
        <v>1234567890123</v>
      </c>
      <c r="M11" s="52" t="str">
        <f>'①商品マスタ 申請入力用'!F$75&amp;""</f>
        <v>2ラベルレス</v>
      </c>
    </row>
    <row r="12" spans="1:14" s="28" customFormat="1" ht="29.25" customHeight="1" x14ac:dyDescent="0.2">
      <c r="A12" s="783"/>
      <c r="B12" s="38" t="str">
        <f>'①商品マスタ 申請入力用'!F$22&amp;""</f>
        <v/>
      </c>
      <c r="C12" s="39" t="str">
        <f>'①商品マスタ 申請入力用'!F24&amp;""</f>
        <v/>
      </c>
      <c r="D12" s="40">
        <f t="shared" si="0"/>
        <v>0</v>
      </c>
      <c r="E12" s="38" t="str">
        <f>'①商品マスタ 申請入力用'!F28&amp;""</f>
        <v/>
      </c>
      <c r="F12" s="113" t="str">
        <f>'①商品マスタ 申請入力用'!F31</f>
        <v>1500</v>
      </c>
      <c r="G12" s="118" t="str">
        <f>'①商品マスタ 申請入力用'!F$36</f>
        <v>00365</v>
      </c>
      <c r="H12" s="41" t="str">
        <f>'①商品マスタ 申請入力用'!F$49&amp;""</f>
        <v>4005指定 その他</v>
      </c>
      <c r="I12" s="41" t="str">
        <f>'①商品マスタ 申請入力用'!F$56&amp;""</f>
        <v>11甘味果実酒･ｽﾊﾟｰｸﾘﾝｸﾞ</v>
      </c>
      <c r="J12" s="43" t="str">
        <f>'①商品マスタ 申請入力用'!F$62&amp;""</f>
        <v>14神奈川県</v>
      </c>
      <c r="K12" s="42" t="str">
        <f>'①商品マスタ 申請入力用'!F$66&amp;""</f>
        <v>㈱ティルブション</v>
      </c>
      <c r="L12" s="226" t="str">
        <f>'①商品マスタ 申請入力用'!F$70&amp;""</f>
        <v>1234567890123</v>
      </c>
      <c r="M12" s="44" t="str">
        <f>'①商品マスタ 申請入力用'!F$40&amp;""</f>
        <v>10</v>
      </c>
    </row>
    <row r="13" spans="1:14" s="28" customFormat="1" ht="24.75" customHeight="1" x14ac:dyDescent="0.2">
      <c r="A13" s="783"/>
      <c r="B13" s="202"/>
      <c r="C13" s="39" t="str">
        <f>'①商品マスタ 申請入力用'!F25&amp;""</f>
        <v/>
      </c>
      <c r="D13" s="40">
        <f t="shared" si="0"/>
        <v>0</v>
      </c>
      <c r="E13" s="38" t="str">
        <f>'①商品マスタ 申請入力用'!F29&amp;""</f>
        <v>11</v>
      </c>
      <c r="F13" s="38" t="str">
        <f>'①商品マスタ 申請入力用'!F32&amp;""</f>
        <v>02C/S</v>
      </c>
      <c r="G13" s="41" t="str">
        <f>'①商品マスタ 申請入力用'!F$41&amp;""</f>
        <v>8食品</v>
      </c>
      <c r="H13" s="41" t="str">
        <f>'①商品マスタ 申請入力用'!F$50&amp;""</f>
        <v>534その他ワイン</v>
      </c>
      <c r="I13" s="41" t="str">
        <f>'①商品マスタ 申請入力用'!F$57&amp;""</f>
        <v>1000原料用アルコール</v>
      </c>
      <c r="J13" s="43" t="str">
        <f>'①商品マスタ 申請入力用'!F$64&amp;""</f>
        <v>1中口</v>
      </c>
      <c r="K13" s="116" t="str">
        <f>'①商品マスタ 申請入力用'!F$67&amp;""</f>
        <v>0通年</v>
      </c>
      <c r="L13" s="141" t="str">
        <f>'①商品マスタ 申請入力用'!F$73&amp;""</f>
        <v/>
      </c>
      <c r="M13" s="224" t="str">
        <f>'①商品マスタ 申請入力用'!F$87&amp;""</f>
        <v/>
      </c>
    </row>
    <row r="14" spans="1:14" s="28" customFormat="1" ht="24.75" customHeight="1" thickBot="1" x14ac:dyDescent="0.25">
      <c r="A14" s="784"/>
      <c r="B14" s="204"/>
      <c r="C14" s="53" t="str">
        <f>'①商品マスタ 申請入力用'!F26&amp;""</f>
        <v/>
      </c>
      <c r="D14" s="54">
        <f t="shared" si="0"/>
        <v>0</v>
      </c>
      <c r="E14" s="206"/>
      <c r="F14" s="55" t="str">
        <f>'①商品マスタ 申請入力用'!F33&amp;""</f>
        <v>01本</v>
      </c>
      <c r="G14" s="132" t="str">
        <f>'①商品マスタ 申請入力用'!F$42&amp;""</f>
        <v>2常温</v>
      </c>
      <c r="H14" s="56" t="str">
        <f>'①商品マスタ 申請入力用'!F$51&amp;""</f>
        <v>12345678</v>
      </c>
      <c r="I14" s="57" t="str">
        <f>'①商品マスタ 申請入力用'!F$59&amp;""</f>
        <v>13.5</v>
      </c>
      <c r="J14" s="206"/>
      <c r="K14" s="57" t="str">
        <f>'①商品マスタ 申請入力用'!F$68&amp;""</f>
        <v>2直送</v>
      </c>
      <c r="L14" s="142" t="str">
        <f>'①商品マスタ 申請入力用'!F$74&amp;""</f>
        <v>2カクヤスPB</v>
      </c>
      <c r="M14" s="58"/>
    </row>
    <row r="15" spans="1:14" s="28" customFormat="1" ht="29.25" customHeight="1" thickTop="1" x14ac:dyDescent="0.2">
      <c r="A15" s="782" t="s">
        <v>170</v>
      </c>
      <c r="B15" s="47" t="str">
        <f>'①商品マスタ 申請入力用'!H$21&amp;""</f>
        <v>414898</v>
      </c>
      <c r="C15" s="48" t="str">
        <f>'①商品マスタ 申請入力用'!H$23&amp;""</f>
        <v/>
      </c>
      <c r="D15" s="49">
        <f t="shared" si="0"/>
        <v>0</v>
      </c>
      <c r="E15" s="50">
        <f>'①商品マスタ 申請入力用'!H$27</f>
        <v>100</v>
      </c>
      <c r="F15" s="133" t="str">
        <f>'①商品マスタ 申請入力用'!H$30</f>
        <v>1.0</v>
      </c>
      <c r="G15" s="134">
        <f>'①商品マスタ 申請入力用'!H$35</f>
        <v>45641</v>
      </c>
      <c r="H15" s="135" t="str">
        <f>'①商品マスタ 申請入力用'!H$43&amp;""&amp;"　"&amp;'①商品マスタ 申請入力用'!H$44&amp;""&amp;"　　"&amp;'①商品マスタ 申請入力用'!H$45&amp;""</f>
        <v>0在庫品　不可　　99</v>
      </c>
      <c r="I15" s="135" t="str">
        <f>'①商品マスタ 申請入力用'!H$55&amp;""</f>
        <v>12345678</v>
      </c>
      <c r="J15" s="135" t="str">
        <f>'①商品マスタ 申請入力用'!H$61&amp;""</f>
        <v>10002中国</v>
      </c>
      <c r="K15" s="51" t="str">
        <f>'①商品マスタ 申請入力用'!H$65&amp;""</f>
        <v>2903</v>
      </c>
      <c r="L15" s="227" t="str">
        <f>'①商品マスタ 申請入力用'!H$69&amp;""</f>
        <v>1234567890123</v>
      </c>
      <c r="M15" s="52" t="str">
        <f>'①商品マスタ 申請入力用'!H$75&amp;""</f>
        <v>2ラベルレス</v>
      </c>
    </row>
    <row r="16" spans="1:14" s="28" customFormat="1" ht="29.25" customHeight="1" x14ac:dyDescent="0.2">
      <c r="A16" s="783"/>
      <c r="B16" s="38" t="str">
        <f>'①商品マスタ 申請入力用'!H$22&amp;""</f>
        <v/>
      </c>
      <c r="C16" s="39" t="str">
        <f>'①商品マスタ 申請入力用'!H$24&amp;""</f>
        <v/>
      </c>
      <c r="D16" s="40">
        <f t="shared" si="0"/>
        <v>0</v>
      </c>
      <c r="E16" s="38" t="str">
        <f>'①商品マスタ 申請入力用'!H$28&amp;""</f>
        <v/>
      </c>
      <c r="F16" s="113" t="str">
        <f>'①商品マスタ 申請入力用'!H$31</f>
        <v>1500</v>
      </c>
      <c r="G16" s="118" t="str">
        <f>'①商品マスタ 申請入力用'!H$36</f>
        <v>00365</v>
      </c>
      <c r="H16" s="41" t="str">
        <f>'①商品マスタ 申請入力用'!H$49&amp;""</f>
        <v>4005指定 その他</v>
      </c>
      <c r="I16" s="41" t="str">
        <f>'①商品マスタ 申請入力用'!H$56&amp;""</f>
        <v>9ビ ー ル</v>
      </c>
      <c r="J16" s="43" t="str">
        <f>'①商品マスタ 申請入力用'!H$62&amp;""</f>
        <v>20101ボルドー地方</v>
      </c>
      <c r="K16" s="42" t="str">
        <f>'①商品マスタ 申請入力用'!H$66&amp;""</f>
        <v>㈱ティルブション</v>
      </c>
      <c r="L16" s="226" t="str">
        <f>'①商品マスタ 申請入力用'!H$70&amp;""</f>
        <v>1234567890123</v>
      </c>
      <c r="M16" s="44" t="str">
        <f>'①商品マスタ 申請入力用'!F$40&amp;""</f>
        <v>10</v>
      </c>
    </row>
    <row r="17" spans="1:13" s="28" customFormat="1" ht="24.75" customHeight="1" x14ac:dyDescent="0.2">
      <c r="A17" s="783"/>
      <c r="B17" s="202"/>
      <c r="C17" s="39" t="str">
        <f>'①商品マスタ 申請入力用'!H$25&amp;""</f>
        <v/>
      </c>
      <c r="D17" s="40">
        <f t="shared" si="0"/>
        <v>0</v>
      </c>
      <c r="E17" s="38" t="str">
        <f>'①商品マスタ 申請入力用'!H$29&amp;""</f>
        <v>111</v>
      </c>
      <c r="F17" s="38" t="str">
        <f>'①商品マスタ 申請入力用'!H$32&amp;""</f>
        <v>02C/S</v>
      </c>
      <c r="G17" s="41" t="str">
        <f>'①商品マスタ 申請入力用'!H$41&amp;""</f>
        <v>2焼酎類</v>
      </c>
      <c r="H17" s="41" t="str">
        <f>'①商品マスタ 申請入力用'!H$50&amp;""</f>
        <v>1105ビールテイスト飲料(年齢確認品)</v>
      </c>
      <c r="I17" s="41" t="str">
        <f>'①商品マスタ 申請入力用'!H$57&amp;""</f>
        <v>601果実酒</v>
      </c>
      <c r="J17" s="43" t="str">
        <f>'①商品マスタ 申請入力用'!H$64&amp;""</f>
        <v>1中口</v>
      </c>
      <c r="K17" s="116" t="str">
        <f>'①商品マスタ 申請入力用'!H$67&amp;""</f>
        <v>0通年</v>
      </c>
      <c r="L17" s="141" t="str">
        <f>'①商品マスタ 申請入力用'!H$73&amp;""</f>
        <v>1下限値</v>
      </c>
      <c r="M17" s="224" t="str">
        <f>'①商品マスタ 申請入力用'!H$87&amp;""</f>
        <v/>
      </c>
    </row>
    <row r="18" spans="1:13" s="28" customFormat="1" ht="24.75" customHeight="1" thickBot="1" x14ac:dyDescent="0.25">
      <c r="A18" s="784"/>
      <c r="B18" s="204"/>
      <c r="C18" s="53" t="str">
        <f>'①商品マスタ 申請入力用'!H$26&amp;""</f>
        <v/>
      </c>
      <c r="D18" s="54">
        <f t="shared" si="0"/>
        <v>0</v>
      </c>
      <c r="E18" s="206"/>
      <c r="F18" s="55" t="str">
        <f>'①商品マスタ 申請入力用'!H$33&amp;""</f>
        <v>01本</v>
      </c>
      <c r="G18" s="132" t="str">
        <f>'①商品マスタ 申請入力用'!H$42&amp;""</f>
        <v>2常温</v>
      </c>
      <c r="H18" s="56" t="str">
        <f>'①商品マスタ 申請入力用'!H$51&amp;""</f>
        <v>12345678</v>
      </c>
      <c r="I18" s="57" t="str">
        <f>'①商品マスタ 申請入力用'!H$59&amp;""</f>
        <v>13.5</v>
      </c>
      <c r="J18" s="206"/>
      <c r="K18" s="57" t="str">
        <f>'①商品マスタ 申請入力用'!H$68&amp;""</f>
        <v>2直送</v>
      </c>
      <c r="L18" s="142" t="str">
        <f>'①商品マスタ 申請入力用'!H$74&amp;""</f>
        <v>2カクヤスPB</v>
      </c>
      <c r="M18" s="58"/>
    </row>
    <row r="19" spans="1:13" s="28" customFormat="1" ht="29.25" customHeight="1" thickTop="1" x14ac:dyDescent="0.2">
      <c r="A19" s="782" t="s">
        <v>173</v>
      </c>
      <c r="B19" s="47" t="str">
        <f>'①商品マスタ 申請入力用'!J$21&amp;""</f>
        <v>414898</v>
      </c>
      <c r="C19" s="48" t="str">
        <f>'①商品マスタ 申請入力用'!J$23&amp;""</f>
        <v/>
      </c>
      <c r="D19" s="49">
        <f t="shared" si="0"/>
        <v>0</v>
      </c>
      <c r="E19" s="127">
        <f>'①商品マスタ 申請入力用'!J$27</f>
        <v>1000</v>
      </c>
      <c r="F19" s="128" t="str">
        <f>'①商品マスタ 申請入力用'!J$30</f>
        <v>1.0</v>
      </c>
      <c r="G19" s="134">
        <f>'①商品マスタ 申請入力用'!J$35</f>
        <v>45642</v>
      </c>
      <c r="H19" s="129" t="str">
        <f>'①商品マスタ 申請入力用'!J$43&amp;""&amp;"　"&amp;'①商品マスタ 申請入力用'!H$44&amp;""&amp;"　　"&amp;'①商品マスタ 申請入力用'!H$45&amp;""</f>
        <v>0在庫品　不可　　99</v>
      </c>
      <c r="I19" s="129" t="str">
        <f>'①商品マスタ 申請入力用'!J$55&amp;""</f>
        <v>12345678</v>
      </c>
      <c r="J19" s="129" t="str">
        <f>'①商品マスタ 申請入力用'!J$61&amp;""</f>
        <v>10002中国</v>
      </c>
      <c r="K19" s="130" t="str">
        <f>'①商品マスタ 申請入力用'!J$65&amp;""</f>
        <v>2903</v>
      </c>
      <c r="L19" s="228" t="str">
        <f>'①商品マスタ 申請入力用'!J$69&amp;""</f>
        <v>1234567890123</v>
      </c>
      <c r="M19" s="131" t="str">
        <f>'①商品マスタ 申請入力用'!J$75&amp;""</f>
        <v>2ラベルレス</v>
      </c>
    </row>
    <row r="20" spans="1:13" s="28" customFormat="1" ht="29.25" customHeight="1" x14ac:dyDescent="0.2">
      <c r="A20" s="783"/>
      <c r="B20" s="38" t="str">
        <f>'①商品マスタ 申請入力用'!J$22&amp;""</f>
        <v/>
      </c>
      <c r="C20" s="39" t="str">
        <f>'①商品マスタ 申請入力用'!J$24&amp;""</f>
        <v/>
      </c>
      <c r="D20" s="40">
        <f t="shared" si="0"/>
        <v>0</v>
      </c>
      <c r="E20" s="38" t="str">
        <f>'①商品マスタ 申請入力用'!J$28&amp;""</f>
        <v/>
      </c>
      <c r="F20" s="113" t="str">
        <f>'①商品マスタ 申請入力用'!J$31</f>
        <v>1500</v>
      </c>
      <c r="G20" s="118" t="str">
        <f>'①商品マスタ 申請入力用'!J$36</f>
        <v>00365</v>
      </c>
      <c r="H20" s="41" t="str">
        <f>'①商品マスタ 申請入力用'!J$49&amp;""</f>
        <v>4005指定 その他</v>
      </c>
      <c r="I20" s="41" t="str">
        <f>'①商品マスタ 申請入力用'!J$56&amp;""</f>
        <v>31雑品、飲料類含む</v>
      </c>
      <c r="J20" s="43" t="str">
        <f>'①商品マスタ 申請入力用'!J$62&amp;""</f>
        <v>9栃木県</v>
      </c>
      <c r="K20" s="42" t="str">
        <f>'①商品マスタ 申請入力用'!J$66&amp;""</f>
        <v>㈱ティルブション</v>
      </c>
      <c r="L20" s="226" t="str">
        <f>'①商品マスタ 申請入力用'!J$70&amp;""</f>
        <v>1234567890123</v>
      </c>
      <c r="M20" s="44" t="str">
        <f>'①商品マスタ 申請入力用'!F$40&amp;""</f>
        <v>10</v>
      </c>
    </row>
    <row r="21" spans="1:13" s="28" customFormat="1" ht="24.75" customHeight="1" x14ac:dyDescent="0.2">
      <c r="A21" s="783"/>
      <c r="B21" s="202"/>
      <c r="C21" s="39" t="str">
        <f>'①商品マスタ 申請入力用'!J$25&amp;""</f>
        <v/>
      </c>
      <c r="D21" s="40">
        <f t="shared" si="0"/>
        <v>0</v>
      </c>
      <c r="E21" s="38" t="str">
        <f>'①商品マスタ 申請入力用'!J$29&amp;""</f>
        <v>1111</v>
      </c>
      <c r="F21" s="38" t="str">
        <f>'①商品マスタ 申請入力用'!J$32&amp;""</f>
        <v>02C/S</v>
      </c>
      <c r="G21" s="41" t="str">
        <f>'①商品マスタ 申請入力用'!J$41&amp;""</f>
        <v>7その他酒類</v>
      </c>
      <c r="H21" s="41" t="str">
        <f>'①商品マスタ 申請入力用'!J$50&amp;""</f>
        <v>10清酒 ギフト</v>
      </c>
      <c r="I21" s="41" t="str">
        <f>'①商品マスタ 申請入力用'!J$57&amp;""</f>
        <v>1001発泡酒</v>
      </c>
      <c r="J21" s="43" t="str">
        <f>'①商品マスタ 申請入力用'!J$64&amp;""</f>
        <v>1中口</v>
      </c>
      <c r="K21" s="116" t="str">
        <f>'①商品マスタ 申請入力用'!J$67&amp;""</f>
        <v>0通年</v>
      </c>
      <c r="L21" s="141" t="str">
        <f>'①商品マスタ 申請入力用'!J$73&amp;""</f>
        <v/>
      </c>
      <c r="M21" s="224" t="str">
        <f>'①商品マスタ 申請入力用'!J$87&amp;""</f>
        <v/>
      </c>
    </row>
    <row r="22" spans="1:13" s="28" customFormat="1" ht="24.75" customHeight="1" thickBot="1" x14ac:dyDescent="0.25">
      <c r="A22" s="785"/>
      <c r="B22" s="205"/>
      <c r="C22" s="125" t="str">
        <f>'①商品マスタ 申請入力用'!J$26&amp;""</f>
        <v/>
      </c>
      <c r="D22" s="126">
        <f t="shared" si="0"/>
        <v>0</v>
      </c>
      <c r="E22" s="207"/>
      <c r="F22" s="120" t="str">
        <f>'①商品マスタ 申請入力用'!J$33&amp;""</f>
        <v>01本</v>
      </c>
      <c r="G22" s="121" t="str">
        <f>'①商品マスタ 申請入力用'!J$42&amp;""</f>
        <v>2常温</v>
      </c>
      <c r="H22" s="122" t="str">
        <f>'①商品マスタ 申請入力用'!J$51&amp;""</f>
        <v>12345678</v>
      </c>
      <c r="I22" s="123" t="str">
        <f>'①商品マスタ 申請入力用'!J$59&amp;""</f>
        <v>13.5</v>
      </c>
      <c r="J22" s="207"/>
      <c r="K22" s="123" t="str">
        <f>'①商品マスタ 申請入力用'!J$68&amp;""</f>
        <v>2直送</v>
      </c>
      <c r="L22" s="143" t="str">
        <f>'①商品マスタ 申請入力用'!J$74&amp;""</f>
        <v>2カクヤスPB</v>
      </c>
      <c r="M22" s="124"/>
    </row>
    <row r="23" spans="1:13" s="22" customFormat="1" ht="10.8" x14ac:dyDescent="0.15"/>
    <row r="24" spans="1:13" s="22" customFormat="1" ht="10.8" x14ac:dyDescent="0.15"/>
    <row r="25" spans="1:13" s="22" customFormat="1" ht="10.8" x14ac:dyDescent="0.15"/>
  </sheetData>
  <sheetProtection formatCells="0" formatColumns="0" formatRows="0"/>
  <customSheetViews>
    <customSheetView guid="{E144E3A1-E29C-410D-8925-3F260910373E}" showRuler="0">
      <selection activeCell="I6" sqref="I6"/>
      <pageMargins left="0.34" right="0.35" top="0.66" bottom="0.45" header="0.26" footer="0.25"/>
      <pageSetup paperSize="9" orientation="landscape" horizontalDpi="1200" verticalDpi="1200" r:id="rId1"/>
      <headerFooter alignWithMargins="0"/>
    </customSheetView>
  </customSheetViews>
  <mergeCells count="5">
    <mergeCell ref="E2:H2"/>
    <mergeCell ref="A11:A14"/>
    <mergeCell ref="A15:A18"/>
    <mergeCell ref="A19:A22"/>
    <mergeCell ref="A7:A10"/>
  </mergeCells>
  <phoneticPr fontId="3"/>
  <dataValidations disablePrompts="1" xWindow="490" yWindow="365" count="13">
    <dataValidation type="custom" allowBlank="1" showInputMessage="1" showErrorMessage="1" prompt="商品名（52byte)" sqref="C7:C11 C19 C15" xr:uid="{00000000-0002-0000-0900-000000000000}">
      <formula1>LENB(C7)&lt;=52</formula1>
    </dataValidation>
    <dataValidation type="custom" errorStyle="warning" allowBlank="1" showInputMessage="1" showErrorMessage="1" error="byte数を越えています" prompt="商品名半角ｶﾅ(52byte)" sqref="C20 C16 C12" xr:uid="{00000000-0002-0000-0900-000001000000}">
      <formula1>LENB(C12)&lt;=52</formula1>
    </dataValidation>
    <dataValidation type="custom" errorStyle="warning" allowBlank="1" showInputMessage="1" showErrorMessage="1" error="byte数を越えています" prompt="POS商品名（20byte)" sqref="C21 C17 C13" xr:uid="{00000000-0002-0000-0900-000002000000}">
      <formula1>LENB(C13)&lt;=20</formula1>
    </dataValidation>
    <dataValidation type="custom" errorStyle="warning" allowBlank="1" showInputMessage="1" showErrorMessage="1" error="byte数を越えています" prompt="POS商品名ｶﾅ(20byte)" sqref="C22 C18 C14" xr:uid="{00000000-0002-0000-0900-000003000000}">
      <formula1>LENB(C14)&lt;=20</formula1>
    </dataValidation>
    <dataValidation allowBlank="1" showInputMessage="1" showErrorMessage="1" prompt="容量" sqref="E7 E19 E15 E11" xr:uid="{00000000-0002-0000-0900-000004000000}"/>
    <dataValidation allowBlank="1" showInputMessage="1" showErrorMessage="1" prompt="入数" sqref="E21 E17 E13" xr:uid="{00000000-0002-0000-0900-000005000000}"/>
    <dataValidation allowBlank="1" showInputMessage="1" showErrorMessage="1" prompt="ケース重量" sqref="F7 F19 F15 F11" xr:uid="{00000000-0002-0000-0900-000006000000}"/>
    <dataValidation allowBlank="1" showInputMessage="1" showErrorMessage="1" prompt="バラ重量" sqref="F8 F20 F16 F12" xr:uid="{00000000-0002-0000-0900-000007000000}"/>
    <dataValidation allowBlank="1" showInputMessage="1" showErrorMessage="1" prompt="ﾒｰｶｰコード" sqref="K7 H19 K11 K15" xr:uid="{00000000-0002-0000-0900-000008000000}"/>
    <dataValidation allowBlank="1" showInputMessage="1" showErrorMessage="1" prompt="ﾒｰｶｰ名" sqref="K8 H20 K12 K16" xr:uid="{00000000-0002-0000-0900-000009000000}"/>
    <dataValidation allowBlank="1" showInputMessage="1" showErrorMessage="1" prompt="仕入先コード" sqref="H21" xr:uid="{00000000-0002-0000-0900-00000A000000}"/>
    <dataValidation allowBlank="1" showInputMessage="1" showErrorMessage="1" prompt="仕入先名" sqref="H22" xr:uid="{00000000-0002-0000-0900-00000B000000}"/>
    <dataValidation allowBlank="1" showInputMessage="1" showErrorMessage="1" prompt="伝発分類" sqref="I12 I8 I20 I16" xr:uid="{00000000-0002-0000-0900-00000C000000}"/>
  </dataValidations>
  <printOptions horizontalCentered="1"/>
  <pageMargins left="0" right="0" top="0.39370078740157483" bottom="0.39370078740157483" header="0.19685039370078741" footer="0.19685039370078741"/>
  <pageSetup paperSize="9" scale="94" orientation="landscape" horizontalDpi="1200" verticalDpi="1200" r:id="rId2"/>
  <headerFooter alignWithMargins="0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AN288"/>
  <sheetViews>
    <sheetView topLeftCell="AB1" zoomScaleNormal="100" workbookViewId="0">
      <selection activeCell="AH4" sqref="AH4"/>
    </sheetView>
  </sheetViews>
  <sheetFormatPr defaultColWidth="9" defaultRowHeight="10.8" x14ac:dyDescent="0.2"/>
  <cols>
    <col min="1" max="1" width="9.109375" style="330" customWidth="1"/>
    <col min="2" max="2" width="9.33203125" style="330" customWidth="1"/>
    <col min="3" max="3" width="12.44140625" style="330" customWidth="1"/>
    <col min="4" max="4" width="28.33203125" style="330" customWidth="1"/>
    <col min="5" max="6" width="19.6640625" style="330" customWidth="1"/>
    <col min="7" max="7" width="15.109375" style="330" customWidth="1"/>
    <col min="8" max="8" width="9.33203125" style="330" customWidth="1"/>
    <col min="9" max="9" width="31.77734375" style="330" customWidth="1"/>
    <col min="10" max="10" width="13.21875" style="330" customWidth="1"/>
    <col min="11" max="11" width="11.44140625" style="330" customWidth="1"/>
    <col min="12" max="12" width="9.44140625" style="330" customWidth="1"/>
    <col min="13" max="14" width="8.77734375" style="330" customWidth="1"/>
    <col min="15" max="15" width="9.109375" style="330" customWidth="1"/>
    <col min="16" max="16" width="12" style="330" customWidth="1"/>
    <col min="17" max="17" width="5.21875" style="3" customWidth="1"/>
    <col min="18" max="18" width="9" style="3"/>
    <col min="19" max="19" width="5.21875" style="3" customWidth="1"/>
    <col min="20" max="20" width="9" style="3"/>
    <col min="21" max="31" width="9" style="330"/>
    <col min="32" max="33" width="19" style="330" bestFit="1" customWidth="1"/>
    <col min="34" max="34" width="11.44140625" style="330" customWidth="1"/>
    <col min="35" max="38" width="9" style="330"/>
    <col min="39" max="39" width="15.44140625" style="330" bestFit="1" customWidth="1"/>
    <col min="40" max="16384" width="9" style="330"/>
  </cols>
  <sheetData>
    <row r="1" spans="1:40" ht="32.25" customHeight="1" x14ac:dyDescent="0.2">
      <c r="A1" s="329" t="s">
        <v>73</v>
      </c>
      <c r="B1" s="330" t="s">
        <v>175</v>
      </c>
      <c r="C1" s="329" t="s">
        <v>67</v>
      </c>
      <c r="D1" s="331" t="s">
        <v>118</v>
      </c>
      <c r="E1" s="332" t="s">
        <v>68</v>
      </c>
      <c r="F1" s="333" t="s">
        <v>75</v>
      </c>
      <c r="G1" s="333" t="s">
        <v>74</v>
      </c>
      <c r="H1" s="333" t="s">
        <v>69</v>
      </c>
      <c r="I1" s="332" t="s">
        <v>164</v>
      </c>
      <c r="J1" s="333" t="s">
        <v>126</v>
      </c>
      <c r="K1" s="332" t="s">
        <v>127</v>
      </c>
      <c r="L1" s="332" t="s">
        <v>76</v>
      </c>
      <c r="M1" s="332" t="s">
        <v>1386</v>
      </c>
      <c r="N1" s="332" t="s">
        <v>176</v>
      </c>
      <c r="O1" s="332" t="s">
        <v>177</v>
      </c>
      <c r="P1" s="332" t="s">
        <v>178</v>
      </c>
      <c r="Q1" s="334" t="s">
        <v>179</v>
      </c>
      <c r="S1" s="334" t="s">
        <v>180</v>
      </c>
      <c r="U1" s="3" t="s">
        <v>113</v>
      </c>
      <c r="V1" s="3"/>
      <c r="W1" s="330" t="s">
        <v>181</v>
      </c>
      <c r="Y1" s="330" t="s">
        <v>182</v>
      </c>
      <c r="Z1" s="330" t="s">
        <v>183</v>
      </c>
      <c r="AA1" s="330" t="s">
        <v>261</v>
      </c>
      <c r="AB1" s="330" t="s">
        <v>184</v>
      </c>
      <c r="AC1" s="330" t="s">
        <v>1150</v>
      </c>
      <c r="AD1" s="330" t="s">
        <v>185</v>
      </c>
      <c r="AE1" s="330" t="s">
        <v>186</v>
      </c>
      <c r="AF1" s="335" t="s">
        <v>1387</v>
      </c>
      <c r="AG1" s="335" t="s">
        <v>1388</v>
      </c>
      <c r="AH1" s="335" t="s">
        <v>187</v>
      </c>
      <c r="AI1" s="330" t="s">
        <v>188</v>
      </c>
      <c r="AJ1" s="330" t="s">
        <v>1120</v>
      </c>
      <c r="AK1" s="330" t="s">
        <v>1147</v>
      </c>
      <c r="AL1" s="330" t="s">
        <v>1152</v>
      </c>
      <c r="AM1" s="330" t="s">
        <v>1402</v>
      </c>
      <c r="AN1" s="330" t="s">
        <v>1153</v>
      </c>
    </row>
    <row r="2" spans="1:40" x14ac:dyDescent="0.2">
      <c r="A2" s="330" t="s">
        <v>189</v>
      </c>
      <c r="B2" s="330" t="s">
        <v>190</v>
      </c>
      <c r="C2" s="330" t="s">
        <v>704</v>
      </c>
      <c r="D2" s="330" t="s">
        <v>993</v>
      </c>
      <c r="E2" s="330" t="s">
        <v>953</v>
      </c>
      <c r="F2" s="336" t="s">
        <v>1305</v>
      </c>
      <c r="G2" s="330" t="s">
        <v>1372</v>
      </c>
      <c r="H2" s="330" t="s">
        <v>191</v>
      </c>
      <c r="I2" s="330" t="s">
        <v>497</v>
      </c>
      <c r="J2" s="330" t="s">
        <v>407</v>
      </c>
      <c r="K2" s="330" t="s">
        <v>1374</v>
      </c>
      <c r="L2" s="330" t="s">
        <v>498</v>
      </c>
      <c r="M2" s="330" t="s">
        <v>192</v>
      </c>
      <c r="N2" s="330" t="s">
        <v>193</v>
      </c>
      <c r="O2" s="330" t="s">
        <v>499</v>
      </c>
      <c r="P2" s="330" t="s">
        <v>194</v>
      </c>
      <c r="Q2" s="337" t="s">
        <v>159</v>
      </c>
      <c r="R2" s="4" t="s">
        <v>144</v>
      </c>
      <c r="S2" s="337" t="s">
        <v>195</v>
      </c>
      <c r="T2" s="4" t="s">
        <v>196</v>
      </c>
      <c r="U2" s="334" t="s">
        <v>159</v>
      </c>
      <c r="V2" s="3" t="s">
        <v>20</v>
      </c>
      <c r="W2" s="334" t="s">
        <v>159</v>
      </c>
      <c r="X2" s="330" t="s">
        <v>197</v>
      </c>
      <c r="Y2" s="330" t="s">
        <v>198</v>
      </c>
      <c r="Z2" s="330" t="s">
        <v>262</v>
      </c>
      <c r="AA2" s="329">
        <v>8</v>
      </c>
      <c r="AB2" s="330" t="s">
        <v>199</v>
      </c>
      <c r="AC2" s="329">
        <v>0</v>
      </c>
      <c r="AE2" s="330" t="s">
        <v>200</v>
      </c>
      <c r="AF2" s="335"/>
      <c r="AG2" s="335"/>
      <c r="AK2" s="329"/>
      <c r="AL2" s="329"/>
      <c r="AM2" s="329"/>
      <c r="AN2" s="329"/>
    </row>
    <row r="3" spans="1:40" ht="11.4" thickBot="1" x14ac:dyDescent="0.25">
      <c r="A3" s="329" t="s">
        <v>202</v>
      </c>
      <c r="B3" s="330" t="s">
        <v>408</v>
      </c>
      <c r="C3" s="330" t="s">
        <v>705</v>
      </c>
      <c r="D3" s="330" t="s">
        <v>994</v>
      </c>
      <c r="E3" s="330" t="s">
        <v>954</v>
      </c>
      <c r="F3" s="330" t="s">
        <v>1306</v>
      </c>
      <c r="G3" s="330" t="s">
        <v>1313</v>
      </c>
      <c r="H3" s="330" t="s">
        <v>409</v>
      </c>
      <c r="I3" s="330" t="s">
        <v>500</v>
      </c>
      <c r="J3" s="330" t="s">
        <v>410</v>
      </c>
      <c r="K3" s="330" t="s">
        <v>1375</v>
      </c>
      <c r="L3" s="330" t="s">
        <v>411</v>
      </c>
      <c r="M3" s="330" t="s">
        <v>203</v>
      </c>
      <c r="N3" s="330" t="s">
        <v>501</v>
      </c>
      <c r="O3" s="330" t="s">
        <v>204</v>
      </c>
      <c r="P3" s="330" t="s">
        <v>648</v>
      </c>
      <c r="Q3" s="337" t="s">
        <v>162</v>
      </c>
      <c r="R3" s="4" t="s">
        <v>151</v>
      </c>
      <c r="S3" s="337" t="s">
        <v>162</v>
      </c>
      <c r="T3" s="4" t="s">
        <v>151</v>
      </c>
      <c r="U3" s="338" t="s">
        <v>160</v>
      </c>
      <c r="V3" s="339" t="s">
        <v>21</v>
      </c>
      <c r="W3" s="338" t="s">
        <v>160</v>
      </c>
      <c r="X3" s="330" t="s">
        <v>205</v>
      </c>
      <c r="Y3" s="330" t="s">
        <v>206</v>
      </c>
      <c r="Z3" s="330" t="s">
        <v>207</v>
      </c>
      <c r="AA3" s="329">
        <v>10</v>
      </c>
      <c r="AB3" s="330" t="s">
        <v>208</v>
      </c>
      <c r="AC3" s="329">
        <v>1</v>
      </c>
      <c r="AD3" s="330" t="s">
        <v>412</v>
      </c>
      <c r="AF3" s="441" t="s">
        <v>1389</v>
      </c>
      <c r="AG3" s="441" t="s">
        <v>1390</v>
      </c>
      <c r="AH3" s="330" t="s">
        <v>201</v>
      </c>
      <c r="AI3" s="330" t="s">
        <v>1115</v>
      </c>
      <c r="AJ3" s="330" t="s">
        <v>1121</v>
      </c>
      <c r="AK3" s="329" t="s">
        <v>1148</v>
      </c>
      <c r="AL3" s="329">
        <v>1</v>
      </c>
      <c r="AM3" s="442" t="s">
        <v>1399</v>
      </c>
      <c r="AN3" s="329" t="s">
        <v>1154</v>
      </c>
    </row>
    <row r="4" spans="1:40" x14ac:dyDescent="0.2">
      <c r="A4" s="330" t="s">
        <v>209</v>
      </c>
      <c r="B4" s="330" t="s">
        <v>413</v>
      </c>
      <c r="C4" s="330" t="s">
        <v>707</v>
      </c>
      <c r="D4" s="330" t="s">
        <v>995</v>
      </c>
      <c r="E4" s="330" t="s">
        <v>955</v>
      </c>
      <c r="F4" s="330" t="s">
        <v>989</v>
      </c>
      <c r="G4" s="330" t="s">
        <v>1314</v>
      </c>
      <c r="H4" s="330" t="s">
        <v>414</v>
      </c>
      <c r="I4" s="330" t="s">
        <v>502</v>
      </c>
      <c r="J4" s="330" t="s">
        <v>419</v>
      </c>
      <c r="K4" s="330" t="s">
        <v>1376</v>
      </c>
      <c r="L4" s="330" t="s">
        <v>503</v>
      </c>
      <c r="M4" s="330" t="s">
        <v>507</v>
      </c>
      <c r="N4" s="330" t="s">
        <v>210</v>
      </c>
      <c r="O4" s="330" t="s">
        <v>211</v>
      </c>
      <c r="Q4" s="337" t="s">
        <v>161</v>
      </c>
      <c r="R4" s="4" t="s">
        <v>145</v>
      </c>
      <c r="S4" s="337" t="s">
        <v>161</v>
      </c>
      <c r="T4" s="4" t="s">
        <v>145</v>
      </c>
      <c r="Z4" s="330" t="s">
        <v>212</v>
      </c>
      <c r="AA4" s="329"/>
      <c r="AD4" s="330" t="s">
        <v>420</v>
      </c>
      <c r="AF4" s="441" t="s">
        <v>1391</v>
      </c>
      <c r="AG4" s="441" t="s">
        <v>1392</v>
      </c>
      <c r="AI4" s="330" t="s">
        <v>1116</v>
      </c>
      <c r="AJ4" s="330" t="s">
        <v>1122</v>
      </c>
      <c r="AM4" s="441" t="s">
        <v>1400</v>
      </c>
      <c r="AN4" s="329">
        <v>1</v>
      </c>
    </row>
    <row r="5" spans="1:40" x14ac:dyDescent="0.2">
      <c r="A5" s="330" t="s">
        <v>213</v>
      </c>
      <c r="B5" s="330" t="s">
        <v>421</v>
      </c>
      <c r="C5" s="330" t="s">
        <v>422</v>
      </c>
      <c r="D5" s="330" t="s">
        <v>996</v>
      </c>
      <c r="E5" s="330" t="s">
        <v>956</v>
      </c>
      <c r="F5" s="330" t="s">
        <v>990</v>
      </c>
      <c r="G5" s="330" t="s">
        <v>1315</v>
      </c>
      <c r="H5" s="330" t="s">
        <v>423</v>
      </c>
      <c r="I5" s="330" t="s">
        <v>504</v>
      </c>
      <c r="J5" s="330" t="s">
        <v>424</v>
      </c>
      <c r="K5" s="330" t="s">
        <v>505</v>
      </c>
      <c r="L5" s="330" t="s">
        <v>506</v>
      </c>
      <c r="M5" s="330" t="s">
        <v>511</v>
      </c>
      <c r="Q5" s="337" t="s">
        <v>426</v>
      </c>
      <c r="R5" s="4" t="s">
        <v>218</v>
      </c>
      <c r="S5" s="337" t="s">
        <v>241</v>
      </c>
      <c r="T5" s="4" t="s">
        <v>219</v>
      </c>
      <c r="AA5" s="329"/>
      <c r="AF5" s="441" t="s">
        <v>1393</v>
      </c>
      <c r="AG5" s="441" t="s">
        <v>1394</v>
      </c>
      <c r="AI5" s="330" t="s">
        <v>1117</v>
      </c>
      <c r="AM5" s="441" t="s">
        <v>1401</v>
      </c>
      <c r="AN5" s="329">
        <v>2</v>
      </c>
    </row>
    <row r="6" spans="1:40" x14ac:dyDescent="0.2">
      <c r="A6" s="330" t="s">
        <v>214</v>
      </c>
      <c r="B6" s="330" t="s">
        <v>215</v>
      </c>
      <c r="C6" s="330" t="s">
        <v>216</v>
      </c>
      <c r="D6" s="330" t="s">
        <v>997</v>
      </c>
      <c r="E6" s="330" t="s">
        <v>957</v>
      </c>
      <c r="F6" s="330" t="s">
        <v>1307</v>
      </c>
      <c r="G6" s="330" t="s">
        <v>1316</v>
      </c>
      <c r="H6" s="330" t="s">
        <v>217</v>
      </c>
      <c r="I6" s="330" t="s">
        <v>508</v>
      </c>
      <c r="J6" s="330" t="s">
        <v>425</v>
      </c>
      <c r="K6" s="330" t="s">
        <v>509</v>
      </c>
      <c r="L6" s="330" t="s">
        <v>510</v>
      </c>
      <c r="Q6" s="337"/>
      <c r="R6" s="4"/>
      <c r="S6" s="337" t="s">
        <v>431</v>
      </c>
      <c r="T6" s="4" t="s">
        <v>221</v>
      </c>
      <c r="AF6" s="441" t="s">
        <v>1395</v>
      </c>
      <c r="AG6" s="441"/>
      <c r="AI6" s="330" t="s">
        <v>1118</v>
      </c>
      <c r="AM6" s="441" t="s">
        <v>1407</v>
      </c>
      <c r="AN6" s="329"/>
    </row>
    <row r="7" spans="1:40" x14ac:dyDescent="0.2">
      <c r="A7" s="330" t="s">
        <v>220</v>
      </c>
      <c r="B7" s="330" t="s">
        <v>427</v>
      </c>
      <c r="C7" s="330" t="s">
        <v>428</v>
      </c>
      <c r="D7" s="330" t="s">
        <v>716</v>
      </c>
      <c r="E7" s="330" t="s">
        <v>958</v>
      </c>
      <c r="F7" s="330" t="s">
        <v>1308</v>
      </c>
      <c r="G7" s="330" t="s">
        <v>1317</v>
      </c>
      <c r="H7" s="330" t="s">
        <v>429</v>
      </c>
      <c r="I7" s="330" t="s">
        <v>512</v>
      </c>
      <c r="J7" s="330" t="s">
        <v>430</v>
      </c>
      <c r="K7" s="330" t="s">
        <v>513</v>
      </c>
      <c r="L7" s="330" t="s">
        <v>514</v>
      </c>
      <c r="Q7" s="337"/>
      <c r="R7" s="4"/>
      <c r="S7" s="337" t="s">
        <v>435</v>
      </c>
      <c r="T7" s="4" t="s">
        <v>223</v>
      </c>
      <c r="AF7" s="441" t="s">
        <v>1396</v>
      </c>
      <c r="AI7" s="330" t="s">
        <v>1119</v>
      </c>
      <c r="AN7" s="329"/>
    </row>
    <row r="8" spans="1:40" x14ac:dyDescent="0.2">
      <c r="B8" s="330" t="s">
        <v>432</v>
      </c>
      <c r="C8" s="330" t="s">
        <v>222</v>
      </c>
      <c r="D8" s="330" t="s">
        <v>998</v>
      </c>
      <c r="E8" s="330" t="s">
        <v>878</v>
      </c>
      <c r="F8" s="330" t="s">
        <v>1309</v>
      </c>
      <c r="G8" s="330" t="s">
        <v>1318</v>
      </c>
      <c r="H8" s="330" t="s">
        <v>433</v>
      </c>
      <c r="I8" s="330" t="s">
        <v>515</v>
      </c>
      <c r="J8" s="330" t="s">
        <v>434</v>
      </c>
      <c r="K8" s="330" t="s">
        <v>516</v>
      </c>
      <c r="L8" s="330" t="s">
        <v>673</v>
      </c>
      <c r="Q8" s="337" t="s">
        <v>163</v>
      </c>
      <c r="R8" s="4" t="s">
        <v>135</v>
      </c>
      <c r="S8" s="337" t="s">
        <v>163</v>
      </c>
      <c r="T8" s="4" t="s">
        <v>135</v>
      </c>
      <c r="AF8" s="441" t="s">
        <v>1397</v>
      </c>
      <c r="AN8" s="329"/>
    </row>
    <row r="9" spans="1:40" x14ac:dyDescent="0.2">
      <c r="B9" s="330" t="s">
        <v>436</v>
      </c>
      <c r="C9" s="330" t="s">
        <v>706</v>
      </c>
      <c r="D9" s="330" t="s">
        <v>999</v>
      </c>
      <c r="E9" s="330" t="s">
        <v>959</v>
      </c>
      <c r="F9" s="330" t="s">
        <v>991</v>
      </c>
      <c r="G9" s="330" t="s">
        <v>1319</v>
      </c>
      <c r="H9" s="330" t="s">
        <v>437</v>
      </c>
      <c r="I9" s="330" t="s">
        <v>517</v>
      </c>
      <c r="J9" s="330" t="s">
        <v>438</v>
      </c>
      <c r="K9" s="330" t="s">
        <v>518</v>
      </c>
      <c r="Q9" s="337" t="s">
        <v>442</v>
      </c>
      <c r="R9" s="4" t="s">
        <v>224</v>
      </c>
      <c r="S9" s="337" t="s">
        <v>9</v>
      </c>
      <c r="T9" s="4" t="s">
        <v>224</v>
      </c>
      <c r="AF9" s="441" t="s">
        <v>1398</v>
      </c>
      <c r="AN9" s="329"/>
    </row>
    <row r="10" spans="1:40" x14ac:dyDescent="0.2">
      <c r="B10" s="330" t="s">
        <v>439</v>
      </c>
      <c r="D10" s="330" t="s">
        <v>1000</v>
      </c>
      <c r="E10" s="330" t="s">
        <v>960</v>
      </c>
      <c r="F10" s="330" t="s">
        <v>1310</v>
      </c>
      <c r="G10" s="330" t="s">
        <v>1373</v>
      </c>
      <c r="H10" s="330" t="s">
        <v>440</v>
      </c>
      <c r="I10" s="330" t="s">
        <v>519</v>
      </c>
      <c r="J10" s="330" t="s">
        <v>441</v>
      </c>
      <c r="K10" s="330" t="s">
        <v>520</v>
      </c>
      <c r="Q10" s="337" t="s">
        <v>446</v>
      </c>
      <c r="R10" s="4" t="s">
        <v>146</v>
      </c>
      <c r="S10" s="337" t="s">
        <v>152</v>
      </c>
      <c r="T10" s="4" t="s">
        <v>146</v>
      </c>
      <c r="AF10" s="441"/>
      <c r="AN10" s="329"/>
    </row>
    <row r="11" spans="1:40" x14ac:dyDescent="0.2">
      <c r="B11" s="330" t="s">
        <v>443</v>
      </c>
      <c r="D11" s="330" t="s">
        <v>1001</v>
      </c>
      <c r="E11" s="330" t="s">
        <v>961</v>
      </c>
      <c r="F11" s="340" t="s">
        <v>983</v>
      </c>
      <c r="G11" s="330" t="s">
        <v>1320</v>
      </c>
      <c r="H11" s="330" t="s">
        <v>444</v>
      </c>
      <c r="I11" s="330" t="s">
        <v>521</v>
      </c>
      <c r="J11" s="330" t="s">
        <v>445</v>
      </c>
      <c r="K11" s="330" t="s">
        <v>522</v>
      </c>
      <c r="Q11" s="337" t="s">
        <v>153</v>
      </c>
      <c r="R11" s="4" t="s">
        <v>225</v>
      </c>
      <c r="S11" s="337" t="s">
        <v>153</v>
      </c>
      <c r="T11" s="4" t="s">
        <v>225</v>
      </c>
      <c r="AN11" s="329"/>
    </row>
    <row r="12" spans="1:40" x14ac:dyDescent="0.2">
      <c r="B12" s="330" t="s">
        <v>523</v>
      </c>
      <c r="D12" s="440" t="s">
        <v>675</v>
      </c>
      <c r="E12" s="330" t="s">
        <v>962</v>
      </c>
      <c r="F12" s="340" t="s">
        <v>984</v>
      </c>
      <c r="G12" s="330" t="s">
        <v>1321</v>
      </c>
      <c r="H12" s="330" t="s">
        <v>447</v>
      </c>
      <c r="I12" s="330" t="s">
        <v>524</v>
      </c>
      <c r="J12" s="330" t="s">
        <v>448</v>
      </c>
      <c r="K12" s="330" t="s">
        <v>525</v>
      </c>
      <c r="Q12" s="341" t="s">
        <v>451</v>
      </c>
      <c r="R12" s="4" t="s">
        <v>226</v>
      </c>
      <c r="S12" s="341" t="s">
        <v>22</v>
      </c>
      <c r="T12" s="4" t="s">
        <v>226</v>
      </c>
      <c r="AN12" s="329"/>
    </row>
    <row r="13" spans="1:40" x14ac:dyDescent="0.2">
      <c r="B13" s="330" t="s">
        <v>1077</v>
      </c>
      <c r="D13" s="440" t="s">
        <v>676</v>
      </c>
      <c r="E13" s="330" t="s">
        <v>963</v>
      </c>
      <c r="F13" s="330" t="s">
        <v>985</v>
      </c>
      <c r="G13" s="330" t="s">
        <v>1322</v>
      </c>
      <c r="H13" s="330" t="s">
        <v>449</v>
      </c>
      <c r="I13" s="330" t="s">
        <v>527</v>
      </c>
      <c r="J13" s="330" t="s">
        <v>450</v>
      </c>
      <c r="K13" s="330" t="s">
        <v>528</v>
      </c>
      <c r="Q13" s="337" t="s">
        <v>154</v>
      </c>
      <c r="R13" s="4" t="s">
        <v>147</v>
      </c>
      <c r="S13" s="337" t="s">
        <v>154</v>
      </c>
      <c r="T13" s="4" t="s">
        <v>147</v>
      </c>
      <c r="AN13" s="329"/>
    </row>
    <row r="14" spans="1:40" x14ac:dyDescent="0.2">
      <c r="B14" s="330" t="s">
        <v>1078</v>
      </c>
      <c r="D14" s="330" t="s">
        <v>717</v>
      </c>
      <c r="E14" s="330" t="s">
        <v>964</v>
      </c>
      <c r="F14" s="330" t="s">
        <v>986</v>
      </c>
      <c r="G14" s="330" t="s">
        <v>1113</v>
      </c>
      <c r="H14" s="330" t="s">
        <v>453</v>
      </c>
      <c r="I14" s="330" t="s">
        <v>529</v>
      </c>
      <c r="J14" s="330" t="s">
        <v>242</v>
      </c>
      <c r="K14" s="330" t="s">
        <v>530</v>
      </c>
      <c r="Q14" s="337" t="s">
        <v>155</v>
      </c>
      <c r="R14" s="4" t="s">
        <v>148</v>
      </c>
      <c r="S14" s="337" t="s">
        <v>155</v>
      </c>
      <c r="T14" s="4" t="s">
        <v>148</v>
      </c>
      <c r="AN14" s="329"/>
    </row>
    <row r="15" spans="1:40" x14ac:dyDescent="0.2">
      <c r="B15" s="330" t="s">
        <v>1079</v>
      </c>
      <c r="D15" s="330" t="s">
        <v>677</v>
      </c>
      <c r="E15" s="330" t="s">
        <v>965</v>
      </c>
      <c r="F15" s="330" t="s">
        <v>1311</v>
      </c>
      <c r="G15" s="330" t="s">
        <v>1323</v>
      </c>
      <c r="H15" s="330" t="s">
        <v>243</v>
      </c>
      <c r="I15" s="330" t="s">
        <v>531</v>
      </c>
      <c r="J15" s="330" t="s">
        <v>455</v>
      </c>
      <c r="K15" s="330" t="s">
        <v>532</v>
      </c>
      <c r="Q15" s="337" t="s">
        <v>156</v>
      </c>
      <c r="R15" s="4" t="s">
        <v>149</v>
      </c>
      <c r="S15" s="337" t="s">
        <v>156</v>
      </c>
      <c r="T15" s="4" t="s">
        <v>149</v>
      </c>
      <c r="AN15" s="329"/>
    </row>
    <row r="16" spans="1:40" x14ac:dyDescent="0.2">
      <c r="B16" s="330" t="s">
        <v>526</v>
      </c>
      <c r="D16" s="330" t="s">
        <v>718</v>
      </c>
      <c r="E16" s="330" t="s">
        <v>966</v>
      </c>
      <c r="F16" s="330" t="s">
        <v>987</v>
      </c>
      <c r="G16" s="330" t="s">
        <v>1324</v>
      </c>
      <c r="I16" s="330" t="s">
        <v>456</v>
      </c>
      <c r="J16" s="330" t="s">
        <v>457</v>
      </c>
      <c r="K16" s="330" t="s">
        <v>533</v>
      </c>
      <c r="Q16" s="337" t="s">
        <v>157</v>
      </c>
      <c r="R16" s="4" t="s">
        <v>150</v>
      </c>
      <c r="S16" s="337" t="s">
        <v>157</v>
      </c>
      <c r="T16" s="4" t="s">
        <v>150</v>
      </c>
      <c r="AN16" s="329"/>
    </row>
    <row r="17" spans="2:40" x14ac:dyDescent="0.2">
      <c r="B17" s="330" t="s">
        <v>452</v>
      </c>
      <c r="D17" s="330" t="s">
        <v>719</v>
      </c>
      <c r="E17" s="330" t="s">
        <v>879</v>
      </c>
      <c r="F17" s="330" t="s">
        <v>988</v>
      </c>
      <c r="G17" s="330" t="s">
        <v>1325</v>
      </c>
      <c r="I17" s="330" t="s">
        <v>534</v>
      </c>
      <c r="J17" s="330" t="s">
        <v>459</v>
      </c>
      <c r="K17" s="330" t="s">
        <v>535</v>
      </c>
      <c r="Q17" s="337" t="s">
        <v>462</v>
      </c>
      <c r="R17" s="4" t="s">
        <v>227</v>
      </c>
      <c r="S17" s="337" t="s">
        <v>23</v>
      </c>
      <c r="T17" s="4" t="s">
        <v>227</v>
      </c>
      <c r="AN17" s="329"/>
    </row>
    <row r="18" spans="2:40" x14ac:dyDescent="0.2">
      <c r="D18" s="330" t="s">
        <v>1002</v>
      </c>
      <c r="E18" s="330" t="s">
        <v>967</v>
      </c>
      <c r="F18" s="330" t="s">
        <v>1312</v>
      </c>
      <c r="G18" s="330" t="s">
        <v>1326</v>
      </c>
      <c r="I18" s="330" t="s">
        <v>536</v>
      </c>
      <c r="J18" s="330" t="s">
        <v>461</v>
      </c>
      <c r="K18" s="330" t="s">
        <v>537</v>
      </c>
      <c r="Q18" s="337" t="s">
        <v>464</v>
      </c>
      <c r="R18" s="4" t="s">
        <v>228</v>
      </c>
      <c r="S18" s="337" t="s">
        <v>25</v>
      </c>
      <c r="T18" s="4" t="s">
        <v>228</v>
      </c>
      <c r="AN18" s="329"/>
    </row>
    <row r="19" spans="2:40" x14ac:dyDescent="0.2">
      <c r="D19" s="330" t="s">
        <v>678</v>
      </c>
      <c r="E19" s="330" t="s">
        <v>968</v>
      </c>
      <c r="G19" s="330" t="s">
        <v>1327</v>
      </c>
      <c r="I19" s="330" t="s">
        <v>538</v>
      </c>
      <c r="J19" s="330" t="s">
        <v>463</v>
      </c>
      <c r="K19" s="330" t="s">
        <v>539</v>
      </c>
      <c r="Q19" s="337" t="s">
        <v>466</v>
      </c>
      <c r="R19" s="4" t="s">
        <v>229</v>
      </c>
      <c r="S19" s="337" t="s">
        <v>10</v>
      </c>
      <c r="T19" s="4" t="s">
        <v>229</v>
      </c>
    </row>
    <row r="20" spans="2:40" x14ac:dyDescent="0.2">
      <c r="D20" s="330" t="s">
        <v>1003</v>
      </c>
      <c r="E20" s="330" t="s">
        <v>969</v>
      </c>
      <c r="I20" s="330" t="s">
        <v>540</v>
      </c>
      <c r="J20" s="330" t="s">
        <v>465</v>
      </c>
      <c r="K20" s="330" t="s">
        <v>541</v>
      </c>
      <c r="Q20" s="337"/>
      <c r="R20" s="4"/>
      <c r="S20" s="337" t="s">
        <v>468</v>
      </c>
      <c r="T20" s="4" t="s">
        <v>230</v>
      </c>
    </row>
    <row r="21" spans="2:40" x14ac:dyDescent="0.2">
      <c r="D21" s="330" t="s">
        <v>1004</v>
      </c>
      <c r="E21" s="330" t="s">
        <v>970</v>
      </c>
      <c r="I21" s="330" t="s">
        <v>542</v>
      </c>
      <c r="J21" s="330" t="s">
        <v>467</v>
      </c>
      <c r="K21" s="330" t="s">
        <v>543</v>
      </c>
      <c r="Q21" s="337"/>
      <c r="R21" s="4"/>
      <c r="S21" s="337"/>
      <c r="T21" s="4"/>
    </row>
    <row r="22" spans="2:40" x14ac:dyDescent="0.2">
      <c r="D22" s="330" t="s">
        <v>1005</v>
      </c>
      <c r="E22" s="330" t="s">
        <v>971</v>
      </c>
      <c r="F22" s="342" t="s">
        <v>239</v>
      </c>
      <c r="I22" s="330" t="s">
        <v>544</v>
      </c>
      <c r="J22" s="330" t="s">
        <v>469</v>
      </c>
      <c r="K22" s="330" t="s">
        <v>545</v>
      </c>
      <c r="Q22" s="337"/>
      <c r="R22" s="4"/>
      <c r="S22" s="337"/>
      <c r="T22" s="4"/>
    </row>
    <row r="23" spans="2:40" x14ac:dyDescent="0.2">
      <c r="D23" s="330" t="s">
        <v>1006</v>
      </c>
      <c r="E23" s="330" t="s">
        <v>972</v>
      </c>
      <c r="F23" s="342" t="s">
        <v>240</v>
      </c>
      <c r="I23" s="330" t="s">
        <v>546</v>
      </c>
      <c r="J23" s="330" t="s">
        <v>470</v>
      </c>
      <c r="K23" s="330" t="s">
        <v>547</v>
      </c>
      <c r="Q23" s="337"/>
      <c r="R23" s="4"/>
      <c r="S23" s="337"/>
      <c r="T23" s="4"/>
    </row>
    <row r="24" spans="2:40" x14ac:dyDescent="0.2">
      <c r="D24" s="330" t="s">
        <v>1007</v>
      </c>
      <c r="E24" s="330" t="s">
        <v>973</v>
      </c>
      <c r="F24" s="343" t="s">
        <v>454</v>
      </c>
      <c r="I24" s="330" t="s">
        <v>548</v>
      </c>
      <c r="J24" s="330" t="s">
        <v>471</v>
      </c>
      <c r="K24" s="330" t="s">
        <v>549</v>
      </c>
      <c r="Q24" s="341"/>
      <c r="R24" s="4"/>
      <c r="S24" s="337"/>
      <c r="T24" s="4"/>
    </row>
    <row r="25" spans="2:40" x14ac:dyDescent="0.2">
      <c r="D25" s="330" t="s">
        <v>1008</v>
      </c>
      <c r="E25" s="330" t="s">
        <v>974</v>
      </c>
      <c r="F25" s="343" t="s">
        <v>244</v>
      </c>
      <c r="I25" s="330" t="s">
        <v>550</v>
      </c>
      <c r="J25" s="330" t="s">
        <v>472</v>
      </c>
      <c r="K25" s="330" t="s">
        <v>551</v>
      </c>
      <c r="Q25" s="337"/>
      <c r="R25" s="4"/>
      <c r="S25" s="341"/>
      <c r="T25" s="4"/>
    </row>
    <row r="26" spans="2:40" x14ac:dyDescent="0.2">
      <c r="D26" s="330" t="s">
        <v>1009</v>
      </c>
      <c r="E26" s="330" t="s">
        <v>981</v>
      </c>
      <c r="F26" s="343" t="s">
        <v>458</v>
      </c>
      <c r="I26" s="330" t="s">
        <v>552</v>
      </c>
      <c r="J26" s="330" t="s">
        <v>473</v>
      </c>
      <c r="K26" s="330" t="s">
        <v>553</v>
      </c>
      <c r="Q26" s="337"/>
      <c r="R26" s="4"/>
      <c r="S26" s="337"/>
      <c r="T26" s="4"/>
    </row>
    <row r="27" spans="2:40" x14ac:dyDescent="0.2">
      <c r="D27" s="330" t="s">
        <v>1010</v>
      </c>
      <c r="E27" s="330" t="s">
        <v>982</v>
      </c>
      <c r="F27" s="343" t="s">
        <v>460</v>
      </c>
      <c r="I27" s="330" t="s">
        <v>554</v>
      </c>
      <c r="J27" s="330" t="s">
        <v>474</v>
      </c>
      <c r="K27" s="330" t="s">
        <v>555</v>
      </c>
      <c r="Q27" s="337"/>
      <c r="R27" s="4"/>
      <c r="S27" s="337"/>
      <c r="T27" s="4"/>
    </row>
    <row r="28" spans="2:40" x14ac:dyDescent="0.2">
      <c r="D28" s="330" t="s">
        <v>1011</v>
      </c>
      <c r="E28" s="330" t="s">
        <v>975</v>
      </c>
      <c r="I28" s="330" t="s">
        <v>556</v>
      </c>
      <c r="J28" s="330" t="s">
        <v>475</v>
      </c>
      <c r="K28" s="330" t="s">
        <v>557</v>
      </c>
      <c r="Q28" s="337"/>
      <c r="R28" s="4"/>
      <c r="S28" s="337"/>
      <c r="T28" s="4"/>
    </row>
    <row r="29" spans="2:40" x14ac:dyDescent="0.2">
      <c r="D29" s="330" t="s">
        <v>1012</v>
      </c>
      <c r="E29" s="330" t="s">
        <v>976</v>
      </c>
      <c r="I29" s="330" t="s">
        <v>558</v>
      </c>
      <c r="J29" s="330" t="s">
        <v>476</v>
      </c>
      <c r="K29" s="330" t="s">
        <v>559</v>
      </c>
      <c r="Q29" s="337"/>
      <c r="R29" s="4"/>
      <c r="S29" s="337"/>
      <c r="T29" s="4"/>
    </row>
    <row r="30" spans="2:40" x14ac:dyDescent="0.2">
      <c r="D30" s="330" t="s">
        <v>1013</v>
      </c>
      <c r="E30" s="330" t="s">
        <v>977</v>
      </c>
      <c r="I30" s="330" t="s">
        <v>560</v>
      </c>
      <c r="J30" s="330" t="s">
        <v>245</v>
      </c>
      <c r="K30" s="330" t="s">
        <v>561</v>
      </c>
      <c r="Q30" s="341"/>
      <c r="R30" s="4"/>
      <c r="S30" s="337"/>
      <c r="T30" s="4"/>
    </row>
    <row r="31" spans="2:40" x14ac:dyDescent="0.2">
      <c r="D31" s="330" t="s">
        <v>1014</v>
      </c>
      <c r="E31" s="330" t="s">
        <v>880</v>
      </c>
      <c r="I31" s="330" t="s">
        <v>562</v>
      </c>
      <c r="J31" s="330" t="s">
        <v>246</v>
      </c>
      <c r="K31" s="330" t="s">
        <v>563</v>
      </c>
      <c r="Q31" s="337"/>
      <c r="R31" s="4"/>
      <c r="S31" s="341"/>
      <c r="T31" s="4"/>
    </row>
    <row r="32" spans="2:40" x14ac:dyDescent="0.2">
      <c r="D32" s="330" t="s">
        <v>1015</v>
      </c>
      <c r="E32" s="330" t="s">
        <v>978</v>
      </c>
      <c r="I32" s="330" t="s">
        <v>564</v>
      </c>
      <c r="J32" s="330" t="s">
        <v>247</v>
      </c>
      <c r="K32" s="330" t="s">
        <v>565</v>
      </c>
      <c r="Q32" s="337"/>
      <c r="R32" s="4"/>
      <c r="S32" s="337"/>
      <c r="T32" s="4"/>
    </row>
    <row r="33" spans="4:20" x14ac:dyDescent="0.2">
      <c r="D33" s="330" t="s">
        <v>709</v>
      </c>
      <c r="E33" s="330" t="s">
        <v>979</v>
      </c>
      <c r="I33" s="330" t="s">
        <v>566</v>
      </c>
      <c r="J33" s="330" t="s">
        <v>248</v>
      </c>
      <c r="K33" s="330" t="s">
        <v>567</v>
      </c>
      <c r="Q33" s="337"/>
      <c r="R33" s="4"/>
      <c r="S33" s="337"/>
      <c r="T33" s="4"/>
    </row>
    <row r="34" spans="4:20" x14ac:dyDescent="0.2">
      <c r="D34" s="330" t="s">
        <v>710</v>
      </c>
      <c r="E34" s="330" t="s">
        <v>980</v>
      </c>
      <c r="I34" s="330" t="s">
        <v>568</v>
      </c>
      <c r="J34" s="330" t="s">
        <v>249</v>
      </c>
      <c r="K34" s="330" t="s">
        <v>569</v>
      </c>
      <c r="Q34" s="337"/>
      <c r="R34" s="4"/>
      <c r="S34" s="337"/>
      <c r="T34" s="4"/>
    </row>
    <row r="35" spans="4:20" x14ac:dyDescent="0.2">
      <c r="D35" s="330" t="s">
        <v>711</v>
      </c>
      <c r="E35" s="330" t="s">
        <v>884</v>
      </c>
      <c r="I35" s="330" t="s">
        <v>570</v>
      </c>
      <c r="J35" s="330" t="s">
        <v>477</v>
      </c>
      <c r="K35" s="330" t="s">
        <v>571</v>
      </c>
      <c r="Q35" s="337"/>
      <c r="R35" s="4"/>
      <c r="S35" s="337"/>
      <c r="T35" s="4"/>
    </row>
    <row r="36" spans="4:20" x14ac:dyDescent="0.2">
      <c r="D36" s="330" t="s">
        <v>712</v>
      </c>
      <c r="E36" s="330" t="s">
        <v>885</v>
      </c>
      <c r="I36" s="330" t="s">
        <v>572</v>
      </c>
      <c r="J36" s="330" t="s">
        <v>478</v>
      </c>
      <c r="K36" s="330" t="s">
        <v>573</v>
      </c>
      <c r="Q36" s="337"/>
      <c r="R36" s="4"/>
      <c r="S36" s="337"/>
      <c r="T36" s="4"/>
    </row>
    <row r="37" spans="4:20" x14ac:dyDescent="0.2">
      <c r="D37" s="330" t="s">
        <v>713</v>
      </c>
      <c r="E37" s="330" t="s">
        <v>886</v>
      </c>
      <c r="I37" s="330" t="s">
        <v>574</v>
      </c>
      <c r="J37" s="330" t="s">
        <v>479</v>
      </c>
      <c r="K37" s="330" t="s">
        <v>575</v>
      </c>
      <c r="Q37" s="337"/>
      <c r="R37" s="4"/>
      <c r="S37" s="337"/>
      <c r="T37" s="4"/>
    </row>
    <row r="38" spans="4:20" x14ac:dyDescent="0.2">
      <c r="D38" s="330" t="s">
        <v>714</v>
      </c>
      <c r="E38" s="330" t="s">
        <v>1328</v>
      </c>
      <c r="I38" s="330" t="s">
        <v>576</v>
      </c>
      <c r="J38" s="330" t="s">
        <v>480</v>
      </c>
      <c r="K38" s="330" t="s">
        <v>577</v>
      </c>
      <c r="Q38" s="337"/>
      <c r="R38" s="4"/>
      <c r="S38" s="337"/>
      <c r="T38" s="4"/>
    </row>
    <row r="39" spans="4:20" x14ac:dyDescent="0.2">
      <c r="D39" s="330" t="s">
        <v>715</v>
      </c>
      <c r="E39" s="330" t="s">
        <v>887</v>
      </c>
      <c r="I39" s="330" t="s">
        <v>231</v>
      </c>
      <c r="J39" s="330" t="s">
        <v>481</v>
      </c>
      <c r="K39" s="330" t="s">
        <v>578</v>
      </c>
      <c r="Q39" s="337"/>
      <c r="R39" s="4"/>
      <c r="S39" s="337"/>
      <c r="T39" s="4"/>
    </row>
    <row r="40" spans="4:20" x14ac:dyDescent="0.2">
      <c r="D40" s="330" t="s">
        <v>1016</v>
      </c>
      <c r="E40" s="330" t="s">
        <v>888</v>
      </c>
      <c r="I40" s="330" t="s">
        <v>579</v>
      </c>
      <c r="J40" s="330" t="s">
        <v>250</v>
      </c>
      <c r="K40" s="330" t="s">
        <v>580</v>
      </c>
      <c r="Q40" s="337"/>
      <c r="R40" s="4"/>
      <c r="S40" s="337"/>
      <c r="T40" s="4"/>
    </row>
    <row r="41" spans="4:20" x14ac:dyDescent="0.2">
      <c r="D41" s="330" t="s">
        <v>744</v>
      </c>
      <c r="E41" s="330" t="s">
        <v>889</v>
      </c>
      <c r="I41" s="330" t="s">
        <v>581</v>
      </c>
      <c r="J41" s="330" t="s">
        <v>251</v>
      </c>
      <c r="K41" s="330" t="s">
        <v>582</v>
      </c>
      <c r="Q41" s="337"/>
      <c r="R41" s="4"/>
      <c r="S41" s="337"/>
      <c r="T41" s="4"/>
    </row>
    <row r="42" spans="4:20" x14ac:dyDescent="0.2">
      <c r="D42" s="330" t="s">
        <v>745</v>
      </c>
      <c r="E42" s="330" t="s">
        <v>890</v>
      </c>
      <c r="I42" s="330" t="s">
        <v>583</v>
      </c>
      <c r="J42" s="330" t="s">
        <v>252</v>
      </c>
      <c r="K42" s="330" t="s">
        <v>584</v>
      </c>
      <c r="Q42" s="337"/>
      <c r="R42" s="4"/>
      <c r="S42" s="337"/>
      <c r="T42" s="4"/>
    </row>
    <row r="43" spans="4:20" x14ac:dyDescent="0.2">
      <c r="D43" s="330" t="s">
        <v>746</v>
      </c>
      <c r="E43" s="330" t="s">
        <v>891</v>
      </c>
      <c r="I43" s="330" t="s">
        <v>585</v>
      </c>
      <c r="J43" s="330" t="s">
        <v>253</v>
      </c>
      <c r="K43" s="330" t="s">
        <v>586</v>
      </c>
      <c r="Q43" s="344"/>
      <c r="S43" s="337"/>
      <c r="T43" s="4"/>
    </row>
    <row r="44" spans="4:20" x14ac:dyDescent="0.2">
      <c r="D44" s="330" t="s">
        <v>1329</v>
      </c>
      <c r="E44" s="330" t="s">
        <v>892</v>
      </c>
      <c r="I44" s="330" t="s">
        <v>587</v>
      </c>
      <c r="J44" s="330" t="s">
        <v>482</v>
      </c>
      <c r="K44" s="330" t="s">
        <v>588</v>
      </c>
      <c r="S44" s="344"/>
    </row>
    <row r="45" spans="4:20" x14ac:dyDescent="0.2">
      <c r="D45" s="440" t="s">
        <v>679</v>
      </c>
      <c r="E45" s="330" t="s">
        <v>1418</v>
      </c>
      <c r="I45" s="330" t="s">
        <v>589</v>
      </c>
      <c r="J45" s="345" t="s">
        <v>232</v>
      </c>
      <c r="K45" s="330" t="s">
        <v>590</v>
      </c>
    </row>
    <row r="46" spans="4:20" x14ac:dyDescent="0.2">
      <c r="D46" s="440" t="s">
        <v>680</v>
      </c>
      <c r="E46" s="330" t="s">
        <v>893</v>
      </c>
      <c r="I46" s="330" t="s">
        <v>592</v>
      </c>
      <c r="J46" s="345" t="s">
        <v>233</v>
      </c>
      <c r="K46" s="330" t="s">
        <v>591</v>
      </c>
    </row>
    <row r="47" spans="4:20" x14ac:dyDescent="0.2">
      <c r="D47" s="330" t="s">
        <v>741</v>
      </c>
      <c r="E47" s="330" t="s">
        <v>894</v>
      </c>
      <c r="I47" s="330" t="s">
        <v>593</v>
      </c>
      <c r="J47" s="345" t="s">
        <v>234</v>
      </c>
      <c r="K47" s="330" t="s">
        <v>1377</v>
      </c>
    </row>
    <row r="48" spans="4:20" x14ac:dyDescent="0.2">
      <c r="D48" s="330" t="s">
        <v>1017</v>
      </c>
      <c r="E48" s="330" t="s">
        <v>895</v>
      </c>
      <c r="I48" s="330" t="s">
        <v>595</v>
      </c>
      <c r="J48" s="345" t="s">
        <v>254</v>
      </c>
      <c r="K48" s="330" t="s">
        <v>594</v>
      </c>
    </row>
    <row r="49" spans="4:11" x14ac:dyDescent="0.2">
      <c r="D49" s="330" t="s">
        <v>1018</v>
      </c>
      <c r="E49" s="330" t="s">
        <v>896</v>
      </c>
      <c r="I49" s="330" t="s">
        <v>597</v>
      </c>
      <c r="J49" s="345" t="s">
        <v>696</v>
      </c>
      <c r="K49" s="330" t="s">
        <v>596</v>
      </c>
    </row>
    <row r="50" spans="4:11" x14ac:dyDescent="0.2">
      <c r="D50" s="330" t="s">
        <v>1019</v>
      </c>
      <c r="E50" s="330" t="s">
        <v>897</v>
      </c>
      <c r="I50" s="330" t="s">
        <v>599</v>
      </c>
      <c r="J50" s="330" t="s">
        <v>483</v>
      </c>
      <c r="K50" s="330" t="s">
        <v>598</v>
      </c>
    </row>
    <row r="51" spans="4:11" x14ac:dyDescent="0.2">
      <c r="D51" s="330" t="s">
        <v>747</v>
      </c>
      <c r="E51" s="330" t="s">
        <v>898</v>
      </c>
      <c r="I51" s="330" t="s">
        <v>600</v>
      </c>
      <c r="J51" s="330" t="s">
        <v>484</v>
      </c>
      <c r="K51" s="330" t="s">
        <v>1378</v>
      </c>
    </row>
    <row r="52" spans="4:11" x14ac:dyDescent="0.2">
      <c r="D52" s="330" t="s">
        <v>1020</v>
      </c>
      <c r="E52" s="330" t="s">
        <v>899</v>
      </c>
      <c r="I52" s="330" t="s">
        <v>602</v>
      </c>
      <c r="J52" s="330" t="s">
        <v>485</v>
      </c>
      <c r="K52" s="330" t="s">
        <v>601</v>
      </c>
    </row>
    <row r="53" spans="4:11" x14ac:dyDescent="0.2">
      <c r="D53" s="330" t="s">
        <v>1021</v>
      </c>
      <c r="E53" s="330" t="s">
        <v>900</v>
      </c>
      <c r="I53" s="330" t="s">
        <v>604</v>
      </c>
      <c r="J53" s="330" t="s">
        <v>486</v>
      </c>
      <c r="K53" s="330" t="s">
        <v>603</v>
      </c>
    </row>
    <row r="54" spans="4:11" x14ac:dyDescent="0.2">
      <c r="D54" s="330" t="s">
        <v>1022</v>
      </c>
      <c r="E54" s="330" t="s">
        <v>901</v>
      </c>
      <c r="I54" s="330" t="s">
        <v>606</v>
      </c>
      <c r="J54" s="330" t="s">
        <v>487</v>
      </c>
      <c r="K54" s="330" t="s">
        <v>605</v>
      </c>
    </row>
    <row r="55" spans="4:11" x14ac:dyDescent="0.2">
      <c r="D55" s="330" t="s">
        <v>748</v>
      </c>
      <c r="E55" s="330" t="s">
        <v>881</v>
      </c>
      <c r="I55" s="330" t="s">
        <v>608</v>
      </c>
      <c r="K55" s="330" t="s">
        <v>607</v>
      </c>
    </row>
    <row r="56" spans="4:11" x14ac:dyDescent="0.2">
      <c r="D56" s="330" t="s">
        <v>743</v>
      </c>
      <c r="E56" s="330" t="s">
        <v>902</v>
      </c>
      <c r="I56" s="330" t="s">
        <v>610</v>
      </c>
      <c r="K56" s="330" t="s">
        <v>609</v>
      </c>
    </row>
    <row r="57" spans="4:11" x14ac:dyDescent="0.2">
      <c r="D57" s="330" t="s">
        <v>681</v>
      </c>
      <c r="E57" s="330" t="s">
        <v>882</v>
      </c>
      <c r="I57" s="330" t="s">
        <v>612</v>
      </c>
      <c r="K57" s="330" t="s">
        <v>611</v>
      </c>
    </row>
    <row r="58" spans="4:11" x14ac:dyDescent="0.2">
      <c r="D58" s="330" t="s">
        <v>749</v>
      </c>
      <c r="E58" s="330" t="s">
        <v>903</v>
      </c>
      <c r="I58" s="330" t="s">
        <v>614</v>
      </c>
      <c r="K58" s="330" t="s">
        <v>613</v>
      </c>
    </row>
    <row r="59" spans="4:11" x14ac:dyDescent="0.2">
      <c r="D59" s="330" t="s">
        <v>1023</v>
      </c>
      <c r="E59" s="330" t="s">
        <v>904</v>
      </c>
      <c r="I59" s="330" t="s">
        <v>616</v>
      </c>
      <c r="K59" s="330" t="s">
        <v>615</v>
      </c>
    </row>
    <row r="60" spans="4:11" x14ac:dyDescent="0.2">
      <c r="D60" s="330" t="s">
        <v>1024</v>
      </c>
      <c r="E60" s="330" t="s">
        <v>883</v>
      </c>
      <c r="I60" s="330" t="s">
        <v>618</v>
      </c>
      <c r="K60" s="330" t="s">
        <v>617</v>
      </c>
    </row>
    <row r="61" spans="4:11" x14ac:dyDescent="0.2">
      <c r="D61" s="330" t="s">
        <v>1025</v>
      </c>
      <c r="E61" s="330" t="s">
        <v>905</v>
      </c>
      <c r="I61" s="330" t="s">
        <v>620</v>
      </c>
      <c r="K61" s="330" t="s">
        <v>619</v>
      </c>
    </row>
    <row r="62" spans="4:11" x14ac:dyDescent="0.2">
      <c r="D62" s="330" t="s">
        <v>1026</v>
      </c>
      <c r="E62" s="330" t="s">
        <v>906</v>
      </c>
      <c r="I62" s="330" t="s">
        <v>622</v>
      </c>
      <c r="K62" s="330" t="s">
        <v>621</v>
      </c>
    </row>
    <row r="63" spans="4:11" x14ac:dyDescent="0.2">
      <c r="D63" s="330" t="s">
        <v>750</v>
      </c>
      <c r="E63" s="330" t="s">
        <v>907</v>
      </c>
      <c r="I63" s="330" t="s">
        <v>624</v>
      </c>
      <c r="K63" s="330" t="s">
        <v>623</v>
      </c>
    </row>
    <row r="64" spans="4:11" x14ac:dyDescent="0.2">
      <c r="D64" s="440" t="s">
        <v>698</v>
      </c>
      <c r="E64" s="330" t="s">
        <v>908</v>
      </c>
      <c r="I64" s="330" t="s">
        <v>626</v>
      </c>
      <c r="K64" s="330" t="s">
        <v>625</v>
      </c>
    </row>
    <row r="65" spans="4:11" x14ac:dyDescent="0.2">
      <c r="D65" s="440" t="s">
        <v>742</v>
      </c>
      <c r="E65" s="330" t="s">
        <v>909</v>
      </c>
      <c r="I65" s="330" t="s">
        <v>628</v>
      </c>
      <c r="K65" s="330" t="s">
        <v>627</v>
      </c>
    </row>
    <row r="66" spans="4:11" x14ac:dyDescent="0.2">
      <c r="D66" s="330" t="s">
        <v>1027</v>
      </c>
      <c r="E66" s="330" t="s">
        <v>910</v>
      </c>
      <c r="I66" s="330" t="s">
        <v>630</v>
      </c>
      <c r="K66" s="330" t="s">
        <v>629</v>
      </c>
    </row>
    <row r="67" spans="4:11" x14ac:dyDescent="0.2">
      <c r="D67" s="330" t="s">
        <v>1028</v>
      </c>
      <c r="E67" s="330" t="s">
        <v>911</v>
      </c>
      <c r="I67" s="330" t="s">
        <v>235</v>
      </c>
      <c r="K67" s="330" t="s">
        <v>631</v>
      </c>
    </row>
    <row r="68" spans="4:11" x14ac:dyDescent="0.2">
      <c r="D68" s="330" t="s">
        <v>751</v>
      </c>
      <c r="E68" s="330" t="s">
        <v>912</v>
      </c>
      <c r="I68" s="330" t="s">
        <v>236</v>
      </c>
      <c r="K68" s="330" t="s">
        <v>632</v>
      </c>
    </row>
    <row r="69" spans="4:11" x14ac:dyDescent="0.2">
      <c r="D69" s="330" t="s">
        <v>752</v>
      </c>
      <c r="E69" s="330" t="s">
        <v>913</v>
      </c>
      <c r="I69" s="330" t="s">
        <v>634</v>
      </c>
      <c r="K69" s="330" t="s">
        <v>633</v>
      </c>
    </row>
    <row r="70" spans="4:11" x14ac:dyDescent="0.2">
      <c r="D70" s="330" t="s">
        <v>753</v>
      </c>
      <c r="E70" s="330" t="s">
        <v>914</v>
      </c>
      <c r="I70" s="330" t="s">
        <v>488</v>
      </c>
      <c r="K70" s="330" t="s">
        <v>635</v>
      </c>
    </row>
    <row r="71" spans="4:11" x14ac:dyDescent="0.2">
      <c r="D71" s="330" t="s">
        <v>754</v>
      </c>
      <c r="E71" s="330" t="s">
        <v>915</v>
      </c>
      <c r="I71" s="330" t="s">
        <v>489</v>
      </c>
      <c r="K71" s="330" t="s">
        <v>637</v>
      </c>
    </row>
    <row r="72" spans="4:11" x14ac:dyDescent="0.2">
      <c r="D72" s="330" t="s">
        <v>755</v>
      </c>
      <c r="E72" s="330" t="s">
        <v>916</v>
      </c>
      <c r="I72" s="330" t="s">
        <v>490</v>
      </c>
      <c r="K72" s="330" t="s">
        <v>639</v>
      </c>
    </row>
    <row r="73" spans="4:11" x14ac:dyDescent="0.2">
      <c r="D73" s="330" t="s">
        <v>831</v>
      </c>
      <c r="E73" s="330" t="s">
        <v>917</v>
      </c>
      <c r="I73" s="330" t="s">
        <v>255</v>
      </c>
      <c r="K73" s="330" t="s">
        <v>641</v>
      </c>
    </row>
    <row r="74" spans="4:11" x14ac:dyDescent="0.2">
      <c r="D74" s="330" t="s">
        <v>832</v>
      </c>
      <c r="E74" s="330" t="s">
        <v>918</v>
      </c>
      <c r="I74" s="330" t="s">
        <v>256</v>
      </c>
      <c r="K74" s="330" t="s">
        <v>643</v>
      </c>
    </row>
    <row r="75" spans="4:11" x14ac:dyDescent="0.2">
      <c r="D75" s="330" t="s">
        <v>833</v>
      </c>
      <c r="E75" s="330" t="s">
        <v>919</v>
      </c>
      <c r="I75" s="330" t="s">
        <v>257</v>
      </c>
      <c r="K75" s="330" t="s">
        <v>645</v>
      </c>
    </row>
    <row r="76" spans="4:11" x14ac:dyDescent="0.2">
      <c r="D76" s="330" t="s">
        <v>834</v>
      </c>
      <c r="E76" s="330" t="s">
        <v>920</v>
      </c>
      <c r="I76" s="330" t="s">
        <v>237</v>
      </c>
      <c r="K76" s="330" t="s">
        <v>647</v>
      </c>
    </row>
    <row r="77" spans="4:11" x14ac:dyDescent="0.2">
      <c r="D77" s="330" t="s">
        <v>835</v>
      </c>
      <c r="E77" s="330" t="s">
        <v>921</v>
      </c>
      <c r="I77" s="330" t="s">
        <v>238</v>
      </c>
      <c r="K77" s="330" t="s">
        <v>650</v>
      </c>
    </row>
    <row r="78" spans="4:11" x14ac:dyDescent="0.2">
      <c r="D78" s="330" t="s">
        <v>836</v>
      </c>
      <c r="E78" s="330" t="s">
        <v>922</v>
      </c>
      <c r="I78" s="330" t="s">
        <v>258</v>
      </c>
      <c r="K78" s="330" t="s">
        <v>652</v>
      </c>
    </row>
    <row r="79" spans="4:11" x14ac:dyDescent="0.2">
      <c r="D79" s="330" t="s">
        <v>837</v>
      </c>
      <c r="E79" s="330" t="s">
        <v>923</v>
      </c>
      <c r="I79" s="330" t="s">
        <v>636</v>
      </c>
      <c r="K79" s="330" t="s">
        <v>654</v>
      </c>
    </row>
    <row r="80" spans="4:11" x14ac:dyDescent="0.2">
      <c r="D80" s="330" t="s">
        <v>838</v>
      </c>
      <c r="E80" s="330" t="s">
        <v>924</v>
      </c>
      <c r="I80" s="330" t="s">
        <v>638</v>
      </c>
      <c r="K80" s="330" t="s">
        <v>655</v>
      </c>
    </row>
    <row r="81" spans="4:11" x14ac:dyDescent="0.2">
      <c r="D81" s="330" t="s">
        <v>839</v>
      </c>
      <c r="E81" s="330" t="s">
        <v>1461</v>
      </c>
      <c r="I81" s="330" t="s">
        <v>640</v>
      </c>
      <c r="K81" s="330" t="s">
        <v>656</v>
      </c>
    </row>
    <row r="82" spans="4:11" x14ac:dyDescent="0.2">
      <c r="D82" s="330" t="s">
        <v>840</v>
      </c>
      <c r="E82" s="330" t="s">
        <v>925</v>
      </c>
      <c r="I82" s="330" t="s">
        <v>642</v>
      </c>
      <c r="K82" s="330" t="s">
        <v>657</v>
      </c>
    </row>
    <row r="83" spans="4:11" x14ac:dyDescent="0.2">
      <c r="D83" s="330" t="s">
        <v>841</v>
      </c>
      <c r="E83" s="330" t="s">
        <v>926</v>
      </c>
      <c r="I83" s="330" t="s">
        <v>644</v>
      </c>
      <c r="K83" s="441" t="s">
        <v>1379</v>
      </c>
    </row>
    <row r="84" spans="4:11" x14ac:dyDescent="0.2">
      <c r="D84" s="330" t="s">
        <v>842</v>
      </c>
      <c r="E84" s="330" t="s">
        <v>927</v>
      </c>
      <c r="I84" s="330" t="s">
        <v>646</v>
      </c>
      <c r="K84" s="441" t="s">
        <v>1380</v>
      </c>
    </row>
    <row r="85" spans="4:11" x14ac:dyDescent="0.2">
      <c r="D85" s="330" t="s">
        <v>843</v>
      </c>
      <c r="E85" s="330" t="s">
        <v>928</v>
      </c>
      <c r="I85" s="330" t="s">
        <v>649</v>
      </c>
      <c r="K85" s="441" t="s">
        <v>1381</v>
      </c>
    </row>
    <row r="86" spans="4:11" x14ac:dyDescent="0.2">
      <c r="D86" s="330" t="s">
        <v>844</v>
      </c>
      <c r="E86" s="330" t="s">
        <v>929</v>
      </c>
      <c r="I86" s="330" t="s">
        <v>651</v>
      </c>
      <c r="K86" s="441" t="s">
        <v>1382</v>
      </c>
    </row>
    <row r="87" spans="4:11" x14ac:dyDescent="0.2">
      <c r="D87" s="330" t="s">
        <v>756</v>
      </c>
      <c r="E87" s="330" t="s">
        <v>930</v>
      </c>
      <c r="I87" s="330" t="s">
        <v>653</v>
      </c>
      <c r="K87" s="441" t="s">
        <v>1383</v>
      </c>
    </row>
    <row r="88" spans="4:11" x14ac:dyDescent="0.2">
      <c r="D88" s="330" t="s">
        <v>757</v>
      </c>
      <c r="E88" s="330" t="s">
        <v>931</v>
      </c>
      <c r="K88" s="441" t="s">
        <v>1384</v>
      </c>
    </row>
    <row r="89" spans="4:11" x14ac:dyDescent="0.2">
      <c r="D89" s="330" t="s">
        <v>758</v>
      </c>
      <c r="E89" s="330" t="s">
        <v>932</v>
      </c>
      <c r="K89" s="441" t="s">
        <v>1385</v>
      </c>
    </row>
    <row r="90" spans="4:11" x14ac:dyDescent="0.2">
      <c r="D90" s="330" t="s">
        <v>759</v>
      </c>
      <c r="E90" s="330" t="s">
        <v>933</v>
      </c>
    </row>
    <row r="91" spans="4:11" x14ac:dyDescent="0.2">
      <c r="D91" s="330" t="s">
        <v>760</v>
      </c>
      <c r="E91" s="330" t="s">
        <v>934</v>
      </c>
    </row>
    <row r="92" spans="4:11" x14ac:dyDescent="0.2">
      <c r="D92" s="330" t="s">
        <v>761</v>
      </c>
      <c r="E92" s="330" t="s">
        <v>935</v>
      </c>
    </row>
    <row r="93" spans="4:11" x14ac:dyDescent="0.2">
      <c r="D93" s="330" t="s">
        <v>762</v>
      </c>
      <c r="E93" s="330" t="s">
        <v>936</v>
      </c>
    </row>
    <row r="94" spans="4:11" x14ac:dyDescent="0.2">
      <c r="D94" s="330" t="s">
        <v>763</v>
      </c>
      <c r="E94" s="330" t="s">
        <v>937</v>
      </c>
    </row>
    <row r="95" spans="4:11" x14ac:dyDescent="0.2">
      <c r="D95" s="330" t="s">
        <v>764</v>
      </c>
      <c r="E95" s="330" t="s">
        <v>938</v>
      </c>
    </row>
    <row r="96" spans="4:11" x14ac:dyDescent="0.2">
      <c r="D96" s="330" t="s">
        <v>765</v>
      </c>
      <c r="E96" s="330" t="s">
        <v>939</v>
      </c>
    </row>
    <row r="97" spans="4:5" x14ac:dyDescent="0.2">
      <c r="D97" s="330" t="s">
        <v>766</v>
      </c>
      <c r="E97" s="330" t="s">
        <v>940</v>
      </c>
    </row>
    <row r="98" spans="4:5" x14ac:dyDescent="0.2">
      <c r="D98" s="330" t="s">
        <v>767</v>
      </c>
      <c r="E98" s="330" t="s">
        <v>941</v>
      </c>
    </row>
    <row r="99" spans="4:5" x14ac:dyDescent="0.2">
      <c r="D99" s="330" t="s">
        <v>845</v>
      </c>
      <c r="E99" s="330" t="s">
        <v>942</v>
      </c>
    </row>
    <row r="100" spans="4:5" x14ac:dyDescent="0.2">
      <c r="D100" s="330" t="s">
        <v>846</v>
      </c>
      <c r="E100" s="330" t="s">
        <v>943</v>
      </c>
    </row>
    <row r="101" spans="4:5" x14ac:dyDescent="0.2">
      <c r="D101" s="330" t="s">
        <v>847</v>
      </c>
      <c r="E101" s="330" t="s">
        <v>944</v>
      </c>
    </row>
    <row r="102" spans="4:5" x14ac:dyDescent="0.2">
      <c r="D102" s="330" t="s">
        <v>848</v>
      </c>
      <c r="E102" s="330" t="s">
        <v>945</v>
      </c>
    </row>
    <row r="103" spans="4:5" x14ac:dyDescent="0.2">
      <c r="D103" s="330" t="s">
        <v>849</v>
      </c>
      <c r="E103" s="330" t="s">
        <v>946</v>
      </c>
    </row>
    <row r="104" spans="4:5" x14ac:dyDescent="0.2">
      <c r="D104" s="330" t="s">
        <v>850</v>
      </c>
      <c r="E104" s="330" t="s">
        <v>947</v>
      </c>
    </row>
    <row r="105" spans="4:5" x14ac:dyDescent="0.2">
      <c r="D105" s="330" t="s">
        <v>851</v>
      </c>
      <c r="E105" s="330" t="s">
        <v>948</v>
      </c>
    </row>
    <row r="106" spans="4:5" x14ac:dyDescent="0.2">
      <c r="D106" s="330" t="s">
        <v>852</v>
      </c>
      <c r="E106" s="330" t="s">
        <v>992</v>
      </c>
    </row>
    <row r="107" spans="4:5" x14ac:dyDescent="0.2">
      <c r="D107" s="330" t="s">
        <v>853</v>
      </c>
      <c r="E107" s="330" t="s">
        <v>949</v>
      </c>
    </row>
    <row r="108" spans="4:5" x14ac:dyDescent="0.2">
      <c r="D108" s="330" t="s">
        <v>768</v>
      </c>
      <c r="E108" s="330" t="s">
        <v>950</v>
      </c>
    </row>
    <row r="109" spans="4:5" x14ac:dyDescent="0.2">
      <c r="D109" s="330" t="s">
        <v>769</v>
      </c>
      <c r="E109" s="330" t="s">
        <v>951</v>
      </c>
    </row>
    <row r="110" spans="4:5" x14ac:dyDescent="0.2">
      <c r="D110" s="330" t="s">
        <v>770</v>
      </c>
      <c r="E110" s="330" t="s">
        <v>952</v>
      </c>
    </row>
    <row r="111" spans="4:5" x14ac:dyDescent="0.2">
      <c r="D111" s="330" t="s">
        <v>771</v>
      </c>
      <c r="E111" s="330" t="s">
        <v>708</v>
      </c>
    </row>
    <row r="112" spans="4:5" x14ac:dyDescent="0.2">
      <c r="D112" s="330" t="s">
        <v>772</v>
      </c>
      <c r="E112" s="330" t="s">
        <v>697</v>
      </c>
    </row>
    <row r="113" spans="4:4" x14ac:dyDescent="0.2">
      <c r="D113" s="330" t="s">
        <v>773</v>
      </c>
    </row>
    <row r="114" spans="4:4" x14ac:dyDescent="0.2">
      <c r="D114" s="330" t="s">
        <v>774</v>
      </c>
    </row>
    <row r="115" spans="4:4" x14ac:dyDescent="0.2">
      <c r="D115" s="330" t="s">
        <v>775</v>
      </c>
    </row>
    <row r="116" spans="4:4" x14ac:dyDescent="0.2">
      <c r="D116" s="330" t="s">
        <v>776</v>
      </c>
    </row>
    <row r="117" spans="4:4" x14ac:dyDescent="0.2">
      <c r="D117" s="330" t="s">
        <v>854</v>
      </c>
    </row>
    <row r="118" spans="4:4" x14ac:dyDescent="0.2">
      <c r="D118" s="330" t="s">
        <v>777</v>
      </c>
    </row>
    <row r="119" spans="4:4" x14ac:dyDescent="0.2">
      <c r="D119" s="330" t="s">
        <v>855</v>
      </c>
    </row>
    <row r="120" spans="4:4" x14ac:dyDescent="0.2">
      <c r="D120" s="330" t="s">
        <v>856</v>
      </c>
    </row>
    <row r="121" spans="4:4" x14ac:dyDescent="0.2">
      <c r="D121" s="330" t="s">
        <v>857</v>
      </c>
    </row>
    <row r="122" spans="4:4" x14ac:dyDescent="0.2">
      <c r="D122" s="330" t="s">
        <v>858</v>
      </c>
    </row>
    <row r="123" spans="4:4" x14ac:dyDescent="0.2">
      <c r="D123" s="330" t="s">
        <v>859</v>
      </c>
    </row>
    <row r="124" spans="4:4" x14ac:dyDescent="0.2">
      <c r="D124" s="330" t="s">
        <v>778</v>
      </c>
    </row>
    <row r="125" spans="4:4" x14ac:dyDescent="0.2">
      <c r="D125" s="330" t="s">
        <v>779</v>
      </c>
    </row>
    <row r="126" spans="4:4" x14ac:dyDescent="0.2">
      <c r="D126" s="330" t="s">
        <v>860</v>
      </c>
    </row>
    <row r="127" spans="4:4" x14ac:dyDescent="0.2">
      <c r="D127" s="330" t="s">
        <v>861</v>
      </c>
    </row>
    <row r="128" spans="4:4" x14ac:dyDescent="0.2">
      <c r="D128" s="330" t="s">
        <v>862</v>
      </c>
    </row>
    <row r="129" spans="4:4" x14ac:dyDescent="0.2">
      <c r="D129" s="330" t="s">
        <v>863</v>
      </c>
    </row>
    <row r="130" spans="4:4" x14ac:dyDescent="0.2">
      <c r="D130" s="330" t="s">
        <v>864</v>
      </c>
    </row>
    <row r="131" spans="4:4" x14ac:dyDescent="0.2">
      <c r="D131" s="330" t="s">
        <v>865</v>
      </c>
    </row>
    <row r="132" spans="4:4" x14ac:dyDescent="0.2">
      <c r="D132" s="330" t="s">
        <v>866</v>
      </c>
    </row>
    <row r="133" spans="4:4" x14ac:dyDescent="0.2">
      <c r="D133" s="330" t="s">
        <v>867</v>
      </c>
    </row>
    <row r="134" spans="4:4" x14ac:dyDescent="0.2">
      <c r="D134" s="330" t="s">
        <v>868</v>
      </c>
    </row>
    <row r="135" spans="4:4" x14ac:dyDescent="0.2">
      <c r="D135" s="330" t="s">
        <v>780</v>
      </c>
    </row>
    <row r="136" spans="4:4" x14ac:dyDescent="0.2">
      <c r="D136" s="330" t="s">
        <v>781</v>
      </c>
    </row>
    <row r="137" spans="4:4" x14ac:dyDescent="0.2">
      <c r="D137" s="330" t="s">
        <v>782</v>
      </c>
    </row>
    <row r="138" spans="4:4" x14ac:dyDescent="0.2">
      <c r="D138" s="330" t="s">
        <v>783</v>
      </c>
    </row>
    <row r="139" spans="4:4" x14ac:dyDescent="0.2">
      <c r="D139" s="330" t="s">
        <v>784</v>
      </c>
    </row>
    <row r="140" spans="4:4" x14ac:dyDescent="0.2">
      <c r="D140" s="330" t="s">
        <v>785</v>
      </c>
    </row>
    <row r="141" spans="4:4" x14ac:dyDescent="0.2">
      <c r="D141" s="330" t="s">
        <v>786</v>
      </c>
    </row>
    <row r="142" spans="4:4" x14ac:dyDescent="0.2">
      <c r="D142" s="330" t="s">
        <v>787</v>
      </c>
    </row>
    <row r="143" spans="4:4" x14ac:dyDescent="0.2">
      <c r="D143" s="330" t="s">
        <v>788</v>
      </c>
    </row>
    <row r="144" spans="4:4" x14ac:dyDescent="0.2">
      <c r="D144" s="330" t="s">
        <v>869</v>
      </c>
    </row>
    <row r="145" spans="4:4" x14ac:dyDescent="0.2">
      <c r="D145" s="330" t="s">
        <v>789</v>
      </c>
    </row>
    <row r="146" spans="4:4" x14ac:dyDescent="0.2">
      <c r="D146" s="330" t="s">
        <v>870</v>
      </c>
    </row>
    <row r="147" spans="4:4" x14ac:dyDescent="0.2">
      <c r="D147" s="330" t="s">
        <v>871</v>
      </c>
    </row>
    <row r="148" spans="4:4" x14ac:dyDescent="0.2">
      <c r="D148" s="330" t="s">
        <v>872</v>
      </c>
    </row>
    <row r="149" spans="4:4" x14ac:dyDescent="0.2">
      <c r="D149" s="330" t="s">
        <v>873</v>
      </c>
    </row>
    <row r="150" spans="4:4" x14ac:dyDescent="0.2">
      <c r="D150" s="330" t="s">
        <v>874</v>
      </c>
    </row>
    <row r="151" spans="4:4" x14ac:dyDescent="0.2">
      <c r="D151" s="330" t="s">
        <v>790</v>
      </c>
    </row>
    <row r="152" spans="4:4" x14ac:dyDescent="0.2">
      <c r="D152" s="330" t="s">
        <v>791</v>
      </c>
    </row>
    <row r="153" spans="4:4" x14ac:dyDescent="0.2">
      <c r="D153" s="330" t="s">
        <v>875</v>
      </c>
    </row>
    <row r="154" spans="4:4" x14ac:dyDescent="0.2">
      <c r="D154" s="330" t="s">
        <v>1330</v>
      </c>
    </row>
    <row r="155" spans="4:4" x14ac:dyDescent="0.2">
      <c r="D155" s="330" t="s">
        <v>1331</v>
      </c>
    </row>
    <row r="156" spans="4:4" x14ac:dyDescent="0.2">
      <c r="D156" s="330" t="s">
        <v>1332</v>
      </c>
    </row>
    <row r="157" spans="4:4" x14ac:dyDescent="0.2">
      <c r="D157" s="330" t="s">
        <v>1333</v>
      </c>
    </row>
    <row r="158" spans="4:4" x14ac:dyDescent="0.2">
      <c r="D158" s="330" t="s">
        <v>1334</v>
      </c>
    </row>
    <row r="159" spans="4:4" x14ac:dyDescent="0.2">
      <c r="D159" s="330" t="s">
        <v>1335</v>
      </c>
    </row>
    <row r="160" spans="4:4" x14ac:dyDescent="0.2">
      <c r="D160" s="330" t="s">
        <v>1336</v>
      </c>
    </row>
    <row r="161" spans="4:4" x14ac:dyDescent="0.2">
      <c r="D161" s="330" t="s">
        <v>1337</v>
      </c>
    </row>
    <row r="162" spans="4:4" x14ac:dyDescent="0.2">
      <c r="D162" s="330" t="s">
        <v>1338</v>
      </c>
    </row>
    <row r="163" spans="4:4" x14ac:dyDescent="0.2">
      <c r="D163" s="330" t="s">
        <v>1339</v>
      </c>
    </row>
    <row r="164" spans="4:4" x14ac:dyDescent="0.2">
      <c r="D164" s="330" t="s">
        <v>1340</v>
      </c>
    </row>
    <row r="165" spans="4:4" x14ac:dyDescent="0.2">
      <c r="D165" s="330" t="s">
        <v>1341</v>
      </c>
    </row>
    <row r="166" spans="4:4" x14ac:dyDescent="0.2">
      <c r="D166" s="330" t="s">
        <v>1342</v>
      </c>
    </row>
    <row r="167" spans="4:4" x14ac:dyDescent="0.2">
      <c r="D167" s="330" t="s">
        <v>1343</v>
      </c>
    </row>
    <row r="168" spans="4:4" x14ac:dyDescent="0.2">
      <c r="D168" s="330" t="s">
        <v>1344</v>
      </c>
    </row>
    <row r="169" spans="4:4" x14ac:dyDescent="0.2">
      <c r="D169" s="330" t="s">
        <v>1345</v>
      </c>
    </row>
    <row r="170" spans="4:4" x14ac:dyDescent="0.2">
      <c r="D170" s="330" t="s">
        <v>1346</v>
      </c>
    </row>
    <row r="171" spans="4:4" x14ac:dyDescent="0.2">
      <c r="D171" s="330" t="s">
        <v>1347</v>
      </c>
    </row>
    <row r="172" spans="4:4" x14ac:dyDescent="0.2">
      <c r="D172" s="330" t="s">
        <v>1348</v>
      </c>
    </row>
    <row r="173" spans="4:4" x14ac:dyDescent="0.2">
      <c r="D173" s="330" t="s">
        <v>1349</v>
      </c>
    </row>
    <row r="174" spans="4:4" x14ac:dyDescent="0.2">
      <c r="D174" s="330" t="s">
        <v>1350</v>
      </c>
    </row>
    <row r="175" spans="4:4" x14ac:dyDescent="0.2">
      <c r="D175" s="330" t="s">
        <v>1351</v>
      </c>
    </row>
    <row r="176" spans="4:4" x14ac:dyDescent="0.2">
      <c r="D176" s="330" t="s">
        <v>1352</v>
      </c>
    </row>
    <row r="177" spans="4:4" x14ac:dyDescent="0.2">
      <c r="D177" s="330" t="s">
        <v>1353</v>
      </c>
    </row>
    <row r="178" spans="4:4" x14ac:dyDescent="0.2">
      <c r="D178" s="330" t="s">
        <v>1354</v>
      </c>
    </row>
    <row r="179" spans="4:4" x14ac:dyDescent="0.2">
      <c r="D179" s="330" t="s">
        <v>1355</v>
      </c>
    </row>
    <row r="180" spans="4:4" x14ac:dyDescent="0.2">
      <c r="D180" s="330" t="s">
        <v>1356</v>
      </c>
    </row>
    <row r="181" spans="4:4" x14ac:dyDescent="0.2">
      <c r="D181" s="330" t="s">
        <v>720</v>
      </c>
    </row>
    <row r="182" spans="4:4" x14ac:dyDescent="0.2">
      <c r="D182" s="330" t="s">
        <v>721</v>
      </c>
    </row>
    <row r="183" spans="4:4" x14ac:dyDescent="0.2">
      <c r="D183" s="330" t="s">
        <v>722</v>
      </c>
    </row>
    <row r="184" spans="4:4" x14ac:dyDescent="0.2">
      <c r="D184" s="330" t="s">
        <v>723</v>
      </c>
    </row>
    <row r="185" spans="4:4" x14ac:dyDescent="0.2">
      <c r="D185" s="330" t="s">
        <v>724</v>
      </c>
    </row>
    <row r="186" spans="4:4" x14ac:dyDescent="0.2">
      <c r="D186" s="330" t="s">
        <v>876</v>
      </c>
    </row>
    <row r="187" spans="4:4" x14ac:dyDescent="0.2">
      <c r="D187" s="330" t="s">
        <v>725</v>
      </c>
    </row>
    <row r="188" spans="4:4" x14ac:dyDescent="0.2">
      <c r="D188" s="330" t="s">
        <v>699</v>
      </c>
    </row>
    <row r="189" spans="4:4" x14ac:dyDescent="0.2">
      <c r="D189" s="330" t="s">
        <v>700</v>
      </c>
    </row>
    <row r="190" spans="4:4" x14ac:dyDescent="0.2">
      <c r="D190" s="330" t="s">
        <v>701</v>
      </c>
    </row>
    <row r="191" spans="4:4" x14ac:dyDescent="0.2">
      <c r="D191" s="330" t="s">
        <v>702</v>
      </c>
    </row>
    <row r="192" spans="4:4" x14ac:dyDescent="0.2">
      <c r="D192" s="330" t="s">
        <v>877</v>
      </c>
    </row>
    <row r="193" spans="4:4" x14ac:dyDescent="0.2">
      <c r="D193" s="330" t="s">
        <v>792</v>
      </c>
    </row>
    <row r="194" spans="4:4" x14ac:dyDescent="0.2">
      <c r="D194" s="330" t="s">
        <v>793</v>
      </c>
    </row>
    <row r="195" spans="4:4" x14ac:dyDescent="0.2">
      <c r="D195" s="330" t="s">
        <v>794</v>
      </c>
    </row>
    <row r="196" spans="4:4" x14ac:dyDescent="0.2">
      <c r="D196" s="330" t="s">
        <v>795</v>
      </c>
    </row>
    <row r="197" spans="4:4" x14ac:dyDescent="0.2">
      <c r="D197" s="330" t="s">
        <v>796</v>
      </c>
    </row>
    <row r="198" spans="4:4" x14ac:dyDescent="0.2">
      <c r="D198" s="330" t="s">
        <v>797</v>
      </c>
    </row>
    <row r="199" spans="4:4" x14ac:dyDescent="0.2">
      <c r="D199" s="330" t="s">
        <v>798</v>
      </c>
    </row>
    <row r="200" spans="4:4" x14ac:dyDescent="0.2">
      <c r="D200" s="330" t="s">
        <v>799</v>
      </c>
    </row>
    <row r="201" spans="4:4" x14ac:dyDescent="0.2">
      <c r="D201" s="330" t="s">
        <v>800</v>
      </c>
    </row>
    <row r="202" spans="4:4" x14ac:dyDescent="0.2">
      <c r="D202" s="330" t="s">
        <v>801</v>
      </c>
    </row>
    <row r="203" spans="4:4" x14ac:dyDescent="0.2">
      <c r="D203" s="330" t="s">
        <v>802</v>
      </c>
    </row>
    <row r="204" spans="4:4" x14ac:dyDescent="0.2">
      <c r="D204" s="330" t="s">
        <v>803</v>
      </c>
    </row>
    <row r="205" spans="4:4" x14ac:dyDescent="0.2">
      <c r="D205" s="330" t="s">
        <v>804</v>
      </c>
    </row>
    <row r="206" spans="4:4" x14ac:dyDescent="0.2">
      <c r="D206" s="330" t="s">
        <v>805</v>
      </c>
    </row>
    <row r="207" spans="4:4" x14ac:dyDescent="0.2">
      <c r="D207" s="330" t="s">
        <v>806</v>
      </c>
    </row>
    <row r="208" spans="4:4" x14ac:dyDescent="0.2">
      <c r="D208" s="330" t="s">
        <v>807</v>
      </c>
    </row>
    <row r="209" spans="4:4" x14ac:dyDescent="0.2">
      <c r="D209" s="330" t="s">
        <v>808</v>
      </c>
    </row>
    <row r="210" spans="4:4" x14ac:dyDescent="0.2">
      <c r="D210" s="330" t="s">
        <v>809</v>
      </c>
    </row>
    <row r="211" spans="4:4" x14ac:dyDescent="0.2">
      <c r="D211" s="330" t="s">
        <v>810</v>
      </c>
    </row>
    <row r="212" spans="4:4" x14ac:dyDescent="0.2">
      <c r="D212" s="330" t="s">
        <v>811</v>
      </c>
    </row>
    <row r="213" spans="4:4" x14ac:dyDescent="0.2">
      <c r="D213" s="330" t="s">
        <v>812</v>
      </c>
    </row>
    <row r="214" spans="4:4" x14ac:dyDescent="0.2">
      <c r="D214" s="330" t="s">
        <v>813</v>
      </c>
    </row>
    <row r="215" spans="4:4" x14ac:dyDescent="0.2">
      <c r="D215" s="330" t="s">
        <v>814</v>
      </c>
    </row>
    <row r="216" spans="4:4" x14ac:dyDescent="0.2">
      <c r="D216" s="330" t="s">
        <v>815</v>
      </c>
    </row>
    <row r="217" spans="4:4" x14ac:dyDescent="0.2">
      <c r="D217" s="330" t="s">
        <v>816</v>
      </c>
    </row>
    <row r="218" spans="4:4" x14ac:dyDescent="0.2">
      <c r="D218" s="330" t="s">
        <v>817</v>
      </c>
    </row>
    <row r="219" spans="4:4" x14ac:dyDescent="0.2">
      <c r="D219" s="330" t="s">
        <v>818</v>
      </c>
    </row>
    <row r="220" spans="4:4" x14ac:dyDescent="0.2">
      <c r="D220" s="330" t="s">
        <v>819</v>
      </c>
    </row>
    <row r="221" spans="4:4" x14ac:dyDescent="0.2">
      <c r="D221" s="330" t="s">
        <v>820</v>
      </c>
    </row>
    <row r="222" spans="4:4" x14ac:dyDescent="0.2">
      <c r="D222" s="440" t="s">
        <v>674</v>
      </c>
    </row>
    <row r="223" spans="4:4" x14ac:dyDescent="0.2">
      <c r="D223" s="440" t="s">
        <v>826</v>
      </c>
    </row>
    <row r="224" spans="4:4" x14ac:dyDescent="0.2">
      <c r="D224" s="440" t="s">
        <v>827</v>
      </c>
    </row>
    <row r="225" spans="4:4" x14ac:dyDescent="0.2">
      <c r="D225" s="440" t="s">
        <v>828</v>
      </c>
    </row>
    <row r="226" spans="4:4" x14ac:dyDescent="0.2">
      <c r="D226" s="440" t="s">
        <v>829</v>
      </c>
    </row>
    <row r="227" spans="4:4" x14ac:dyDescent="0.2">
      <c r="D227" s="440" t="s">
        <v>830</v>
      </c>
    </row>
    <row r="228" spans="4:4" x14ac:dyDescent="0.2">
      <c r="D228" s="330" t="s">
        <v>1029</v>
      </c>
    </row>
    <row r="229" spans="4:4" x14ac:dyDescent="0.2">
      <c r="D229" s="330" t="s">
        <v>1030</v>
      </c>
    </row>
    <row r="230" spans="4:4" x14ac:dyDescent="0.2">
      <c r="D230" s="330" t="s">
        <v>821</v>
      </c>
    </row>
    <row r="231" spans="4:4" x14ac:dyDescent="0.2">
      <c r="D231" s="330" t="s">
        <v>1357</v>
      </c>
    </row>
    <row r="232" spans="4:4" x14ac:dyDescent="0.2">
      <c r="D232" s="330" t="s">
        <v>1031</v>
      </c>
    </row>
    <row r="233" spans="4:4" x14ac:dyDescent="0.2">
      <c r="D233" s="330" t="s">
        <v>1358</v>
      </c>
    </row>
    <row r="234" spans="4:4" x14ac:dyDescent="0.2">
      <c r="D234" s="330" t="s">
        <v>1359</v>
      </c>
    </row>
    <row r="235" spans="4:4" x14ac:dyDescent="0.2">
      <c r="D235" s="330" t="s">
        <v>1360</v>
      </c>
    </row>
    <row r="236" spans="4:4" x14ac:dyDescent="0.2">
      <c r="D236" s="330" t="s">
        <v>682</v>
      </c>
    </row>
    <row r="237" spans="4:4" x14ac:dyDescent="0.2">
      <c r="D237" s="330" t="s">
        <v>683</v>
      </c>
    </row>
    <row r="238" spans="4:4" x14ac:dyDescent="0.2">
      <c r="D238" s="330" t="s">
        <v>684</v>
      </c>
    </row>
    <row r="239" spans="4:4" x14ac:dyDescent="0.2">
      <c r="D239" s="330" t="s">
        <v>1032</v>
      </c>
    </row>
    <row r="240" spans="4:4" x14ac:dyDescent="0.2">
      <c r="D240" s="330" t="s">
        <v>726</v>
      </c>
    </row>
    <row r="241" spans="4:4" x14ac:dyDescent="0.2">
      <c r="D241" s="330" t="s">
        <v>727</v>
      </c>
    </row>
    <row r="242" spans="4:4" x14ac:dyDescent="0.2">
      <c r="D242" s="330" t="s">
        <v>728</v>
      </c>
    </row>
    <row r="243" spans="4:4" x14ac:dyDescent="0.2">
      <c r="D243" s="330" t="s">
        <v>729</v>
      </c>
    </row>
    <row r="244" spans="4:4" x14ac:dyDescent="0.2">
      <c r="D244" s="330" t="s">
        <v>730</v>
      </c>
    </row>
    <row r="245" spans="4:4" x14ac:dyDescent="0.2">
      <c r="D245" s="330" t="s">
        <v>731</v>
      </c>
    </row>
    <row r="246" spans="4:4" x14ac:dyDescent="0.2">
      <c r="D246" s="330" t="s">
        <v>1033</v>
      </c>
    </row>
    <row r="247" spans="4:4" x14ac:dyDescent="0.2">
      <c r="D247" s="330" t="s">
        <v>1361</v>
      </c>
    </row>
    <row r="248" spans="4:4" x14ac:dyDescent="0.2">
      <c r="D248" s="330" t="s">
        <v>1362</v>
      </c>
    </row>
    <row r="249" spans="4:4" x14ac:dyDescent="0.2">
      <c r="D249" s="330" t="s">
        <v>703</v>
      </c>
    </row>
    <row r="250" spans="4:4" x14ac:dyDescent="0.2">
      <c r="D250" s="330" t="s">
        <v>685</v>
      </c>
    </row>
    <row r="251" spans="4:4" x14ac:dyDescent="0.2">
      <c r="D251" s="330" t="s">
        <v>686</v>
      </c>
    </row>
    <row r="252" spans="4:4" x14ac:dyDescent="0.2">
      <c r="D252" s="330" t="s">
        <v>687</v>
      </c>
    </row>
    <row r="253" spans="4:4" x14ac:dyDescent="0.2">
      <c r="D253" s="330" t="s">
        <v>732</v>
      </c>
    </row>
    <row r="254" spans="4:4" x14ac:dyDescent="0.2">
      <c r="D254" s="330" t="s">
        <v>733</v>
      </c>
    </row>
    <row r="255" spans="4:4" x14ac:dyDescent="0.2">
      <c r="D255" s="330" t="s">
        <v>734</v>
      </c>
    </row>
    <row r="256" spans="4:4" x14ac:dyDescent="0.2">
      <c r="D256" s="330" t="s">
        <v>735</v>
      </c>
    </row>
    <row r="257" spans="4:4" x14ac:dyDescent="0.2">
      <c r="D257" s="330" t="s">
        <v>1034</v>
      </c>
    </row>
    <row r="258" spans="4:4" x14ac:dyDescent="0.2">
      <c r="D258" s="330" t="s">
        <v>736</v>
      </c>
    </row>
    <row r="259" spans="4:4" x14ac:dyDescent="0.2">
      <c r="D259" s="330" t="s">
        <v>1363</v>
      </c>
    </row>
    <row r="260" spans="4:4" x14ac:dyDescent="0.2">
      <c r="D260" s="330" t="s">
        <v>822</v>
      </c>
    </row>
    <row r="261" spans="4:4" x14ac:dyDescent="0.2">
      <c r="D261" s="330" t="s">
        <v>1364</v>
      </c>
    </row>
    <row r="262" spans="4:4" x14ac:dyDescent="0.2">
      <c r="D262" s="330" t="s">
        <v>823</v>
      </c>
    </row>
    <row r="263" spans="4:4" x14ac:dyDescent="0.2">
      <c r="D263" s="330" t="s">
        <v>1365</v>
      </c>
    </row>
    <row r="264" spans="4:4" x14ac:dyDescent="0.2">
      <c r="D264" s="330" t="s">
        <v>824</v>
      </c>
    </row>
    <row r="265" spans="4:4" x14ac:dyDescent="0.2">
      <c r="D265" s="330" t="s">
        <v>1366</v>
      </c>
    </row>
    <row r="266" spans="4:4" x14ac:dyDescent="0.2">
      <c r="D266" s="330" t="s">
        <v>825</v>
      </c>
    </row>
    <row r="267" spans="4:4" x14ac:dyDescent="0.2">
      <c r="D267" s="330" t="s">
        <v>1367</v>
      </c>
    </row>
    <row r="268" spans="4:4" x14ac:dyDescent="0.2">
      <c r="D268" s="440" t="s">
        <v>688</v>
      </c>
    </row>
    <row r="269" spans="4:4" x14ac:dyDescent="0.2">
      <c r="D269" s="440" t="s">
        <v>689</v>
      </c>
    </row>
    <row r="270" spans="4:4" x14ac:dyDescent="0.2">
      <c r="D270" s="330" t="s">
        <v>1035</v>
      </c>
    </row>
    <row r="271" spans="4:4" x14ac:dyDescent="0.2">
      <c r="D271" s="330" t="s">
        <v>737</v>
      </c>
    </row>
    <row r="272" spans="4:4" x14ac:dyDescent="0.2">
      <c r="D272" s="330" t="s">
        <v>738</v>
      </c>
    </row>
    <row r="273" spans="4:4" x14ac:dyDescent="0.2">
      <c r="D273" s="330" t="s">
        <v>739</v>
      </c>
    </row>
    <row r="274" spans="4:4" x14ac:dyDescent="0.2">
      <c r="D274" s="330" t="s">
        <v>1036</v>
      </c>
    </row>
    <row r="275" spans="4:4" x14ac:dyDescent="0.2">
      <c r="D275" s="440" t="s">
        <v>690</v>
      </c>
    </row>
    <row r="276" spans="4:4" x14ac:dyDescent="0.2">
      <c r="D276" s="440" t="s">
        <v>691</v>
      </c>
    </row>
    <row r="277" spans="4:4" x14ac:dyDescent="0.2">
      <c r="D277" s="440" t="s">
        <v>692</v>
      </c>
    </row>
    <row r="278" spans="4:4" x14ac:dyDescent="0.2">
      <c r="D278" s="440" t="s">
        <v>693</v>
      </c>
    </row>
    <row r="279" spans="4:4" x14ac:dyDescent="0.2">
      <c r="D279" s="330" t="s">
        <v>740</v>
      </c>
    </row>
    <row r="280" spans="4:4" x14ac:dyDescent="0.2">
      <c r="D280" s="330" t="s">
        <v>1037</v>
      </c>
    </row>
    <row r="281" spans="4:4" x14ac:dyDescent="0.2">
      <c r="D281" s="330" t="s">
        <v>1111</v>
      </c>
    </row>
    <row r="282" spans="4:4" x14ac:dyDescent="0.2">
      <c r="D282" s="330" t="s">
        <v>1368</v>
      </c>
    </row>
    <row r="283" spans="4:4" x14ac:dyDescent="0.2">
      <c r="D283" s="330" t="s">
        <v>1112</v>
      </c>
    </row>
    <row r="284" spans="4:4" x14ac:dyDescent="0.2">
      <c r="D284" s="330" t="s">
        <v>1369</v>
      </c>
    </row>
    <row r="285" spans="4:4" x14ac:dyDescent="0.2">
      <c r="D285" s="330" t="s">
        <v>1370</v>
      </c>
    </row>
    <row r="286" spans="4:4" x14ac:dyDescent="0.2">
      <c r="D286" s="330" t="s">
        <v>1371</v>
      </c>
    </row>
    <row r="287" spans="4:4" x14ac:dyDescent="0.2">
      <c r="D287" s="440" t="s">
        <v>694</v>
      </c>
    </row>
    <row r="288" spans="4:4" x14ac:dyDescent="0.2">
      <c r="D288" s="440" t="s">
        <v>695</v>
      </c>
    </row>
  </sheetData>
  <customSheetViews>
    <customSheetView guid="{E144E3A1-E29C-410D-8925-3F260910373E}" showRuler="0" topLeftCell="G202">
      <selection activeCell="J24" sqref="J24"/>
      <pageMargins left="0.75" right="0.75" top="1" bottom="1" header="0.51200000000000001" footer="0.51200000000000001"/>
      <headerFooter alignWithMargins="0"/>
    </customSheetView>
  </customSheetViews>
  <phoneticPr fontId="9"/>
  <pageMargins left="0" right="0" top="0.39370078740157483" bottom="0.39370078740157483" header="0.19685039370078741" footer="0.19685039370078741"/>
  <pageSetup paperSize="8" scale="47" orientation="landscape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AT46"/>
  <sheetViews>
    <sheetView workbookViewId="0">
      <selection activeCell="D47" sqref="D47"/>
    </sheetView>
  </sheetViews>
  <sheetFormatPr defaultColWidth="9" defaultRowHeight="10.8" x14ac:dyDescent="0.2"/>
  <cols>
    <col min="1" max="1" width="21.21875" style="3" bestFit="1" customWidth="1"/>
    <col min="2" max="2" width="1.88671875" style="3" customWidth="1"/>
    <col min="3" max="3" width="21.21875" style="3" bestFit="1" customWidth="1"/>
    <col min="4" max="4" width="1.88671875" style="3" customWidth="1"/>
    <col min="5" max="5" width="12.6640625" style="3" bestFit="1" customWidth="1"/>
    <col min="6" max="6" width="1.88671875" style="3" customWidth="1"/>
    <col min="7" max="7" width="12.6640625" style="3" customWidth="1"/>
    <col min="8" max="8" width="1.88671875" style="3" customWidth="1"/>
    <col min="9" max="9" width="17.33203125" style="3" bestFit="1" customWidth="1"/>
    <col min="10" max="10" width="1.88671875" style="3" customWidth="1"/>
    <col min="11" max="11" width="12.6640625" style="3" customWidth="1"/>
    <col min="12" max="12" width="1.88671875" style="3" customWidth="1"/>
    <col min="13" max="13" width="12.6640625" style="3" customWidth="1"/>
    <col min="14" max="14" width="1.88671875" style="3" customWidth="1"/>
    <col min="15" max="15" width="3.109375" style="3" customWidth="1"/>
    <col min="16" max="16" width="8.44140625" style="3" customWidth="1"/>
    <col min="17" max="18" width="3.109375" style="3" customWidth="1"/>
    <col min="19" max="19" width="9" style="3"/>
    <col min="20" max="20" width="3.109375" style="3" customWidth="1"/>
    <col min="21" max="21" width="3.77734375" style="3" customWidth="1"/>
    <col min="22" max="22" width="7.44140625" style="3" bestFit="1" customWidth="1"/>
    <col min="23" max="24" width="2.21875" style="3" customWidth="1"/>
    <col min="25" max="25" width="4.6640625" style="3" customWidth="1"/>
    <col min="26" max="26" width="3" style="3" customWidth="1"/>
    <col min="27" max="27" width="3.44140625" style="3" customWidth="1"/>
    <col min="28" max="28" width="11.77734375" style="3" customWidth="1"/>
    <col min="29" max="29" width="1.44140625" style="3" customWidth="1"/>
    <col min="30" max="30" width="3.33203125" style="3" customWidth="1"/>
    <col min="31" max="31" width="9" style="3"/>
    <col min="32" max="32" width="2" style="3" customWidth="1"/>
    <col min="33" max="33" width="2.21875" style="3" bestFit="1" customWidth="1"/>
    <col min="34" max="34" width="9" style="3"/>
    <col min="35" max="35" width="1.33203125" style="3" customWidth="1"/>
    <col min="36" max="36" width="2.6640625" style="3" customWidth="1"/>
    <col min="37" max="37" width="9" style="3"/>
    <col min="38" max="38" width="2.6640625" style="3" customWidth="1"/>
    <col min="39" max="39" width="3.44140625" style="3" customWidth="1"/>
    <col min="40" max="40" width="9" style="3"/>
    <col min="41" max="41" width="2.88671875" style="3" customWidth="1"/>
    <col min="42" max="42" width="5.21875" style="3" customWidth="1"/>
    <col min="43" max="43" width="9" style="3"/>
    <col min="44" max="44" width="2.21875" style="3" customWidth="1"/>
    <col min="45" max="45" width="4" style="3" customWidth="1"/>
    <col min="46" max="16384" width="9" style="3"/>
  </cols>
  <sheetData>
    <row r="1" spans="1:46" ht="21.6" x14ac:dyDescent="0.2">
      <c r="A1" s="3" t="s">
        <v>1158</v>
      </c>
      <c r="C1" s="3" t="s">
        <v>1163</v>
      </c>
      <c r="E1" s="3" t="s">
        <v>385</v>
      </c>
      <c r="G1" s="3" t="s">
        <v>1159</v>
      </c>
      <c r="I1" s="80" t="s">
        <v>1164</v>
      </c>
      <c r="K1" s="80" t="s">
        <v>1165</v>
      </c>
      <c r="O1" s="437" t="s">
        <v>385</v>
      </c>
      <c r="P1" s="437"/>
      <c r="R1" s="437" t="s">
        <v>386</v>
      </c>
      <c r="S1" s="437"/>
      <c r="U1" s="3" t="s">
        <v>0</v>
      </c>
      <c r="X1" s="3" t="s">
        <v>387</v>
      </c>
      <c r="AA1" s="3" t="s">
        <v>158</v>
      </c>
      <c r="AD1" s="3" t="s">
        <v>19</v>
      </c>
      <c r="AG1" s="4" t="s">
        <v>11</v>
      </c>
      <c r="AH1" s="4"/>
      <c r="AJ1" s="3" t="s">
        <v>388</v>
      </c>
      <c r="AM1" s="3" t="s">
        <v>1</v>
      </c>
      <c r="AP1" s="3" t="s">
        <v>389</v>
      </c>
      <c r="AS1" s="3" t="s">
        <v>165</v>
      </c>
    </row>
    <row r="2" spans="1:46" s="9" customFormat="1" x14ac:dyDescent="0.2">
      <c r="A2" s="9" t="s">
        <v>1166</v>
      </c>
      <c r="C2" s="9" t="s">
        <v>1167</v>
      </c>
      <c r="E2" s="9" t="s">
        <v>1168</v>
      </c>
      <c r="G2" s="9" t="s">
        <v>1169</v>
      </c>
      <c r="I2" s="9" t="s">
        <v>1170</v>
      </c>
      <c r="K2" s="9" t="s">
        <v>1171</v>
      </c>
      <c r="O2" s="438" t="s">
        <v>1172</v>
      </c>
      <c r="P2" s="439" t="s">
        <v>1173</v>
      </c>
      <c r="R2" s="439">
        <v>1</v>
      </c>
      <c r="S2" s="439" t="s">
        <v>38</v>
      </c>
      <c r="U2" s="8">
        <v>1</v>
      </c>
      <c r="V2" s="8" t="s">
        <v>45</v>
      </c>
      <c r="X2" s="8">
        <v>1</v>
      </c>
      <c r="Y2" s="8" t="s">
        <v>49</v>
      </c>
      <c r="AA2" s="8">
        <v>1</v>
      </c>
      <c r="AB2" s="8" t="s">
        <v>1174</v>
      </c>
      <c r="AD2" s="8">
        <v>1</v>
      </c>
      <c r="AE2" s="8" t="s">
        <v>12</v>
      </c>
      <c r="AG2" s="8">
        <v>1</v>
      </c>
      <c r="AH2" s="8" t="s">
        <v>12</v>
      </c>
      <c r="AJ2" s="8">
        <v>1</v>
      </c>
      <c r="AK2" s="8" t="s">
        <v>26</v>
      </c>
      <c r="AL2" s="11"/>
      <c r="AM2" s="8">
        <v>1</v>
      </c>
      <c r="AN2" s="8" t="s">
        <v>30</v>
      </c>
      <c r="AP2" s="8">
        <v>1</v>
      </c>
      <c r="AQ2" s="8" t="s">
        <v>45</v>
      </c>
      <c r="AS2" s="8">
        <v>1</v>
      </c>
      <c r="AT2" s="8" t="s">
        <v>1175</v>
      </c>
    </row>
    <row r="3" spans="1:46" s="9" customFormat="1" x14ac:dyDescent="0.2">
      <c r="A3" s="9" t="s">
        <v>1176</v>
      </c>
      <c r="C3" s="9" t="s">
        <v>1177</v>
      </c>
      <c r="E3" s="9" t="s">
        <v>1178</v>
      </c>
      <c r="G3" s="9" t="s">
        <v>1179</v>
      </c>
      <c r="I3" s="9" t="s">
        <v>1180</v>
      </c>
      <c r="K3" s="9" t="s">
        <v>1181</v>
      </c>
      <c r="O3" s="438" t="s">
        <v>1182</v>
      </c>
      <c r="P3" s="439" t="s">
        <v>36</v>
      </c>
      <c r="R3" s="439">
        <v>2</v>
      </c>
      <c r="S3" s="439" t="s">
        <v>39</v>
      </c>
      <c r="U3" s="8">
        <v>2</v>
      </c>
      <c r="V3" s="8" t="s">
        <v>46</v>
      </c>
      <c r="X3" s="8">
        <v>2</v>
      </c>
      <c r="Y3" s="8" t="s">
        <v>1183</v>
      </c>
      <c r="AA3" s="8">
        <v>2</v>
      </c>
      <c r="AB3" s="8" t="s">
        <v>60</v>
      </c>
      <c r="AD3" s="8">
        <v>2</v>
      </c>
      <c r="AE3" s="8" t="s">
        <v>13</v>
      </c>
      <c r="AG3" s="8">
        <v>2</v>
      </c>
      <c r="AH3" s="8" t="s">
        <v>13</v>
      </c>
      <c r="AJ3" s="8">
        <v>2</v>
      </c>
      <c r="AK3" s="8" t="s">
        <v>27</v>
      </c>
      <c r="AL3" s="11"/>
      <c r="AM3" s="8">
        <v>2</v>
      </c>
      <c r="AN3" s="8" t="s">
        <v>31</v>
      </c>
      <c r="AP3" s="8">
        <v>2</v>
      </c>
      <c r="AQ3" s="8" t="s">
        <v>46</v>
      </c>
      <c r="AS3" s="8">
        <v>2</v>
      </c>
      <c r="AT3" s="8" t="s">
        <v>166</v>
      </c>
    </row>
    <row r="4" spans="1:46" s="9" customFormat="1" x14ac:dyDescent="0.2">
      <c r="A4" s="9" t="s">
        <v>1184</v>
      </c>
      <c r="C4" s="9" t="s">
        <v>1185</v>
      </c>
      <c r="E4" s="9" t="s">
        <v>1186</v>
      </c>
      <c r="G4" s="9" t="s">
        <v>1187</v>
      </c>
      <c r="I4" s="9" t="s">
        <v>1188</v>
      </c>
      <c r="K4" s="9" t="s">
        <v>1189</v>
      </c>
      <c r="O4" s="438" t="s">
        <v>1190</v>
      </c>
      <c r="P4" s="439" t="s">
        <v>1191</v>
      </c>
      <c r="R4" s="439">
        <v>3</v>
      </c>
      <c r="S4" s="439" t="s">
        <v>40</v>
      </c>
      <c r="U4" s="8">
        <v>3</v>
      </c>
      <c r="V4" s="8" t="s">
        <v>47</v>
      </c>
      <c r="X4" s="8">
        <v>3</v>
      </c>
      <c r="Y4" s="8" t="s">
        <v>50</v>
      </c>
      <c r="AA4" s="8">
        <v>3</v>
      </c>
      <c r="AB4" s="8" t="s">
        <v>61</v>
      </c>
      <c r="AD4" s="8">
        <v>3</v>
      </c>
      <c r="AE4" s="8" t="s">
        <v>14</v>
      </c>
      <c r="AG4" s="8">
        <v>3</v>
      </c>
      <c r="AH4" s="8" t="s">
        <v>14</v>
      </c>
      <c r="AJ4" s="8">
        <v>3</v>
      </c>
      <c r="AK4" s="8" t="s">
        <v>14</v>
      </c>
      <c r="AL4" s="11"/>
      <c r="AM4" s="8">
        <v>3</v>
      </c>
      <c r="AN4" s="8" t="s">
        <v>14</v>
      </c>
      <c r="AP4" s="8">
        <v>3</v>
      </c>
      <c r="AQ4" s="8" t="s">
        <v>14</v>
      </c>
      <c r="AS4" s="8">
        <v>3</v>
      </c>
      <c r="AT4" s="8" t="s">
        <v>47</v>
      </c>
    </row>
    <row r="5" spans="1:46" s="9" customFormat="1" x14ac:dyDescent="0.2">
      <c r="A5" s="9" t="s">
        <v>1192</v>
      </c>
      <c r="C5" s="9" t="s">
        <v>1193</v>
      </c>
      <c r="E5" s="9" t="s">
        <v>1194</v>
      </c>
      <c r="G5" s="9" t="s">
        <v>1195</v>
      </c>
      <c r="I5" s="9" t="s">
        <v>1196</v>
      </c>
      <c r="K5" s="9" t="s">
        <v>1197</v>
      </c>
      <c r="O5" s="438" t="s">
        <v>1198</v>
      </c>
      <c r="P5" s="439" t="s">
        <v>1199</v>
      </c>
      <c r="R5" s="439">
        <v>4</v>
      </c>
      <c r="S5" s="439" t="s">
        <v>41</v>
      </c>
      <c r="U5" s="8">
        <v>4</v>
      </c>
      <c r="V5" s="8" t="s">
        <v>98</v>
      </c>
      <c r="X5" s="8">
        <v>4</v>
      </c>
      <c r="Y5" s="8" t="s">
        <v>51</v>
      </c>
      <c r="AA5" s="8">
        <v>4</v>
      </c>
      <c r="AB5" s="8" t="s">
        <v>62</v>
      </c>
      <c r="AD5" s="8">
        <v>4</v>
      </c>
      <c r="AE5" s="8" t="s">
        <v>17</v>
      </c>
      <c r="AG5" s="8">
        <v>4</v>
      </c>
      <c r="AH5" s="8" t="s">
        <v>17</v>
      </c>
      <c r="AJ5" s="8">
        <v>4</v>
      </c>
      <c r="AK5" s="8" t="s">
        <v>28</v>
      </c>
      <c r="AL5" s="11"/>
      <c r="AM5" s="8">
        <v>4</v>
      </c>
      <c r="AN5" s="8" t="s">
        <v>32</v>
      </c>
      <c r="AP5" s="8">
        <v>4</v>
      </c>
      <c r="AQ5" s="8" t="s">
        <v>98</v>
      </c>
      <c r="AS5" s="8">
        <v>4</v>
      </c>
      <c r="AT5" s="8" t="s">
        <v>98</v>
      </c>
    </row>
    <row r="6" spans="1:46" s="9" customFormat="1" x14ac:dyDescent="0.2">
      <c r="A6" s="9" t="s">
        <v>1200</v>
      </c>
      <c r="C6" s="9" t="s">
        <v>1201</v>
      </c>
      <c r="E6" s="9" t="s">
        <v>1202</v>
      </c>
      <c r="G6" s="9" t="s">
        <v>1203</v>
      </c>
      <c r="I6" s="9" t="s">
        <v>1204</v>
      </c>
      <c r="K6" s="9" t="s">
        <v>1205</v>
      </c>
      <c r="O6" s="438" t="s">
        <v>1206</v>
      </c>
      <c r="P6" s="439" t="s">
        <v>1207</v>
      </c>
      <c r="R6" s="439">
        <v>5</v>
      </c>
      <c r="S6" s="439" t="s">
        <v>42</v>
      </c>
      <c r="U6" s="8">
        <v>5</v>
      </c>
      <c r="V6" s="8" t="s">
        <v>48</v>
      </c>
      <c r="X6" s="8">
        <v>5</v>
      </c>
      <c r="Y6" s="8" t="s">
        <v>52</v>
      </c>
      <c r="AA6" s="8">
        <v>5</v>
      </c>
      <c r="AB6" s="8" t="s">
        <v>63</v>
      </c>
      <c r="AD6" s="8">
        <v>5</v>
      </c>
      <c r="AE6" s="8" t="s">
        <v>18</v>
      </c>
      <c r="AG6" s="8">
        <v>5</v>
      </c>
      <c r="AH6" s="8" t="s">
        <v>18</v>
      </c>
      <c r="AJ6" s="8">
        <v>5</v>
      </c>
      <c r="AK6" s="8" t="s">
        <v>29</v>
      </c>
      <c r="AL6" s="11"/>
      <c r="AM6" s="8">
        <v>5</v>
      </c>
      <c r="AN6" s="8" t="s">
        <v>33</v>
      </c>
      <c r="AP6" s="8">
        <v>5</v>
      </c>
      <c r="AQ6" s="8" t="s">
        <v>48</v>
      </c>
      <c r="AS6" s="8">
        <v>5</v>
      </c>
      <c r="AT6" s="8" t="s">
        <v>48</v>
      </c>
    </row>
    <row r="7" spans="1:46" s="9" customFormat="1" x14ac:dyDescent="0.2">
      <c r="A7" s="9" t="s">
        <v>1208</v>
      </c>
      <c r="C7" s="9" t="s">
        <v>1209</v>
      </c>
      <c r="E7" s="9" t="s">
        <v>1210</v>
      </c>
      <c r="G7" s="9" t="s">
        <v>1211</v>
      </c>
      <c r="I7" s="9" t="s">
        <v>1212</v>
      </c>
      <c r="K7" s="9" t="s">
        <v>1213</v>
      </c>
      <c r="O7" s="438" t="s">
        <v>1214</v>
      </c>
      <c r="P7" s="439" t="s">
        <v>37</v>
      </c>
      <c r="R7" s="439">
        <v>6</v>
      </c>
      <c r="S7" s="439" t="s">
        <v>43</v>
      </c>
      <c r="X7" s="8">
        <v>6</v>
      </c>
      <c r="Y7" s="8" t="s">
        <v>53</v>
      </c>
      <c r="AA7" s="8">
        <v>6</v>
      </c>
      <c r="AB7" s="8" t="s">
        <v>64</v>
      </c>
    </row>
    <row r="8" spans="1:46" s="9" customFormat="1" x14ac:dyDescent="0.2">
      <c r="A8" s="9" t="s">
        <v>1215</v>
      </c>
      <c r="C8" s="9" t="s">
        <v>1216</v>
      </c>
      <c r="E8" s="9" t="s">
        <v>1217</v>
      </c>
      <c r="G8" s="9" t="s">
        <v>1218</v>
      </c>
      <c r="I8" s="9" t="s">
        <v>1219</v>
      </c>
      <c r="K8" s="9" t="s">
        <v>1220</v>
      </c>
      <c r="O8" s="438" t="s">
        <v>1221</v>
      </c>
      <c r="P8" s="439" t="s">
        <v>1222</v>
      </c>
      <c r="R8" s="439">
        <v>7</v>
      </c>
      <c r="S8" s="439" t="s">
        <v>44</v>
      </c>
      <c r="X8" s="8">
        <v>7</v>
      </c>
      <c r="Y8" s="8" t="s">
        <v>54</v>
      </c>
      <c r="AA8" s="8">
        <v>7</v>
      </c>
      <c r="AB8" s="8" t="s">
        <v>65</v>
      </c>
    </row>
    <row r="9" spans="1:46" s="9" customFormat="1" x14ac:dyDescent="0.2">
      <c r="A9" s="9" t="s">
        <v>1223</v>
      </c>
      <c r="C9" s="9" t="s">
        <v>1224</v>
      </c>
      <c r="E9" s="9" t="s">
        <v>1225</v>
      </c>
      <c r="G9" s="9" t="s">
        <v>1226</v>
      </c>
      <c r="I9" s="9" t="s">
        <v>1227</v>
      </c>
      <c r="K9" s="9" t="s">
        <v>1228</v>
      </c>
      <c r="O9" s="438" t="s">
        <v>1229</v>
      </c>
      <c r="P9" s="439" t="s">
        <v>35</v>
      </c>
    </row>
    <row r="10" spans="1:46" s="9" customFormat="1" x14ac:dyDescent="0.2">
      <c r="A10" s="9" t="s">
        <v>1230</v>
      </c>
      <c r="C10" s="9" t="s">
        <v>1231</v>
      </c>
      <c r="E10" s="9" t="s">
        <v>1232</v>
      </c>
      <c r="G10" s="9" t="s">
        <v>1233</v>
      </c>
      <c r="I10" s="9" t="s">
        <v>1234</v>
      </c>
      <c r="K10" s="9" t="s">
        <v>1235</v>
      </c>
      <c r="O10" s="438" t="s">
        <v>1236</v>
      </c>
      <c r="P10" s="439" t="s">
        <v>34</v>
      </c>
    </row>
    <row r="11" spans="1:46" s="9" customFormat="1" x14ac:dyDescent="0.2">
      <c r="A11" s="9" t="s">
        <v>1237</v>
      </c>
      <c r="C11" s="9" t="s">
        <v>1238</v>
      </c>
      <c r="E11" s="9" t="s">
        <v>1239</v>
      </c>
      <c r="G11" s="9" t="s">
        <v>1240</v>
      </c>
      <c r="I11" s="9" t="s">
        <v>1241</v>
      </c>
      <c r="K11" s="9" t="s">
        <v>1242</v>
      </c>
      <c r="O11" s="438" t="s">
        <v>1243</v>
      </c>
      <c r="P11" s="439" t="s">
        <v>1244</v>
      </c>
    </row>
    <row r="12" spans="1:46" s="9" customFormat="1" x14ac:dyDescent="0.2">
      <c r="A12" s="9" t="s">
        <v>1245</v>
      </c>
      <c r="C12" s="9" t="s">
        <v>1246</v>
      </c>
      <c r="E12" s="9" t="s">
        <v>1247</v>
      </c>
      <c r="I12" s="9" t="s">
        <v>1248</v>
      </c>
      <c r="O12" s="438" t="s">
        <v>1249</v>
      </c>
      <c r="P12" s="439" t="s">
        <v>1250</v>
      </c>
    </row>
    <row r="13" spans="1:46" s="9" customFormat="1" x14ac:dyDescent="0.2">
      <c r="A13" s="9" t="s">
        <v>1251</v>
      </c>
      <c r="C13" s="9" t="s">
        <v>1252</v>
      </c>
      <c r="E13" s="9" t="s">
        <v>1253</v>
      </c>
      <c r="I13" s="9" t="s">
        <v>1254</v>
      </c>
      <c r="O13" s="438" t="s">
        <v>1255</v>
      </c>
      <c r="P13" s="439" t="s">
        <v>1256</v>
      </c>
    </row>
    <row r="14" spans="1:46" s="9" customFormat="1" x14ac:dyDescent="0.2">
      <c r="A14" s="9" t="s">
        <v>1257</v>
      </c>
      <c r="C14" s="9" t="s">
        <v>1258</v>
      </c>
      <c r="I14" s="9" t="s">
        <v>1259</v>
      </c>
    </row>
    <row r="15" spans="1:46" s="9" customFormat="1" x14ac:dyDescent="0.2">
      <c r="A15" s="9" t="s">
        <v>1260</v>
      </c>
      <c r="C15" s="9" t="s">
        <v>1261</v>
      </c>
      <c r="I15" s="9" t="s">
        <v>1262</v>
      </c>
    </row>
    <row r="16" spans="1:46" s="9" customFormat="1" x14ac:dyDescent="0.2">
      <c r="A16" s="9" t="s">
        <v>1263</v>
      </c>
      <c r="C16" s="9" t="s">
        <v>1264</v>
      </c>
      <c r="I16" s="9" t="s">
        <v>1265</v>
      </c>
    </row>
    <row r="17" spans="1:9" s="9" customFormat="1" x14ac:dyDescent="0.2">
      <c r="A17" s="9" t="s">
        <v>1266</v>
      </c>
      <c r="I17" s="9" t="s">
        <v>1267</v>
      </c>
    </row>
    <row r="18" spans="1:9" x14ac:dyDescent="0.2">
      <c r="A18" s="9" t="s">
        <v>1268</v>
      </c>
      <c r="I18" s="9" t="s">
        <v>1269</v>
      </c>
    </row>
    <row r="19" spans="1:9" x14ac:dyDescent="0.2">
      <c r="A19" s="9" t="s">
        <v>1270</v>
      </c>
      <c r="I19" s="9" t="s">
        <v>1271</v>
      </c>
    </row>
    <row r="20" spans="1:9" x14ac:dyDescent="0.2">
      <c r="A20" s="9" t="s">
        <v>1272</v>
      </c>
      <c r="I20" s="9" t="s">
        <v>1273</v>
      </c>
    </row>
    <row r="21" spans="1:9" x14ac:dyDescent="0.2">
      <c r="A21" s="9" t="s">
        <v>1274</v>
      </c>
      <c r="I21" s="9" t="s">
        <v>1275</v>
      </c>
    </row>
    <row r="22" spans="1:9" x14ac:dyDescent="0.2">
      <c r="A22" s="9" t="s">
        <v>1276</v>
      </c>
      <c r="I22" s="9" t="s">
        <v>1277</v>
      </c>
    </row>
    <row r="23" spans="1:9" x14ac:dyDescent="0.2">
      <c r="A23" s="9" t="s">
        <v>1278</v>
      </c>
      <c r="I23" s="9" t="s">
        <v>1279</v>
      </c>
    </row>
    <row r="24" spans="1:9" x14ac:dyDescent="0.2">
      <c r="A24" s="9" t="s">
        <v>1280</v>
      </c>
      <c r="I24" s="9" t="s">
        <v>1281</v>
      </c>
    </row>
    <row r="25" spans="1:9" x14ac:dyDescent="0.2">
      <c r="A25" s="9" t="s">
        <v>1282</v>
      </c>
      <c r="I25" s="9" t="s">
        <v>1283</v>
      </c>
    </row>
    <row r="26" spans="1:9" x14ac:dyDescent="0.2">
      <c r="A26" s="9" t="s">
        <v>1284</v>
      </c>
      <c r="I26" s="9" t="s">
        <v>1285</v>
      </c>
    </row>
    <row r="27" spans="1:9" x14ac:dyDescent="0.2">
      <c r="A27" s="9" t="s">
        <v>1286</v>
      </c>
    </row>
    <row r="28" spans="1:9" x14ac:dyDescent="0.2">
      <c r="A28" s="9" t="s">
        <v>1287</v>
      </c>
    </row>
    <row r="29" spans="1:9" x14ac:dyDescent="0.2">
      <c r="A29" s="9" t="s">
        <v>1288</v>
      </c>
    </row>
    <row r="30" spans="1:9" x14ac:dyDescent="0.2">
      <c r="A30" s="9" t="s">
        <v>1289</v>
      </c>
    </row>
    <row r="31" spans="1:9" x14ac:dyDescent="0.2">
      <c r="A31" s="9" t="s">
        <v>1290</v>
      </c>
    </row>
    <row r="32" spans="1:9" x14ac:dyDescent="0.2">
      <c r="A32" s="9" t="s">
        <v>1291</v>
      </c>
    </row>
    <row r="33" spans="1:1" x14ac:dyDescent="0.2">
      <c r="A33" s="9" t="s">
        <v>1292</v>
      </c>
    </row>
    <row r="34" spans="1:1" x14ac:dyDescent="0.2">
      <c r="A34" s="9" t="s">
        <v>1293</v>
      </c>
    </row>
    <row r="35" spans="1:1" x14ac:dyDescent="0.2">
      <c r="A35" s="9" t="s">
        <v>1294</v>
      </c>
    </row>
    <row r="36" spans="1:1" x14ac:dyDescent="0.2">
      <c r="A36" s="9" t="s">
        <v>1295</v>
      </c>
    </row>
    <row r="37" spans="1:1" x14ac:dyDescent="0.2">
      <c r="A37" s="9" t="s">
        <v>1296</v>
      </c>
    </row>
    <row r="38" spans="1:1" x14ac:dyDescent="0.2">
      <c r="A38" s="9" t="s">
        <v>1297</v>
      </c>
    </row>
    <row r="39" spans="1:1" x14ac:dyDescent="0.2">
      <c r="A39" s="9" t="s">
        <v>1298</v>
      </c>
    </row>
    <row r="40" spans="1:1" x14ac:dyDescent="0.2">
      <c r="A40" s="9" t="s">
        <v>1299</v>
      </c>
    </row>
    <row r="41" spans="1:1" x14ac:dyDescent="0.2">
      <c r="A41" s="9" t="s">
        <v>1300</v>
      </c>
    </row>
    <row r="42" spans="1:1" x14ac:dyDescent="0.2">
      <c r="A42" s="9" t="s">
        <v>1301</v>
      </c>
    </row>
    <row r="43" spans="1:1" x14ac:dyDescent="0.2">
      <c r="A43" s="9" t="s">
        <v>1302</v>
      </c>
    </row>
    <row r="44" spans="1:1" x14ac:dyDescent="0.2">
      <c r="A44" s="9" t="s">
        <v>1303</v>
      </c>
    </row>
    <row r="45" spans="1:1" x14ac:dyDescent="0.2">
      <c r="A45" s="9" t="s">
        <v>1304</v>
      </c>
    </row>
    <row r="46" spans="1:1" x14ac:dyDescent="0.2">
      <c r="A46" s="9"/>
    </row>
  </sheetData>
  <customSheetViews>
    <customSheetView guid="{E144E3A1-E29C-410D-8925-3F260910373E}" showRuler="0">
      <selection activeCell="J21" sqref="J21"/>
      <pageMargins left="0.75" right="0.75" top="1" bottom="1" header="0.51200000000000001" footer="0.51200000000000001"/>
      <pageSetup paperSize="9" orientation="portrait" r:id="rId1"/>
      <headerFooter alignWithMargins="0"/>
    </customSheetView>
  </customSheetViews>
  <phoneticPr fontId="3"/>
  <pageMargins left="0.75" right="0.75" top="1" bottom="1" header="0.51200000000000001" footer="0.51200000000000001"/>
  <pageSetup paperSize="9" orientation="portrait" r:id="rId2"/>
  <headerFooter alignWithMargins="0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37</vt:i4>
      </vt:variant>
    </vt:vector>
  </HeadingPairs>
  <TitlesOfParts>
    <vt:vector size="51" baseType="lpstr">
      <vt:lpstr>①商品マスタ 申請入力用</vt:lpstr>
      <vt:lpstr>リンク用シート</vt:lpstr>
      <vt:lpstr>①マッピング用</vt:lpstr>
      <vt:lpstr>登録データ</vt:lpstr>
      <vt:lpstr>②仕入単価・発注情報</vt:lpstr>
      <vt:lpstr>NEW③Ｎ単価・売価情報</vt:lpstr>
      <vt:lpstr>NEW③Ｎ単価・売価情報（関東以外）</vt:lpstr>
      <vt:lpstr>④ＰＯＰ情報</vt:lpstr>
      <vt:lpstr>⑤店舗商品導入書</vt:lpstr>
      <vt:lpstr>⑥セット商品登録申請書</vt:lpstr>
      <vt:lpstr>→参照</vt:lpstr>
      <vt:lpstr>管理課使用（申請書）</vt:lpstr>
      <vt:lpstr>MT商品ﾏｽﾀ参照シート</vt:lpstr>
      <vt:lpstr>参照_POP情報用</vt:lpstr>
      <vt:lpstr>HT容器回収</vt:lpstr>
      <vt:lpstr>'①商品マスタ 申請入力用'!Print_Area</vt:lpstr>
      <vt:lpstr>②仕入単価・発注情報!Print_Area</vt:lpstr>
      <vt:lpstr>⑤店舗商品導入書!Print_Area</vt:lpstr>
      <vt:lpstr>NEW③Ｎ単価・売価情報!Print_Area</vt:lpstr>
      <vt:lpstr>'NEW③Ｎ単価・売価情報（関東以外）'!Print_Area</vt:lpstr>
      <vt:lpstr>'①商品マスタ 申請入力用'!Print_Titles</vt:lpstr>
      <vt:lpstr>デポ当日発注</vt:lpstr>
      <vt:lpstr>飲み口</vt:lpstr>
      <vt:lpstr>横持ピック</vt:lpstr>
      <vt:lpstr>温度帯</vt:lpstr>
      <vt:lpstr>課税区分</vt:lpstr>
      <vt:lpstr>季節区分</vt:lpstr>
      <vt:lpstr>空容器商品CD</vt:lpstr>
      <vt:lpstr>国産輸入</vt:lpstr>
      <vt:lpstr>在庫管理</vt:lpstr>
      <vt:lpstr>産地_国</vt:lpstr>
      <vt:lpstr>産地_地域</vt:lpstr>
      <vt:lpstr>酒税分類</vt:lpstr>
      <vt:lpstr>酒類_酒税分類</vt:lpstr>
      <vt:lpstr>商品区分</vt:lpstr>
      <vt:lpstr>商品種別</vt:lpstr>
      <vt:lpstr>商品分類</vt:lpstr>
      <vt:lpstr>小分類</vt:lpstr>
      <vt:lpstr>消費税率コード</vt:lpstr>
      <vt:lpstr>単位</vt:lpstr>
      <vt:lpstr>直送物流区分</vt:lpstr>
      <vt:lpstr>店舗取扱区分</vt:lpstr>
      <vt:lpstr>伝発分類</vt:lpstr>
      <vt:lpstr>麦芽比率_微発泡清酒</vt:lpstr>
      <vt:lpstr>部署コード</vt:lpstr>
      <vt:lpstr>物流区分</vt:lpstr>
      <vt:lpstr>予備区分1</vt:lpstr>
      <vt:lpstr>予備区分2</vt:lpstr>
      <vt:lpstr>予備区分3</vt:lpstr>
      <vt:lpstr>予備区分4</vt:lpstr>
      <vt:lpstr>予備区分8</vt:lpstr>
    </vt:vector>
  </TitlesOfParts>
  <Company>KAKUYASU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KAKUYASU</dc:creator>
  <cp:lastModifiedBy>オガサワラ ヨシキヨ</cp:lastModifiedBy>
  <cp:lastPrinted>2024-09-06T08:38:51Z</cp:lastPrinted>
  <dcterms:created xsi:type="dcterms:W3CDTF">2016-02-25T05:19:57Z</dcterms:created>
  <dcterms:modified xsi:type="dcterms:W3CDTF">2024-12-17T06:40:06Z</dcterms:modified>
</cp:coreProperties>
</file>